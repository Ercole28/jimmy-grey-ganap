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025" sheetId="1" r:id="rId4"/>
    <sheet state="visible" name="FEB2025" sheetId="2" r:id="rId5"/>
    <sheet state="visible" name="MAR2025" sheetId="3" r:id="rId6"/>
    <sheet state="visible" name="APR25" sheetId="4" r:id="rId7"/>
    <sheet state="visible" name="MEI25" sheetId="5" r:id="rId8"/>
    <sheet state="visible" name="JUNI25" sheetId="6" r:id="rId9"/>
    <sheet state="visible" name="JULI25" sheetId="7" r:id="rId10"/>
    <sheet state="visible" name="AGT25" sheetId="8" r:id="rId11"/>
    <sheet state="visible" name="SEP25" sheetId="9" r:id="rId12"/>
    <sheet state="visible" name="OKT25" sheetId="10" r:id="rId13"/>
    <sheet state="visible" name="NOV25" sheetId="11" r:id="rId14"/>
    <sheet state="visible" name="DES25" sheetId="12" r:id="rId15"/>
    <sheet state="visible" name="JAN26" sheetId="13" r:id="rId16"/>
    <sheet state="visible" name="FEB26" sheetId="14" r:id="rId17"/>
    <sheet state="visible" name="MAR26" sheetId="15" r:id="rId18"/>
    <sheet state="visible" name="APR26" sheetId="16" r:id="rId19"/>
    <sheet state="visible" name="MEI26" sheetId="17" r:id="rId20"/>
    <sheet state="visible" name="JUNI26" sheetId="18" r:id="rId21"/>
  </sheets>
  <definedNames/>
  <calcPr/>
  <extLst>
    <ext uri="GoogleSheetsCustomDataVersion2">
      <go:sheetsCustomData xmlns:go="http://customooxmlschemas.google.com/" r:id="rId22" roundtripDataChecksum="B8IX2ClM6BB5ekwBuf8e7ThcnGAFFrtE/nAfUQijmM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6">
      <text>
        <t xml:space="preserve">======
ID#AAAB_LHz7MA
    (2026-07-06 03:34:48)
01150099:</t>
      </text>
    </comment>
  </commentList>
  <extLst>
    <ext uri="GoogleSheetsCustomDataVersion2">
      <go:sheetsCustomData xmlns:go="http://customooxmlschemas.google.com/" r:id="rId1" roundtripDataSignature="AMtx7mjNjRgYW3szvVhnR5JPeDN6b1Tv3Q=="/>
    </ext>
  </extLst>
</comments>
</file>

<file path=xl/sharedStrings.xml><?xml version="1.0" encoding="utf-8"?>
<sst xmlns="http://schemas.openxmlformats.org/spreadsheetml/2006/main" count="2090" uniqueCount="564">
  <si>
    <t>BERTH OCCUPANTION RATIO (BOR)</t>
  </si>
  <si>
    <t>BOR BULAN JANUARI 2025</t>
  </si>
  <si>
    <t>NO</t>
  </si>
  <si>
    <t>Dermaga</t>
  </si>
  <si>
    <t>Nama Kapal</t>
  </si>
  <si>
    <t>Jns.Barang</t>
  </si>
  <si>
    <t>Bert.Date</t>
  </si>
  <si>
    <t>Bert.Time</t>
  </si>
  <si>
    <t>Dep.Date</t>
  </si>
  <si>
    <t>Dep.Time</t>
  </si>
  <si>
    <t>Qty.Bongkar</t>
  </si>
  <si>
    <t>Qty.Muat</t>
  </si>
  <si>
    <t>BOR</t>
  </si>
  <si>
    <t>Key1</t>
  </si>
  <si>
    <t>key2</t>
  </si>
  <si>
    <t>key3</t>
  </si>
  <si>
    <t>Hour</t>
  </si>
  <si>
    <t>EX.D</t>
  </si>
  <si>
    <t>A</t>
  </si>
  <si>
    <t>MV. ROYAL 18</t>
  </si>
  <si>
    <t>RICE IN BAGS</t>
  </si>
  <si>
    <t>MV. DAI TAY DUONG 25</t>
  </si>
  <si>
    <t>MV. TTP 89</t>
  </si>
  <si>
    <t>MV. VTV DRAGON</t>
  </si>
  <si>
    <t>MV. PHUC THUAN 36</t>
  </si>
  <si>
    <t>STEEL COIL</t>
  </si>
  <si>
    <t>MV. PHUC THUAN 79</t>
  </si>
  <si>
    <t>MV. TRUONG SON 26</t>
  </si>
  <si>
    <t>MV. GOLDEN SEA 01</t>
  </si>
  <si>
    <t>MV. MERATUS WAIGEO VOY. 47</t>
  </si>
  <si>
    <t xml:space="preserve">CONTAINER </t>
  </si>
  <si>
    <t>B</t>
  </si>
  <si>
    <t>BG. MEGANTA 3006</t>
  </si>
  <si>
    <t>BATUBARA</t>
  </si>
  <si>
    <t>BG. ISM 3015</t>
  </si>
  <si>
    <t>BG. MARINE POWER 3061</t>
  </si>
  <si>
    <t>BG. CITRA 3003</t>
  </si>
  <si>
    <t>BG. MEGANTA 3007</t>
  </si>
  <si>
    <t>BG. SUMBER MAS 199</t>
  </si>
  <si>
    <t>BG. KAPUAS JAYA 3002</t>
  </si>
  <si>
    <t>BG. KAPUAS JAYA 3010</t>
  </si>
  <si>
    <t>C1</t>
  </si>
  <si>
    <t>BG. PSB 3017</t>
  </si>
  <si>
    <t>BG. LEO MARINE 3021</t>
  </si>
  <si>
    <t>BG. NBA</t>
  </si>
  <si>
    <t>BROWN PULP</t>
  </si>
  <si>
    <t>BG. PACIFIC 3030</t>
  </si>
  <si>
    <t>BG. GSM 3301</t>
  </si>
  <si>
    <t>BG. LEO MARINE 3009</t>
  </si>
  <si>
    <t>BG. MEGANTA II</t>
  </si>
  <si>
    <t>BG. MADISON</t>
  </si>
  <si>
    <t>BG. BLUE SAPHIRE</t>
  </si>
  <si>
    <t>BG. NAUTICA 22</t>
  </si>
  <si>
    <t>BG. LL 3013</t>
  </si>
  <si>
    <t>BG. ISM 3024</t>
  </si>
  <si>
    <t>BG. PACIFIC 3029</t>
  </si>
  <si>
    <t>BG. FITRIA 303</t>
  </si>
  <si>
    <t>BG. FITRIA 3006</t>
  </si>
  <si>
    <t>BG. LL 3021</t>
  </si>
  <si>
    <t>BG. GURITA 3007</t>
  </si>
  <si>
    <t>BG. MAJU LANCAR 3002</t>
  </si>
  <si>
    <t>BG. INTAN KELANA 24</t>
  </si>
  <si>
    <t>C2</t>
  </si>
  <si>
    <t>MV. PHU AN 369</t>
  </si>
  <si>
    <t>BG. KAPUAS JAYA 3015</t>
  </si>
  <si>
    <t>BG. PSB 3007</t>
  </si>
  <si>
    <t>BG. MARINE POWER 3062</t>
  </si>
  <si>
    <t>BG. GURITA 3008</t>
  </si>
  <si>
    <t>BG. FITRIA 3008</t>
  </si>
  <si>
    <t>D</t>
  </si>
  <si>
    <t>MV. ROLEX</t>
  </si>
  <si>
    <t>STEEL BLOOM, billets</t>
  </si>
  <si>
    <t>BG. PACIFIC STAR 8607</t>
  </si>
  <si>
    <t>MV. ERIN MANX</t>
  </si>
  <si>
    <t>GYPSUM</t>
  </si>
  <si>
    <t>BG. APN 3022</t>
  </si>
  <si>
    <t>BG. VTI 3089</t>
  </si>
  <si>
    <t>BG. MEGANTA 3010</t>
  </si>
  <si>
    <t>MV. ZHONG YU 28</t>
  </si>
  <si>
    <t>STEEL BILLETS</t>
  </si>
  <si>
    <t>NOTE</t>
  </si>
  <si>
    <t>:</t>
  </si>
  <si>
    <t xml:space="preserve">EX DERMAGA 1 &amp; 2 </t>
  </si>
  <si>
    <t>KETERANGAN</t>
  </si>
  <si>
    <t>EX DERMAGA 3</t>
  </si>
  <si>
    <t>EX DERMAGA 4</t>
  </si>
  <si>
    <t>EX DERMAGA 5</t>
  </si>
  <si>
    <t xml:space="preserve">EX DERMAGA 6 &amp; 7 </t>
  </si>
  <si>
    <t>BOR BULAN FEBRUARI 2025</t>
  </si>
  <si>
    <t>MV. BROTHER 39</t>
  </si>
  <si>
    <t>MV. AN BINH 18</t>
  </si>
  <si>
    <t>MV. TRAWIND GLORY</t>
  </si>
  <si>
    <t>MV. HOA BINH 09</t>
  </si>
  <si>
    <t>KM. BAHTERA SUKSES</t>
  </si>
  <si>
    <t>BESI BETON</t>
  </si>
  <si>
    <t>MV. VINASHIP GOLD</t>
  </si>
  <si>
    <t>MV. CS ASEAN EXPLORER</t>
  </si>
  <si>
    <t>KABEL</t>
  </si>
  <si>
    <t>MV. STAR ISMENE</t>
  </si>
  <si>
    <t>WOOD PULP</t>
  </si>
  <si>
    <t>KM. BAHARI II</t>
  </si>
  <si>
    <t>STEEL PIPE</t>
  </si>
  <si>
    <t>MV. MERATUS WAIGEO VOY. 48</t>
  </si>
  <si>
    <t>MV. INTAN DAYA 4</t>
  </si>
  <si>
    <t>PULP</t>
  </si>
  <si>
    <t>BG. BAHARI 30016</t>
  </si>
  <si>
    <t>BG. LL 3025</t>
  </si>
  <si>
    <t>BG. FITRIA 3005</t>
  </si>
  <si>
    <t>BG. GURITA 3003</t>
  </si>
  <si>
    <t>BG. ISM 3018</t>
  </si>
  <si>
    <t>BG. ISM 3016</t>
  </si>
  <si>
    <t>BG. INDOTRANS 3008</t>
  </si>
  <si>
    <t>BG. LL 3311</t>
  </si>
  <si>
    <t>BG. BAHARI ABADI 3002</t>
  </si>
  <si>
    <t>BG. ARK 04</t>
  </si>
  <si>
    <t>BG. BAHARI ABADI 3003</t>
  </si>
  <si>
    <t>BG. TERANG 311</t>
  </si>
  <si>
    <t>BG. KAPUAS JAYA 3007</t>
  </si>
  <si>
    <t>BG. LEO MARINE 3007</t>
  </si>
  <si>
    <t>BG. NAP 818</t>
  </si>
  <si>
    <t>BG. TITAN 50</t>
  </si>
  <si>
    <t>BG. INTAN 7506</t>
  </si>
  <si>
    <t>BG. ELISHA</t>
  </si>
  <si>
    <t>BG. KAPUAS JAYA 311</t>
  </si>
  <si>
    <t>BG. GURITA 3010</t>
  </si>
  <si>
    <t>BG. PSB 3016</t>
  </si>
  <si>
    <t>BG. STAR MARINE 3390</t>
  </si>
  <si>
    <t>BG. META MARINE 1</t>
  </si>
  <si>
    <t>BG. TUNAS JATRA 302</t>
  </si>
  <si>
    <t>BG. GURITA 3005</t>
  </si>
  <si>
    <t>BG. KAPUAS JAYA 3011</t>
  </si>
  <si>
    <t>BG. LL 3028</t>
  </si>
  <si>
    <t>BG. GURITA 3012</t>
  </si>
  <si>
    <t>BG. PSB 3012</t>
  </si>
  <si>
    <t>MV. AGP KARTINI III</t>
  </si>
  <si>
    <t>BG. KAPUAS JAYA 333</t>
  </si>
  <si>
    <t>BG. MITRA 3003</t>
  </si>
  <si>
    <t>BG. BAHARI 3019</t>
  </si>
  <si>
    <t>MV. SIMFONIA</t>
  </si>
  <si>
    <t>STEEL SLAB</t>
  </si>
  <si>
    <t>BG. MARINE POWER 9006</t>
  </si>
  <si>
    <t>BG. LEGASEA 3002</t>
  </si>
  <si>
    <t>MV. ULTRA LANIN</t>
  </si>
  <si>
    <t>RAW SUGAR</t>
  </si>
  <si>
    <t>BG. PSB 3018</t>
  </si>
  <si>
    <t>BOR BULAN MARET 2025</t>
  </si>
  <si>
    <t>BG. SINAR LESTARI 348</t>
  </si>
  <si>
    <t>MV. OUPULAI 18</t>
  </si>
  <si>
    <t>STEEL BILLET</t>
  </si>
  <si>
    <t>KM. INTAN DAYA</t>
  </si>
  <si>
    <t>MV. MERATUS WAIGEO VOY. 49</t>
  </si>
  <si>
    <t>MV. JIN HAI PING</t>
  </si>
  <si>
    <t>MV. BARUNA RAYA</t>
  </si>
  <si>
    <t>KM. CAHAYA ABADI 203</t>
  </si>
  <si>
    <t>TISSUE ROLL</t>
  </si>
  <si>
    <t>KM. CAHAYA ABADI 204</t>
  </si>
  <si>
    <t>BG. BAHARI 30015</t>
  </si>
  <si>
    <t>BG. PSB 3009</t>
  </si>
  <si>
    <t>BG. ELEANOR 329</t>
  </si>
  <si>
    <t>BG. ENTRADA 3001</t>
  </si>
  <si>
    <t>BG. KAPUAS JAYA 3017</t>
  </si>
  <si>
    <t>BG. FITRIA 3009</t>
  </si>
  <si>
    <t>BG. GURITA 3009</t>
  </si>
  <si>
    <t>BG. KAPUAS JAYA 3021</t>
  </si>
  <si>
    <t>BG. BAHARI 30035</t>
  </si>
  <si>
    <t>BG. GANDASARI 3007</t>
  </si>
  <si>
    <t>BG. FITRIA 302</t>
  </si>
  <si>
    <t>BG. CHANDRA 301</t>
  </si>
  <si>
    <t>BG. FALUTRA 3001</t>
  </si>
  <si>
    <t>BG. MARCOPOLO 908</t>
  </si>
  <si>
    <t>BG. STAR MARINE 3301</t>
  </si>
  <si>
    <t>BG. LMN 306</t>
  </si>
  <si>
    <t>BG. ELEKTRA</t>
  </si>
  <si>
    <t>BG. FLY POWER 3017</t>
  </si>
  <si>
    <t>BG. KAPUAS JAYA 3013</t>
  </si>
  <si>
    <t>MV. TTM HARVEST</t>
  </si>
  <si>
    <t>STEEL BILLET, BLOOM</t>
  </si>
  <si>
    <t>MV. PERTH I</t>
  </si>
  <si>
    <t>MV. KOURUS QUEEN</t>
  </si>
  <si>
    <t>MV. EAGLE</t>
  </si>
  <si>
    <t>BOR BULAN APRIL 2025</t>
  </si>
  <si>
    <t>LCT. SURYA AGUNG</t>
  </si>
  <si>
    <t>KONTRUKSI</t>
  </si>
  <si>
    <t xml:space="preserve">MV. SAGA FLORA </t>
  </si>
  <si>
    <t>TISUE ROLL</t>
  </si>
  <si>
    <t>MV. THUAN PHAT 179</t>
  </si>
  <si>
    <t>MV. VIET HUNG 08</t>
  </si>
  <si>
    <t>MV. MERATUS WAIGEO VOY. 51</t>
  </si>
  <si>
    <t>BG. GANDASARI 3008</t>
  </si>
  <si>
    <t>BG. MARITIM 4</t>
  </si>
  <si>
    <t>BG. SENTANA SAMUDERA</t>
  </si>
  <si>
    <t>BG. SSP 3001</t>
  </si>
  <si>
    <t>BG. ASKARA JAYA II</t>
  </si>
  <si>
    <t>BG. KAPUAS JAYA 3020</t>
  </si>
  <si>
    <t>BG. INDOTRANS 3009</t>
  </si>
  <si>
    <t>BG. LL 3016</t>
  </si>
  <si>
    <t>BG. GURITA 3011</t>
  </si>
  <si>
    <t>BG. TERANG 302</t>
  </si>
  <si>
    <t>BG. PACIFIC 3037</t>
  </si>
  <si>
    <t>BG. PACIFIC 3011</t>
  </si>
  <si>
    <t>BG. PACIFIC 3016</t>
  </si>
  <si>
    <t>BG. NUSANTARA 301</t>
  </si>
  <si>
    <t>BG. ALESSANDRO BRILLIANT</t>
  </si>
  <si>
    <t>MV. MERATUS WAIGEO VOY. 50</t>
  </si>
  <si>
    <t>MV. CHANG AN</t>
  </si>
  <si>
    <t>BG. MEGA TOP 7</t>
  </si>
  <si>
    <t>MV. CAHAYA MUSTIKA 01</t>
  </si>
  <si>
    <t>MV. TRIUMPH OCEAN</t>
  </si>
  <si>
    <t xml:space="preserve">MV. PRINCE </t>
  </si>
  <si>
    <t>BOR BULAN MEI 2025</t>
  </si>
  <si>
    <t>MV. INTERLINK CELIRITY</t>
  </si>
  <si>
    <t>MV. ANUGRAH BUANA IX</t>
  </si>
  <si>
    <t>BG. TOM 3001</t>
  </si>
  <si>
    <t>BG. INDOTRANS 3017</t>
  </si>
  <si>
    <t>BG. VOYAGE I</t>
  </si>
  <si>
    <t>BG. GURITA 3013</t>
  </si>
  <si>
    <t>BG. PSB 3020</t>
  </si>
  <si>
    <t>BG. NUSANTARA 304</t>
  </si>
  <si>
    <t>BG. SOEKOWATI 323</t>
  </si>
  <si>
    <t>BG. YOHANNA 329</t>
  </si>
  <si>
    <t>BG. TERANG 08</t>
  </si>
  <si>
    <t>BG. SPA 30002</t>
  </si>
  <si>
    <t>BG. TITAN 20</t>
  </si>
  <si>
    <t>BG. LMN 311</t>
  </si>
  <si>
    <t>BG. WIJAYA TRANS 229</t>
  </si>
  <si>
    <t>MV. MERATUS WAIGEO VOY. 52</t>
  </si>
  <si>
    <t>BG. KAPUAS JAYA 319</t>
  </si>
  <si>
    <t>BG. MARINE POWER 3052</t>
  </si>
  <si>
    <t>BG. INDOTRANS 3012</t>
  </si>
  <si>
    <t>BG. BAHARI 30021</t>
  </si>
  <si>
    <t>MV. STAR CLEO</t>
  </si>
  <si>
    <t>BG. WIJAYA TRANS 233</t>
  </si>
  <si>
    <t>MV. ANEMOS</t>
  </si>
  <si>
    <t>STEEL BILLET, SLAB</t>
  </si>
  <si>
    <t>BG. KAPUAS JAYA 3019</t>
  </si>
  <si>
    <t>BOR BULAN JUNI 2025</t>
  </si>
  <si>
    <t>MV. HOANG TUAN 99</t>
  </si>
  <si>
    <t>KM. UREYANA</t>
  </si>
  <si>
    <t>STEEL BAR</t>
  </si>
  <si>
    <t>MV. MERATUS WAIGEO VOY. 53</t>
  </si>
  <si>
    <t>BG. ILIR JAYA I</t>
  </si>
  <si>
    <t>BG. MARINE POWER 3072</t>
  </si>
  <si>
    <t>BG. WIJAYA TRANS 228</t>
  </si>
  <si>
    <t>BG. LL 3015</t>
  </si>
  <si>
    <t>BG. MARINE POWER 3071</t>
  </si>
  <si>
    <t>BG. LEO MARINE 9006</t>
  </si>
  <si>
    <t xml:space="preserve">BG. ELEKTRA </t>
  </si>
  <si>
    <t>BG. AULIA KURNIA V</t>
  </si>
  <si>
    <t>BG. SINAR LESTARI 302</t>
  </si>
  <si>
    <t>BG. PACIFIC 3035</t>
  </si>
  <si>
    <t>BG. ISM 3023</t>
  </si>
  <si>
    <t>BG. MARINE POWER 8501</t>
  </si>
  <si>
    <t>BG. CAKRAWALA XXXV 2024</t>
  </si>
  <si>
    <t>BG. CAKRAWALA XXVI 2024</t>
  </si>
  <si>
    <t>MV. XIANG FENG</t>
  </si>
  <si>
    <t>STEEL BLOOM</t>
  </si>
  <si>
    <t>BG. BERAU 303</t>
  </si>
  <si>
    <t>BG. SOEKAWATI 327</t>
  </si>
  <si>
    <t>BG. MARINE POWER 3079</t>
  </si>
  <si>
    <t>BG. SLS 3010</t>
  </si>
  <si>
    <t>BG. BAHARI 30020</t>
  </si>
  <si>
    <t>MV. JIN HAI ZHENG</t>
  </si>
  <si>
    <t>MV. TRIDENT STAR</t>
  </si>
  <si>
    <t>MV. HTK LAVENDER</t>
  </si>
  <si>
    <t>BG. COMET 02</t>
  </si>
  <si>
    <t>BG. ISM 3021</t>
  </si>
  <si>
    <t>BOR BULAN JULI 2025</t>
  </si>
  <si>
    <t>MV. SOUTHERN CROSS</t>
  </si>
  <si>
    <t>KM. ANUGERAH BUANA IX</t>
  </si>
  <si>
    <t>MV. LK OCEAN 79</t>
  </si>
  <si>
    <t>LCT. RAIMOND 3</t>
  </si>
  <si>
    <t>EQUIPMENT</t>
  </si>
  <si>
    <t>MV. MERATUS WAIGEO VOY. 54</t>
  </si>
  <si>
    <t>MV. MINH ANH 08</t>
  </si>
  <si>
    <t>MV. BROTHER 36</t>
  </si>
  <si>
    <t>MV. DAI THANG 198</t>
  </si>
  <si>
    <t>MV. LBN 6</t>
  </si>
  <si>
    <t>ROLLTISUE</t>
  </si>
  <si>
    <t>BG. MEGANTA 3009</t>
  </si>
  <si>
    <t>BG. INDOTRANS 3005</t>
  </si>
  <si>
    <t>BG. KAPUAS JAYA 3005</t>
  </si>
  <si>
    <t>BG. PSB 3014</t>
  </si>
  <si>
    <t>BG. LAYAR MAS 3321</t>
  </si>
  <si>
    <t>BG. LIUS XVII</t>
  </si>
  <si>
    <t>BG. KAPUAS JAYA 3016</t>
  </si>
  <si>
    <t>BG. PST 208</t>
  </si>
  <si>
    <t>BG. DBS 3029</t>
  </si>
  <si>
    <t>BG. BAHARI 30018</t>
  </si>
  <si>
    <t>BG. SUMBER JAYA 2750</t>
  </si>
  <si>
    <t>BG. MARCOPOLO 822</t>
  </si>
  <si>
    <t>BG. INTAN KELANA 29</t>
  </si>
  <si>
    <t>BG. SOM 69</t>
  </si>
  <si>
    <t>BG. ISM 3017</t>
  </si>
  <si>
    <t>BG. KAPUAS JAYA 3009</t>
  </si>
  <si>
    <t>BG. SEVA RAYA II</t>
  </si>
  <si>
    <t>BG. BAHARI 30076</t>
  </si>
  <si>
    <t>BG. SUMBER JAYA 3026</t>
  </si>
  <si>
    <t>BG. VOYAGE II</t>
  </si>
  <si>
    <t>BG. KARUNA MANGGALA</t>
  </si>
  <si>
    <t>BG. RMN 3308</t>
  </si>
  <si>
    <t>BG. PACIFIC 3038</t>
  </si>
  <si>
    <t>BG. BERLIAN PACIFIC 11</t>
  </si>
  <si>
    <t>MV. JIN HAI XIN</t>
  </si>
  <si>
    <t>BG. MARCOPOLO 3022</t>
  </si>
  <si>
    <t>BG. KAPUAS JAYA 3006</t>
  </si>
  <si>
    <t>BG. MEGANTA V</t>
  </si>
  <si>
    <t>MV. PAVO BRAVE</t>
  </si>
  <si>
    <t>BG. BAHARI 30033</t>
  </si>
  <si>
    <t>BOR BULAN AGUSTUS 2025</t>
  </si>
  <si>
    <t>MV. MERATUS WAIGEO VOY. 55</t>
  </si>
  <si>
    <t>MV. PHUC THUAN 39</t>
  </si>
  <si>
    <t>MV. HUONG ANH 59</t>
  </si>
  <si>
    <t>KM. BAHTERA SEJATI</t>
  </si>
  <si>
    <t>MV. GREEN OCEAN</t>
  </si>
  <si>
    <t>BG. KAPUAS JAYA 3111</t>
  </si>
  <si>
    <t>BG. WIJAYA TRANS 235</t>
  </si>
  <si>
    <t>BG. SBA 10</t>
  </si>
  <si>
    <t>BG. BKT 303</t>
  </si>
  <si>
    <t>BG. MERLIN</t>
  </si>
  <si>
    <t>BROWNPULP</t>
  </si>
  <si>
    <t>BG. STAR MARINE 3002</t>
  </si>
  <si>
    <t>BG. SBA 08</t>
  </si>
  <si>
    <t>BG. PSB 3019</t>
  </si>
  <si>
    <t>BG. SENTANA BLOCK</t>
  </si>
  <si>
    <t>BG. SINAR LESTARI 388</t>
  </si>
  <si>
    <t>BG. SEBUKU 3</t>
  </si>
  <si>
    <t>BG. VIRGO SEJATI 352</t>
  </si>
  <si>
    <t>BG. TITAN 24</t>
  </si>
  <si>
    <t>BG. STAR MARINE 3024</t>
  </si>
  <si>
    <t>BG. ANAND 9</t>
  </si>
  <si>
    <t>BG. KAPUAS JAYA 315</t>
  </si>
  <si>
    <t>BG. SENTANA BALLAST</t>
  </si>
  <si>
    <t>BG. CAKRAWALA XXVIII 2024</t>
  </si>
  <si>
    <t>MV. GARLAND</t>
  </si>
  <si>
    <t>BG. KAPUAS JAYA 3110</t>
  </si>
  <si>
    <t>BG. KAPUAS JAYA 317</t>
  </si>
  <si>
    <t xml:space="preserve">MV. HONY FUTURE </t>
  </si>
  <si>
    <t>BG. ISM 3020</t>
  </si>
  <si>
    <t>BOR BULAN SEPTEMBER 2025</t>
  </si>
  <si>
    <t>MV. TOMINI MISTRAL</t>
  </si>
  <si>
    <t>MV. MERATUS WAIGEO VOY. 56</t>
  </si>
  <si>
    <t>MV. MERATUS WAIGEO VOY. 57</t>
  </si>
  <si>
    <t>BG. WIJAYA TRANS 232</t>
  </si>
  <si>
    <t>BG. ANFIELD 01</t>
  </si>
  <si>
    <t>BG. NADIA 8</t>
  </si>
  <si>
    <t>BG. NAUTICA 19</t>
  </si>
  <si>
    <t>BG. HAMA 8002</t>
  </si>
  <si>
    <t>BG. GOLD TRANS 323</t>
  </si>
  <si>
    <t>BG. POLARIS 02</t>
  </si>
  <si>
    <t>BG. HAMA 8003</t>
  </si>
  <si>
    <t>BG. ELFA 3001</t>
  </si>
  <si>
    <t>BG. VIMAR TRANS 301</t>
  </si>
  <si>
    <t>BG. LINTAS SEGARA 10</t>
  </si>
  <si>
    <t>BG. PACIFIC 3015</t>
  </si>
  <si>
    <t>BG. SINAR LESTARI 312</t>
  </si>
  <si>
    <t>BG. FINANCIA 83</t>
  </si>
  <si>
    <t>BG. BAHARI ABADI 3001</t>
  </si>
  <si>
    <t>BG. STAR MARINE 3033</t>
  </si>
  <si>
    <t>BG. PACIFIC 3031</t>
  </si>
  <si>
    <t>BG. MJL 3017</t>
  </si>
  <si>
    <t>BG. SINAR LESTARI 328</t>
  </si>
  <si>
    <t>MV. KEN BOS</t>
  </si>
  <si>
    <t>MV. MAESTRO 1</t>
  </si>
  <si>
    <t>STEEL SLAB, BILLET</t>
  </si>
  <si>
    <t>MV. JADE</t>
  </si>
  <si>
    <t>BOR BULAN OPKTOBER 2025</t>
  </si>
  <si>
    <t>MV. DAI THANG 189</t>
  </si>
  <si>
    <t>MV. PHU AN 368</t>
  </si>
  <si>
    <t>BG. BAHTERA 3003</t>
  </si>
  <si>
    <t>BG. PACIFIC STAR 7810</t>
  </si>
  <si>
    <t>BG. NOAH 3001</t>
  </si>
  <si>
    <t>BG. MARITIM  2</t>
  </si>
  <si>
    <t>BG. BAHTERA 3002</t>
  </si>
  <si>
    <t>BG. SURYA ALAM 250</t>
  </si>
  <si>
    <t>BG. INDO SUKSES 20</t>
  </si>
  <si>
    <t>BG. TITAN 30</t>
  </si>
  <si>
    <t>BG. ROYAL ANDRIES</t>
  </si>
  <si>
    <t>BG. STAR MARINE 3080</t>
  </si>
  <si>
    <t>BG. BAHARI 30051</t>
  </si>
  <si>
    <t>BG. SUMBER JAYA 308</t>
  </si>
  <si>
    <t>BG. WIJAYA TRANS 231</t>
  </si>
  <si>
    <t>BG. PACIFIC STAR 7803</t>
  </si>
  <si>
    <t xml:space="preserve">BG. SENTANA MARINE </t>
  </si>
  <si>
    <t>MV. SUPRA SOVEREIGN</t>
  </si>
  <si>
    <t>MV. ASTRO MEROPE</t>
  </si>
  <si>
    <t>MV. YIN NENG</t>
  </si>
  <si>
    <t>BOR BULAN NOV  2025</t>
  </si>
  <si>
    <t>MV. EVER GALLANT</t>
  </si>
  <si>
    <t xml:space="preserve">MV. GHALA </t>
  </si>
  <si>
    <t>STEELCOIL</t>
  </si>
  <si>
    <t>BG. FLY POWER 3018</t>
  </si>
  <si>
    <t>BG. STAR MARINE 3083</t>
  </si>
  <si>
    <t>BG. STAR MARINE 3085</t>
  </si>
  <si>
    <t>BG. PACIFIC 3006</t>
  </si>
  <si>
    <t>BG. MARCOPOLO 3018</t>
  </si>
  <si>
    <t>BG. MUDITA 1</t>
  </si>
  <si>
    <t>BG. FITRIA 3007</t>
  </si>
  <si>
    <t>BG. MARCOPOLO 3088</t>
  </si>
  <si>
    <t>BG. PACIFIC STAR 8615</t>
  </si>
  <si>
    <t>BG. SOEKOWATI 356</t>
  </si>
  <si>
    <t>BG. SINAR LESTARI 342</t>
  </si>
  <si>
    <t>BG. MARCOPOLO 372</t>
  </si>
  <si>
    <t>BG. MARCOPOLO 332</t>
  </si>
  <si>
    <t>BG. WIJAYA TRANS 237</t>
  </si>
  <si>
    <t>MV. FEDERAL PRIME</t>
  </si>
  <si>
    <t>BG. MCS 2502</t>
  </si>
  <si>
    <t>BG. KAPUAS 31</t>
  </si>
  <si>
    <t>BG. SBA 16</t>
  </si>
  <si>
    <t>MV. DESTINY</t>
  </si>
  <si>
    <t>MV. NOBLE ISLAND</t>
  </si>
  <si>
    <t>MV. THAI BINH 257</t>
  </si>
  <si>
    <t>BG. LL 3014</t>
  </si>
  <si>
    <t>MV. FAN SHUN</t>
  </si>
  <si>
    <t>STEEL BILLET,SLAB</t>
  </si>
  <si>
    <t>MV. MALAHAYATI BARUNA</t>
  </si>
  <si>
    <t>GRAB</t>
  </si>
  <si>
    <t>BOR BULAN DESEMBER  2025</t>
  </si>
  <si>
    <t>MV. YIN RUI</t>
  </si>
  <si>
    <t>MV. PHU DAT 168</t>
  </si>
  <si>
    <t xml:space="preserve">MV. KAIFONG </t>
  </si>
  <si>
    <t>STEEL PLATE,COIL</t>
  </si>
  <si>
    <t>MV. MLS ONYX</t>
  </si>
  <si>
    <t>EX SHIFTING DARI D.6</t>
  </si>
  <si>
    <t>MV. PELIKAN</t>
  </si>
  <si>
    <t>STEEL SLAB,BLOOM</t>
  </si>
  <si>
    <t>BG. BAHARI 30027</t>
  </si>
  <si>
    <t>BG. MARINE POWER 9008</t>
  </si>
  <si>
    <t>BG. PACIFIC STAR 8733</t>
  </si>
  <si>
    <t>BG. PSB 3015</t>
  </si>
  <si>
    <t>BG. PACIFIC STAR 8719</t>
  </si>
  <si>
    <t>BG. SENTOSA JAYA 3008</t>
  </si>
  <si>
    <t>BG. GOLD OCEAN 2</t>
  </si>
  <si>
    <t>BG. GSM 3006</t>
  </si>
  <si>
    <t>BG. SOEKOWATI 212</t>
  </si>
  <si>
    <t>BG. STAR MARINE 3005</t>
  </si>
  <si>
    <t xml:space="preserve">KM. LL SEJATI </t>
  </si>
  <si>
    <t>BG. UNIGLORY 2</t>
  </si>
  <si>
    <t>BG. SUMANGGALA 2</t>
  </si>
  <si>
    <t>BG. MARINE POWER 2321</t>
  </si>
  <si>
    <t>BG. PACIFIC STAR 8711</t>
  </si>
  <si>
    <t>BG. MARITIM  5</t>
  </si>
  <si>
    <t>MV. MEGHNA VENUS</t>
  </si>
  <si>
    <t>MV. BLUE ALEXANDRA</t>
  </si>
  <si>
    <t>MV. VMC BRAVE</t>
  </si>
  <si>
    <t>BOR BULAN JANUARI 2026</t>
  </si>
  <si>
    <t>MV. SOFIA</t>
  </si>
  <si>
    <t>MV. HELLEN BULKER</t>
  </si>
  <si>
    <t>MV. VOSCO UNITY</t>
  </si>
  <si>
    <t>BG. PACIFIC STAR 8712</t>
  </si>
  <si>
    <t xml:space="preserve">BG. POLARIS </t>
  </si>
  <si>
    <t>BG. PACIFIC STAR 8721</t>
  </si>
  <si>
    <t>BG. BAHARI 30038</t>
  </si>
  <si>
    <t>BG. GTO 395</t>
  </si>
  <si>
    <t>BG. LL 3012</t>
  </si>
  <si>
    <t>BG. KAPUAS JAYA 313</t>
  </si>
  <si>
    <t>BG. LIMA BENUA 3001</t>
  </si>
  <si>
    <t>BG. SINAR LESTARI 332</t>
  </si>
  <si>
    <t>MV. AE URANUS</t>
  </si>
  <si>
    <t>MV. BAO XIANG LING</t>
  </si>
  <si>
    <t>MV. EXEED</t>
  </si>
  <si>
    <t>BOR BULAN FEBRUARI 2026</t>
  </si>
  <si>
    <t>MV. NASICO EAGLE</t>
  </si>
  <si>
    <t>FERTILIZER</t>
  </si>
  <si>
    <t>MV. MERATUS WAIGEO VOY 62</t>
  </si>
  <si>
    <t>CONTAINER</t>
  </si>
  <si>
    <t>KM. BERLIAN INDAH</t>
  </si>
  <si>
    <t>PUPUK UREA</t>
  </si>
  <si>
    <t>MV. LBN 1</t>
  </si>
  <si>
    <t>BG. MARCOPOLO 888</t>
  </si>
  <si>
    <t>MV. TTP 59</t>
  </si>
  <si>
    <t>BG. PACIFIC STAR 8601</t>
  </si>
  <si>
    <t>BG. BAHARI 30036</t>
  </si>
  <si>
    <t>BG. PACIFIC STAR 24</t>
  </si>
  <si>
    <t>BG. PACIFIC 3027</t>
  </si>
  <si>
    <t>BG. INDOTRANS 3018</t>
  </si>
  <si>
    <t>BG. PSB 3008</t>
  </si>
  <si>
    <t>-</t>
  </si>
  <si>
    <t>BG. NELLY 98</t>
  </si>
  <si>
    <t>KM. SEJAHTERA 27</t>
  </si>
  <si>
    <t>BG. INDO SUKSES 57</t>
  </si>
  <si>
    <t>BG. ELANE 28</t>
  </si>
  <si>
    <t>BG. MARCOPOLO 828</t>
  </si>
  <si>
    <t xml:space="preserve">MV. AGRIA </t>
  </si>
  <si>
    <t>MV. ZHONG MAO</t>
  </si>
  <si>
    <t>BOR BULAN MAR 2026</t>
  </si>
  <si>
    <t>MV. STAR ISFJORD</t>
  </si>
  <si>
    <t>MV. LBN 3</t>
  </si>
  <si>
    <t>MV. AC SESODA</t>
  </si>
  <si>
    <t>STEEL PLATE</t>
  </si>
  <si>
    <t>MV. GSM JAYA V</t>
  </si>
  <si>
    <t>MV. MERATUS WAIGEO VOY 63</t>
  </si>
  <si>
    <t>MV. LBN 8</t>
  </si>
  <si>
    <t>MV. YUAN HAI</t>
  </si>
  <si>
    <t>MV. TIEN MINH 88</t>
  </si>
  <si>
    <t>MV. HB GLORY</t>
  </si>
  <si>
    <t>MV. PHUCTHUAN 36</t>
  </si>
  <si>
    <t>BG. STAR MARINE 3007</t>
  </si>
  <si>
    <t>BG. ISM 3022</t>
  </si>
  <si>
    <t>BG. LL 3004</t>
  </si>
  <si>
    <t>BG. SYUKUR 11</t>
  </si>
  <si>
    <t>MV. HPC SUNRISE</t>
  </si>
  <si>
    <t>MV. AFRICAN ROLLER</t>
  </si>
  <si>
    <t>STEEL PLATE, BAR, COIL</t>
  </si>
  <si>
    <t>MV. AFRICAN BLUE CRANE</t>
  </si>
  <si>
    <t>MV. CAPTAIN OSAMA</t>
  </si>
  <si>
    <t>STEEL SLAB,BILLET</t>
  </si>
  <si>
    <t>BOR BULAN APRIL 2026</t>
  </si>
  <si>
    <t>MV. MERATUS WAIGEO VOY 64</t>
  </si>
  <si>
    <t>MV. HOI AN 8</t>
  </si>
  <si>
    <t>MV. AUSONE</t>
  </si>
  <si>
    <t>MV. SAGA VIKING</t>
  </si>
  <si>
    <t>MV. HOANG HAO</t>
  </si>
  <si>
    <t>MT. AUDREY</t>
  </si>
  <si>
    <t>GENSET</t>
  </si>
  <si>
    <t>BG. PACIFIC STAR 8725</t>
  </si>
  <si>
    <t>BG. MHKL 31</t>
  </si>
  <si>
    <t>BG. BPL 3</t>
  </si>
  <si>
    <t>BG. MAX 8713</t>
  </si>
  <si>
    <t>BG. SEGARA 86</t>
  </si>
  <si>
    <t>BG. INDO SUKSES 62</t>
  </si>
  <si>
    <t>BG. PACIFIC STAR 8709</t>
  </si>
  <si>
    <t>BG. SAMUDERA IX</t>
  </si>
  <si>
    <t>BG. SEKAR SAMUDERA 06</t>
  </si>
  <si>
    <t>MV. AYMAR GRACE</t>
  </si>
  <si>
    <t>MV. VOSCO TRADER</t>
  </si>
  <si>
    <t>MV. FORTUNE ISLAND</t>
  </si>
  <si>
    <t>JAGUNG</t>
  </si>
  <si>
    <t>BOR BULAN MEI 2026</t>
  </si>
  <si>
    <t>MV. KANG MAN</t>
  </si>
  <si>
    <t>MV. MERATUS WAIGEO VOY 65</t>
  </si>
  <si>
    <t>KMP. SHANAYA</t>
  </si>
  <si>
    <t>NON NIAGA</t>
  </si>
  <si>
    <t>ROLL PAPER</t>
  </si>
  <si>
    <t>MV. ORIENTAL SEA</t>
  </si>
  <si>
    <t>BG. AMERTA 8002</t>
  </si>
  <si>
    <t>BG. ILIR JAYA X</t>
  </si>
  <si>
    <t>BG. NAP 808</t>
  </si>
  <si>
    <t>BG. GOLD OCEAN 1</t>
  </si>
  <si>
    <t>BG. GURITA 3006</t>
  </si>
  <si>
    <t>BG. PULAU TIGA 3017</t>
  </si>
  <si>
    <t xml:space="preserve">BATUBARA </t>
  </si>
  <si>
    <t>BG. ALYA</t>
  </si>
  <si>
    <t>BG. MEGANTA I</t>
  </si>
  <si>
    <t>BG. PULAU TIGA 3308</t>
  </si>
  <si>
    <t>BG. PULAU TIGA 330</t>
  </si>
  <si>
    <t xml:space="preserve">MV. DAISY </t>
  </si>
  <si>
    <t xml:space="preserve">MV. SW RICH </t>
  </si>
  <si>
    <t>BOR BULAN JUNI 2026</t>
  </si>
  <si>
    <t>MV. VOSCO DEFENDER</t>
  </si>
  <si>
    <t>MV. MERATUS WAIGEO VOY 66</t>
  </si>
  <si>
    <t>MV. HOA BINH 45</t>
  </si>
  <si>
    <t>MV. AN TRUNG 168</t>
  </si>
  <si>
    <t>MV. MERATUS WAIGEO VOY 67</t>
  </si>
  <si>
    <t>MV. LBN 10</t>
  </si>
  <si>
    <t>BG. SEGARA 89</t>
  </si>
  <si>
    <t>BG. SINAR LESTARI 338</t>
  </si>
  <si>
    <t>BG. NAP 326</t>
  </si>
  <si>
    <t>BG. PULAU TIGA 3456</t>
  </si>
  <si>
    <t>BG. NAP 324</t>
  </si>
  <si>
    <t>BG. PSB 3021</t>
  </si>
  <si>
    <t>BG. ARMADA 3101</t>
  </si>
  <si>
    <t>MV. LAVENDER</t>
  </si>
  <si>
    <t>MV. JIADA</t>
  </si>
  <si>
    <t>MV. BADGER 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</si>
</sst>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d\-mmm\-yy"/>
    <numFmt numFmtId="165" formatCode="_(* #,##0.00_);_(* \(#,##0.00\);_(* &quot;-&quot;??_);_(@_)"/>
    <numFmt numFmtId="166" formatCode="_(* #,##0.000_);_(* \(#,##0.000\);_(* &quot;-&quot;_);_(@_)"/>
    <numFmt numFmtId="167" formatCode="#,##0.000"/>
    <numFmt numFmtId="168" formatCode="_(* #,##0_);_(* \(#,##0\);_(* &quot;-&quot;_);_(@_)"/>
    <numFmt numFmtId="169" formatCode="0.000"/>
    <numFmt numFmtId="170" formatCode="dd\-mmm\-yyyy"/>
  </numFmts>
  <fonts count="12"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b/>
      <sz val="10.0"/>
      <color theme="1"/>
      <name val="Arial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b/>
      <sz val="14.0"/>
      <color theme="1"/>
      <name val="Arial"/>
    </font>
    <font/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00CC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1" fillId="0" fontId="4" numFmtId="20" xfId="0" applyAlignment="1" applyBorder="1" applyFont="1" applyNumberFormat="1">
      <alignment horizontal="center" shrinkToFit="0" vertical="bottom" wrapText="0"/>
    </xf>
    <xf borderId="1" fillId="0" fontId="5" numFmtId="4" xfId="0" applyAlignment="1" applyBorder="1" applyFont="1" applyNumberForma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7" numFmtId="20" xfId="0" applyAlignment="1" applyFont="1" applyNumberFormat="1">
      <alignment shrinkToFit="0" vertical="bottom" wrapText="0"/>
    </xf>
    <xf borderId="0" fillId="0" fontId="8" numFmtId="4" xfId="0" applyAlignment="1" applyFont="1" applyNumberFormat="1">
      <alignment shrinkToFit="0" vertical="bottom" wrapText="0"/>
    </xf>
    <xf borderId="0" fillId="0" fontId="7" numFmtId="9" xfId="0" applyAlignment="1" applyFont="1" applyNumberFormat="1">
      <alignment shrinkToFit="0" vertical="bottom" wrapText="0"/>
    </xf>
    <xf borderId="2" fillId="0" fontId="9" numFmtId="0" xfId="0" applyAlignment="1" applyBorder="1" applyFont="1">
      <alignment horizontal="center" shrinkToFit="0" vertical="center" wrapText="0"/>
    </xf>
    <xf borderId="1" fillId="2" fontId="7" numFmtId="49" xfId="0" applyAlignment="1" applyBorder="1" applyFill="1" applyFont="1" applyNumberFormat="1">
      <alignment shrinkToFit="0" vertical="bottom" wrapText="0"/>
    </xf>
    <xf borderId="1" fillId="0" fontId="7" numFmtId="165" xfId="0" applyAlignment="1" applyBorder="1" applyFont="1" applyNumberFormat="1">
      <alignment horizontal="left"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0" fontId="7" numFmtId="20" xfId="0" applyAlignment="1" applyBorder="1" applyFont="1" applyNumberFormat="1">
      <alignment shrinkToFit="0" vertical="bottom" wrapText="0"/>
    </xf>
    <xf borderId="1" fillId="0" fontId="7" numFmtId="166" xfId="0" applyAlignment="1" applyBorder="1" applyFont="1" applyNumberFormat="1">
      <alignment horizontal="right" shrinkToFit="0" vertical="bottom" wrapText="0"/>
    </xf>
    <xf borderId="1" fillId="0" fontId="7" numFmtId="167" xfId="0" applyAlignment="1" applyBorder="1" applyFont="1" applyNumberFormat="1">
      <alignment shrinkToFit="0" vertical="bottom" wrapText="0"/>
    </xf>
    <xf borderId="3" fillId="0" fontId="7" numFmtId="9" xfId="0" applyAlignment="1" applyBorder="1" applyFont="1" applyNumberFormat="1">
      <alignment shrinkToFit="0" vertical="bottom" wrapText="0"/>
    </xf>
    <xf borderId="1" fillId="0" fontId="2" numFmtId="20" xfId="0" applyAlignment="1" applyBorder="1" applyFont="1" applyNumberFormat="1">
      <alignment shrinkToFit="0" vertical="bottom" wrapText="0"/>
    </xf>
    <xf borderId="4" fillId="0" fontId="10" numFmtId="0" xfId="0" applyBorder="1" applyFont="1"/>
    <xf borderId="1" fillId="0" fontId="7" numFmtId="0" xfId="0" applyAlignment="1" applyBorder="1" applyFont="1">
      <alignment horizontal="left" shrinkToFit="0" vertical="bottom" wrapText="0"/>
    </xf>
    <xf borderId="1" fillId="0" fontId="2" numFmtId="168" xfId="0" applyAlignment="1" applyBorder="1" applyFont="1" applyNumberFormat="1">
      <alignment horizontal="right" shrinkToFit="0" vertical="center" wrapText="0"/>
    </xf>
    <xf borderId="1" fillId="0" fontId="7" numFmtId="3" xfId="0" applyAlignment="1" applyBorder="1" applyFont="1" applyNumberFormat="1">
      <alignment horizontal="right" shrinkToFit="0" vertical="bottom" wrapText="0"/>
    </xf>
    <xf borderId="1" fillId="0" fontId="7" numFmtId="49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7" fillId="0" fontId="2" numFmtId="49" xfId="0" applyAlignment="1" applyBorder="1" applyFont="1" applyNumberForma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0" fontId="7" numFmtId="164" xfId="0" applyAlignment="1" applyBorder="1" applyFont="1" applyNumberFormat="1">
      <alignment shrinkToFit="0" vertical="bottom" wrapText="0"/>
    </xf>
    <xf borderId="7" fillId="0" fontId="7" numFmtId="20" xfId="0" applyAlignment="1" applyBorder="1" applyFont="1" applyNumberFormat="1">
      <alignment shrinkToFit="0" vertical="bottom" wrapText="0"/>
    </xf>
    <xf borderId="7" fillId="0" fontId="8" numFmtId="4" xfId="0" applyAlignment="1" applyBorder="1" applyFont="1" applyNumberFormat="1">
      <alignment horizontal="right" shrinkToFit="0" vertical="bottom" wrapText="0"/>
    </xf>
    <xf borderId="7" fillId="0" fontId="8" numFmtId="3" xfId="0" applyAlignment="1" applyBorder="1" applyFont="1" applyNumberFormat="1">
      <alignment shrinkToFit="0" vertical="bottom" wrapText="0"/>
    </xf>
    <xf borderId="6" fillId="0" fontId="2" numFmtId="10" xfId="0" applyAlignment="1" applyBorder="1" applyFont="1" applyNumberFormat="1">
      <alignment shrinkToFit="0" vertical="bottom" wrapText="0"/>
    </xf>
    <xf borderId="6" fillId="0" fontId="7" numFmtId="20" xfId="0" applyAlignment="1" applyBorder="1" applyFont="1" applyNumberForma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8" fillId="0" fontId="2" numFmtId="20" xfId="0" applyAlignment="1" applyBorder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8" numFmtId="4" xfId="0" applyAlignment="1" applyFont="1" applyNumberFormat="1">
      <alignment horizontal="right" shrinkToFit="0" vertical="bottom" wrapText="0"/>
    </xf>
    <xf borderId="1" fillId="0" fontId="7" numFmtId="9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7" fillId="0" fontId="10" numFmtId="0" xfId="0" applyBorder="1" applyFont="1"/>
    <xf borderId="1" fillId="0" fontId="11" numFmtId="4" xfId="0" applyAlignment="1" applyBorder="1" applyFont="1" applyNumberFormat="1">
      <alignment shrinkToFit="0" vertical="bottom" wrapText="0"/>
    </xf>
    <xf borderId="2" fillId="0" fontId="7" numFmtId="9" xfId="0" applyAlignment="1" applyBorder="1" applyFont="1" applyNumberFormat="1">
      <alignment shrinkToFit="0" vertical="bottom" wrapText="0"/>
    </xf>
    <xf borderId="2" fillId="0" fontId="7" numFmtId="20" xfId="0" applyAlignment="1" applyBorder="1" applyFont="1" applyNumberFormat="1">
      <alignment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8" numFmtId="166" xfId="0" applyAlignment="1" applyBorder="1" applyFont="1" applyNumberFormat="1">
      <alignment horizontal="right" shrinkToFit="0" vertical="bottom" wrapText="0"/>
    </xf>
    <xf borderId="1" fillId="0" fontId="8" numFmtId="167" xfId="0" applyAlignment="1" applyBorder="1" applyFont="1" applyNumberFormat="1">
      <alignment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0" fillId="0" fontId="8" numFmtId="167" xfId="0" applyAlignment="1" applyFont="1" applyNumberFormat="1">
      <alignment shrinkToFit="0" vertical="bottom" wrapText="0"/>
    </xf>
    <xf borderId="9" fillId="2" fontId="7" numFmtId="49" xfId="0" applyAlignment="1" applyBorder="1" applyFont="1" applyNumberFormat="1">
      <alignment shrinkToFit="0" vertical="bottom" wrapText="0"/>
    </xf>
    <xf borderId="0" fillId="0" fontId="7" numFmtId="165" xfId="0" applyAlignment="1" applyFont="1" applyNumberFormat="1">
      <alignment horizontal="left" shrinkToFit="0" vertical="bottom" wrapText="0"/>
    </xf>
    <xf borderId="0" fillId="0" fontId="7" numFmtId="166" xfId="0" applyAlignment="1" applyFont="1" applyNumberFormat="1">
      <alignment horizontal="right" shrinkToFit="0" vertical="bottom" wrapText="0"/>
    </xf>
    <xf borderId="3" fillId="0" fontId="2" numFmtId="20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1" fillId="0" fontId="8" numFmtId="3" xfId="0" applyAlignment="1" applyBorder="1" applyFont="1" applyNumberFormat="1">
      <alignment shrinkToFit="0" vertical="bottom" wrapText="0"/>
    </xf>
    <xf borderId="7" fillId="0" fontId="2" numFmtId="10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7" numFmtId="49" xfId="0" applyAlignment="1" applyFont="1" applyNumberFormat="1">
      <alignment shrinkToFit="0" vertical="bottom" wrapText="0"/>
    </xf>
    <xf borderId="4" fillId="0" fontId="2" numFmtId="10" xfId="0" applyAlignment="1" applyBorder="1" applyFont="1" applyNumberFormat="1">
      <alignment shrinkToFit="0" vertical="bottom" wrapText="0"/>
    </xf>
    <xf borderId="4" fillId="0" fontId="7" numFmtId="20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7" numFmtId="20" xfId="0" applyAlignment="1" applyBorder="1" applyFont="1" applyNumberFormat="1">
      <alignment shrinkToFit="0" vertical="bottom" wrapText="0"/>
    </xf>
    <xf borderId="12" fillId="0" fontId="2" numFmtId="20" xfId="0" applyAlignment="1" applyBorder="1" applyFont="1" applyNumberFormat="1">
      <alignment shrinkToFit="0" vertical="bottom" wrapText="0"/>
    </xf>
    <xf borderId="1" fillId="0" fontId="7" numFmtId="4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49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horizontal="left" shrinkToFit="0" vertical="top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7" numFmtId="166" xfId="0" applyAlignment="1" applyBorder="1" applyFont="1" applyNumberFormat="1">
      <alignment horizontal="right" shrinkToFit="0" vertical="center" wrapText="0"/>
    </xf>
    <xf borderId="2" fillId="0" fontId="7" numFmtId="167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shrinkToFit="0" vertical="bottom" wrapText="0"/>
    </xf>
    <xf borderId="6" fillId="0" fontId="7" numFmtId="49" xfId="0" applyAlignment="1" applyBorder="1" applyFont="1" applyNumberFormat="1">
      <alignment shrinkToFit="0" vertical="bottom" wrapText="0"/>
    </xf>
    <xf borderId="6" fillId="0" fontId="7" numFmtId="164" xfId="0" applyAlignment="1" applyBorder="1" applyFont="1" applyNumberFormat="1">
      <alignment shrinkToFit="0" vertical="bottom" wrapText="0"/>
    </xf>
    <xf borderId="6" fillId="0" fontId="8" numFmtId="166" xfId="0" applyAlignment="1" applyBorder="1" applyFont="1" applyNumberFormat="1">
      <alignment horizontal="right" shrinkToFit="0" vertical="bottom" wrapText="0"/>
    </xf>
    <xf borderId="6" fillId="0" fontId="8" numFmtId="167" xfId="0" applyAlignment="1" applyBorder="1" applyFont="1" applyNumberFormat="1">
      <alignment shrinkToFit="0" vertical="bottom" wrapText="0"/>
    </xf>
    <xf borderId="1" fillId="0" fontId="7" numFmtId="167" xfId="0" applyAlignment="1" applyBorder="1" applyFont="1" applyNumberFormat="1">
      <alignment horizontal="right"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2" fillId="0" fontId="10" numFmtId="0" xfId="0" applyBorder="1" applyFont="1"/>
    <xf borderId="13" fillId="0" fontId="1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7" fillId="0" fontId="2" numFmtId="166" xfId="0" applyAlignment="1" applyBorder="1" applyFont="1" applyNumberFormat="1">
      <alignment shrinkToFit="0" vertical="bottom" wrapText="0"/>
    </xf>
    <xf borderId="7" fillId="0" fontId="2" numFmtId="4" xfId="0" applyAlignment="1" applyBorder="1" applyFont="1" applyNumberForma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9" fillId="3" fontId="2" numFmtId="0" xfId="0" applyAlignment="1" applyBorder="1" applyFill="1" applyFon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0" fontId="2" numFmtId="10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horizontal="right" shrinkToFit="0" vertical="center" wrapText="0"/>
    </xf>
    <xf borderId="1" fillId="2" fontId="7" numFmtId="0" xfId="0" applyAlignment="1" applyBorder="1" applyFont="1">
      <alignment shrinkToFit="0" vertical="bottom" wrapText="0"/>
    </xf>
    <xf borderId="12" fillId="0" fontId="7" numFmtId="49" xfId="0" applyAlignment="1" applyBorder="1" applyFont="1" applyNumberFormat="1">
      <alignment shrinkToFit="0" vertical="bottom" wrapText="0"/>
    </xf>
    <xf borderId="12" fillId="0" fontId="7" numFmtId="0" xfId="0" applyAlignment="1" applyBorder="1" applyFont="1">
      <alignment shrinkToFit="0" vertical="bottom" wrapText="0"/>
    </xf>
    <xf borderId="12" fillId="0" fontId="7" numFmtId="164" xfId="0" applyAlignment="1" applyBorder="1" applyFont="1" applyNumberFormat="1">
      <alignment shrinkToFit="0" vertical="bottom" wrapText="0"/>
    </xf>
    <xf borderId="12" fillId="0" fontId="8" numFmtId="166" xfId="0" applyAlignment="1" applyBorder="1" applyFont="1" applyNumberFormat="1">
      <alignment horizontal="right" shrinkToFit="0" vertical="bottom" wrapText="0"/>
    </xf>
    <xf borderId="4" fillId="0" fontId="9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shrinkToFit="0" vertical="bottom" wrapText="0"/>
    </xf>
    <xf borderId="12" fillId="0" fontId="7" numFmtId="165" xfId="0" applyAlignment="1" applyBorder="1" applyFont="1" applyNumberFormat="1">
      <alignment horizontal="left" shrinkToFit="0" vertical="bottom" wrapText="0"/>
    </xf>
    <xf borderId="12" fillId="0" fontId="7" numFmtId="166" xfId="0" applyAlignment="1" applyBorder="1" applyFont="1" applyNumberFormat="1">
      <alignment horizontal="right" shrinkToFit="0" vertical="bottom" wrapText="0"/>
    </xf>
    <xf borderId="10" fillId="0" fontId="2" numFmtId="0" xfId="0" applyAlignment="1" applyBorder="1" applyFont="1">
      <alignment shrinkToFit="0" vertical="bottom" wrapText="0"/>
    </xf>
    <xf borderId="12" fillId="0" fontId="7" numFmtId="3" xfId="0" applyAlignment="1" applyBorder="1" applyFont="1" applyNumberFormat="1">
      <alignment horizontal="right" shrinkToFit="0" vertical="bottom" wrapText="0"/>
    </xf>
    <xf borderId="1" fillId="4" fontId="7" numFmtId="49" xfId="0" applyAlignment="1" applyBorder="1" applyFill="1" applyFont="1" applyNumberFormat="1">
      <alignment shrinkToFit="0" vertical="bottom" wrapText="0"/>
    </xf>
    <xf borderId="7" fillId="0" fontId="8" numFmtId="167" xfId="0" applyAlignment="1" applyBorder="1" applyFont="1" applyNumberFormat="1">
      <alignment shrinkToFit="0" vertical="bottom" wrapText="0"/>
    </xf>
    <xf borderId="1" fillId="4" fontId="7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horizontal="center" shrinkToFit="0" vertical="center" wrapText="0"/>
    </xf>
    <xf borderId="16" fillId="4" fontId="7" numFmtId="49" xfId="0" applyAlignment="1" applyBorder="1" applyFont="1" applyNumberFormat="1">
      <alignment shrinkToFit="0" vertical="bottom" wrapText="0"/>
    </xf>
    <xf borderId="16" fillId="0" fontId="7" numFmtId="165" xfId="0" applyAlignment="1" applyBorder="1" applyFont="1" applyNumberFormat="1">
      <alignment horizontal="left" shrinkToFit="0" vertical="bottom" wrapText="0"/>
    </xf>
    <xf borderId="16" fillId="0" fontId="7" numFmtId="164" xfId="0" applyAlignment="1" applyBorder="1" applyFont="1" applyNumberFormat="1">
      <alignment shrinkToFit="0" vertical="bottom" wrapText="0"/>
    </xf>
    <xf borderId="16" fillId="0" fontId="7" numFmtId="20" xfId="0" applyAlignment="1" applyBorder="1" applyFont="1" applyNumberFormat="1">
      <alignment shrinkToFit="0" vertical="bottom" wrapText="0"/>
    </xf>
    <xf borderId="16" fillId="0" fontId="7" numFmtId="166" xfId="0" applyAlignment="1" applyBorder="1" applyFont="1" applyNumberFormat="1">
      <alignment horizontal="right" shrinkToFit="0" vertical="bottom" wrapText="0"/>
    </xf>
    <xf borderId="16" fillId="0" fontId="7" numFmtId="167" xfId="0" applyAlignment="1" applyBorder="1" applyFont="1" applyNumberFormat="1">
      <alignment shrinkToFit="0" vertical="bottom" wrapText="0"/>
    </xf>
    <xf borderId="16" fillId="0" fontId="7" numFmtId="9" xfId="0" applyAlignment="1" applyBorder="1" applyFont="1" applyNumberFormat="1">
      <alignment shrinkToFit="0" vertical="bottom" wrapText="0"/>
    </xf>
    <xf borderId="16" fillId="0" fontId="2" numFmtId="20" xfId="0" applyAlignment="1" applyBorder="1" applyFont="1" applyNumberFormat="1">
      <alignment shrinkToFit="0" vertical="bottom" wrapText="0"/>
    </xf>
    <xf borderId="17" fillId="0" fontId="2" numFmtId="20" xfId="0" applyAlignment="1" applyBorder="1" applyFont="1" applyNumberFormat="1">
      <alignment shrinkToFit="0" vertical="bottom" wrapText="0"/>
    </xf>
    <xf borderId="18" fillId="0" fontId="10" numFmtId="0" xfId="0" applyBorder="1" applyFont="1"/>
    <xf borderId="19" fillId="0" fontId="2" numFmtId="20" xfId="0" applyAlignment="1" applyBorder="1" applyFont="1" applyNumberFormat="1">
      <alignment shrinkToFit="0" vertical="bottom" wrapText="0"/>
    </xf>
    <xf borderId="19" fillId="0" fontId="2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7" fillId="0" fontId="8" numFmtId="166" xfId="0" applyAlignment="1" applyBorder="1" applyFont="1" applyNumberFormat="1">
      <alignment horizontal="right" shrinkToFit="0" vertical="bottom" wrapText="0"/>
    </xf>
    <xf borderId="21" fillId="0" fontId="2" numFmtId="20" xfId="0" applyAlignment="1" applyBorder="1" applyFont="1" applyNumberFormat="1">
      <alignment shrinkToFit="0" vertical="bottom" wrapText="0"/>
    </xf>
    <xf borderId="22" fillId="0" fontId="10" numFmtId="0" xfId="0" applyBorder="1" applyFont="1"/>
    <xf borderId="18" fillId="0" fontId="9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shrinkToFit="0" vertical="bottom" wrapText="0"/>
    </xf>
    <xf borderId="12" fillId="0" fontId="7" numFmtId="167" xfId="0" applyAlignment="1" applyBorder="1" applyFont="1" applyNumberFormat="1">
      <alignment shrinkToFit="0" vertical="bottom" wrapText="0"/>
    </xf>
    <xf borderId="12" fillId="0" fontId="7" numFmtId="9" xfId="0" applyAlignment="1" applyBorder="1" applyFont="1" applyNumberFormat="1">
      <alignment shrinkToFit="0" vertical="bottom" wrapText="0"/>
    </xf>
    <xf borderId="23" fillId="0" fontId="2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shrinkToFit="0" vertical="bottom" wrapText="0"/>
    </xf>
    <xf borderId="7" fillId="0" fontId="7" numFmtId="49" xfId="0" applyAlignment="1" applyBorder="1" applyFont="1" applyNumberFormat="1">
      <alignment shrinkToFit="0" vertical="bottom" wrapText="0"/>
    </xf>
    <xf borderId="25" fillId="0" fontId="8" numFmtId="3" xfId="0" applyAlignment="1" applyBorder="1" applyFont="1" applyNumberFormat="1">
      <alignment shrinkToFit="0" vertical="bottom" wrapText="0"/>
    </xf>
    <xf borderId="16" fillId="4" fontId="7" numFmtId="0" xfId="0" applyAlignment="1" applyBorder="1" applyFont="1">
      <alignment shrinkToFit="0" vertical="bottom" wrapText="0"/>
    </xf>
    <xf borderId="16" fillId="0" fontId="7" numFmtId="4" xfId="0" applyAlignment="1" applyBorder="1" applyFont="1" applyNumberFormat="1">
      <alignment shrinkToFit="0" vertical="bottom" wrapText="0"/>
    </xf>
    <xf borderId="16" fillId="0" fontId="2" numFmtId="10" xfId="0" applyAlignment="1" applyBorder="1" applyFont="1" applyNumberForma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9" fillId="4" fontId="7" numFmtId="49" xfId="0" applyAlignment="1" applyBorder="1" applyFont="1" applyNumberFormat="1">
      <alignment shrinkToFit="0" vertical="bottom" wrapText="0"/>
    </xf>
    <xf borderId="9" fillId="3" fontId="7" numFmtId="0" xfId="0" applyAlignment="1" applyBorder="1" applyFont="1">
      <alignment shrinkToFit="0" vertical="bottom" wrapText="0"/>
    </xf>
    <xf borderId="1" fillId="5" fontId="7" numFmtId="49" xfId="0" applyAlignment="1" applyBorder="1" applyFill="1" applyFont="1" applyNumberFormat="1">
      <alignment shrinkToFit="0" vertical="bottom" wrapText="0"/>
    </xf>
    <xf borderId="1" fillId="5" fontId="7" numFmtId="165" xfId="0" applyAlignment="1" applyBorder="1" applyFont="1" applyNumberFormat="1">
      <alignment horizontal="left" shrinkToFit="0" vertical="bottom" wrapText="0"/>
    </xf>
    <xf borderId="1" fillId="5" fontId="7" numFmtId="166" xfId="0" applyAlignment="1" applyBorder="1" applyFont="1" applyNumberFormat="1">
      <alignment horizontal="right" shrinkToFit="0" vertical="bottom" wrapText="0"/>
    </xf>
    <xf borderId="9" fillId="5" fontId="7" numFmtId="0" xfId="0" applyAlignment="1" applyBorder="1" applyFont="1">
      <alignment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0" fontId="7" numFmtId="167" xfId="0" applyAlignment="1" applyBorder="1" applyFont="1" applyNumberFormat="1">
      <alignment horizontal="left" shrinkToFit="0" vertical="bottom" wrapText="0"/>
    </xf>
    <xf borderId="7" fillId="0" fontId="2" numFmtId="167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horizontal="left" shrinkToFit="0" vertical="bottom" wrapText="0"/>
    </xf>
    <xf borderId="2" fillId="0" fontId="7" numFmtId="166" xfId="0" applyAlignment="1" applyBorder="1" applyFont="1" applyNumberFormat="1">
      <alignment horizontal="right" shrinkToFit="0" vertical="bottom" wrapText="0"/>
    </xf>
    <xf borderId="2" fillId="0" fontId="7" numFmtId="167" xfId="0" applyAlignment="1" applyBorder="1" applyFont="1" applyNumberFormat="1">
      <alignment shrinkToFit="0" vertical="bottom" wrapText="0"/>
    </xf>
    <xf borderId="6" fillId="0" fontId="2" numFmtId="49" xfId="0" applyAlignment="1" applyBorder="1" applyFont="1" applyNumberForma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27" fillId="0" fontId="2" numFmtId="0" xfId="0" applyAlignment="1" applyBorder="1" applyFont="1">
      <alignment shrinkToFit="0" vertical="bottom" wrapText="0"/>
    </xf>
    <xf borderId="12" fillId="0" fontId="2" numFmtId="49" xfId="0" applyAlignment="1" applyBorder="1" applyFont="1" applyNumberFormat="1">
      <alignment shrinkToFit="0" vertical="bottom" wrapText="0"/>
    </xf>
    <xf borderId="12" fillId="0" fontId="8" numFmtId="167" xfId="0" applyAlignment="1" applyBorder="1" applyFont="1" applyNumberFormat="1">
      <alignment shrinkToFit="0" vertical="bottom" wrapText="0"/>
    </xf>
    <xf borderId="21" fillId="0" fontId="7" numFmtId="20" xfId="0" applyAlignment="1" applyBorder="1" applyFont="1" applyNumberFormat="1">
      <alignment shrinkToFit="0" vertical="bottom" wrapText="0"/>
    </xf>
    <xf borderId="3" fillId="0" fontId="7" numFmtId="20" xfId="0" applyAlignment="1" applyBorder="1" applyFont="1" applyNumberFormat="1">
      <alignment shrinkToFit="0" vertical="bottom" wrapText="0"/>
    </xf>
    <xf borderId="1" fillId="0" fontId="7" numFmtId="170" xfId="0" applyAlignment="1" applyBorder="1" applyFont="1" applyNumberFormat="1">
      <alignment shrinkToFit="0" vertical="bottom" wrapText="0"/>
    </xf>
    <xf borderId="1" fillId="6" fontId="7" numFmtId="49" xfId="0" applyAlignment="1" applyBorder="1" applyFill="1" applyFont="1" applyNumberFormat="1">
      <alignment shrinkToFit="0" vertical="bottom" wrapText="0"/>
    </xf>
    <xf borderId="1" fillId="6" fontId="7" numFmtId="166" xfId="0" applyAlignment="1" applyBorder="1" applyFont="1" applyNumberFormat="1">
      <alignment horizontal="right" shrinkToFit="0" vertical="bottom" wrapText="0"/>
    </xf>
    <xf borderId="9" fillId="6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ht="18.75" customHeight="1">
      <c r="A2" s="1"/>
      <c r="B2" s="4" t="s">
        <v>0</v>
      </c>
      <c r="Q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</row>
    <row r="7">
      <c r="A7" s="5">
        <v>1.0</v>
      </c>
      <c r="B7" s="17" t="s">
        <v>18</v>
      </c>
      <c r="C7" s="18" t="s">
        <v>19</v>
      </c>
      <c r="D7" s="19" t="s">
        <v>20</v>
      </c>
      <c r="E7" s="20">
        <v>45645.0</v>
      </c>
      <c r="F7" s="21">
        <v>0.40277777777777773</v>
      </c>
      <c r="G7" s="20">
        <v>45656.0</v>
      </c>
      <c r="H7" s="21">
        <v>0.8493055555555555</v>
      </c>
      <c r="I7" s="22">
        <v>5057.76</v>
      </c>
      <c r="J7" s="23"/>
      <c r="K7" s="24"/>
      <c r="L7" s="21"/>
      <c r="M7" s="25">
        <f t="shared" ref="M7:M17" si="1">INT(E7)+MOD(F7,1)</f>
        <v>45645.40278</v>
      </c>
      <c r="N7" s="25">
        <f t="shared" ref="N7:N17" si="2">INT(G7)+MOD(H7,1)</f>
        <v>45656.84931</v>
      </c>
      <c r="O7" s="25">
        <f t="shared" ref="O7:O17" si="3">N7-M7</f>
        <v>11.44652778</v>
      </c>
      <c r="P7" s="25">
        <f t="shared" ref="P7:P17" si="4">O7*24</f>
        <v>274.7166667</v>
      </c>
      <c r="Q7" s="12">
        <v>2.0</v>
      </c>
    </row>
    <row r="8">
      <c r="A8" s="5">
        <v>2.0</v>
      </c>
      <c r="B8" s="26"/>
      <c r="C8" s="18" t="s">
        <v>21</v>
      </c>
      <c r="D8" s="19" t="s">
        <v>20</v>
      </c>
      <c r="E8" s="20">
        <v>45656.0</v>
      </c>
      <c r="F8" s="21">
        <v>0.8298611111111112</v>
      </c>
      <c r="G8" s="20">
        <v>45663.0</v>
      </c>
      <c r="H8" s="21">
        <v>0.2569444444444445</v>
      </c>
      <c r="I8" s="22">
        <v>4794.88</v>
      </c>
      <c r="J8" s="23"/>
      <c r="K8" s="24"/>
      <c r="L8" s="21"/>
      <c r="M8" s="25">
        <f t="shared" si="1"/>
        <v>45656.82986</v>
      </c>
      <c r="N8" s="25">
        <f t="shared" si="2"/>
        <v>45663.25694</v>
      </c>
      <c r="O8" s="25">
        <f t="shared" si="3"/>
        <v>6.427083333</v>
      </c>
      <c r="P8" s="25">
        <f t="shared" si="4"/>
        <v>154.25</v>
      </c>
      <c r="Q8" s="12">
        <v>2.0</v>
      </c>
    </row>
    <row r="9">
      <c r="A9" s="5">
        <v>3.0</v>
      </c>
      <c r="B9" s="26"/>
      <c r="C9" s="18" t="s">
        <v>22</v>
      </c>
      <c r="D9" s="19" t="s">
        <v>20</v>
      </c>
      <c r="E9" s="20">
        <v>45670.0</v>
      </c>
      <c r="F9" s="21">
        <v>0.34722222222222227</v>
      </c>
      <c r="G9" s="20">
        <v>45678.0</v>
      </c>
      <c r="H9" s="21">
        <v>0.17152777777777775</v>
      </c>
      <c r="I9" s="22">
        <v>5003.279</v>
      </c>
      <c r="J9" s="23"/>
      <c r="K9" s="24"/>
      <c r="L9" s="21"/>
      <c r="M9" s="25">
        <f t="shared" si="1"/>
        <v>45670.34722</v>
      </c>
      <c r="N9" s="25">
        <f t="shared" si="2"/>
        <v>45678.17153</v>
      </c>
      <c r="O9" s="25">
        <f t="shared" si="3"/>
        <v>7.824305556</v>
      </c>
      <c r="P9" s="25">
        <f t="shared" si="4"/>
        <v>187.7833333</v>
      </c>
      <c r="Q9" s="12">
        <v>2.0</v>
      </c>
    </row>
    <row r="10">
      <c r="A10" s="5">
        <v>4.0</v>
      </c>
      <c r="B10" s="26"/>
      <c r="C10" s="18" t="s">
        <v>23</v>
      </c>
      <c r="D10" s="19" t="s">
        <v>20</v>
      </c>
      <c r="E10" s="20">
        <v>45663.0</v>
      </c>
      <c r="F10" s="21">
        <v>0.3229166666666667</v>
      </c>
      <c r="G10" s="20">
        <v>45670.0</v>
      </c>
      <c r="H10" s="21">
        <v>0.2916666666666667</v>
      </c>
      <c r="I10" s="22">
        <v>4068.892</v>
      </c>
      <c r="J10" s="23"/>
      <c r="K10" s="24"/>
      <c r="L10" s="21"/>
      <c r="M10" s="25">
        <f t="shared" si="1"/>
        <v>45663.32292</v>
      </c>
      <c r="N10" s="25">
        <f t="shared" si="2"/>
        <v>45670.29167</v>
      </c>
      <c r="O10" s="25">
        <f t="shared" si="3"/>
        <v>6.96875</v>
      </c>
      <c r="P10" s="25">
        <f t="shared" si="4"/>
        <v>167.25</v>
      </c>
      <c r="Q10" s="12">
        <v>2.0</v>
      </c>
    </row>
    <row r="11">
      <c r="A11" s="5">
        <v>5.0</v>
      </c>
      <c r="B11" s="26"/>
      <c r="C11" s="18" t="s">
        <v>24</v>
      </c>
      <c r="D11" s="19" t="s">
        <v>25</v>
      </c>
      <c r="E11" s="20">
        <v>45655.0</v>
      </c>
      <c r="F11" s="21">
        <v>0.2569444444444445</v>
      </c>
      <c r="G11" s="20">
        <v>45656.0</v>
      </c>
      <c r="H11" s="21">
        <v>0.9166666666666666</v>
      </c>
      <c r="I11" s="22">
        <v>2945.9</v>
      </c>
      <c r="J11" s="23"/>
      <c r="K11" s="24"/>
      <c r="L11" s="21"/>
      <c r="M11" s="25">
        <f t="shared" si="1"/>
        <v>45655.25694</v>
      </c>
      <c r="N11" s="25">
        <f t="shared" si="2"/>
        <v>45656.91667</v>
      </c>
      <c r="O11" s="25">
        <f t="shared" si="3"/>
        <v>1.659722222</v>
      </c>
      <c r="P11" s="25">
        <f t="shared" si="4"/>
        <v>39.83333333</v>
      </c>
      <c r="Q11" s="12">
        <v>2.0</v>
      </c>
    </row>
    <row r="12">
      <c r="A12" s="5">
        <v>6.0</v>
      </c>
      <c r="B12" s="26"/>
      <c r="C12" s="18" t="s">
        <v>26</v>
      </c>
      <c r="D12" s="19" t="s">
        <v>25</v>
      </c>
      <c r="E12" s="20">
        <v>45663.0</v>
      </c>
      <c r="F12" s="21">
        <v>0.5243055555555556</v>
      </c>
      <c r="G12" s="20">
        <v>45664.0</v>
      </c>
      <c r="H12" s="21">
        <v>0.7013888888888888</v>
      </c>
      <c r="I12" s="22">
        <v>2942.524</v>
      </c>
      <c r="J12" s="23"/>
      <c r="K12" s="24"/>
      <c r="L12" s="21"/>
      <c r="M12" s="25">
        <f t="shared" si="1"/>
        <v>45663.52431</v>
      </c>
      <c r="N12" s="25">
        <f t="shared" si="2"/>
        <v>45664.70139</v>
      </c>
      <c r="O12" s="25">
        <f t="shared" si="3"/>
        <v>1.177083333</v>
      </c>
      <c r="P12" s="25">
        <f t="shared" si="4"/>
        <v>28.25</v>
      </c>
      <c r="Q12" s="12">
        <v>2.0</v>
      </c>
    </row>
    <row r="13">
      <c r="A13" s="5">
        <v>7.0</v>
      </c>
      <c r="B13" s="26"/>
      <c r="C13" s="18" t="s">
        <v>27</v>
      </c>
      <c r="D13" s="19" t="s">
        <v>25</v>
      </c>
      <c r="E13" s="20">
        <v>45670.0</v>
      </c>
      <c r="F13" s="21">
        <v>0.11458333333333333</v>
      </c>
      <c r="G13" s="20">
        <v>45672.0</v>
      </c>
      <c r="H13" s="21">
        <v>0.19791666666666666</v>
      </c>
      <c r="I13" s="22">
        <v>4315.0</v>
      </c>
      <c r="J13" s="23"/>
      <c r="K13" s="24"/>
      <c r="L13" s="21"/>
      <c r="M13" s="25">
        <f t="shared" si="1"/>
        <v>45670.11458</v>
      </c>
      <c r="N13" s="25">
        <f t="shared" si="2"/>
        <v>45672.19792</v>
      </c>
      <c r="O13" s="25">
        <f t="shared" si="3"/>
        <v>2.083333333</v>
      </c>
      <c r="P13" s="25">
        <f t="shared" si="4"/>
        <v>50</v>
      </c>
      <c r="Q13" s="12">
        <v>2.0</v>
      </c>
    </row>
    <row r="14">
      <c r="A14" s="5">
        <v>8.0</v>
      </c>
      <c r="B14" s="26"/>
      <c r="C14" s="18" t="s">
        <v>28</v>
      </c>
      <c r="D14" s="19" t="s">
        <v>25</v>
      </c>
      <c r="E14" s="20">
        <v>45667.0</v>
      </c>
      <c r="F14" s="21">
        <v>0.6215277777777778</v>
      </c>
      <c r="G14" s="20">
        <v>45670.0</v>
      </c>
      <c r="H14" s="21">
        <v>0.05555555555555555</v>
      </c>
      <c r="I14" s="22">
        <v>2848.0</v>
      </c>
      <c r="J14" s="23"/>
      <c r="K14" s="24"/>
      <c r="L14" s="21"/>
      <c r="M14" s="25">
        <f t="shared" si="1"/>
        <v>45667.62153</v>
      </c>
      <c r="N14" s="25">
        <f t="shared" si="2"/>
        <v>45670.05556</v>
      </c>
      <c r="O14" s="25">
        <f t="shared" si="3"/>
        <v>2.434027778</v>
      </c>
      <c r="P14" s="25">
        <f t="shared" si="4"/>
        <v>58.41666667</v>
      </c>
      <c r="Q14" s="12">
        <v>2.0</v>
      </c>
    </row>
    <row r="15">
      <c r="A15" s="5">
        <v>9.0</v>
      </c>
      <c r="B15" s="26"/>
      <c r="C15" s="18" t="s">
        <v>29</v>
      </c>
      <c r="D15" s="27" t="s">
        <v>30</v>
      </c>
      <c r="E15" s="20">
        <v>45679.0</v>
      </c>
      <c r="F15" s="21">
        <v>0.18333333333333335</v>
      </c>
      <c r="G15" s="20">
        <v>45680.0</v>
      </c>
      <c r="H15" s="21">
        <v>0.25</v>
      </c>
      <c r="I15" s="28">
        <v>28.0</v>
      </c>
      <c r="J15" s="29">
        <v>202.0</v>
      </c>
      <c r="K15" s="24"/>
      <c r="L15" s="21"/>
      <c r="M15" s="25">
        <f t="shared" si="1"/>
        <v>45679.18333</v>
      </c>
      <c r="N15" s="25">
        <f t="shared" si="2"/>
        <v>45680.25</v>
      </c>
      <c r="O15" s="25">
        <f t="shared" si="3"/>
        <v>1.066666667</v>
      </c>
      <c r="P15" s="25">
        <f t="shared" si="4"/>
        <v>25.6</v>
      </c>
      <c r="Q15" s="12">
        <v>2.0</v>
      </c>
    </row>
    <row r="16">
      <c r="A16" s="5"/>
      <c r="B16" s="26"/>
      <c r="C16" s="30"/>
      <c r="D16" s="19"/>
      <c r="E16" s="20"/>
      <c r="F16" s="21"/>
      <c r="G16" s="20"/>
      <c r="H16" s="21"/>
      <c r="I16" s="22"/>
      <c r="J16" s="23"/>
      <c r="K16" s="24"/>
      <c r="L16" s="21"/>
      <c r="M16" s="25">
        <f t="shared" si="1"/>
        <v>0</v>
      </c>
      <c r="N16" s="25">
        <f t="shared" si="2"/>
        <v>0</v>
      </c>
      <c r="O16" s="25">
        <f t="shared" si="3"/>
        <v>0</v>
      </c>
      <c r="P16" s="25">
        <f t="shared" si="4"/>
        <v>0</v>
      </c>
      <c r="Q16" s="12"/>
    </row>
    <row r="17" ht="15.75" customHeight="1">
      <c r="A17" s="5"/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25">
        <f t="shared" si="1"/>
        <v>0</v>
      </c>
      <c r="N17" s="25">
        <f t="shared" si="2"/>
        <v>0</v>
      </c>
      <c r="O17" s="25">
        <f t="shared" si="3"/>
        <v>0</v>
      </c>
      <c r="P17" s="25">
        <f t="shared" si="4"/>
        <v>0</v>
      </c>
      <c r="Q17" s="12"/>
    </row>
    <row r="18" ht="15.75" customHeight="1">
      <c r="A18" s="31"/>
      <c r="B18" s="32"/>
      <c r="C18" s="33"/>
      <c r="D18" s="34"/>
      <c r="E18" s="35"/>
      <c r="F18" s="36"/>
      <c r="G18" s="35"/>
      <c r="H18" s="36"/>
      <c r="I18" s="37">
        <f t="shared" ref="I18:J18" si="5">SUM(I7:I17)</f>
        <v>32004.235</v>
      </c>
      <c r="J18" s="38">
        <f t="shared" si="5"/>
        <v>202</v>
      </c>
      <c r="K18" s="39">
        <f>+(P18)/(31*24)</f>
        <v>1.325403226</v>
      </c>
      <c r="L18" s="40"/>
      <c r="M18" s="41"/>
      <c r="N18" s="41"/>
      <c r="O18" s="41"/>
      <c r="P18" s="42">
        <f>SUM(P7:P17)</f>
        <v>986.1</v>
      </c>
      <c r="Q18" s="2"/>
    </row>
    <row r="19">
      <c r="A19" s="1"/>
      <c r="B19" s="12"/>
      <c r="C19" s="43"/>
      <c r="D19" s="12"/>
      <c r="E19" s="13"/>
      <c r="F19" s="14"/>
      <c r="G19" s="13"/>
      <c r="H19" s="14"/>
      <c r="I19" s="44"/>
      <c r="J19" s="15"/>
      <c r="K19" s="16"/>
      <c r="L19" s="14"/>
      <c r="M19" s="2"/>
      <c r="N19" s="2"/>
      <c r="O19" s="2"/>
      <c r="P19" s="2"/>
      <c r="Q19" s="2"/>
    </row>
    <row r="20">
      <c r="A20" s="5">
        <v>10.0</v>
      </c>
      <c r="B20" s="17" t="s">
        <v>31</v>
      </c>
      <c r="C20" s="18" t="s">
        <v>32</v>
      </c>
      <c r="D20" s="19" t="s">
        <v>33</v>
      </c>
      <c r="E20" s="20">
        <v>45653.0</v>
      </c>
      <c r="F20" s="21">
        <v>0.9791666666666666</v>
      </c>
      <c r="G20" s="20">
        <v>45661.0</v>
      </c>
      <c r="H20" s="21">
        <v>0.3090277777777778</v>
      </c>
      <c r="I20" s="22">
        <v>8127.52</v>
      </c>
      <c r="J20" s="23"/>
      <c r="K20" s="45"/>
      <c r="L20" s="21"/>
      <c r="M20" s="25">
        <f t="shared" ref="M20:M28" si="6">INT(E20)+MOD(F20,1)</f>
        <v>45653.97917</v>
      </c>
      <c r="N20" s="25">
        <f t="shared" ref="N20:N28" si="7">INT(G20)+MOD(H20,1)</f>
        <v>45661.30903</v>
      </c>
      <c r="O20" s="25">
        <f t="shared" ref="O20:O28" si="8">N20-M20</f>
        <v>7.329861111</v>
      </c>
      <c r="P20" s="25">
        <f t="shared" ref="P20:P28" si="9">O20*24</f>
        <v>175.9166667</v>
      </c>
      <c r="Q20" s="12">
        <v>3.0</v>
      </c>
    </row>
    <row r="21" ht="15.75" customHeight="1">
      <c r="A21" s="5">
        <v>11.0</v>
      </c>
      <c r="B21" s="26"/>
      <c r="C21" s="18" t="s">
        <v>34</v>
      </c>
      <c r="D21" s="19" t="s">
        <v>33</v>
      </c>
      <c r="E21" s="20">
        <v>45655.0</v>
      </c>
      <c r="F21" s="21">
        <v>0.6319444444444444</v>
      </c>
      <c r="G21" s="20">
        <v>45657.0</v>
      </c>
      <c r="H21" s="21">
        <v>0.6597222222222222</v>
      </c>
      <c r="I21" s="22">
        <v>7090.0</v>
      </c>
      <c r="J21" s="23"/>
      <c r="K21" s="45"/>
      <c r="L21" s="21"/>
      <c r="M21" s="25">
        <f t="shared" si="6"/>
        <v>45655.63194</v>
      </c>
      <c r="N21" s="25">
        <f t="shared" si="7"/>
        <v>45657.65972</v>
      </c>
      <c r="O21" s="25">
        <f t="shared" si="8"/>
        <v>2.027777778</v>
      </c>
      <c r="P21" s="25">
        <f t="shared" si="9"/>
        <v>48.66666667</v>
      </c>
      <c r="Q21" s="12">
        <v>3.0</v>
      </c>
    </row>
    <row r="22" ht="15.75" customHeight="1">
      <c r="A22" s="5">
        <v>12.0</v>
      </c>
      <c r="B22" s="26"/>
      <c r="C22" s="18" t="s">
        <v>35</v>
      </c>
      <c r="D22" s="19" t="s">
        <v>33</v>
      </c>
      <c r="E22" s="20">
        <v>45650.0</v>
      </c>
      <c r="F22" s="21">
        <v>0.40972222222222227</v>
      </c>
      <c r="G22" s="20">
        <v>45653.0</v>
      </c>
      <c r="H22" s="21">
        <v>0.5590277777777778</v>
      </c>
      <c r="I22" s="22">
        <v>8195.109</v>
      </c>
      <c r="J22" s="23"/>
      <c r="K22" s="45"/>
      <c r="L22" s="21"/>
      <c r="M22" s="25">
        <f t="shared" si="6"/>
        <v>45650.40972</v>
      </c>
      <c r="N22" s="25">
        <f t="shared" si="7"/>
        <v>45653.55903</v>
      </c>
      <c r="O22" s="25">
        <f t="shared" si="8"/>
        <v>3.149305556</v>
      </c>
      <c r="P22" s="25">
        <f t="shared" si="9"/>
        <v>75.58333333</v>
      </c>
      <c r="Q22" s="12">
        <v>3.0</v>
      </c>
    </row>
    <row r="23" ht="15.75" customHeight="1">
      <c r="A23" s="5">
        <v>13.0</v>
      </c>
      <c r="B23" s="26"/>
      <c r="C23" s="18" t="s">
        <v>36</v>
      </c>
      <c r="D23" s="19" t="s">
        <v>33</v>
      </c>
      <c r="E23" s="20">
        <v>45661.0</v>
      </c>
      <c r="F23" s="21">
        <v>0.6354166666666666</v>
      </c>
      <c r="G23" s="20">
        <v>45665.0</v>
      </c>
      <c r="H23" s="21">
        <v>0.4791666666666667</v>
      </c>
      <c r="I23" s="22">
        <v>7302.16</v>
      </c>
      <c r="J23" s="23"/>
      <c r="K23" s="45"/>
      <c r="L23" s="21"/>
      <c r="M23" s="25">
        <f t="shared" si="6"/>
        <v>45661.63542</v>
      </c>
      <c r="N23" s="25">
        <f t="shared" si="7"/>
        <v>45665.47917</v>
      </c>
      <c r="O23" s="25">
        <f t="shared" si="8"/>
        <v>3.84375</v>
      </c>
      <c r="P23" s="25">
        <f t="shared" si="9"/>
        <v>92.25</v>
      </c>
      <c r="Q23" s="12">
        <v>3.0</v>
      </c>
    </row>
    <row r="24" ht="15.75" customHeight="1">
      <c r="A24" s="5">
        <v>14.0</v>
      </c>
      <c r="B24" s="26"/>
      <c r="C24" s="18" t="s">
        <v>37</v>
      </c>
      <c r="D24" s="19" t="s">
        <v>33</v>
      </c>
      <c r="E24" s="20">
        <v>45665.0</v>
      </c>
      <c r="F24" s="21">
        <v>0.513888888888889</v>
      </c>
      <c r="G24" s="20">
        <v>45669.0</v>
      </c>
      <c r="H24" s="21">
        <v>0.37152777777777773</v>
      </c>
      <c r="I24" s="22">
        <v>8213.749</v>
      </c>
      <c r="J24" s="23"/>
      <c r="K24" s="45"/>
      <c r="L24" s="21"/>
      <c r="M24" s="25">
        <f t="shared" si="6"/>
        <v>45665.51389</v>
      </c>
      <c r="N24" s="25">
        <f t="shared" si="7"/>
        <v>45669.37153</v>
      </c>
      <c r="O24" s="25">
        <f t="shared" si="8"/>
        <v>3.857638889</v>
      </c>
      <c r="P24" s="25">
        <f t="shared" si="9"/>
        <v>92.58333333</v>
      </c>
      <c r="Q24" s="12">
        <v>3.0</v>
      </c>
    </row>
    <row r="25" ht="15.75" customHeight="1">
      <c r="A25" s="5">
        <v>15.0</v>
      </c>
      <c r="B25" s="26"/>
      <c r="C25" s="18" t="s">
        <v>38</v>
      </c>
      <c r="D25" s="19" t="s">
        <v>33</v>
      </c>
      <c r="E25" s="20">
        <v>45669.0</v>
      </c>
      <c r="F25" s="21">
        <v>0.579861111111111</v>
      </c>
      <c r="G25" s="20">
        <v>45673.0</v>
      </c>
      <c r="H25" s="21">
        <v>0.3611111111111111</v>
      </c>
      <c r="I25" s="22">
        <v>8496.943</v>
      </c>
      <c r="J25" s="23"/>
      <c r="K25" s="45"/>
      <c r="L25" s="21"/>
      <c r="M25" s="25">
        <f t="shared" si="6"/>
        <v>45669.57986</v>
      </c>
      <c r="N25" s="25">
        <f t="shared" si="7"/>
        <v>45673.36111</v>
      </c>
      <c r="O25" s="25">
        <f t="shared" si="8"/>
        <v>3.78125</v>
      </c>
      <c r="P25" s="25">
        <f t="shared" si="9"/>
        <v>90.75</v>
      </c>
      <c r="Q25" s="12">
        <v>3.0</v>
      </c>
    </row>
    <row r="26" ht="15.75" customHeight="1">
      <c r="A26" s="5">
        <v>16.0</v>
      </c>
      <c r="B26" s="26"/>
      <c r="C26" s="18" t="s">
        <v>39</v>
      </c>
      <c r="D26" s="19" t="s">
        <v>33</v>
      </c>
      <c r="E26" s="20">
        <v>45669.0</v>
      </c>
      <c r="F26" s="21">
        <v>0.7083333333333334</v>
      </c>
      <c r="G26" s="20">
        <v>45677.0</v>
      </c>
      <c r="H26" s="21">
        <v>0.3506944444444444</v>
      </c>
      <c r="I26" s="22">
        <v>8621.933</v>
      </c>
      <c r="J26" s="23"/>
      <c r="K26" s="45"/>
      <c r="L26" s="21"/>
      <c r="M26" s="25">
        <f t="shared" si="6"/>
        <v>45669.70833</v>
      </c>
      <c r="N26" s="25">
        <f t="shared" si="7"/>
        <v>45677.35069</v>
      </c>
      <c r="O26" s="25">
        <f t="shared" si="8"/>
        <v>7.642361111</v>
      </c>
      <c r="P26" s="25">
        <f t="shared" si="9"/>
        <v>183.4166667</v>
      </c>
      <c r="Q26" s="12">
        <v>3.0</v>
      </c>
    </row>
    <row r="27" ht="15.75" customHeight="1">
      <c r="A27" s="5">
        <v>17.0</v>
      </c>
      <c r="B27" s="26"/>
      <c r="C27" s="18" t="s">
        <v>40</v>
      </c>
      <c r="D27" s="19" t="s">
        <v>33</v>
      </c>
      <c r="E27" s="20">
        <v>45677.0</v>
      </c>
      <c r="F27" s="21">
        <v>0.3958333333333333</v>
      </c>
      <c r="G27" s="20">
        <v>45683.0</v>
      </c>
      <c r="H27" s="21">
        <v>0.3645833333333333</v>
      </c>
      <c r="I27" s="22">
        <v>8698.007</v>
      </c>
      <c r="J27" s="23"/>
      <c r="K27" s="45"/>
      <c r="L27" s="21"/>
      <c r="M27" s="25">
        <f t="shared" si="6"/>
        <v>45677.39583</v>
      </c>
      <c r="N27" s="25">
        <f t="shared" si="7"/>
        <v>45683.36458</v>
      </c>
      <c r="O27" s="25">
        <f t="shared" si="8"/>
        <v>5.96875</v>
      </c>
      <c r="P27" s="25">
        <f t="shared" si="9"/>
        <v>143.25</v>
      </c>
      <c r="Q27" s="12">
        <v>3.0</v>
      </c>
    </row>
    <row r="28" ht="15.75" customHeight="1">
      <c r="A28" s="5"/>
      <c r="B28" s="26"/>
      <c r="C28" s="30"/>
      <c r="D28" s="19"/>
      <c r="E28" s="20"/>
      <c r="F28" s="21"/>
      <c r="G28" s="20"/>
      <c r="H28" s="21"/>
      <c r="I28" s="22"/>
      <c r="J28" s="23"/>
      <c r="K28" s="45"/>
      <c r="L28" s="21"/>
      <c r="M28" s="25">
        <f t="shared" si="6"/>
        <v>0</v>
      </c>
      <c r="N28" s="25">
        <f t="shared" si="7"/>
        <v>0</v>
      </c>
      <c r="O28" s="25">
        <f t="shared" si="8"/>
        <v>0</v>
      </c>
      <c r="P28" s="25">
        <f t="shared" si="9"/>
        <v>0</v>
      </c>
      <c r="Q28" s="12"/>
    </row>
    <row r="29" ht="15.75" customHeight="1">
      <c r="A29" s="5"/>
      <c r="B29" s="26"/>
      <c r="C29" s="30"/>
      <c r="D29" s="19"/>
      <c r="E29" s="20"/>
      <c r="F29" s="21"/>
      <c r="G29" s="20"/>
      <c r="H29" s="21"/>
      <c r="I29" s="22"/>
      <c r="J29" s="23"/>
      <c r="K29" s="45"/>
      <c r="L29" s="21"/>
      <c r="M29" s="46"/>
      <c r="N29" s="46"/>
      <c r="O29" s="46"/>
      <c r="P29" s="46"/>
      <c r="Q29" s="12"/>
    </row>
    <row r="30" ht="15.75" customHeight="1">
      <c r="A30" s="5"/>
      <c r="B30" s="47"/>
      <c r="C30" s="30"/>
      <c r="D30" s="19"/>
      <c r="E30" s="20"/>
      <c r="F30" s="21"/>
      <c r="G30" s="20"/>
      <c r="H30" s="21"/>
      <c r="I30" s="22"/>
      <c r="J30" s="48"/>
      <c r="K30" s="49"/>
      <c r="L30" s="50"/>
      <c r="M30" s="46"/>
      <c r="N30" s="46"/>
      <c r="O30" s="46"/>
      <c r="P30" s="46"/>
      <c r="Q30" s="12"/>
    </row>
    <row r="31" ht="15.75" customHeight="1">
      <c r="A31" s="31"/>
      <c r="B31" s="32"/>
      <c r="C31" s="51"/>
      <c r="D31" s="52"/>
      <c r="E31" s="20"/>
      <c r="F31" s="21"/>
      <c r="G31" s="20"/>
      <c r="H31" s="21"/>
      <c r="I31" s="53">
        <f t="shared" ref="I31:J31" si="10">SUM(I20:I30)</f>
        <v>64745.421</v>
      </c>
      <c r="J31" s="54">
        <f t="shared" si="10"/>
        <v>0</v>
      </c>
      <c r="K31" s="39">
        <f>+(P31)/(31*24)</f>
        <v>1.212925627</v>
      </c>
      <c r="L31" s="40"/>
      <c r="M31" s="41"/>
      <c r="N31" s="41"/>
      <c r="O31" s="41"/>
      <c r="P31" s="42">
        <f>SUM(P20:P30)</f>
        <v>902.4166667</v>
      </c>
      <c r="Q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</row>
    <row r="33" ht="15.75" customHeight="1">
      <c r="A33" s="5">
        <v>18.0</v>
      </c>
      <c r="B33" s="17" t="s">
        <v>41</v>
      </c>
      <c r="C33" s="57" t="s">
        <v>42</v>
      </c>
      <c r="D33" s="58" t="s">
        <v>33</v>
      </c>
      <c r="E33" s="13">
        <v>45646.0</v>
      </c>
      <c r="F33" s="14">
        <v>0.6840277777777778</v>
      </c>
      <c r="G33" s="13">
        <v>45650.0</v>
      </c>
      <c r="H33" s="14">
        <v>0.78125</v>
      </c>
      <c r="I33" s="59">
        <v>8038.585</v>
      </c>
      <c r="J33" s="23"/>
      <c r="K33" s="45"/>
      <c r="L33" s="21"/>
      <c r="M33" s="25">
        <f t="shared" ref="M33:M54" si="11">INT(E33)+MOD(F33,1)</f>
        <v>45646.68403</v>
      </c>
      <c r="N33" s="25">
        <f t="shared" ref="N33:N54" si="12">INT(G33)+MOD(H33,1)</f>
        <v>45650.78125</v>
      </c>
      <c r="O33" s="60">
        <f t="shared" ref="O33:O54" si="13">N33-M33</f>
        <v>4.097222222</v>
      </c>
      <c r="P33" s="25">
        <f t="shared" ref="P33:P54" si="14">O33*24</f>
        <v>98.33333333</v>
      </c>
      <c r="Q33" s="12">
        <v>4.0</v>
      </c>
    </row>
    <row r="34" ht="15.75" customHeight="1">
      <c r="A34" s="5">
        <v>19.0</v>
      </c>
      <c r="B34" s="26"/>
      <c r="C34" s="57" t="s">
        <v>43</v>
      </c>
      <c r="D34" s="58" t="s">
        <v>33</v>
      </c>
      <c r="E34" s="13">
        <v>45651.0</v>
      </c>
      <c r="F34" s="14">
        <v>0.7881944444444445</v>
      </c>
      <c r="G34" s="13">
        <v>45654.0</v>
      </c>
      <c r="H34" s="14">
        <v>0.5277777777777778</v>
      </c>
      <c r="I34" s="59">
        <v>8195.742</v>
      </c>
      <c r="J34" s="23"/>
      <c r="K34" s="45"/>
      <c r="L34" s="21"/>
      <c r="M34" s="25">
        <f t="shared" si="11"/>
        <v>45651.78819</v>
      </c>
      <c r="N34" s="25">
        <f t="shared" si="12"/>
        <v>45654.52778</v>
      </c>
      <c r="O34" s="60">
        <f t="shared" si="13"/>
        <v>2.739583333</v>
      </c>
      <c r="P34" s="25">
        <f t="shared" si="14"/>
        <v>65.75</v>
      </c>
      <c r="Q34" s="12">
        <v>4.0</v>
      </c>
    </row>
    <row r="35" ht="15.75" customHeight="1">
      <c r="A35" s="5">
        <v>20.0</v>
      </c>
      <c r="B35" s="26"/>
      <c r="C35" s="57" t="s">
        <v>44</v>
      </c>
      <c r="D35" s="58" t="s">
        <v>45</v>
      </c>
      <c r="E35" s="13">
        <v>45656.0</v>
      </c>
      <c r="F35" s="14">
        <v>0.5833333333333334</v>
      </c>
      <c r="G35" s="13">
        <v>45660.0</v>
      </c>
      <c r="H35" s="14">
        <v>0.3993055555555556</v>
      </c>
      <c r="I35" s="59">
        <v>3960.48</v>
      </c>
      <c r="J35" s="23"/>
      <c r="K35" s="45"/>
      <c r="L35" s="21"/>
      <c r="M35" s="25">
        <f t="shared" si="11"/>
        <v>45656.58333</v>
      </c>
      <c r="N35" s="25">
        <f t="shared" si="12"/>
        <v>45660.39931</v>
      </c>
      <c r="O35" s="60">
        <f t="shared" si="13"/>
        <v>3.815972222</v>
      </c>
      <c r="P35" s="25">
        <f t="shared" si="14"/>
        <v>91.58333333</v>
      </c>
      <c r="Q35" s="12">
        <v>4.0</v>
      </c>
    </row>
    <row r="36" ht="15.75" customHeight="1">
      <c r="A36" s="5">
        <v>21.0</v>
      </c>
      <c r="B36" s="26"/>
      <c r="C36" s="57" t="s">
        <v>46</v>
      </c>
      <c r="D36" s="58" t="s">
        <v>33</v>
      </c>
      <c r="E36" s="13">
        <v>45652.0</v>
      </c>
      <c r="F36" s="14">
        <v>0.5729166666666666</v>
      </c>
      <c r="G36" s="13">
        <v>45654.0</v>
      </c>
      <c r="H36" s="14">
        <v>0.5416666666666666</v>
      </c>
      <c r="I36" s="59">
        <v>8048.299</v>
      </c>
      <c r="J36" s="23"/>
      <c r="K36" s="45"/>
      <c r="L36" s="21"/>
      <c r="M36" s="25">
        <f t="shared" si="11"/>
        <v>45652.57292</v>
      </c>
      <c r="N36" s="25">
        <f t="shared" si="12"/>
        <v>45654.54167</v>
      </c>
      <c r="O36" s="60">
        <f t="shared" si="13"/>
        <v>1.96875</v>
      </c>
      <c r="P36" s="25">
        <f t="shared" si="14"/>
        <v>47.25</v>
      </c>
      <c r="Q36" s="12">
        <v>4.0</v>
      </c>
    </row>
    <row r="37" ht="15.75" customHeight="1">
      <c r="A37" s="5">
        <v>22.0</v>
      </c>
      <c r="B37" s="26"/>
      <c r="C37" s="57" t="s">
        <v>47</v>
      </c>
      <c r="D37" s="58" t="s">
        <v>33</v>
      </c>
      <c r="E37" s="13">
        <v>45659.0</v>
      </c>
      <c r="F37" s="14">
        <v>0.3298611111111111</v>
      </c>
      <c r="G37" s="13">
        <v>45663.0</v>
      </c>
      <c r="H37" s="14">
        <v>0.6284722222222222</v>
      </c>
      <c r="I37" s="59">
        <v>10092.22</v>
      </c>
      <c r="J37" s="23"/>
      <c r="K37" s="45"/>
      <c r="L37" s="21"/>
      <c r="M37" s="25">
        <f t="shared" si="11"/>
        <v>45659.32986</v>
      </c>
      <c r="N37" s="25">
        <f t="shared" si="12"/>
        <v>45663.62847</v>
      </c>
      <c r="O37" s="60">
        <f t="shared" si="13"/>
        <v>4.298611111</v>
      </c>
      <c r="P37" s="25">
        <f t="shared" si="14"/>
        <v>103.1666667</v>
      </c>
      <c r="Q37" s="12">
        <v>4.0</v>
      </c>
    </row>
    <row r="38" ht="15.75" customHeight="1">
      <c r="A38" s="5">
        <v>23.0</v>
      </c>
      <c r="B38" s="26"/>
      <c r="C38" s="57" t="s">
        <v>48</v>
      </c>
      <c r="D38" s="58" t="s">
        <v>33</v>
      </c>
      <c r="E38" s="13">
        <v>45653.0</v>
      </c>
      <c r="F38" s="14">
        <v>0.5972222222222222</v>
      </c>
      <c r="G38" s="13">
        <v>45655.0</v>
      </c>
      <c r="H38" s="14">
        <v>0.6006944444444444</v>
      </c>
      <c r="I38" s="59">
        <v>8233.774</v>
      </c>
      <c r="J38" s="23"/>
      <c r="K38" s="45"/>
      <c r="L38" s="21"/>
      <c r="M38" s="25">
        <f t="shared" si="11"/>
        <v>45653.59722</v>
      </c>
      <c r="N38" s="25">
        <f t="shared" si="12"/>
        <v>45655.60069</v>
      </c>
      <c r="O38" s="60">
        <f t="shared" si="13"/>
        <v>2.003472222</v>
      </c>
      <c r="P38" s="25">
        <f t="shared" si="14"/>
        <v>48.08333333</v>
      </c>
      <c r="Q38" s="12">
        <v>4.0</v>
      </c>
    </row>
    <row r="39" ht="15.75" customHeight="1">
      <c r="A39" s="5">
        <v>24.0</v>
      </c>
      <c r="B39" s="26"/>
      <c r="C39" s="57" t="s">
        <v>49</v>
      </c>
      <c r="D39" s="58" t="s">
        <v>33</v>
      </c>
      <c r="E39" s="13">
        <v>45654.0</v>
      </c>
      <c r="F39" s="14">
        <v>0.579861111111111</v>
      </c>
      <c r="G39" s="13">
        <v>45656.0</v>
      </c>
      <c r="H39" s="14">
        <v>0.4930555555555556</v>
      </c>
      <c r="I39" s="59">
        <v>7216.313</v>
      </c>
      <c r="J39" s="23"/>
      <c r="K39" s="45"/>
      <c r="L39" s="21"/>
      <c r="M39" s="25">
        <f t="shared" si="11"/>
        <v>45654.57986</v>
      </c>
      <c r="N39" s="25">
        <f t="shared" si="12"/>
        <v>45656.49306</v>
      </c>
      <c r="O39" s="60">
        <f t="shared" si="13"/>
        <v>1.913194444</v>
      </c>
      <c r="P39" s="25">
        <f t="shared" si="14"/>
        <v>45.91666667</v>
      </c>
      <c r="Q39" s="12">
        <v>4.0</v>
      </c>
    </row>
    <row r="40" ht="15.75" customHeight="1">
      <c r="A40" s="5">
        <v>25.0</v>
      </c>
      <c r="B40" s="26"/>
      <c r="C40" s="57" t="s">
        <v>50</v>
      </c>
      <c r="D40" s="58" t="s">
        <v>33</v>
      </c>
      <c r="E40" s="13">
        <v>45655.0</v>
      </c>
      <c r="F40" s="14">
        <v>0.37152777777777773</v>
      </c>
      <c r="G40" s="13">
        <v>45657.0</v>
      </c>
      <c r="H40" s="14">
        <v>0.5590277777777778</v>
      </c>
      <c r="I40" s="59">
        <v>7479.693</v>
      </c>
      <c r="J40" s="23"/>
      <c r="K40" s="45"/>
      <c r="L40" s="21"/>
      <c r="M40" s="25">
        <f t="shared" si="11"/>
        <v>45655.37153</v>
      </c>
      <c r="N40" s="25">
        <f t="shared" si="12"/>
        <v>45657.55903</v>
      </c>
      <c r="O40" s="60">
        <f t="shared" si="13"/>
        <v>2.1875</v>
      </c>
      <c r="P40" s="25">
        <f t="shared" si="14"/>
        <v>52.5</v>
      </c>
      <c r="Q40" s="12">
        <v>4.0</v>
      </c>
    </row>
    <row r="41" ht="15.75" customHeight="1">
      <c r="A41" s="5">
        <v>26.0</v>
      </c>
      <c r="B41" s="26"/>
      <c r="C41" s="57" t="s">
        <v>51</v>
      </c>
      <c r="D41" s="58" t="s">
        <v>33</v>
      </c>
      <c r="E41" s="13">
        <v>45664.0</v>
      </c>
      <c r="F41" s="14">
        <v>0.4166666666666667</v>
      </c>
      <c r="G41" s="13">
        <v>45667.0</v>
      </c>
      <c r="H41" s="14">
        <v>0.65625</v>
      </c>
      <c r="I41" s="59">
        <v>9849.6</v>
      </c>
      <c r="J41" s="23"/>
      <c r="K41" s="45"/>
      <c r="L41" s="21"/>
      <c r="M41" s="25">
        <f t="shared" si="11"/>
        <v>45664.41667</v>
      </c>
      <c r="N41" s="25">
        <f t="shared" si="12"/>
        <v>45667.65625</v>
      </c>
      <c r="O41" s="60">
        <f t="shared" si="13"/>
        <v>3.239583333</v>
      </c>
      <c r="P41" s="25">
        <f t="shared" si="14"/>
        <v>77.75</v>
      </c>
      <c r="Q41" s="12">
        <v>4.0</v>
      </c>
    </row>
    <row r="42" ht="15.75" customHeight="1">
      <c r="A42" s="5">
        <v>27.0</v>
      </c>
      <c r="B42" s="26"/>
      <c r="C42" s="57" t="s">
        <v>52</v>
      </c>
      <c r="D42" s="58" t="s">
        <v>33</v>
      </c>
      <c r="E42" s="13">
        <v>45667.0</v>
      </c>
      <c r="F42" s="14">
        <v>0.6909722222222222</v>
      </c>
      <c r="G42" s="13">
        <v>45670.0</v>
      </c>
      <c r="H42" s="14">
        <v>0.3923611111111111</v>
      </c>
      <c r="I42" s="59">
        <v>5667.46</v>
      </c>
      <c r="J42" s="23"/>
      <c r="K42" s="45"/>
      <c r="L42" s="21"/>
      <c r="M42" s="25">
        <f t="shared" si="11"/>
        <v>45667.69097</v>
      </c>
      <c r="N42" s="25">
        <f t="shared" si="12"/>
        <v>45670.39236</v>
      </c>
      <c r="O42" s="60">
        <f t="shared" si="13"/>
        <v>2.701388889</v>
      </c>
      <c r="P42" s="25">
        <f t="shared" si="14"/>
        <v>64.83333333</v>
      </c>
      <c r="Q42" s="12">
        <v>4.0</v>
      </c>
    </row>
    <row r="43" ht="15.75" customHeight="1">
      <c r="A43" s="5">
        <v>28.0</v>
      </c>
      <c r="B43" s="26"/>
      <c r="C43" s="57" t="s">
        <v>53</v>
      </c>
      <c r="D43" s="58" t="s">
        <v>33</v>
      </c>
      <c r="E43" s="13">
        <v>45660.0</v>
      </c>
      <c r="F43" s="14">
        <v>0.6770833333333334</v>
      </c>
      <c r="G43" s="13">
        <v>45664.0</v>
      </c>
      <c r="H43" s="14">
        <v>0.3263888888888889</v>
      </c>
      <c r="I43" s="59">
        <v>7511.607</v>
      </c>
      <c r="J43" s="23"/>
      <c r="K43" s="45"/>
      <c r="L43" s="21"/>
      <c r="M43" s="25">
        <f t="shared" si="11"/>
        <v>45660.67708</v>
      </c>
      <c r="N43" s="25">
        <f t="shared" si="12"/>
        <v>45664.32639</v>
      </c>
      <c r="O43" s="60">
        <f t="shared" si="13"/>
        <v>3.649305556</v>
      </c>
      <c r="P43" s="25">
        <f t="shared" si="14"/>
        <v>87.58333333</v>
      </c>
      <c r="Q43" s="12">
        <v>4.0</v>
      </c>
    </row>
    <row r="44" ht="15.75" customHeight="1">
      <c r="A44" s="5">
        <v>29.0</v>
      </c>
      <c r="B44" s="26"/>
      <c r="C44" s="57" t="s">
        <v>54</v>
      </c>
      <c r="D44" s="58" t="s">
        <v>33</v>
      </c>
      <c r="E44" s="13">
        <v>45663.0</v>
      </c>
      <c r="F44" s="14">
        <v>0.3541666666666667</v>
      </c>
      <c r="G44" s="13">
        <v>45669.0</v>
      </c>
      <c r="H44" s="14">
        <v>0.7256944444444445</v>
      </c>
      <c r="I44" s="59">
        <v>8198.324</v>
      </c>
      <c r="J44" s="23"/>
      <c r="K44" s="45"/>
      <c r="L44" s="21"/>
      <c r="M44" s="25">
        <f t="shared" si="11"/>
        <v>45663.35417</v>
      </c>
      <c r="N44" s="25">
        <f t="shared" si="12"/>
        <v>45669.72569</v>
      </c>
      <c r="O44" s="60">
        <f t="shared" si="13"/>
        <v>6.371527778</v>
      </c>
      <c r="P44" s="25">
        <f t="shared" si="14"/>
        <v>152.9166667</v>
      </c>
      <c r="Q44" s="12">
        <v>4.0</v>
      </c>
    </row>
    <row r="45" ht="15.75" customHeight="1">
      <c r="A45" s="5">
        <v>30.0</v>
      </c>
      <c r="B45" s="26"/>
      <c r="C45" s="57" t="s">
        <v>55</v>
      </c>
      <c r="D45" s="58" t="s">
        <v>33</v>
      </c>
      <c r="E45" s="13">
        <v>45669.0</v>
      </c>
      <c r="F45" s="14">
        <v>0.7534722222222222</v>
      </c>
      <c r="G45" s="13">
        <v>45674.0</v>
      </c>
      <c r="H45" s="14">
        <v>0.3194444444444445</v>
      </c>
      <c r="I45" s="59">
        <v>7842.06</v>
      </c>
      <c r="J45" s="23"/>
      <c r="K45" s="45"/>
      <c r="L45" s="21"/>
      <c r="M45" s="25">
        <f t="shared" si="11"/>
        <v>45669.75347</v>
      </c>
      <c r="N45" s="25">
        <f t="shared" si="12"/>
        <v>45674.31944</v>
      </c>
      <c r="O45" s="60">
        <f t="shared" si="13"/>
        <v>4.565972222</v>
      </c>
      <c r="P45" s="25">
        <f t="shared" si="14"/>
        <v>109.5833333</v>
      </c>
      <c r="Q45" s="12">
        <v>4.0</v>
      </c>
    </row>
    <row r="46" ht="15.75" customHeight="1">
      <c r="A46" s="5">
        <v>31.0</v>
      </c>
      <c r="B46" s="26"/>
      <c r="C46" s="57" t="s">
        <v>56</v>
      </c>
      <c r="D46" s="58" t="s">
        <v>33</v>
      </c>
      <c r="E46" s="13">
        <v>45670.0</v>
      </c>
      <c r="F46" s="14">
        <v>0.4479166666666667</v>
      </c>
      <c r="G46" s="13">
        <v>45672.0</v>
      </c>
      <c r="H46" s="14">
        <v>0.638888888888889</v>
      </c>
      <c r="I46" s="59">
        <v>7390.5</v>
      </c>
      <c r="J46" s="23"/>
      <c r="K46" s="45"/>
      <c r="L46" s="21"/>
      <c r="M46" s="25">
        <f t="shared" si="11"/>
        <v>45670.44792</v>
      </c>
      <c r="N46" s="25">
        <f t="shared" si="12"/>
        <v>45672.63889</v>
      </c>
      <c r="O46" s="60">
        <f t="shared" si="13"/>
        <v>2.190972222</v>
      </c>
      <c r="P46" s="25">
        <f t="shared" si="14"/>
        <v>52.58333333</v>
      </c>
      <c r="Q46" s="12">
        <v>4.0</v>
      </c>
    </row>
    <row r="47" ht="15.75" customHeight="1">
      <c r="A47" s="5">
        <v>32.0</v>
      </c>
      <c r="B47" s="26"/>
      <c r="C47" s="57" t="s">
        <v>57</v>
      </c>
      <c r="D47" s="58" t="s">
        <v>33</v>
      </c>
      <c r="E47" s="13">
        <v>45670.0</v>
      </c>
      <c r="F47" s="14">
        <v>0.4895833333333333</v>
      </c>
      <c r="G47" s="13">
        <v>45674.0</v>
      </c>
      <c r="H47" s="14">
        <v>0.3055555555555555</v>
      </c>
      <c r="I47" s="59">
        <v>7494.28</v>
      </c>
      <c r="J47" s="23"/>
      <c r="K47" s="45"/>
      <c r="L47" s="21"/>
      <c r="M47" s="25">
        <f t="shared" si="11"/>
        <v>45670.48958</v>
      </c>
      <c r="N47" s="25">
        <f t="shared" si="12"/>
        <v>45674.30556</v>
      </c>
      <c r="O47" s="60">
        <f t="shared" si="13"/>
        <v>3.815972222</v>
      </c>
      <c r="P47" s="25">
        <f t="shared" si="14"/>
        <v>91.58333333</v>
      </c>
      <c r="Q47" s="12">
        <v>4.0</v>
      </c>
    </row>
    <row r="48" ht="15.75" customHeight="1">
      <c r="A48" s="5">
        <v>33.0</v>
      </c>
      <c r="B48" s="26"/>
      <c r="C48" s="57" t="s">
        <v>58</v>
      </c>
      <c r="D48" s="58" t="s">
        <v>33</v>
      </c>
      <c r="E48" s="13">
        <v>45673.0</v>
      </c>
      <c r="F48" s="14">
        <v>0.40625</v>
      </c>
      <c r="G48" s="13">
        <v>45676.0</v>
      </c>
      <c r="H48" s="14">
        <v>0.579861111111111</v>
      </c>
      <c r="I48" s="59">
        <v>7237.7</v>
      </c>
      <c r="J48" s="23"/>
      <c r="K48" s="45"/>
      <c r="L48" s="21"/>
      <c r="M48" s="25">
        <f t="shared" si="11"/>
        <v>45673.40625</v>
      </c>
      <c r="N48" s="25">
        <f t="shared" si="12"/>
        <v>45676.57986</v>
      </c>
      <c r="O48" s="60">
        <f t="shared" si="13"/>
        <v>3.173611111</v>
      </c>
      <c r="P48" s="25">
        <f t="shared" si="14"/>
        <v>76.16666667</v>
      </c>
      <c r="Q48" s="12">
        <v>4.0</v>
      </c>
    </row>
    <row r="49" ht="15.75" customHeight="1">
      <c r="A49" s="5">
        <v>34.0</v>
      </c>
      <c r="B49" s="26"/>
      <c r="C49" s="57" t="s">
        <v>59</v>
      </c>
      <c r="D49" s="58" t="s">
        <v>33</v>
      </c>
      <c r="E49" s="13">
        <v>45672.0</v>
      </c>
      <c r="F49" s="14">
        <v>0.6736111111111112</v>
      </c>
      <c r="G49" s="13">
        <v>45675.0</v>
      </c>
      <c r="H49" s="14">
        <v>0.5520833333333334</v>
      </c>
      <c r="I49" s="59">
        <v>7418.26</v>
      </c>
      <c r="J49" s="23"/>
      <c r="K49" s="45"/>
      <c r="L49" s="21"/>
      <c r="M49" s="25">
        <f t="shared" si="11"/>
        <v>45672.67361</v>
      </c>
      <c r="N49" s="25">
        <f t="shared" si="12"/>
        <v>45675.55208</v>
      </c>
      <c r="O49" s="60">
        <f t="shared" si="13"/>
        <v>2.878472222</v>
      </c>
      <c r="P49" s="25">
        <f t="shared" si="14"/>
        <v>69.08333333</v>
      </c>
      <c r="Q49" s="12">
        <v>4.0</v>
      </c>
    </row>
    <row r="50" ht="15.75" customHeight="1">
      <c r="A50" s="5">
        <v>35.0</v>
      </c>
      <c r="B50" s="26"/>
      <c r="C50" s="57" t="s">
        <v>60</v>
      </c>
      <c r="D50" s="58" t="s">
        <v>33</v>
      </c>
      <c r="E50" s="13">
        <v>45680.0</v>
      </c>
      <c r="F50" s="14">
        <v>0.6770833333333334</v>
      </c>
      <c r="G50" s="13">
        <v>45683.0</v>
      </c>
      <c r="H50" s="14">
        <v>0.44097222222222227</v>
      </c>
      <c r="I50" s="59">
        <v>7496.06</v>
      </c>
      <c r="J50" s="23"/>
      <c r="K50" s="45"/>
      <c r="L50" s="21"/>
      <c r="M50" s="25">
        <f t="shared" si="11"/>
        <v>45680.67708</v>
      </c>
      <c r="N50" s="25">
        <f t="shared" si="12"/>
        <v>45683.44097</v>
      </c>
      <c r="O50" s="60">
        <f t="shared" si="13"/>
        <v>2.763888889</v>
      </c>
      <c r="P50" s="25">
        <f t="shared" si="14"/>
        <v>66.33333333</v>
      </c>
      <c r="Q50" s="12">
        <v>4.0</v>
      </c>
    </row>
    <row r="51" ht="15.75" customHeight="1">
      <c r="A51" s="5">
        <v>36.0</v>
      </c>
      <c r="B51" s="26"/>
      <c r="C51" s="57" t="s">
        <v>61</v>
      </c>
      <c r="D51" s="58" t="s">
        <v>33</v>
      </c>
      <c r="E51" s="13">
        <v>45675.0</v>
      </c>
      <c r="F51" s="14">
        <v>0.6354166666666666</v>
      </c>
      <c r="G51" s="13">
        <v>45680.0</v>
      </c>
      <c r="H51" s="14">
        <v>0.625</v>
      </c>
      <c r="I51" s="59">
        <v>7496.422</v>
      </c>
      <c r="J51" s="23"/>
      <c r="K51" s="45"/>
      <c r="L51" s="21"/>
      <c r="M51" s="25">
        <f t="shared" si="11"/>
        <v>45675.63542</v>
      </c>
      <c r="N51" s="25">
        <f t="shared" si="12"/>
        <v>45680.625</v>
      </c>
      <c r="O51" s="60">
        <f t="shared" si="13"/>
        <v>4.989583333</v>
      </c>
      <c r="P51" s="25">
        <f t="shared" si="14"/>
        <v>119.75</v>
      </c>
      <c r="Q51" s="12">
        <v>4.0</v>
      </c>
    </row>
    <row r="52" ht="15.75" customHeight="1">
      <c r="A52" s="5"/>
      <c r="B52" s="26"/>
      <c r="C52" s="30"/>
      <c r="D52" s="19"/>
      <c r="E52" s="20"/>
      <c r="F52" s="21"/>
      <c r="G52" s="20"/>
      <c r="H52" s="21"/>
      <c r="I52" s="22"/>
      <c r="J52" s="23"/>
      <c r="K52" s="45"/>
      <c r="L52" s="21"/>
      <c r="M52" s="25">
        <f t="shared" si="11"/>
        <v>0</v>
      </c>
      <c r="N52" s="25">
        <f t="shared" si="12"/>
        <v>0</v>
      </c>
      <c r="O52" s="60">
        <f t="shared" si="13"/>
        <v>0</v>
      </c>
      <c r="P52" s="25">
        <f t="shared" si="14"/>
        <v>0</v>
      </c>
      <c r="Q52" s="12"/>
    </row>
    <row r="53" ht="15.75" customHeight="1">
      <c r="A53" s="5"/>
      <c r="B53" s="26"/>
      <c r="C53" s="30"/>
      <c r="D53" s="19"/>
      <c r="E53" s="20"/>
      <c r="F53" s="21"/>
      <c r="G53" s="20"/>
      <c r="H53" s="21"/>
      <c r="I53" s="22"/>
      <c r="J53" s="23"/>
      <c r="K53" s="45"/>
      <c r="L53" s="21"/>
      <c r="M53" s="25">
        <f t="shared" si="11"/>
        <v>0</v>
      </c>
      <c r="N53" s="25">
        <f t="shared" si="12"/>
        <v>0</v>
      </c>
      <c r="O53" s="60">
        <f t="shared" si="13"/>
        <v>0</v>
      </c>
      <c r="P53" s="25">
        <f t="shared" si="14"/>
        <v>0</v>
      </c>
      <c r="Q53" s="12"/>
    </row>
    <row r="54" ht="15.75" customHeight="1">
      <c r="A54" s="5"/>
      <c r="B54" s="26"/>
      <c r="C54" s="30"/>
      <c r="D54" s="19"/>
      <c r="E54" s="20"/>
      <c r="F54" s="21"/>
      <c r="G54" s="20"/>
      <c r="H54" s="21"/>
      <c r="I54" s="22"/>
      <c r="J54" s="23"/>
      <c r="K54" s="45"/>
      <c r="L54" s="21"/>
      <c r="M54" s="25">
        <f t="shared" si="11"/>
        <v>0</v>
      </c>
      <c r="N54" s="25">
        <f t="shared" si="12"/>
        <v>0</v>
      </c>
      <c r="O54" s="60">
        <f t="shared" si="13"/>
        <v>0</v>
      </c>
      <c r="P54" s="25">
        <f t="shared" si="14"/>
        <v>0</v>
      </c>
      <c r="Q54" s="12"/>
    </row>
    <row r="55" ht="15.75" customHeight="1">
      <c r="A55" s="5"/>
      <c r="B55" s="26"/>
      <c r="C55" s="30"/>
      <c r="D55" s="19"/>
      <c r="E55" s="20"/>
      <c r="F55" s="21"/>
      <c r="G55" s="20"/>
      <c r="H55" s="21"/>
      <c r="I55" s="22"/>
      <c r="J55" s="23"/>
      <c r="K55" s="45"/>
      <c r="L55" s="21"/>
      <c r="M55" s="46"/>
      <c r="N55" s="46"/>
      <c r="O55" s="61"/>
      <c r="P55" s="46"/>
      <c r="Q55" s="12"/>
    </row>
    <row r="56" ht="15.75" customHeight="1">
      <c r="A56" s="62"/>
      <c r="B56" s="34"/>
      <c r="C56" s="30"/>
      <c r="D56" s="52"/>
      <c r="E56" s="20"/>
      <c r="F56" s="21"/>
      <c r="G56" s="20"/>
      <c r="H56" s="21"/>
      <c r="I56" s="53">
        <f t="shared" ref="I56:J56" si="15">SUM(I33:I55)</f>
        <v>144867.379</v>
      </c>
      <c r="J56" s="63">
        <f t="shared" si="15"/>
        <v>0</v>
      </c>
      <c r="K56" s="64">
        <f>+(P56)/(31*24)</f>
        <v>2.044018817</v>
      </c>
      <c r="L56" s="40"/>
      <c r="M56" s="41"/>
      <c r="N56" s="41"/>
      <c r="O56" s="41"/>
      <c r="P56" s="42">
        <f>SUM(P33:P55)</f>
        <v>1520.75</v>
      </c>
      <c r="Q56" s="12"/>
    </row>
    <row r="57" ht="15.75" customHeight="1">
      <c r="A57" s="65"/>
      <c r="B57" s="66"/>
      <c r="C57" s="67"/>
      <c r="D57" s="12"/>
      <c r="E57" s="13"/>
      <c r="F57" s="14"/>
      <c r="G57" s="13"/>
      <c r="H57" s="14"/>
      <c r="I57" s="55"/>
      <c r="J57" s="56"/>
      <c r="K57" s="68"/>
      <c r="L57" s="69"/>
      <c r="M57" s="70"/>
      <c r="N57" s="70"/>
      <c r="O57" s="70"/>
      <c r="P57" s="71"/>
      <c r="Q57" s="12"/>
    </row>
    <row r="58" ht="15.75" customHeight="1">
      <c r="A58" s="5">
        <v>37.0</v>
      </c>
      <c r="B58" s="17" t="s">
        <v>62</v>
      </c>
      <c r="C58" s="18" t="s">
        <v>63</v>
      </c>
      <c r="D58" s="19" t="s">
        <v>20</v>
      </c>
      <c r="E58" s="20">
        <v>45649.0</v>
      </c>
      <c r="F58" s="21">
        <v>0.5972222222222222</v>
      </c>
      <c r="G58" s="20">
        <v>45660.0</v>
      </c>
      <c r="H58" s="21">
        <v>0.4826388888888889</v>
      </c>
      <c r="I58" s="22">
        <v>4859.986</v>
      </c>
      <c r="J58" s="23"/>
      <c r="K58" s="45"/>
      <c r="L58" s="72"/>
      <c r="M58" s="73">
        <f t="shared" ref="M58:M68" si="16">INT(E58)+MOD(F58,1)</f>
        <v>45649.59722</v>
      </c>
      <c r="N58" s="73">
        <f t="shared" ref="N58:N68" si="17">INT(G58)+MOD(H58,1)</f>
        <v>45660.48264</v>
      </c>
      <c r="O58" s="73">
        <f t="shared" ref="O58:O68" si="18">N58-M58</f>
        <v>10.88541667</v>
      </c>
      <c r="P58" s="73">
        <f t="shared" ref="P58:P68" si="19">O58*24</f>
        <v>261.25</v>
      </c>
      <c r="Q58" s="12">
        <v>5.0</v>
      </c>
    </row>
    <row r="59" ht="15.75" customHeight="1">
      <c r="A59" s="5">
        <v>38.0</v>
      </c>
      <c r="B59" s="26"/>
      <c r="C59" s="18" t="s">
        <v>64</v>
      </c>
      <c r="D59" s="19" t="s">
        <v>33</v>
      </c>
      <c r="E59" s="20">
        <v>45649.0</v>
      </c>
      <c r="F59" s="21">
        <v>0.3576388888888889</v>
      </c>
      <c r="G59" s="20">
        <v>45651.0</v>
      </c>
      <c r="H59" s="21">
        <v>0.6666666666666666</v>
      </c>
      <c r="I59" s="22">
        <v>8692.479</v>
      </c>
      <c r="J59" s="23"/>
      <c r="K59" s="45"/>
      <c r="L59" s="21"/>
      <c r="M59" s="25">
        <f t="shared" si="16"/>
        <v>45649.35764</v>
      </c>
      <c r="N59" s="25">
        <f t="shared" si="17"/>
        <v>45651.66667</v>
      </c>
      <c r="O59" s="25">
        <f t="shared" si="18"/>
        <v>2.309027778</v>
      </c>
      <c r="P59" s="25">
        <f t="shared" si="19"/>
        <v>55.41666667</v>
      </c>
      <c r="Q59" s="12">
        <v>5.0</v>
      </c>
    </row>
    <row r="60" ht="15.75" customHeight="1">
      <c r="A60" s="5">
        <v>39.0</v>
      </c>
      <c r="B60" s="26"/>
      <c r="C60" s="18" t="s">
        <v>65</v>
      </c>
      <c r="D60" s="19" t="s">
        <v>33</v>
      </c>
      <c r="E60" s="20">
        <v>45660.0</v>
      </c>
      <c r="F60" s="21">
        <v>0.638888888888889</v>
      </c>
      <c r="G60" s="20">
        <v>45664.0</v>
      </c>
      <c r="H60" s="21">
        <v>0.3125</v>
      </c>
      <c r="I60" s="22">
        <v>7158.7</v>
      </c>
      <c r="J60" s="29"/>
      <c r="K60" s="45"/>
      <c r="L60" s="21"/>
      <c r="M60" s="25">
        <f t="shared" si="16"/>
        <v>45660.63889</v>
      </c>
      <c r="N60" s="25">
        <f t="shared" si="17"/>
        <v>45664.3125</v>
      </c>
      <c r="O60" s="25">
        <f t="shared" si="18"/>
        <v>3.673611111</v>
      </c>
      <c r="P60" s="25">
        <f t="shared" si="19"/>
        <v>88.16666667</v>
      </c>
      <c r="Q60" s="12">
        <v>5.0</v>
      </c>
    </row>
    <row r="61" ht="15.75" customHeight="1">
      <c r="A61" s="5">
        <v>40.0</v>
      </c>
      <c r="B61" s="26"/>
      <c r="C61" s="18" t="s">
        <v>66</v>
      </c>
      <c r="D61" s="19" t="s">
        <v>33</v>
      </c>
      <c r="E61" s="20">
        <v>45664.0</v>
      </c>
      <c r="F61" s="21">
        <v>0.3541666666666667</v>
      </c>
      <c r="G61" s="20">
        <v>45670.0</v>
      </c>
      <c r="H61" s="21">
        <v>0.3506944444444444</v>
      </c>
      <c r="I61" s="22">
        <v>8115.328</v>
      </c>
      <c r="J61" s="23"/>
      <c r="K61" s="45"/>
      <c r="L61" s="21"/>
      <c r="M61" s="25">
        <f t="shared" si="16"/>
        <v>45664.35417</v>
      </c>
      <c r="N61" s="25">
        <f t="shared" si="17"/>
        <v>45670.35069</v>
      </c>
      <c r="O61" s="25">
        <f t="shared" si="18"/>
        <v>5.996527778</v>
      </c>
      <c r="P61" s="25">
        <f t="shared" si="19"/>
        <v>143.9166667</v>
      </c>
      <c r="Q61" s="12">
        <v>5.0</v>
      </c>
    </row>
    <row r="62" ht="15.75" customHeight="1">
      <c r="A62" s="5">
        <v>41.0</v>
      </c>
      <c r="B62" s="26"/>
      <c r="C62" s="18" t="s">
        <v>32</v>
      </c>
      <c r="D62" s="19" t="s">
        <v>33</v>
      </c>
      <c r="E62" s="20">
        <v>45678.0</v>
      </c>
      <c r="F62" s="21">
        <v>0.7048611111111112</v>
      </c>
      <c r="G62" s="20">
        <v>45681.0</v>
      </c>
      <c r="H62" s="21">
        <v>0.7326388888888888</v>
      </c>
      <c r="I62" s="22">
        <v>8331.02</v>
      </c>
      <c r="J62" s="23"/>
      <c r="K62" s="45"/>
      <c r="L62" s="21"/>
      <c r="M62" s="25">
        <f t="shared" si="16"/>
        <v>45678.70486</v>
      </c>
      <c r="N62" s="25">
        <f t="shared" si="17"/>
        <v>45681.73264</v>
      </c>
      <c r="O62" s="25">
        <f t="shared" si="18"/>
        <v>3.027777778</v>
      </c>
      <c r="P62" s="25">
        <f t="shared" si="19"/>
        <v>72.66666667</v>
      </c>
      <c r="Q62" s="12">
        <v>5.0</v>
      </c>
    </row>
    <row r="63" ht="15.75" customHeight="1">
      <c r="A63" s="5">
        <v>42.0</v>
      </c>
      <c r="B63" s="26"/>
      <c r="C63" s="18" t="s">
        <v>67</v>
      </c>
      <c r="D63" s="19" t="s">
        <v>33</v>
      </c>
      <c r="E63" s="20">
        <v>45674.0</v>
      </c>
      <c r="F63" s="21">
        <v>0.4201388888888889</v>
      </c>
      <c r="G63" s="20">
        <v>45678.0</v>
      </c>
      <c r="H63" s="21">
        <v>0.6701388888888888</v>
      </c>
      <c r="I63" s="22">
        <v>7666.68</v>
      </c>
      <c r="J63" s="23"/>
      <c r="K63" s="45"/>
      <c r="L63" s="21"/>
      <c r="M63" s="25">
        <f t="shared" si="16"/>
        <v>45674.42014</v>
      </c>
      <c r="N63" s="25">
        <f t="shared" si="17"/>
        <v>45678.67014</v>
      </c>
      <c r="O63" s="25">
        <f t="shared" si="18"/>
        <v>4.25</v>
      </c>
      <c r="P63" s="25">
        <f t="shared" si="19"/>
        <v>102</v>
      </c>
      <c r="Q63" s="12">
        <v>5.0</v>
      </c>
    </row>
    <row r="64" ht="15.75" customHeight="1">
      <c r="A64" s="5">
        <v>43.0</v>
      </c>
      <c r="B64" s="26"/>
      <c r="C64" s="18" t="s">
        <v>68</v>
      </c>
      <c r="D64" s="19" t="s">
        <v>33</v>
      </c>
      <c r="E64" s="20">
        <v>45676.0</v>
      </c>
      <c r="F64" s="21">
        <v>0.6701388888888888</v>
      </c>
      <c r="G64" s="20">
        <v>45680.0</v>
      </c>
      <c r="H64" s="21">
        <v>0.375</v>
      </c>
      <c r="I64" s="22">
        <v>7554.72</v>
      </c>
      <c r="J64" s="23"/>
      <c r="K64" s="45"/>
      <c r="L64" s="50"/>
      <c r="M64" s="25">
        <f t="shared" si="16"/>
        <v>45676.67014</v>
      </c>
      <c r="N64" s="25">
        <f t="shared" si="17"/>
        <v>45680.375</v>
      </c>
      <c r="O64" s="25">
        <f t="shared" si="18"/>
        <v>3.704861111</v>
      </c>
      <c r="P64" s="25">
        <f t="shared" si="19"/>
        <v>88.91666667</v>
      </c>
      <c r="Q64" s="12"/>
    </row>
    <row r="65" ht="15.75" customHeight="1">
      <c r="A65" s="5"/>
      <c r="B65" s="26"/>
      <c r="C65" s="30"/>
      <c r="D65" s="27"/>
      <c r="E65" s="20"/>
      <c r="F65" s="21"/>
      <c r="G65" s="20"/>
      <c r="H65" s="21"/>
      <c r="I65" s="28"/>
      <c r="J65" s="29"/>
      <c r="K65" s="45"/>
      <c r="L65" s="50"/>
      <c r="M65" s="25">
        <f t="shared" si="16"/>
        <v>0</v>
      </c>
      <c r="N65" s="25">
        <f t="shared" si="17"/>
        <v>0</v>
      </c>
      <c r="O65" s="25">
        <f t="shared" si="18"/>
        <v>0</v>
      </c>
      <c r="P65" s="25">
        <f t="shared" si="19"/>
        <v>0</v>
      </c>
      <c r="Q65" s="12"/>
    </row>
    <row r="66" ht="15.75" customHeight="1">
      <c r="A66" s="5"/>
      <c r="B66" s="26"/>
      <c r="C66" s="30"/>
      <c r="D66" s="19"/>
      <c r="E66" s="20"/>
      <c r="F66" s="21"/>
      <c r="G66" s="20"/>
      <c r="H66" s="21"/>
      <c r="I66" s="22"/>
      <c r="J66" s="23"/>
      <c r="K66" s="45"/>
      <c r="L66" s="50"/>
      <c r="M66" s="25">
        <f t="shared" si="16"/>
        <v>0</v>
      </c>
      <c r="N66" s="25">
        <f t="shared" si="17"/>
        <v>0</v>
      </c>
      <c r="O66" s="25">
        <f t="shared" si="18"/>
        <v>0</v>
      </c>
      <c r="P66" s="25">
        <f t="shared" si="19"/>
        <v>0</v>
      </c>
      <c r="Q66" s="12"/>
    </row>
    <row r="67" ht="15.75" customHeight="1">
      <c r="A67" s="5"/>
      <c r="B67" s="26"/>
      <c r="C67" s="30"/>
      <c r="D67" s="19"/>
      <c r="E67" s="20"/>
      <c r="F67" s="21"/>
      <c r="G67" s="20"/>
      <c r="H67" s="21"/>
      <c r="I67" s="22"/>
      <c r="J67" s="23"/>
      <c r="K67" s="45"/>
      <c r="L67" s="50"/>
      <c r="M67" s="25">
        <f t="shared" si="16"/>
        <v>0</v>
      </c>
      <c r="N67" s="25">
        <f t="shared" si="17"/>
        <v>0</v>
      </c>
      <c r="O67" s="25">
        <f t="shared" si="18"/>
        <v>0</v>
      </c>
      <c r="P67" s="25">
        <f t="shared" si="19"/>
        <v>0</v>
      </c>
      <c r="Q67" s="12"/>
    </row>
    <row r="68" ht="15.75" customHeight="1">
      <c r="A68" s="5"/>
      <c r="B68" s="26"/>
      <c r="C68" s="30"/>
      <c r="D68" s="19"/>
      <c r="E68" s="20"/>
      <c r="F68" s="21"/>
      <c r="G68" s="20"/>
      <c r="H68" s="21"/>
      <c r="I68" s="22"/>
      <c r="J68" s="23"/>
      <c r="K68" s="45"/>
      <c r="L68" s="50"/>
      <c r="M68" s="25">
        <f t="shared" si="16"/>
        <v>0</v>
      </c>
      <c r="N68" s="25">
        <f t="shared" si="17"/>
        <v>0</v>
      </c>
      <c r="O68" s="25">
        <f t="shared" si="18"/>
        <v>0</v>
      </c>
      <c r="P68" s="25">
        <f t="shared" si="19"/>
        <v>0</v>
      </c>
      <c r="Q68" s="12"/>
    </row>
    <row r="69" ht="15.75" customHeight="1">
      <c r="A69" s="5"/>
      <c r="B69" s="52"/>
      <c r="C69" s="30"/>
      <c r="D69" s="19"/>
      <c r="E69" s="20"/>
      <c r="F69" s="21"/>
      <c r="G69" s="20"/>
      <c r="H69" s="21"/>
      <c r="I69" s="22"/>
      <c r="J69" s="74"/>
      <c r="K69" s="45"/>
      <c r="L69" s="50"/>
      <c r="M69" s="46"/>
      <c r="N69" s="46"/>
      <c r="O69" s="46"/>
      <c r="P69" s="46"/>
      <c r="Q69" s="12"/>
    </row>
    <row r="70" ht="15.75" customHeight="1">
      <c r="A70" s="75"/>
      <c r="B70" s="76"/>
      <c r="C70" s="77"/>
      <c r="D70" s="78"/>
      <c r="E70" s="79"/>
      <c r="F70" s="50"/>
      <c r="G70" s="79"/>
      <c r="H70" s="50"/>
      <c r="I70" s="80"/>
      <c r="J70" s="81"/>
      <c r="K70" s="49"/>
      <c r="L70" s="50"/>
      <c r="M70" s="82"/>
      <c r="N70" s="82"/>
      <c r="O70" s="82"/>
      <c r="P70" s="82"/>
      <c r="Q70" s="12"/>
    </row>
    <row r="71" ht="15.75" customHeight="1">
      <c r="A71" s="31"/>
      <c r="B71" s="32"/>
      <c r="C71" s="83"/>
      <c r="D71" s="32"/>
      <c r="E71" s="84"/>
      <c r="F71" s="40"/>
      <c r="G71" s="84"/>
      <c r="H71" s="40"/>
      <c r="I71" s="85">
        <f t="shared" ref="I71:J71" si="20">SUM(I58:I70)</f>
        <v>52378.913</v>
      </c>
      <c r="J71" s="86">
        <f t="shared" si="20"/>
        <v>0</v>
      </c>
      <c r="K71" s="39">
        <f>+(P71)/(31*24)</f>
        <v>1.091845878</v>
      </c>
      <c r="L71" s="40"/>
      <c r="M71" s="41"/>
      <c r="N71" s="41"/>
      <c r="O71" s="41"/>
      <c r="P71" s="42">
        <f>SUM(P58:P70)</f>
        <v>812.3333333</v>
      </c>
      <c r="Q71" s="12"/>
    </row>
    <row r="72" ht="15.75" customHeight="1">
      <c r="A72" s="1"/>
      <c r="B72" s="12"/>
      <c r="C72" s="67"/>
      <c r="D72" s="12"/>
      <c r="E72" s="13"/>
      <c r="F72" s="14"/>
      <c r="G72" s="13"/>
      <c r="H72" s="14"/>
      <c r="I72" s="55"/>
      <c r="J72" s="56"/>
      <c r="K72" s="16"/>
      <c r="L72" s="14"/>
      <c r="M72" s="2"/>
      <c r="N72" s="2"/>
      <c r="O72" s="2"/>
      <c r="P72" s="2"/>
      <c r="Q72" s="12"/>
    </row>
    <row r="73" ht="15.75" customHeight="1">
      <c r="A73" s="1"/>
      <c r="B73" s="12"/>
      <c r="C73" s="67"/>
      <c r="D73" s="12"/>
      <c r="E73" s="13"/>
      <c r="F73" s="14"/>
      <c r="G73" s="13"/>
      <c r="H73" s="14"/>
      <c r="I73" s="55"/>
      <c r="J73" s="56"/>
      <c r="K73" s="16"/>
      <c r="L73" s="14"/>
      <c r="M73" s="2"/>
      <c r="N73" s="2"/>
      <c r="O73" s="2"/>
      <c r="P73" s="2"/>
      <c r="Q73" s="2"/>
    </row>
    <row r="74" ht="15.75" customHeight="1">
      <c r="A74" s="1"/>
      <c r="B74" s="12"/>
      <c r="C74" s="67"/>
      <c r="D74" s="12"/>
      <c r="E74" s="13"/>
      <c r="F74" s="14"/>
      <c r="G74" s="13"/>
      <c r="H74" s="14"/>
      <c r="I74" s="55"/>
      <c r="J74" s="56"/>
      <c r="K74" s="16"/>
      <c r="L74" s="14"/>
      <c r="M74" s="2"/>
      <c r="N74" s="2"/>
      <c r="O74" s="2"/>
      <c r="P74" s="2"/>
      <c r="Q74" s="2"/>
    </row>
    <row r="75" ht="15.75" customHeight="1">
      <c r="A75" s="1"/>
      <c r="B75" s="12"/>
      <c r="C75" s="67"/>
      <c r="D75" s="12"/>
      <c r="E75" s="13"/>
      <c r="F75" s="14"/>
      <c r="G75" s="13"/>
      <c r="H75" s="14"/>
      <c r="I75" s="55"/>
      <c r="J75" s="56"/>
      <c r="K75" s="16"/>
      <c r="L75" s="14"/>
      <c r="M75" s="2"/>
      <c r="N75" s="2"/>
      <c r="O75" s="2"/>
      <c r="P75" s="2"/>
      <c r="Q75" s="2"/>
    </row>
    <row r="76" ht="15.75" customHeight="1">
      <c r="A76" s="5">
        <v>44.0</v>
      </c>
      <c r="B76" s="17" t="s">
        <v>69</v>
      </c>
      <c r="C76" s="18" t="s">
        <v>70</v>
      </c>
      <c r="D76" s="19" t="s">
        <v>71</v>
      </c>
      <c r="E76" s="20">
        <v>45661.0</v>
      </c>
      <c r="F76" s="21">
        <v>0.9375</v>
      </c>
      <c r="G76" s="20">
        <v>45664.0</v>
      </c>
      <c r="H76" s="21">
        <v>0.6701388888888888</v>
      </c>
      <c r="I76" s="22">
        <v>19491.613</v>
      </c>
      <c r="J76" s="87"/>
      <c r="K76" s="45"/>
      <c r="L76" s="21"/>
      <c r="M76" s="25">
        <f t="shared" ref="M76:M83" si="21">INT(E76)+MOD(F76,1)</f>
        <v>45661.9375</v>
      </c>
      <c r="N76" s="25">
        <f t="shared" ref="N76:N83" si="22">INT(G76)+MOD(H76,1)</f>
        <v>45664.67014</v>
      </c>
      <c r="O76" s="25">
        <f t="shared" ref="O76:O83" si="23">N76-M76</f>
        <v>2.732638889</v>
      </c>
      <c r="P76" s="25">
        <f t="shared" ref="P76:P83" si="24">O76*24</f>
        <v>65.58333333</v>
      </c>
      <c r="Q76" s="12">
        <v>6.0</v>
      </c>
    </row>
    <row r="77" ht="15.75" customHeight="1">
      <c r="A77" s="5">
        <v>45.0</v>
      </c>
      <c r="B77" s="26"/>
      <c r="C77" s="18" t="s">
        <v>72</v>
      </c>
      <c r="D77" s="19" t="s">
        <v>33</v>
      </c>
      <c r="E77" s="20">
        <v>45665.0</v>
      </c>
      <c r="F77" s="21">
        <v>0.7430555555555555</v>
      </c>
      <c r="G77" s="20">
        <v>45668.0</v>
      </c>
      <c r="H77" s="21">
        <v>0.2951388888888889</v>
      </c>
      <c r="I77" s="22">
        <v>8401.282</v>
      </c>
      <c r="J77" s="74"/>
      <c r="K77" s="88"/>
      <c r="L77" s="46"/>
      <c r="M77" s="25">
        <f t="shared" si="21"/>
        <v>45665.74306</v>
      </c>
      <c r="N77" s="25">
        <f t="shared" si="22"/>
        <v>45668.29514</v>
      </c>
      <c r="O77" s="25">
        <f t="shared" si="23"/>
        <v>2.552083333</v>
      </c>
      <c r="P77" s="25">
        <f t="shared" si="24"/>
        <v>61.25</v>
      </c>
      <c r="Q77" s="12">
        <v>7.0</v>
      </c>
    </row>
    <row r="78" ht="15.75" customHeight="1">
      <c r="A78" s="5">
        <v>46.0</v>
      </c>
      <c r="B78" s="26"/>
      <c r="C78" s="18" t="s">
        <v>73</v>
      </c>
      <c r="D78" s="19" t="s">
        <v>74</v>
      </c>
      <c r="E78" s="20">
        <v>45672.0</v>
      </c>
      <c r="F78" s="21">
        <v>0.19583333333333333</v>
      </c>
      <c r="G78" s="20">
        <v>45677.0</v>
      </c>
      <c r="H78" s="21">
        <v>0.8659722222222223</v>
      </c>
      <c r="I78" s="22">
        <v>63840.0</v>
      </c>
      <c r="J78" s="74"/>
      <c r="K78" s="88"/>
      <c r="L78" s="46"/>
      <c r="M78" s="25">
        <f t="shared" si="21"/>
        <v>45672.19583</v>
      </c>
      <c r="N78" s="25">
        <f t="shared" si="22"/>
        <v>45677.86597</v>
      </c>
      <c r="O78" s="25">
        <f t="shared" si="23"/>
        <v>5.670138889</v>
      </c>
      <c r="P78" s="25">
        <f t="shared" si="24"/>
        <v>136.0833333</v>
      </c>
      <c r="Q78" s="12">
        <v>6.0</v>
      </c>
    </row>
    <row r="79" ht="15.75" customHeight="1">
      <c r="A79" s="5">
        <v>47.0</v>
      </c>
      <c r="B79" s="26"/>
      <c r="C79" s="18" t="s">
        <v>75</v>
      </c>
      <c r="D79" s="19" t="s">
        <v>33</v>
      </c>
      <c r="E79" s="20">
        <v>45671.0</v>
      </c>
      <c r="F79" s="21">
        <v>0.04861111111111111</v>
      </c>
      <c r="G79" s="20">
        <v>45674.0</v>
      </c>
      <c r="H79" s="21">
        <v>0.3194444444444445</v>
      </c>
      <c r="I79" s="22">
        <v>8492.615</v>
      </c>
      <c r="J79" s="74"/>
      <c r="K79" s="88"/>
      <c r="L79" s="46"/>
      <c r="M79" s="25">
        <f t="shared" si="21"/>
        <v>45671.04861</v>
      </c>
      <c r="N79" s="25">
        <f t="shared" si="22"/>
        <v>45674.31944</v>
      </c>
      <c r="O79" s="25">
        <f t="shared" si="23"/>
        <v>3.270833333</v>
      </c>
      <c r="P79" s="25">
        <f t="shared" si="24"/>
        <v>78.5</v>
      </c>
      <c r="Q79" s="12">
        <v>7.0</v>
      </c>
    </row>
    <row r="80" ht="15.75" customHeight="1">
      <c r="A80" s="5">
        <v>48.0</v>
      </c>
      <c r="B80" s="26"/>
      <c r="C80" s="18" t="s">
        <v>76</v>
      </c>
      <c r="D80" s="19" t="s">
        <v>33</v>
      </c>
      <c r="E80" s="20">
        <v>45674.0</v>
      </c>
      <c r="F80" s="21">
        <v>0.3576388888888889</v>
      </c>
      <c r="G80" s="20">
        <v>45677.0</v>
      </c>
      <c r="H80" s="21">
        <v>0.34027777777777773</v>
      </c>
      <c r="I80" s="22">
        <v>9190.535</v>
      </c>
      <c r="J80" s="74"/>
      <c r="K80" s="88"/>
      <c r="L80" s="46"/>
      <c r="M80" s="25">
        <f t="shared" si="21"/>
        <v>45674.35764</v>
      </c>
      <c r="N80" s="25">
        <f t="shared" si="22"/>
        <v>45677.34028</v>
      </c>
      <c r="O80" s="25">
        <f t="shared" si="23"/>
        <v>2.982638889</v>
      </c>
      <c r="P80" s="25">
        <f t="shared" si="24"/>
        <v>71.58333333</v>
      </c>
      <c r="Q80" s="12">
        <v>7.0</v>
      </c>
    </row>
    <row r="81" ht="15.75" customHeight="1">
      <c r="A81" s="5">
        <v>49.0</v>
      </c>
      <c r="B81" s="26"/>
      <c r="C81" s="18" t="s">
        <v>77</v>
      </c>
      <c r="D81" s="19" t="s">
        <v>33</v>
      </c>
      <c r="E81" s="20">
        <v>45677.0</v>
      </c>
      <c r="F81" s="21">
        <v>0.4548611111111111</v>
      </c>
      <c r="G81" s="20">
        <v>45679.0</v>
      </c>
      <c r="H81" s="21">
        <v>0.7534722222222222</v>
      </c>
      <c r="I81" s="22">
        <v>8193.439</v>
      </c>
      <c r="J81" s="74"/>
      <c r="K81" s="88"/>
      <c r="L81" s="46"/>
      <c r="M81" s="25">
        <f t="shared" si="21"/>
        <v>45677.45486</v>
      </c>
      <c r="N81" s="25">
        <f t="shared" si="22"/>
        <v>45679.75347</v>
      </c>
      <c r="O81" s="25">
        <f t="shared" si="23"/>
        <v>2.298611111</v>
      </c>
      <c r="P81" s="25">
        <f t="shared" si="24"/>
        <v>55.16666667</v>
      </c>
      <c r="Q81" s="12">
        <v>7.0</v>
      </c>
    </row>
    <row r="82" ht="15.75" customHeight="1">
      <c r="A82" s="5">
        <v>50.0</v>
      </c>
      <c r="B82" s="26"/>
      <c r="C82" s="18" t="s">
        <v>78</v>
      </c>
      <c r="D82" s="19" t="s">
        <v>79</v>
      </c>
      <c r="E82" s="20">
        <v>45683.0</v>
      </c>
      <c r="F82" s="21">
        <v>0.6875</v>
      </c>
      <c r="G82" s="20">
        <v>45687.0</v>
      </c>
      <c r="H82" s="21">
        <v>0.20833333333333334</v>
      </c>
      <c r="I82" s="22">
        <v>19500.01</v>
      </c>
      <c r="J82" s="74"/>
      <c r="K82" s="88"/>
      <c r="L82" s="46"/>
      <c r="M82" s="25">
        <f t="shared" si="21"/>
        <v>45683.6875</v>
      </c>
      <c r="N82" s="25">
        <f t="shared" si="22"/>
        <v>45687.20833</v>
      </c>
      <c r="O82" s="25">
        <f t="shared" si="23"/>
        <v>3.520833333</v>
      </c>
      <c r="P82" s="25">
        <f t="shared" si="24"/>
        <v>84.5</v>
      </c>
      <c r="Q82" s="12">
        <v>6.0</v>
      </c>
    </row>
    <row r="83" ht="15.75" customHeight="1">
      <c r="A83" s="5"/>
      <c r="B83" s="89"/>
      <c r="C83" s="30"/>
      <c r="D83" s="19"/>
      <c r="E83" s="20"/>
      <c r="F83" s="21"/>
      <c r="G83" s="20"/>
      <c r="H83" s="21"/>
      <c r="I83" s="22"/>
      <c r="J83" s="74"/>
      <c r="K83" s="49"/>
      <c r="L83" s="50"/>
      <c r="M83" s="25">
        <f t="shared" si="21"/>
        <v>0</v>
      </c>
      <c r="N83" s="25">
        <f t="shared" si="22"/>
        <v>0</v>
      </c>
      <c r="O83" s="25">
        <f t="shared" si="23"/>
        <v>0</v>
      </c>
      <c r="P83" s="25">
        <f t="shared" si="24"/>
        <v>0</v>
      </c>
      <c r="Q83" s="12"/>
    </row>
    <row r="84" ht="15.75" customHeight="1">
      <c r="A84" s="90"/>
      <c r="B84" s="91"/>
      <c r="C84" s="91"/>
      <c r="D84" s="91"/>
      <c r="E84" s="91"/>
      <c r="F84" s="91"/>
      <c r="G84" s="91"/>
      <c r="H84" s="91"/>
      <c r="I84" s="92">
        <f>SUM(I76:I83)</f>
        <v>137109.494</v>
      </c>
      <c r="J84" s="93">
        <f>SUM(J77:J83)</f>
        <v>0</v>
      </c>
      <c r="K84" s="39">
        <f>+(P84)/(31*24)</f>
        <v>0.7428315412</v>
      </c>
      <c r="L84" s="41"/>
      <c r="M84" s="41"/>
      <c r="N84" s="41"/>
      <c r="O84" s="41"/>
      <c r="P84" s="42">
        <f>SUM(P76:P83)</f>
        <v>552.6666667</v>
      </c>
      <c r="Q84" s="1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94"/>
      <c r="J86" s="95"/>
      <c r="K86" s="3"/>
      <c r="L86" s="2"/>
      <c r="M86" s="2"/>
      <c r="N86" s="2"/>
      <c r="O86" s="2"/>
      <c r="P86" s="2"/>
      <c r="Q86" s="1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12"/>
    </row>
    <row r="88" ht="15.75" customHeight="1">
      <c r="A88" s="96" t="s">
        <v>80</v>
      </c>
      <c r="B88" s="96"/>
      <c r="C88" s="96" t="s">
        <v>81</v>
      </c>
      <c r="D88" s="96" t="s">
        <v>82</v>
      </c>
      <c r="E88" s="96" t="s">
        <v>18</v>
      </c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12"/>
    </row>
    <row r="89" ht="15.75" customHeight="1">
      <c r="A89" s="96" t="s">
        <v>83</v>
      </c>
      <c r="B89" s="96"/>
      <c r="C89" s="96"/>
      <c r="D89" s="96" t="s">
        <v>84</v>
      </c>
      <c r="E89" s="96" t="s">
        <v>31</v>
      </c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</row>
    <row r="90" ht="15.75" customHeight="1">
      <c r="A90" s="96"/>
      <c r="B90" s="96"/>
      <c r="C90" s="96"/>
      <c r="D90" s="96" t="s">
        <v>85</v>
      </c>
      <c r="E90" s="96" t="s">
        <v>41</v>
      </c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</row>
    <row r="91" ht="15.75" customHeight="1">
      <c r="A91" s="96"/>
      <c r="B91" s="96"/>
      <c r="C91" s="96"/>
      <c r="D91" s="96" t="s">
        <v>86</v>
      </c>
      <c r="E91" s="96" t="s">
        <v>62</v>
      </c>
      <c r="F91" s="2"/>
      <c r="G91" s="2"/>
      <c r="H91" s="2"/>
      <c r="I91" s="2"/>
      <c r="J91" s="2"/>
      <c r="K91" s="3"/>
      <c r="L91" s="97"/>
      <c r="M91" s="2"/>
      <c r="N91" s="2"/>
      <c r="O91" s="2"/>
      <c r="P91" s="2"/>
      <c r="Q91" s="2"/>
    </row>
    <row r="92" ht="15.75" customHeight="1">
      <c r="A92" s="96"/>
      <c r="B92" s="96"/>
      <c r="C92" s="96"/>
      <c r="D92" s="96" t="s">
        <v>87</v>
      </c>
      <c r="E92" s="96" t="s">
        <v>69</v>
      </c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</row>
    <row r="93" ht="15.75" customHeight="1">
      <c r="A93" s="96"/>
      <c r="B93" s="96"/>
      <c r="C93" s="96"/>
      <c r="D93" s="96"/>
      <c r="E93" s="96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17"/>
    <mergeCell ref="B20:B30"/>
    <mergeCell ref="B33:B55"/>
    <mergeCell ref="B58:B68"/>
    <mergeCell ref="B76:B8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88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18" t="s">
        <v>89</v>
      </c>
      <c r="D7" s="19" t="s">
        <v>20</v>
      </c>
      <c r="E7" s="20">
        <v>45678.0</v>
      </c>
      <c r="F7" s="21">
        <v>0.24305555555555555</v>
      </c>
      <c r="G7" s="20">
        <v>45685.0</v>
      </c>
      <c r="H7" s="21">
        <v>0.003472222222222222</v>
      </c>
      <c r="I7" s="22">
        <v>4907.951</v>
      </c>
      <c r="J7" s="23"/>
      <c r="K7" s="24"/>
      <c r="L7" s="21"/>
      <c r="M7" s="25">
        <f t="shared" ref="M7:M19" si="1">INT(E7)+MOD(F7,1)</f>
        <v>45678.24306</v>
      </c>
      <c r="N7" s="25">
        <f t="shared" ref="N7:N19" si="2">INT(G7)+MOD(H7,1)</f>
        <v>45685.00347</v>
      </c>
      <c r="O7" s="25">
        <f t="shared" ref="O7:O19" si="3">N7-M7</f>
        <v>6.760416667</v>
      </c>
      <c r="P7" s="25">
        <f t="shared" ref="P7:P19" si="4">O7*24</f>
        <v>162.25</v>
      </c>
      <c r="Q7" s="12">
        <v>2.0</v>
      </c>
      <c r="R7" s="2"/>
    </row>
    <row r="8">
      <c r="A8" s="5">
        <v>2.0</v>
      </c>
      <c r="B8" s="26"/>
      <c r="C8" s="18" t="s">
        <v>90</v>
      </c>
      <c r="D8" s="19" t="s">
        <v>25</v>
      </c>
      <c r="E8" s="20">
        <v>45681.0</v>
      </c>
      <c r="F8" s="21">
        <v>0.3611111111111111</v>
      </c>
      <c r="G8" s="20">
        <v>45683.0</v>
      </c>
      <c r="H8" s="21">
        <v>0.3263888888888889</v>
      </c>
      <c r="I8" s="22">
        <v>4024.287</v>
      </c>
      <c r="J8" s="23"/>
      <c r="K8" s="24"/>
      <c r="L8" s="21"/>
      <c r="M8" s="25">
        <f t="shared" si="1"/>
        <v>45681.36111</v>
      </c>
      <c r="N8" s="25">
        <f t="shared" si="2"/>
        <v>45683.32639</v>
      </c>
      <c r="O8" s="25">
        <f t="shared" si="3"/>
        <v>1.965277778</v>
      </c>
      <c r="P8" s="25">
        <f t="shared" si="4"/>
        <v>47.16666667</v>
      </c>
      <c r="Q8" s="12">
        <v>2.0</v>
      </c>
      <c r="R8" s="2"/>
    </row>
    <row r="9">
      <c r="A9" s="5">
        <v>3.0</v>
      </c>
      <c r="B9" s="26"/>
      <c r="C9" s="98" t="s">
        <v>91</v>
      </c>
      <c r="D9" s="19" t="s">
        <v>79</v>
      </c>
      <c r="E9" s="20">
        <v>45683.0</v>
      </c>
      <c r="F9" s="21">
        <v>0.3645833333333333</v>
      </c>
      <c r="G9" s="20">
        <v>45685.0</v>
      </c>
      <c r="H9" s="21">
        <v>0.7180555555555556</v>
      </c>
      <c r="I9" s="22">
        <v>7935.69</v>
      </c>
      <c r="J9" s="23"/>
      <c r="K9" s="24"/>
      <c r="L9" s="21"/>
      <c r="M9" s="25">
        <f t="shared" si="1"/>
        <v>45683.36458</v>
      </c>
      <c r="N9" s="25">
        <f t="shared" si="2"/>
        <v>45685.71806</v>
      </c>
      <c r="O9" s="25">
        <f t="shared" si="3"/>
        <v>2.353472222</v>
      </c>
      <c r="P9" s="25">
        <f t="shared" si="4"/>
        <v>56.48333333</v>
      </c>
      <c r="Q9" s="12">
        <v>2.0</v>
      </c>
      <c r="R9" s="2"/>
    </row>
    <row r="10">
      <c r="A10" s="5">
        <v>4.0</v>
      </c>
      <c r="B10" s="26"/>
      <c r="C10" s="18" t="s">
        <v>92</v>
      </c>
      <c r="D10" s="19" t="s">
        <v>25</v>
      </c>
      <c r="E10" s="20">
        <v>45688.0</v>
      </c>
      <c r="F10" s="21">
        <v>0.7361111111111112</v>
      </c>
      <c r="G10" s="20">
        <v>45691.0</v>
      </c>
      <c r="H10" s="21">
        <v>0.2520833333333333</v>
      </c>
      <c r="I10" s="22">
        <v>6419.476</v>
      </c>
      <c r="J10" s="23"/>
      <c r="K10" s="24"/>
      <c r="L10" s="21"/>
      <c r="M10" s="25">
        <f t="shared" si="1"/>
        <v>45688.73611</v>
      </c>
      <c r="N10" s="25">
        <f t="shared" si="2"/>
        <v>45691.25208</v>
      </c>
      <c r="O10" s="25">
        <f t="shared" si="3"/>
        <v>2.515972222</v>
      </c>
      <c r="P10" s="25">
        <f t="shared" si="4"/>
        <v>60.38333333</v>
      </c>
      <c r="Q10" s="12">
        <v>2.0</v>
      </c>
      <c r="R10" s="2"/>
    </row>
    <row r="11">
      <c r="A11" s="5">
        <v>5.0</v>
      </c>
      <c r="B11" s="26"/>
      <c r="C11" s="18" t="s">
        <v>27</v>
      </c>
      <c r="D11" s="19" t="s">
        <v>25</v>
      </c>
      <c r="E11" s="20">
        <v>45691.0</v>
      </c>
      <c r="F11" s="21">
        <v>0.5243055555555556</v>
      </c>
      <c r="G11" s="20">
        <v>45693.0</v>
      </c>
      <c r="H11" s="21">
        <v>0.8194444444444445</v>
      </c>
      <c r="I11" s="22">
        <v>4293.375</v>
      </c>
      <c r="J11" s="23"/>
      <c r="K11" s="24"/>
      <c r="L11" s="21"/>
      <c r="M11" s="25">
        <f t="shared" si="1"/>
        <v>45691.52431</v>
      </c>
      <c r="N11" s="25">
        <f t="shared" si="2"/>
        <v>45693.81944</v>
      </c>
      <c r="O11" s="25">
        <f t="shared" si="3"/>
        <v>2.295138889</v>
      </c>
      <c r="P11" s="25">
        <f t="shared" si="4"/>
        <v>55.08333333</v>
      </c>
      <c r="Q11" s="12">
        <v>2.0</v>
      </c>
      <c r="R11" s="2"/>
    </row>
    <row r="12">
      <c r="A12" s="5">
        <v>6.0</v>
      </c>
      <c r="B12" s="26"/>
      <c r="C12" s="18" t="s">
        <v>28</v>
      </c>
      <c r="D12" s="19" t="s">
        <v>25</v>
      </c>
      <c r="E12" s="20">
        <v>45694.0</v>
      </c>
      <c r="F12" s="21">
        <v>0.5347222222222222</v>
      </c>
      <c r="G12" s="20">
        <v>45696.0</v>
      </c>
      <c r="H12" s="21">
        <v>0.7694444444444444</v>
      </c>
      <c r="I12" s="22">
        <v>2818.523</v>
      </c>
      <c r="J12" s="23"/>
      <c r="K12" s="24"/>
      <c r="L12" s="21"/>
      <c r="M12" s="25">
        <f t="shared" si="1"/>
        <v>45694.53472</v>
      </c>
      <c r="N12" s="25">
        <f t="shared" si="2"/>
        <v>45696.76944</v>
      </c>
      <c r="O12" s="25">
        <f t="shared" si="3"/>
        <v>2.234722222</v>
      </c>
      <c r="P12" s="25">
        <f t="shared" si="4"/>
        <v>53.63333333</v>
      </c>
      <c r="Q12" s="12">
        <v>2.0</v>
      </c>
      <c r="R12" s="2"/>
    </row>
    <row r="13">
      <c r="A13" s="5">
        <v>7.0</v>
      </c>
      <c r="B13" s="26"/>
      <c r="C13" s="18" t="s">
        <v>93</v>
      </c>
      <c r="D13" s="19" t="s">
        <v>94</v>
      </c>
      <c r="E13" s="20">
        <v>45691.0</v>
      </c>
      <c r="F13" s="21">
        <v>0.748611111111111</v>
      </c>
      <c r="G13" s="20">
        <v>45694.0</v>
      </c>
      <c r="H13" s="21">
        <v>0.7569444444444445</v>
      </c>
      <c r="I13" s="22"/>
      <c r="J13" s="23">
        <v>4569.883</v>
      </c>
      <c r="K13" s="24"/>
      <c r="L13" s="21"/>
      <c r="M13" s="25">
        <f t="shared" si="1"/>
        <v>45691.74861</v>
      </c>
      <c r="N13" s="25">
        <f t="shared" si="2"/>
        <v>45694.75694</v>
      </c>
      <c r="O13" s="25">
        <f t="shared" si="3"/>
        <v>3.008333333</v>
      </c>
      <c r="P13" s="25">
        <f t="shared" si="4"/>
        <v>72.2</v>
      </c>
      <c r="Q13" s="12">
        <v>2.0</v>
      </c>
      <c r="R13" s="2"/>
    </row>
    <row r="14">
      <c r="A14" s="5">
        <v>8.0</v>
      </c>
      <c r="B14" s="26"/>
      <c r="C14" s="18" t="s">
        <v>95</v>
      </c>
      <c r="D14" s="19" t="s">
        <v>79</v>
      </c>
      <c r="E14" s="20">
        <v>45695.0</v>
      </c>
      <c r="F14" s="21">
        <v>0.5520833333333334</v>
      </c>
      <c r="G14" s="20">
        <v>45697.0</v>
      </c>
      <c r="H14" s="21">
        <v>0.8472222222222222</v>
      </c>
      <c r="I14" s="22">
        <v>6111.28</v>
      </c>
      <c r="J14" s="23"/>
      <c r="K14" s="24"/>
      <c r="L14" s="21"/>
      <c r="M14" s="25">
        <f t="shared" si="1"/>
        <v>45695.55208</v>
      </c>
      <c r="N14" s="25">
        <f t="shared" si="2"/>
        <v>45697.84722</v>
      </c>
      <c r="O14" s="25">
        <f t="shared" si="3"/>
        <v>2.295138889</v>
      </c>
      <c r="P14" s="25">
        <f t="shared" si="4"/>
        <v>55.08333333</v>
      </c>
      <c r="Q14" s="12">
        <v>2.0</v>
      </c>
      <c r="R14" s="2"/>
    </row>
    <row r="15">
      <c r="A15" s="5">
        <v>9.0</v>
      </c>
      <c r="B15" s="26"/>
      <c r="C15" s="18" t="s">
        <v>96</v>
      </c>
      <c r="D15" s="19" t="s">
        <v>97</v>
      </c>
      <c r="E15" s="20">
        <v>45694.0</v>
      </c>
      <c r="F15" s="21">
        <v>0.8180555555555555</v>
      </c>
      <c r="G15" s="20">
        <v>45695.0</v>
      </c>
      <c r="H15" s="21">
        <v>0.4930555555555556</v>
      </c>
      <c r="I15" s="22">
        <v>900.0</v>
      </c>
      <c r="J15" s="23"/>
      <c r="K15" s="24"/>
      <c r="L15" s="21"/>
      <c r="M15" s="25">
        <f t="shared" si="1"/>
        <v>45694.81806</v>
      </c>
      <c r="N15" s="25">
        <f t="shared" si="2"/>
        <v>45695.49306</v>
      </c>
      <c r="O15" s="25">
        <f t="shared" si="3"/>
        <v>0.675</v>
      </c>
      <c r="P15" s="25">
        <f t="shared" si="4"/>
        <v>16.2</v>
      </c>
      <c r="Q15" s="12">
        <v>2.0</v>
      </c>
      <c r="R15" s="2"/>
    </row>
    <row r="16">
      <c r="A16" s="5">
        <v>10.0</v>
      </c>
      <c r="B16" s="26"/>
      <c r="C16" s="18" t="s">
        <v>98</v>
      </c>
      <c r="D16" s="19" t="s">
        <v>99</v>
      </c>
      <c r="E16" s="20">
        <v>45700.0</v>
      </c>
      <c r="F16" s="21">
        <v>0.5333333333333333</v>
      </c>
      <c r="G16" s="20">
        <v>45703.0</v>
      </c>
      <c r="H16" s="21">
        <v>0.10416666666666667</v>
      </c>
      <c r="I16" s="22">
        <v>10069.112</v>
      </c>
      <c r="J16" s="23"/>
      <c r="K16" s="24"/>
      <c r="L16" s="21"/>
      <c r="M16" s="25">
        <f t="shared" si="1"/>
        <v>45700.53333</v>
      </c>
      <c r="N16" s="25">
        <f t="shared" si="2"/>
        <v>45703.10417</v>
      </c>
      <c r="O16" s="25">
        <f t="shared" si="3"/>
        <v>2.570833333</v>
      </c>
      <c r="P16" s="25">
        <f t="shared" si="4"/>
        <v>61.7</v>
      </c>
      <c r="Q16" s="12">
        <v>2.0</v>
      </c>
      <c r="R16" s="2"/>
    </row>
    <row r="17">
      <c r="A17" s="5">
        <v>11.0</v>
      </c>
      <c r="B17" s="26"/>
      <c r="C17" s="18" t="s">
        <v>100</v>
      </c>
      <c r="D17" s="19" t="s">
        <v>101</v>
      </c>
      <c r="E17" s="20">
        <v>45706.0</v>
      </c>
      <c r="F17" s="21">
        <v>0.5416666666666666</v>
      </c>
      <c r="G17" s="20">
        <v>45708.0</v>
      </c>
      <c r="H17" s="21">
        <v>0.3993055555555556</v>
      </c>
      <c r="I17" s="22"/>
      <c r="J17" s="23">
        <v>837.468</v>
      </c>
      <c r="K17" s="24"/>
      <c r="L17" s="21"/>
      <c r="M17" s="25">
        <f t="shared" si="1"/>
        <v>45706.54167</v>
      </c>
      <c r="N17" s="25">
        <f t="shared" si="2"/>
        <v>45708.39931</v>
      </c>
      <c r="O17" s="25">
        <f t="shared" si="3"/>
        <v>1.857638889</v>
      </c>
      <c r="P17" s="25">
        <f t="shared" si="4"/>
        <v>44.58333333</v>
      </c>
      <c r="Q17" s="12">
        <v>2.0</v>
      </c>
      <c r="R17" s="2"/>
    </row>
    <row r="18">
      <c r="A18" s="5">
        <v>12.0</v>
      </c>
      <c r="B18" s="26"/>
      <c r="C18" s="18" t="s">
        <v>102</v>
      </c>
      <c r="D18" s="27" t="s">
        <v>30</v>
      </c>
      <c r="E18" s="20">
        <v>45702.0</v>
      </c>
      <c r="F18" s="21">
        <v>0.9500000000000001</v>
      </c>
      <c r="G18" s="20">
        <v>45703.0</v>
      </c>
      <c r="H18" s="21">
        <v>0.5208333333333334</v>
      </c>
      <c r="I18" s="28">
        <v>31.0</v>
      </c>
      <c r="J18" s="29">
        <v>79.0</v>
      </c>
      <c r="K18" s="24"/>
      <c r="L18" s="21"/>
      <c r="M18" s="25">
        <f t="shared" si="1"/>
        <v>45702.95</v>
      </c>
      <c r="N18" s="25">
        <f t="shared" si="2"/>
        <v>45703.52083</v>
      </c>
      <c r="O18" s="25">
        <f t="shared" si="3"/>
        <v>0.5708333333</v>
      </c>
      <c r="P18" s="25">
        <f t="shared" si="4"/>
        <v>13.7</v>
      </c>
      <c r="Q18" s="12">
        <v>2.0</v>
      </c>
      <c r="R18" s="2"/>
    </row>
    <row r="19">
      <c r="A19" s="5">
        <v>13.0</v>
      </c>
      <c r="B19" s="26"/>
      <c r="C19" s="18" t="s">
        <v>103</v>
      </c>
      <c r="D19" s="19" t="s">
        <v>104</v>
      </c>
      <c r="E19" s="20">
        <v>45704.0</v>
      </c>
      <c r="F19" s="21">
        <v>0.5048611111111111</v>
      </c>
      <c r="G19" s="20">
        <v>45707.0</v>
      </c>
      <c r="H19" s="21">
        <v>0.7131944444444445</v>
      </c>
      <c r="I19" s="22"/>
      <c r="J19" s="23">
        <v>3000.0</v>
      </c>
      <c r="K19" s="24"/>
      <c r="L19" s="21"/>
      <c r="M19" s="25">
        <f t="shared" si="1"/>
        <v>45704.50486</v>
      </c>
      <c r="N19" s="25">
        <f t="shared" si="2"/>
        <v>45707.71319</v>
      </c>
      <c r="O19" s="25">
        <f t="shared" si="3"/>
        <v>3.208333333</v>
      </c>
      <c r="P19" s="25">
        <f t="shared" si="4"/>
        <v>77</v>
      </c>
      <c r="Q19" s="12">
        <v>2.0</v>
      </c>
      <c r="R19" s="2"/>
    </row>
    <row r="20" ht="15.75" customHeight="1">
      <c r="A20" s="5"/>
      <c r="B20" s="26"/>
      <c r="C20" s="18"/>
      <c r="D20" s="27"/>
      <c r="E20" s="20"/>
      <c r="F20" s="21"/>
      <c r="G20" s="20"/>
      <c r="H20" s="21"/>
      <c r="I20" s="28"/>
      <c r="J20" s="29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47510.694</v>
      </c>
      <c r="J21" s="38">
        <f t="shared" si="5"/>
        <v>8486.351</v>
      </c>
      <c r="K21" s="39">
        <f>+(P21)/(31*24)</f>
        <v>1.042293907</v>
      </c>
      <c r="L21" s="40"/>
      <c r="M21" s="41"/>
      <c r="N21" s="41"/>
      <c r="O21" s="41"/>
      <c r="P21" s="42">
        <f>SUM(P7:P20)</f>
        <v>775.4666667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5">
        <v>14.0</v>
      </c>
      <c r="B23" s="17" t="s">
        <v>31</v>
      </c>
      <c r="C23" s="57" t="s">
        <v>105</v>
      </c>
      <c r="D23" s="58" t="s">
        <v>33</v>
      </c>
      <c r="E23" s="13">
        <v>45686.0</v>
      </c>
      <c r="F23" s="14">
        <v>0.4513888888888889</v>
      </c>
      <c r="G23" s="13">
        <v>45690.0</v>
      </c>
      <c r="H23" s="14">
        <v>0.3125</v>
      </c>
      <c r="I23" s="59">
        <v>7501.082</v>
      </c>
      <c r="J23" s="23"/>
      <c r="K23" s="45"/>
      <c r="L23" s="21"/>
      <c r="M23" s="25">
        <f t="shared" ref="M23:M30" si="6">INT(E23)+MOD(F23,1)</f>
        <v>45686.45139</v>
      </c>
      <c r="N23" s="25">
        <f t="shared" ref="N23:N30" si="7">INT(G23)+MOD(H23,1)</f>
        <v>45690.3125</v>
      </c>
      <c r="O23" s="25">
        <f t="shared" ref="O23:O30" si="8">N23-M23</f>
        <v>3.861111111</v>
      </c>
      <c r="P23" s="25">
        <f t="shared" ref="P23:P30" si="9">O23*24</f>
        <v>92.66666667</v>
      </c>
      <c r="Q23" s="12">
        <v>3.0</v>
      </c>
      <c r="R23" s="2"/>
    </row>
    <row r="24" ht="15.75" customHeight="1">
      <c r="A24" s="5">
        <v>15.0</v>
      </c>
      <c r="B24" s="26"/>
      <c r="C24" s="57" t="s">
        <v>106</v>
      </c>
      <c r="D24" s="58" t="s">
        <v>33</v>
      </c>
      <c r="E24" s="13">
        <v>45683.0</v>
      </c>
      <c r="F24" s="14">
        <v>0.40625</v>
      </c>
      <c r="G24" s="13">
        <v>45686.0</v>
      </c>
      <c r="H24" s="14">
        <v>0.34027777777777773</v>
      </c>
      <c r="I24" s="59">
        <v>7437.247</v>
      </c>
      <c r="J24" s="23"/>
      <c r="K24" s="45"/>
      <c r="L24" s="21"/>
      <c r="M24" s="25">
        <f t="shared" si="6"/>
        <v>45683.40625</v>
      </c>
      <c r="N24" s="25">
        <f t="shared" si="7"/>
        <v>45686.34028</v>
      </c>
      <c r="O24" s="25">
        <f t="shared" si="8"/>
        <v>2.934027778</v>
      </c>
      <c r="P24" s="25">
        <f t="shared" si="9"/>
        <v>70.41666667</v>
      </c>
      <c r="Q24" s="12">
        <v>3.0</v>
      </c>
      <c r="R24" s="2"/>
    </row>
    <row r="25" ht="15.75" customHeight="1">
      <c r="A25" s="5">
        <v>16.0</v>
      </c>
      <c r="B25" s="26"/>
      <c r="C25" s="57" t="s">
        <v>107</v>
      </c>
      <c r="D25" s="58" t="s">
        <v>33</v>
      </c>
      <c r="E25" s="13">
        <v>45690.0</v>
      </c>
      <c r="F25" s="14">
        <v>0.49652777777777773</v>
      </c>
      <c r="G25" s="13">
        <v>45693.0</v>
      </c>
      <c r="H25" s="14">
        <v>0.3229166666666667</v>
      </c>
      <c r="I25" s="59">
        <v>7341.58</v>
      </c>
      <c r="J25" s="23"/>
      <c r="K25" s="45"/>
      <c r="L25" s="21"/>
      <c r="M25" s="25">
        <f t="shared" si="6"/>
        <v>45690.49653</v>
      </c>
      <c r="N25" s="25">
        <f t="shared" si="7"/>
        <v>45693.32292</v>
      </c>
      <c r="O25" s="25">
        <f t="shared" si="8"/>
        <v>2.826388889</v>
      </c>
      <c r="P25" s="25">
        <f t="shared" si="9"/>
        <v>67.83333333</v>
      </c>
      <c r="Q25" s="12">
        <v>3.0</v>
      </c>
      <c r="R25" s="2"/>
    </row>
    <row r="26" ht="15.75" customHeight="1">
      <c r="A26" s="5">
        <v>17.0</v>
      </c>
      <c r="B26" s="26"/>
      <c r="C26" s="57" t="s">
        <v>108</v>
      </c>
      <c r="D26" s="58" t="s">
        <v>33</v>
      </c>
      <c r="E26" s="13">
        <v>45697.0</v>
      </c>
      <c r="F26" s="14">
        <v>0.4618055555555556</v>
      </c>
      <c r="G26" s="13">
        <v>45699.0</v>
      </c>
      <c r="H26" s="14">
        <v>0.3923611111111111</v>
      </c>
      <c r="I26" s="59">
        <v>7680.56</v>
      </c>
      <c r="J26" s="23"/>
      <c r="K26" s="45"/>
      <c r="L26" s="21"/>
      <c r="M26" s="25">
        <f t="shared" si="6"/>
        <v>45697.46181</v>
      </c>
      <c r="N26" s="25">
        <f t="shared" si="7"/>
        <v>45699.39236</v>
      </c>
      <c r="O26" s="25">
        <f t="shared" si="8"/>
        <v>1.930555556</v>
      </c>
      <c r="P26" s="25">
        <f t="shared" si="9"/>
        <v>46.33333333</v>
      </c>
      <c r="Q26" s="12">
        <v>3.0</v>
      </c>
      <c r="R26" s="2"/>
    </row>
    <row r="27" ht="15.75" customHeight="1">
      <c r="A27" s="5">
        <v>18.0</v>
      </c>
      <c r="B27" s="26"/>
      <c r="C27" s="57" t="s">
        <v>109</v>
      </c>
      <c r="D27" s="58" t="s">
        <v>33</v>
      </c>
      <c r="E27" s="13">
        <v>45693.0</v>
      </c>
      <c r="F27" s="14">
        <v>0.4479166666666667</v>
      </c>
      <c r="G27" s="13">
        <v>45697.0</v>
      </c>
      <c r="H27" s="14">
        <v>0.3333333333333333</v>
      </c>
      <c r="I27" s="59">
        <v>8294.66</v>
      </c>
      <c r="J27" s="23"/>
      <c r="K27" s="45"/>
      <c r="L27" s="21"/>
      <c r="M27" s="25">
        <f t="shared" si="6"/>
        <v>45693.44792</v>
      </c>
      <c r="N27" s="25">
        <f t="shared" si="7"/>
        <v>45697.33333</v>
      </c>
      <c r="O27" s="25">
        <f t="shared" si="8"/>
        <v>3.885416667</v>
      </c>
      <c r="P27" s="25">
        <f t="shared" si="9"/>
        <v>93.25</v>
      </c>
      <c r="Q27" s="12">
        <v>3.0</v>
      </c>
      <c r="R27" s="2"/>
    </row>
    <row r="28" ht="15.75" customHeight="1">
      <c r="A28" s="5">
        <v>19.0</v>
      </c>
      <c r="B28" s="26"/>
      <c r="C28" s="57" t="s">
        <v>110</v>
      </c>
      <c r="D28" s="58" t="s">
        <v>33</v>
      </c>
      <c r="E28" s="13">
        <v>45697.0</v>
      </c>
      <c r="F28" s="14">
        <v>0.3923611111111111</v>
      </c>
      <c r="G28" s="13">
        <v>45700.0</v>
      </c>
      <c r="H28" s="14">
        <v>0.3923611111111111</v>
      </c>
      <c r="I28" s="59">
        <v>7093.218</v>
      </c>
      <c r="J28" s="23"/>
      <c r="K28" s="45"/>
      <c r="L28" s="21"/>
      <c r="M28" s="25">
        <f t="shared" si="6"/>
        <v>45697.39236</v>
      </c>
      <c r="N28" s="25">
        <f t="shared" si="7"/>
        <v>45700.39236</v>
      </c>
      <c r="O28" s="25">
        <f t="shared" si="8"/>
        <v>3</v>
      </c>
      <c r="P28" s="25">
        <f t="shared" si="9"/>
        <v>72</v>
      </c>
      <c r="Q28" s="12">
        <v>3.0</v>
      </c>
      <c r="R28" s="2"/>
    </row>
    <row r="29" ht="15.75" customHeight="1">
      <c r="A29" s="5">
        <v>20.0</v>
      </c>
      <c r="B29" s="26"/>
      <c r="C29" s="57" t="s">
        <v>111</v>
      </c>
      <c r="D29" s="58" t="s">
        <v>33</v>
      </c>
      <c r="E29" s="13">
        <v>45700.0</v>
      </c>
      <c r="F29" s="14">
        <v>0.4583333333333333</v>
      </c>
      <c r="G29" s="13">
        <v>45705.0</v>
      </c>
      <c r="H29" s="14">
        <v>0.34722222222222227</v>
      </c>
      <c r="I29" s="59">
        <v>7094.2</v>
      </c>
      <c r="J29" s="23"/>
      <c r="K29" s="45"/>
      <c r="L29" s="21"/>
      <c r="M29" s="25">
        <f t="shared" si="6"/>
        <v>45700.45833</v>
      </c>
      <c r="N29" s="25">
        <f t="shared" si="7"/>
        <v>45705.34722</v>
      </c>
      <c r="O29" s="25">
        <f t="shared" si="8"/>
        <v>4.888888889</v>
      </c>
      <c r="P29" s="25">
        <f t="shared" si="9"/>
        <v>117.3333333</v>
      </c>
      <c r="Q29" s="12">
        <v>3.0</v>
      </c>
      <c r="R29" s="2"/>
    </row>
    <row r="30" ht="15.75" customHeight="1">
      <c r="A30" s="5">
        <v>21.0</v>
      </c>
      <c r="B30" s="26"/>
      <c r="C30" s="57" t="s">
        <v>112</v>
      </c>
      <c r="D30" s="58" t="s">
        <v>33</v>
      </c>
      <c r="E30" s="13">
        <v>45705.0</v>
      </c>
      <c r="F30" s="14">
        <v>0.37847222222222227</v>
      </c>
      <c r="G30" s="13">
        <v>45709.0</v>
      </c>
      <c r="H30" s="14">
        <v>0.34375</v>
      </c>
      <c r="I30" s="59">
        <v>8491.059</v>
      </c>
      <c r="J30" s="23"/>
      <c r="K30" s="45"/>
      <c r="L30" s="21"/>
      <c r="M30" s="25">
        <f t="shared" si="6"/>
        <v>45705.37847</v>
      </c>
      <c r="N30" s="25">
        <f t="shared" si="7"/>
        <v>45709.34375</v>
      </c>
      <c r="O30" s="25">
        <f t="shared" si="8"/>
        <v>3.965277778</v>
      </c>
      <c r="P30" s="25">
        <f t="shared" si="9"/>
        <v>95.16666667</v>
      </c>
      <c r="Q30" s="12">
        <v>3.0</v>
      </c>
      <c r="R30" s="2"/>
    </row>
    <row r="31" ht="15.75" customHeight="1">
      <c r="A31" s="5"/>
      <c r="B31" s="26"/>
      <c r="C31" s="18"/>
      <c r="D31" s="19"/>
      <c r="E31" s="20"/>
      <c r="F31" s="21"/>
      <c r="G31" s="20"/>
      <c r="H31" s="21"/>
      <c r="I31" s="22"/>
      <c r="J31" s="23"/>
      <c r="K31" s="45"/>
      <c r="L31" s="21"/>
      <c r="M31" s="46"/>
      <c r="N31" s="46"/>
      <c r="O31" s="46"/>
      <c r="P31" s="46"/>
      <c r="Q31" s="12"/>
      <c r="R31" s="2"/>
    </row>
    <row r="32" ht="15.75" customHeight="1">
      <c r="A32" s="5"/>
      <c r="B32" s="47"/>
      <c r="C32" s="30"/>
      <c r="D32" s="19"/>
      <c r="E32" s="20"/>
      <c r="F32" s="21"/>
      <c r="G32" s="20"/>
      <c r="H32" s="21"/>
      <c r="I32" s="22"/>
      <c r="J32" s="48"/>
      <c r="K32" s="49"/>
      <c r="L32" s="50"/>
      <c r="M32" s="46"/>
      <c r="N32" s="46"/>
      <c r="O32" s="46"/>
      <c r="P32" s="46"/>
      <c r="Q32" s="12"/>
      <c r="R32" s="2"/>
    </row>
    <row r="33" ht="15.75" customHeight="1">
      <c r="A33" s="31"/>
      <c r="B33" s="32"/>
      <c r="C33" s="51"/>
      <c r="D33" s="52"/>
      <c r="E33" s="20"/>
      <c r="F33" s="21"/>
      <c r="G33" s="20"/>
      <c r="H33" s="21"/>
      <c r="I33" s="53">
        <f t="shared" ref="I33:J33" si="10">SUM(I23:I32)</f>
        <v>60933.606</v>
      </c>
      <c r="J33" s="54">
        <f t="shared" si="10"/>
        <v>0</v>
      </c>
      <c r="K33" s="39">
        <f>+(P33)/(31*24)</f>
        <v>0.8803763441</v>
      </c>
      <c r="L33" s="40"/>
      <c r="M33" s="41"/>
      <c r="N33" s="41"/>
      <c r="O33" s="41"/>
      <c r="P33" s="42">
        <f>SUM(P23:P32)</f>
        <v>655</v>
      </c>
      <c r="Q33" s="2"/>
      <c r="R33" s="2"/>
    </row>
    <row r="34" ht="15.75" customHeight="1">
      <c r="A34" s="1"/>
      <c r="B34" s="12"/>
      <c r="C34" s="43"/>
      <c r="D34" s="12"/>
      <c r="E34" s="13"/>
      <c r="F34" s="14"/>
      <c r="G34" s="13"/>
      <c r="H34" s="14"/>
      <c r="I34" s="55"/>
      <c r="J34" s="56"/>
      <c r="K34" s="16"/>
      <c r="L34" s="14"/>
      <c r="M34" s="2"/>
      <c r="N34" s="2"/>
      <c r="O34" s="2"/>
      <c r="P34" s="2"/>
      <c r="Q34" s="2"/>
      <c r="R34" s="2"/>
    </row>
    <row r="35" ht="15.75" customHeight="1">
      <c r="A35" s="5">
        <v>22.0</v>
      </c>
      <c r="B35" s="17" t="s">
        <v>41</v>
      </c>
      <c r="C35" s="18" t="s">
        <v>113</v>
      </c>
      <c r="D35" s="19" t="s">
        <v>33</v>
      </c>
      <c r="E35" s="20">
        <v>45683.0</v>
      </c>
      <c r="F35" s="21">
        <v>0.5347222222222222</v>
      </c>
      <c r="G35" s="20">
        <v>45686.0</v>
      </c>
      <c r="H35" s="21">
        <v>0.40277777777777773</v>
      </c>
      <c r="I35" s="22">
        <v>7189.16</v>
      </c>
      <c r="J35" s="23"/>
      <c r="K35" s="45"/>
      <c r="L35" s="21"/>
      <c r="M35" s="25">
        <f t="shared" ref="M35:M48" si="11">INT(E35)+MOD(F35,1)</f>
        <v>45683.53472</v>
      </c>
      <c r="N35" s="25">
        <f t="shared" ref="N35:N48" si="12">INT(G35)+MOD(H35,1)</f>
        <v>45686.40278</v>
      </c>
      <c r="O35" s="60">
        <f t="shared" ref="O35:O48" si="13">N35-M35</f>
        <v>2.868055556</v>
      </c>
      <c r="P35" s="25">
        <f t="shared" ref="P35:P48" si="14">O35*24</f>
        <v>68.83333333</v>
      </c>
      <c r="Q35" s="12">
        <v>4.0</v>
      </c>
      <c r="R35" s="2"/>
    </row>
    <row r="36" ht="15.75" customHeight="1">
      <c r="A36" s="5">
        <v>23.0</v>
      </c>
      <c r="B36" s="26"/>
      <c r="C36" s="18" t="s">
        <v>114</v>
      </c>
      <c r="D36" s="19" t="s">
        <v>33</v>
      </c>
      <c r="E36" s="20">
        <v>45686.0</v>
      </c>
      <c r="F36" s="21">
        <v>0.5</v>
      </c>
      <c r="G36" s="20">
        <v>45690.0</v>
      </c>
      <c r="H36" s="21">
        <v>0.40138888888888885</v>
      </c>
      <c r="I36" s="22">
        <v>8224.14</v>
      </c>
      <c r="J36" s="23"/>
      <c r="K36" s="45"/>
      <c r="L36" s="21"/>
      <c r="M36" s="25">
        <f t="shared" si="11"/>
        <v>45686.5</v>
      </c>
      <c r="N36" s="25">
        <f t="shared" si="12"/>
        <v>45690.40139</v>
      </c>
      <c r="O36" s="60">
        <f t="shared" si="13"/>
        <v>3.901388889</v>
      </c>
      <c r="P36" s="25">
        <f t="shared" si="14"/>
        <v>93.63333333</v>
      </c>
      <c r="Q36" s="12">
        <v>4.0</v>
      </c>
      <c r="R36" s="2"/>
    </row>
    <row r="37" ht="15.75" customHeight="1">
      <c r="A37" s="5">
        <v>24.0</v>
      </c>
      <c r="B37" s="26"/>
      <c r="C37" s="18" t="s">
        <v>115</v>
      </c>
      <c r="D37" s="19" t="s">
        <v>33</v>
      </c>
      <c r="E37" s="20">
        <v>45690.0</v>
      </c>
      <c r="F37" s="21">
        <v>0.3923611111111111</v>
      </c>
      <c r="G37" s="20">
        <v>45692.0</v>
      </c>
      <c r="H37" s="21">
        <v>0.37847222222222227</v>
      </c>
      <c r="I37" s="22">
        <v>7416.7</v>
      </c>
      <c r="J37" s="23"/>
      <c r="K37" s="45"/>
      <c r="L37" s="21"/>
      <c r="M37" s="25">
        <f t="shared" si="11"/>
        <v>45690.39236</v>
      </c>
      <c r="N37" s="25">
        <f t="shared" si="12"/>
        <v>45692.37847</v>
      </c>
      <c r="O37" s="60">
        <f t="shared" si="13"/>
        <v>1.986111111</v>
      </c>
      <c r="P37" s="25">
        <f t="shared" si="14"/>
        <v>47.66666667</v>
      </c>
      <c r="Q37" s="12">
        <v>4.0</v>
      </c>
      <c r="R37" s="2"/>
    </row>
    <row r="38" ht="15.75" customHeight="1">
      <c r="A38" s="5">
        <v>25.0</v>
      </c>
      <c r="B38" s="26"/>
      <c r="C38" s="18" t="s">
        <v>116</v>
      </c>
      <c r="D38" s="19" t="s">
        <v>33</v>
      </c>
      <c r="E38" s="20">
        <v>45690.0</v>
      </c>
      <c r="F38" s="21">
        <v>0.4444444444444444</v>
      </c>
      <c r="G38" s="20">
        <v>45694.0</v>
      </c>
      <c r="H38" s="21">
        <v>0.5416666666666666</v>
      </c>
      <c r="I38" s="22">
        <v>7582.8</v>
      </c>
      <c r="J38" s="23"/>
      <c r="K38" s="45"/>
      <c r="L38" s="21"/>
      <c r="M38" s="25">
        <f t="shared" si="11"/>
        <v>45690.44444</v>
      </c>
      <c r="N38" s="25">
        <f t="shared" si="12"/>
        <v>45694.54167</v>
      </c>
      <c r="O38" s="60">
        <f t="shared" si="13"/>
        <v>4.097222222</v>
      </c>
      <c r="P38" s="25">
        <f t="shared" si="14"/>
        <v>98.33333333</v>
      </c>
      <c r="Q38" s="12">
        <v>4.0</v>
      </c>
      <c r="R38" s="2"/>
    </row>
    <row r="39" ht="15.75" customHeight="1">
      <c r="A39" s="5">
        <v>26.0</v>
      </c>
      <c r="B39" s="26"/>
      <c r="C39" s="18" t="s">
        <v>117</v>
      </c>
      <c r="D39" s="19" t="s">
        <v>33</v>
      </c>
      <c r="E39" s="20">
        <v>45680.0</v>
      </c>
      <c r="F39" s="21">
        <v>0.3888888888888889</v>
      </c>
      <c r="G39" s="20">
        <v>45686.0</v>
      </c>
      <c r="H39" s="21">
        <v>0.3020833333333333</v>
      </c>
      <c r="I39" s="22">
        <v>8421.967</v>
      </c>
      <c r="J39" s="23"/>
      <c r="K39" s="45"/>
      <c r="L39" s="21"/>
      <c r="M39" s="25">
        <f t="shared" si="11"/>
        <v>45680.38889</v>
      </c>
      <c r="N39" s="25">
        <f t="shared" si="12"/>
        <v>45686.30208</v>
      </c>
      <c r="O39" s="60">
        <f t="shared" si="13"/>
        <v>5.913194444</v>
      </c>
      <c r="P39" s="25">
        <f t="shared" si="14"/>
        <v>141.9166667</v>
      </c>
      <c r="Q39" s="12">
        <v>4.0</v>
      </c>
      <c r="R39" s="2"/>
    </row>
    <row r="40" ht="15.75" customHeight="1">
      <c r="A40" s="5">
        <v>27.0</v>
      </c>
      <c r="B40" s="26"/>
      <c r="C40" s="18" t="s">
        <v>118</v>
      </c>
      <c r="D40" s="19" t="s">
        <v>33</v>
      </c>
      <c r="E40" s="20">
        <v>45692.0</v>
      </c>
      <c r="F40" s="21">
        <v>0.4375</v>
      </c>
      <c r="G40" s="20">
        <v>45695.0</v>
      </c>
      <c r="H40" s="21">
        <v>0.3923611111111111</v>
      </c>
      <c r="I40" s="22">
        <v>7880.94</v>
      </c>
      <c r="J40" s="23"/>
      <c r="K40" s="45"/>
      <c r="L40" s="21"/>
      <c r="M40" s="25">
        <f t="shared" si="11"/>
        <v>45692.4375</v>
      </c>
      <c r="N40" s="25">
        <f t="shared" si="12"/>
        <v>45695.39236</v>
      </c>
      <c r="O40" s="60">
        <f t="shared" si="13"/>
        <v>2.954861111</v>
      </c>
      <c r="P40" s="25">
        <f t="shared" si="14"/>
        <v>70.91666667</v>
      </c>
      <c r="Q40" s="12">
        <v>4.0</v>
      </c>
      <c r="R40" s="2"/>
    </row>
    <row r="41" ht="15.75" customHeight="1">
      <c r="A41" s="5">
        <v>28.0</v>
      </c>
      <c r="B41" s="26"/>
      <c r="C41" s="18" t="s">
        <v>68</v>
      </c>
      <c r="D41" s="19" t="s">
        <v>33</v>
      </c>
      <c r="E41" s="20">
        <v>45695.0</v>
      </c>
      <c r="F41" s="21">
        <v>0.4444444444444444</v>
      </c>
      <c r="G41" s="20">
        <v>45697.0</v>
      </c>
      <c r="H41" s="21">
        <v>0.40277777777777773</v>
      </c>
      <c r="I41" s="22">
        <v>7535.46</v>
      </c>
      <c r="J41" s="23"/>
      <c r="K41" s="45"/>
      <c r="L41" s="21"/>
      <c r="M41" s="25">
        <f t="shared" si="11"/>
        <v>45695.44444</v>
      </c>
      <c r="N41" s="25">
        <f t="shared" si="12"/>
        <v>45697.40278</v>
      </c>
      <c r="O41" s="60">
        <f t="shared" si="13"/>
        <v>1.958333333</v>
      </c>
      <c r="P41" s="25">
        <f t="shared" si="14"/>
        <v>47</v>
      </c>
      <c r="Q41" s="12">
        <v>4.0</v>
      </c>
      <c r="R41" s="2"/>
    </row>
    <row r="42" ht="15.75" customHeight="1">
      <c r="A42" s="5">
        <v>29.0</v>
      </c>
      <c r="B42" s="26"/>
      <c r="C42" s="18" t="s">
        <v>119</v>
      </c>
      <c r="D42" s="19" t="s">
        <v>33</v>
      </c>
      <c r="E42" s="20">
        <v>45694.0</v>
      </c>
      <c r="F42" s="21">
        <v>0.71875</v>
      </c>
      <c r="G42" s="20">
        <v>45698.0</v>
      </c>
      <c r="H42" s="21">
        <v>0.3993055555555556</v>
      </c>
      <c r="I42" s="22">
        <v>8220.36</v>
      </c>
      <c r="J42" s="23"/>
      <c r="K42" s="45"/>
      <c r="L42" s="21"/>
      <c r="M42" s="25">
        <f t="shared" si="11"/>
        <v>45694.71875</v>
      </c>
      <c r="N42" s="25">
        <f t="shared" si="12"/>
        <v>45698.39931</v>
      </c>
      <c r="O42" s="60">
        <f t="shared" si="13"/>
        <v>3.680555556</v>
      </c>
      <c r="P42" s="25">
        <f t="shared" si="14"/>
        <v>88.33333333</v>
      </c>
      <c r="Q42" s="12">
        <v>4.0</v>
      </c>
      <c r="R42" s="2"/>
    </row>
    <row r="43" ht="15.75" customHeight="1">
      <c r="A43" s="5">
        <v>30.0</v>
      </c>
      <c r="B43" s="26"/>
      <c r="C43" s="18" t="s">
        <v>120</v>
      </c>
      <c r="D43" s="19" t="s">
        <v>33</v>
      </c>
      <c r="E43" s="20">
        <v>45698.0</v>
      </c>
      <c r="F43" s="21">
        <v>0.4479166666666667</v>
      </c>
      <c r="G43" s="20">
        <v>45700.0</v>
      </c>
      <c r="H43" s="21">
        <v>0.576388888888889</v>
      </c>
      <c r="I43" s="22">
        <v>6240.58</v>
      </c>
      <c r="J43" s="23"/>
      <c r="K43" s="45"/>
      <c r="L43" s="21"/>
      <c r="M43" s="25">
        <f t="shared" si="11"/>
        <v>45698.44792</v>
      </c>
      <c r="N43" s="25">
        <f t="shared" si="12"/>
        <v>45700.57639</v>
      </c>
      <c r="O43" s="60">
        <f t="shared" si="13"/>
        <v>2.128472222</v>
      </c>
      <c r="P43" s="25">
        <f t="shared" si="14"/>
        <v>51.08333333</v>
      </c>
      <c r="Q43" s="12">
        <v>4.0</v>
      </c>
      <c r="R43" s="2"/>
    </row>
    <row r="44" ht="15.75" customHeight="1">
      <c r="A44" s="5">
        <v>31.0</v>
      </c>
      <c r="B44" s="26"/>
      <c r="C44" s="18" t="s">
        <v>121</v>
      </c>
      <c r="D44" s="19" t="s">
        <v>33</v>
      </c>
      <c r="E44" s="20">
        <v>45705.0</v>
      </c>
      <c r="F44" s="21">
        <v>0.5520833333333334</v>
      </c>
      <c r="G44" s="20">
        <v>45707.0</v>
      </c>
      <c r="H44" s="21">
        <v>0.3506944444444444</v>
      </c>
      <c r="I44" s="22">
        <v>7673.34</v>
      </c>
      <c r="J44" s="23"/>
      <c r="K44" s="45"/>
      <c r="L44" s="21"/>
      <c r="M44" s="25">
        <f t="shared" si="11"/>
        <v>45705.55208</v>
      </c>
      <c r="N44" s="25">
        <f t="shared" si="12"/>
        <v>45707.35069</v>
      </c>
      <c r="O44" s="60">
        <f t="shared" si="13"/>
        <v>1.798611111</v>
      </c>
      <c r="P44" s="25">
        <f t="shared" si="14"/>
        <v>43.16666667</v>
      </c>
      <c r="Q44" s="12">
        <v>4.0</v>
      </c>
      <c r="R44" s="2"/>
    </row>
    <row r="45" ht="15.75" customHeight="1">
      <c r="A45" s="5">
        <v>32.0</v>
      </c>
      <c r="B45" s="26"/>
      <c r="C45" s="18" t="s">
        <v>122</v>
      </c>
      <c r="D45" s="19" t="s">
        <v>33</v>
      </c>
      <c r="E45" s="20">
        <v>45709.0</v>
      </c>
      <c r="F45" s="21">
        <v>0.576388888888889</v>
      </c>
      <c r="G45" s="20">
        <v>45711.0</v>
      </c>
      <c r="H45" s="21">
        <v>0.6458333333333334</v>
      </c>
      <c r="I45" s="22">
        <v>7657.92</v>
      </c>
      <c r="J45" s="23"/>
      <c r="K45" s="45"/>
      <c r="L45" s="21"/>
      <c r="M45" s="25">
        <f t="shared" si="11"/>
        <v>45709.57639</v>
      </c>
      <c r="N45" s="25">
        <f t="shared" si="12"/>
        <v>45711.64583</v>
      </c>
      <c r="O45" s="60">
        <f t="shared" si="13"/>
        <v>2.069444444</v>
      </c>
      <c r="P45" s="25">
        <f t="shared" si="14"/>
        <v>49.66666667</v>
      </c>
      <c r="Q45" s="12">
        <v>4.0</v>
      </c>
      <c r="R45" s="2"/>
    </row>
    <row r="46" ht="15.75" customHeight="1">
      <c r="A46" s="5">
        <v>33.0</v>
      </c>
      <c r="B46" s="26"/>
      <c r="C46" s="18" t="s">
        <v>123</v>
      </c>
      <c r="D46" s="19" t="s">
        <v>33</v>
      </c>
      <c r="E46" s="20">
        <v>45700.0</v>
      </c>
      <c r="F46" s="21">
        <v>0.6145833333333334</v>
      </c>
      <c r="G46" s="20">
        <v>45704.0</v>
      </c>
      <c r="H46" s="21">
        <v>0.40277777777777773</v>
      </c>
      <c r="I46" s="22">
        <v>8595.675</v>
      </c>
      <c r="J46" s="23"/>
      <c r="K46" s="45"/>
      <c r="L46" s="21"/>
      <c r="M46" s="25">
        <f t="shared" si="11"/>
        <v>45700.61458</v>
      </c>
      <c r="N46" s="25">
        <f t="shared" si="12"/>
        <v>45704.40278</v>
      </c>
      <c r="O46" s="60">
        <f t="shared" si="13"/>
        <v>3.788194444</v>
      </c>
      <c r="P46" s="25">
        <f t="shared" si="14"/>
        <v>90.91666667</v>
      </c>
      <c r="Q46" s="12">
        <v>4.0</v>
      </c>
      <c r="R46" s="2"/>
    </row>
    <row r="47" ht="15.75" customHeight="1">
      <c r="A47" s="5">
        <v>34.0</v>
      </c>
      <c r="B47" s="26"/>
      <c r="C47" s="18" t="s">
        <v>124</v>
      </c>
      <c r="D47" s="19" t="s">
        <v>33</v>
      </c>
      <c r="E47" s="20">
        <v>45707.0</v>
      </c>
      <c r="F47" s="21">
        <v>0.4513888888888889</v>
      </c>
      <c r="G47" s="20">
        <v>45709.0</v>
      </c>
      <c r="H47" s="21">
        <v>0.3888888888888889</v>
      </c>
      <c r="I47" s="22">
        <v>7236.74</v>
      </c>
      <c r="J47" s="23"/>
      <c r="K47" s="45"/>
      <c r="L47" s="21"/>
      <c r="M47" s="25">
        <f t="shared" si="11"/>
        <v>45707.45139</v>
      </c>
      <c r="N47" s="25">
        <f t="shared" si="12"/>
        <v>45709.38889</v>
      </c>
      <c r="O47" s="60">
        <f t="shared" si="13"/>
        <v>1.9375</v>
      </c>
      <c r="P47" s="25">
        <f t="shared" si="14"/>
        <v>46.5</v>
      </c>
      <c r="Q47" s="12">
        <v>4.0</v>
      </c>
      <c r="R47" s="2"/>
    </row>
    <row r="48" ht="15.75" customHeight="1">
      <c r="A48" s="5"/>
      <c r="B48" s="26"/>
      <c r="C48" s="18"/>
      <c r="D48" s="19"/>
      <c r="E48" s="20"/>
      <c r="F48" s="21"/>
      <c r="G48" s="20"/>
      <c r="H48" s="21"/>
      <c r="I48" s="22"/>
      <c r="J48" s="23"/>
      <c r="K48" s="45"/>
      <c r="L48" s="21"/>
      <c r="M48" s="25">
        <f t="shared" si="11"/>
        <v>0</v>
      </c>
      <c r="N48" s="25">
        <f t="shared" si="12"/>
        <v>0</v>
      </c>
      <c r="O48" s="60">
        <f t="shared" si="13"/>
        <v>0</v>
      </c>
      <c r="P48" s="25">
        <f t="shared" si="14"/>
        <v>0</v>
      </c>
      <c r="Q48" s="12">
        <v>4.0</v>
      </c>
      <c r="R48" s="2"/>
    </row>
    <row r="49" ht="15.75" customHeight="1">
      <c r="A49" s="62"/>
      <c r="B49" s="34"/>
      <c r="C49" s="30"/>
      <c r="D49" s="52"/>
      <c r="E49" s="20"/>
      <c r="F49" s="21"/>
      <c r="G49" s="20"/>
      <c r="H49" s="21"/>
      <c r="I49" s="53">
        <f t="shared" ref="I49:J49" si="15">SUM(I35:I48)</f>
        <v>99875.782</v>
      </c>
      <c r="J49" s="63">
        <f t="shared" si="15"/>
        <v>0</v>
      </c>
      <c r="K49" s="64">
        <f>+(P49)/(31*24)</f>
        <v>1.260707885</v>
      </c>
      <c r="L49" s="40"/>
      <c r="M49" s="41"/>
      <c r="N49" s="41"/>
      <c r="O49" s="41"/>
      <c r="P49" s="42">
        <f>SUM(P35:P48)</f>
        <v>937.9666667</v>
      </c>
      <c r="Q49" s="12"/>
      <c r="R49" s="2"/>
    </row>
    <row r="50" ht="15.75" customHeight="1">
      <c r="A50" s="65"/>
      <c r="B50" s="66"/>
      <c r="C50" s="67"/>
      <c r="D50" s="12"/>
      <c r="E50" s="13"/>
      <c r="F50" s="14"/>
      <c r="G50" s="13"/>
      <c r="H50" s="14"/>
      <c r="I50" s="55"/>
      <c r="J50" s="56"/>
      <c r="K50" s="68"/>
      <c r="L50" s="69"/>
      <c r="M50" s="70"/>
      <c r="N50" s="70"/>
      <c r="O50" s="70"/>
      <c r="P50" s="71"/>
      <c r="Q50" s="12"/>
      <c r="R50" s="2"/>
    </row>
    <row r="51" ht="15.75" customHeight="1">
      <c r="A51" s="5">
        <v>35.0</v>
      </c>
      <c r="B51" s="17" t="s">
        <v>62</v>
      </c>
      <c r="C51" s="18" t="s">
        <v>125</v>
      </c>
      <c r="D51" s="19" t="s">
        <v>33</v>
      </c>
      <c r="E51" s="20">
        <v>45686.0</v>
      </c>
      <c r="F51" s="21">
        <v>0.3854166666666667</v>
      </c>
      <c r="G51" s="20">
        <v>45690.0</v>
      </c>
      <c r="H51" s="21">
        <v>0.3055555555555555</v>
      </c>
      <c r="I51" s="22">
        <v>8128.74</v>
      </c>
      <c r="J51" s="23"/>
      <c r="K51" s="45"/>
      <c r="L51" s="72"/>
      <c r="M51" s="73">
        <f t="shared" ref="M51:M60" si="16">INT(E51)+MOD(F51,1)</f>
        <v>45686.38542</v>
      </c>
      <c r="N51" s="73">
        <f t="shared" ref="N51:N60" si="17">INT(G51)+MOD(H51,1)</f>
        <v>45690.30556</v>
      </c>
      <c r="O51" s="73">
        <f t="shared" ref="O51:O60" si="18">N51-M51</f>
        <v>3.920138889</v>
      </c>
      <c r="P51" s="73">
        <f t="shared" ref="P51:P60" si="19">O51*24</f>
        <v>94.08333333</v>
      </c>
      <c r="Q51" s="12">
        <v>5.0</v>
      </c>
      <c r="R51" s="2"/>
    </row>
    <row r="52" ht="15.75" customHeight="1">
      <c r="A52" s="5">
        <v>36.0</v>
      </c>
      <c r="B52" s="26"/>
      <c r="C52" s="18" t="s">
        <v>126</v>
      </c>
      <c r="D52" s="19" t="s">
        <v>33</v>
      </c>
      <c r="E52" s="20">
        <v>45681.0</v>
      </c>
      <c r="F52" s="21">
        <v>0.7534722222222222</v>
      </c>
      <c r="G52" s="20">
        <v>45684.0</v>
      </c>
      <c r="H52" s="21">
        <v>0.4236111111111111</v>
      </c>
      <c r="I52" s="22">
        <v>6148.28</v>
      </c>
      <c r="J52" s="23"/>
      <c r="K52" s="45"/>
      <c r="L52" s="21"/>
      <c r="M52" s="25">
        <f t="shared" si="16"/>
        <v>45681.75347</v>
      </c>
      <c r="N52" s="25">
        <f t="shared" si="17"/>
        <v>45684.42361</v>
      </c>
      <c r="O52" s="25">
        <f t="shared" si="18"/>
        <v>2.670138889</v>
      </c>
      <c r="P52" s="25">
        <f t="shared" si="19"/>
        <v>64.08333333</v>
      </c>
      <c r="Q52" s="12">
        <v>5.0</v>
      </c>
      <c r="R52" s="2"/>
    </row>
    <row r="53" ht="15.75" customHeight="1">
      <c r="A53" s="5">
        <v>37.0</v>
      </c>
      <c r="B53" s="26"/>
      <c r="C53" s="18" t="s">
        <v>127</v>
      </c>
      <c r="D53" s="19" t="s">
        <v>33</v>
      </c>
      <c r="E53" s="20">
        <v>45684.0</v>
      </c>
      <c r="F53" s="21">
        <v>0.4583333333333333</v>
      </c>
      <c r="G53" s="20">
        <v>45686.0</v>
      </c>
      <c r="H53" s="21">
        <v>0.7083333333333334</v>
      </c>
      <c r="I53" s="22">
        <v>7641.84</v>
      </c>
      <c r="J53" s="29"/>
      <c r="K53" s="45"/>
      <c r="L53" s="21"/>
      <c r="M53" s="25">
        <f t="shared" si="16"/>
        <v>45684.45833</v>
      </c>
      <c r="N53" s="25">
        <f t="shared" si="17"/>
        <v>45686.70833</v>
      </c>
      <c r="O53" s="25">
        <f t="shared" si="18"/>
        <v>2.25</v>
      </c>
      <c r="P53" s="25">
        <f t="shared" si="19"/>
        <v>54</v>
      </c>
      <c r="Q53" s="12">
        <v>5.0</v>
      </c>
      <c r="R53" s="2"/>
    </row>
    <row r="54" ht="15.75" customHeight="1">
      <c r="A54" s="5">
        <v>38.0</v>
      </c>
      <c r="B54" s="26"/>
      <c r="C54" s="18" t="s">
        <v>128</v>
      </c>
      <c r="D54" s="19" t="s">
        <v>33</v>
      </c>
      <c r="E54" s="20">
        <v>45687.0</v>
      </c>
      <c r="F54" s="21">
        <v>0.3819444444444444</v>
      </c>
      <c r="G54" s="20">
        <v>45691.0</v>
      </c>
      <c r="H54" s="21">
        <v>0.34375</v>
      </c>
      <c r="I54" s="22">
        <v>8594.246</v>
      </c>
      <c r="J54" s="23"/>
      <c r="K54" s="45"/>
      <c r="L54" s="21"/>
      <c r="M54" s="25">
        <f t="shared" si="16"/>
        <v>45687.38194</v>
      </c>
      <c r="N54" s="25">
        <f t="shared" si="17"/>
        <v>45691.34375</v>
      </c>
      <c r="O54" s="25">
        <f t="shared" si="18"/>
        <v>3.961805556</v>
      </c>
      <c r="P54" s="25">
        <f t="shared" si="19"/>
        <v>95.08333333</v>
      </c>
      <c r="Q54" s="12">
        <v>5.0</v>
      </c>
      <c r="R54" s="2"/>
    </row>
    <row r="55" ht="15.75" customHeight="1">
      <c r="A55" s="5">
        <v>39.0</v>
      </c>
      <c r="B55" s="26"/>
      <c r="C55" s="18" t="s">
        <v>129</v>
      </c>
      <c r="D55" s="19" t="s">
        <v>33</v>
      </c>
      <c r="E55" s="20">
        <v>45699.0</v>
      </c>
      <c r="F55" s="21">
        <v>0.4826388888888889</v>
      </c>
      <c r="G55" s="20">
        <v>45702.0</v>
      </c>
      <c r="H55" s="21">
        <v>0.548611111111111</v>
      </c>
      <c r="I55" s="22">
        <v>7589.02</v>
      </c>
      <c r="J55" s="23"/>
      <c r="K55" s="45"/>
      <c r="L55" s="21"/>
      <c r="M55" s="25">
        <f t="shared" si="16"/>
        <v>45699.48264</v>
      </c>
      <c r="N55" s="25">
        <f t="shared" si="17"/>
        <v>45702.54861</v>
      </c>
      <c r="O55" s="25">
        <f t="shared" si="18"/>
        <v>3.065972222</v>
      </c>
      <c r="P55" s="25">
        <f t="shared" si="19"/>
        <v>73.58333333</v>
      </c>
      <c r="Q55" s="12">
        <v>5.0</v>
      </c>
      <c r="R55" s="2"/>
    </row>
    <row r="56" ht="15.75" customHeight="1">
      <c r="A56" s="5">
        <v>40.0</v>
      </c>
      <c r="B56" s="26"/>
      <c r="C56" s="18" t="s">
        <v>130</v>
      </c>
      <c r="D56" s="19" t="s">
        <v>33</v>
      </c>
      <c r="E56" s="20">
        <v>45695.0</v>
      </c>
      <c r="F56" s="21">
        <v>0.49652777777777773</v>
      </c>
      <c r="G56" s="20">
        <v>45699.0</v>
      </c>
      <c r="H56" s="21">
        <v>0.5555555555555556</v>
      </c>
      <c r="I56" s="22">
        <v>8717.549</v>
      </c>
      <c r="J56" s="23"/>
      <c r="K56" s="45"/>
      <c r="L56" s="21"/>
      <c r="M56" s="25">
        <f t="shared" si="16"/>
        <v>45695.49653</v>
      </c>
      <c r="N56" s="25">
        <f t="shared" si="17"/>
        <v>45699.55556</v>
      </c>
      <c r="O56" s="25">
        <f t="shared" si="18"/>
        <v>4.059027778</v>
      </c>
      <c r="P56" s="25">
        <f t="shared" si="19"/>
        <v>97.41666667</v>
      </c>
      <c r="Q56" s="12">
        <v>5.0</v>
      </c>
      <c r="R56" s="2"/>
    </row>
    <row r="57" ht="15.75" customHeight="1">
      <c r="A57" s="5">
        <v>41.0</v>
      </c>
      <c r="B57" s="26"/>
      <c r="C57" s="18" t="s">
        <v>131</v>
      </c>
      <c r="D57" s="19" t="s">
        <v>33</v>
      </c>
      <c r="E57" s="20">
        <v>45699.0</v>
      </c>
      <c r="F57" s="21">
        <v>0.5902777777777778</v>
      </c>
      <c r="G57" s="20">
        <v>45702.0</v>
      </c>
      <c r="H57" s="21">
        <v>0.7291666666666666</v>
      </c>
      <c r="I57" s="22">
        <v>7298.133</v>
      </c>
      <c r="J57" s="23"/>
      <c r="K57" s="45"/>
      <c r="L57" s="50"/>
      <c r="M57" s="25">
        <f t="shared" si="16"/>
        <v>45699.59028</v>
      </c>
      <c r="N57" s="25">
        <f t="shared" si="17"/>
        <v>45702.72917</v>
      </c>
      <c r="O57" s="25">
        <f t="shared" si="18"/>
        <v>3.138888889</v>
      </c>
      <c r="P57" s="25">
        <f t="shared" si="19"/>
        <v>75.33333333</v>
      </c>
      <c r="Q57" s="12"/>
      <c r="R57" s="2"/>
    </row>
    <row r="58" ht="15.75" customHeight="1">
      <c r="A58" s="5">
        <v>42.0</v>
      </c>
      <c r="B58" s="26"/>
      <c r="C58" s="18" t="s">
        <v>132</v>
      </c>
      <c r="D58" s="19" t="s">
        <v>33</v>
      </c>
      <c r="E58" s="20">
        <v>45702.0</v>
      </c>
      <c r="F58" s="21">
        <v>0.6006944444444444</v>
      </c>
      <c r="G58" s="20">
        <v>45705.0</v>
      </c>
      <c r="H58" s="21">
        <v>0.3298611111111111</v>
      </c>
      <c r="I58" s="22">
        <v>7526.94</v>
      </c>
      <c r="J58" s="29"/>
      <c r="K58" s="45"/>
      <c r="L58" s="50"/>
      <c r="M58" s="25">
        <f t="shared" si="16"/>
        <v>45702.60069</v>
      </c>
      <c r="N58" s="25">
        <f t="shared" si="17"/>
        <v>45705.32986</v>
      </c>
      <c r="O58" s="25">
        <f t="shared" si="18"/>
        <v>2.729166667</v>
      </c>
      <c r="P58" s="25">
        <f t="shared" si="19"/>
        <v>65.5</v>
      </c>
      <c r="Q58" s="12"/>
      <c r="R58" s="2"/>
    </row>
    <row r="59" ht="15.75" customHeight="1">
      <c r="A59" s="5">
        <v>43.0</v>
      </c>
      <c r="B59" s="26"/>
      <c r="C59" s="18" t="s">
        <v>133</v>
      </c>
      <c r="D59" s="19" t="s">
        <v>33</v>
      </c>
      <c r="E59" s="20">
        <v>45702.0</v>
      </c>
      <c r="F59" s="21">
        <v>0.7569444444444445</v>
      </c>
      <c r="G59" s="20">
        <v>45705.0</v>
      </c>
      <c r="H59" s="21">
        <v>0.4375</v>
      </c>
      <c r="I59" s="22">
        <v>8191.523</v>
      </c>
      <c r="J59" s="23"/>
      <c r="K59" s="45"/>
      <c r="L59" s="50"/>
      <c r="M59" s="25">
        <f t="shared" si="16"/>
        <v>45702.75694</v>
      </c>
      <c r="N59" s="25">
        <f t="shared" si="17"/>
        <v>45705.4375</v>
      </c>
      <c r="O59" s="25">
        <f t="shared" si="18"/>
        <v>2.680555556</v>
      </c>
      <c r="P59" s="25">
        <f t="shared" si="19"/>
        <v>64.33333333</v>
      </c>
      <c r="Q59" s="12"/>
      <c r="R59" s="2"/>
    </row>
    <row r="60" ht="15.75" customHeight="1">
      <c r="A60" s="5"/>
      <c r="B60" s="26"/>
      <c r="C60" s="30"/>
      <c r="D60" s="19"/>
      <c r="E60" s="20"/>
      <c r="F60" s="21"/>
      <c r="G60" s="20"/>
      <c r="H60" s="21"/>
      <c r="I60" s="22"/>
      <c r="J60" s="23"/>
      <c r="K60" s="45"/>
      <c r="L60" s="50"/>
      <c r="M60" s="25">
        <f t="shared" si="16"/>
        <v>0</v>
      </c>
      <c r="N60" s="25">
        <f t="shared" si="17"/>
        <v>0</v>
      </c>
      <c r="O60" s="25">
        <f t="shared" si="18"/>
        <v>0</v>
      </c>
      <c r="P60" s="25">
        <f t="shared" si="19"/>
        <v>0</v>
      </c>
      <c r="Q60" s="12"/>
      <c r="R60" s="2"/>
    </row>
    <row r="61" ht="15.75" customHeight="1">
      <c r="A61" s="31"/>
      <c r="B61" s="32"/>
      <c r="C61" s="83"/>
      <c r="D61" s="32"/>
      <c r="E61" s="84"/>
      <c r="F61" s="40"/>
      <c r="G61" s="84"/>
      <c r="H61" s="40"/>
      <c r="I61" s="85">
        <f t="shared" ref="I61:J61" si="20">SUM(I51:I60)</f>
        <v>69836.271</v>
      </c>
      <c r="J61" s="86">
        <f t="shared" si="20"/>
        <v>0</v>
      </c>
      <c r="K61" s="39">
        <f>+(P61)/(31*24)</f>
        <v>0.9185707885</v>
      </c>
      <c r="L61" s="40"/>
      <c r="M61" s="41"/>
      <c r="N61" s="41"/>
      <c r="O61" s="41"/>
      <c r="P61" s="42">
        <f>SUM(P51:P60)</f>
        <v>683.4166667</v>
      </c>
      <c r="Q61" s="12"/>
      <c r="R61" s="2"/>
    </row>
    <row r="62" ht="15.75" customHeight="1">
      <c r="A62" s="1"/>
      <c r="B62" s="12"/>
      <c r="C62" s="67"/>
      <c r="D62" s="12"/>
      <c r="E62" s="13"/>
      <c r="F62" s="14"/>
      <c r="G62" s="13"/>
      <c r="H62" s="14"/>
      <c r="I62" s="55"/>
      <c r="J62" s="56"/>
      <c r="K62" s="16"/>
      <c r="L62" s="14"/>
      <c r="M62" s="2"/>
      <c r="N62" s="2"/>
      <c r="O62" s="2"/>
      <c r="P62" s="2"/>
      <c r="Q62" s="12"/>
      <c r="R62" s="2"/>
    </row>
    <row r="63" ht="15.75" customHeight="1">
      <c r="A63" s="1"/>
      <c r="B63" s="12"/>
      <c r="C63" s="67"/>
      <c r="D63" s="12"/>
      <c r="E63" s="13"/>
      <c r="F63" s="14"/>
      <c r="G63" s="13"/>
      <c r="H63" s="14"/>
      <c r="I63" s="55"/>
      <c r="J63" s="56"/>
      <c r="K63" s="16"/>
      <c r="L63" s="14"/>
      <c r="M63" s="2"/>
      <c r="N63" s="2"/>
      <c r="O63" s="2"/>
      <c r="P63" s="2"/>
      <c r="Q63" s="2"/>
      <c r="R63" s="2"/>
    </row>
    <row r="64" ht="15.75" customHeight="1">
      <c r="A64" s="1"/>
      <c r="B64" s="12"/>
      <c r="C64" s="67"/>
      <c r="D64" s="12"/>
      <c r="E64" s="13"/>
      <c r="F64" s="14"/>
      <c r="G64" s="13"/>
      <c r="H64" s="14"/>
      <c r="I64" s="55"/>
      <c r="J64" s="56"/>
      <c r="K64" s="16"/>
      <c r="L64" s="14"/>
      <c r="M64" s="2"/>
      <c r="N64" s="2"/>
      <c r="O64" s="2"/>
      <c r="P64" s="2"/>
      <c r="Q64" s="2"/>
      <c r="R64" s="2"/>
    </row>
    <row r="65" ht="15.75" customHeight="1">
      <c r="A65" s="1"/>
      <c r="B65" s="12"/>
      <c r="C65" s="67"/>
      <c r="D65" s="12"/>
      <c r="E65" s="13"/>
      <c r="F65" s="14"/>
      <c r="G65" s="13"/>
      <c r="H65" s="14"/>
      <c r="I65" s="55"/>
      <c r="J65" s="56"/>
      <c r="K65" s="16"/>
      <c r="L65" s="14"/>
      <c r="M65" s="2"/>
      <c r="N65" s="2"/>
      <c r="O65" s="2"/>
      <c r="P65" s="2"/>
      <c r="Q65" s="2"/>
      <c r="R65" s="2"/>
    </row>
    <row r="66" ht="15.75" customHeight="1">
      <c r="A66" s="5">
        <v>44.0</v>
      </c>
      <c r="B66" s="17" t="s">
        <v>69</v>
      </c>
      <c r="C66" s="18" t="s">
        <v>134</v>
      </c>
      <c r="D66" s="19" t="s">
        <v>33</v>
      </c>
      <c r="E66" s="20">
        <v>45677.0</v>
      </c>
      <c r="F66" s="21">
        <v>0.9541666666666666</v>
      </c>
      <c r="G66" s="20">
        <v>45683.0</v>
      </c>
      <c r="H66" s="21">
        <v>0.5534722222222223</v>
      </c>
      <c r="I66" s="22">
        <v>51643.72</v>
      </c>
      <c r="J66" s="74"/>
      <c r="K66" s="88"/>
      <c r="L66" s="46"/>
      <c r="M66" s="25">
        <f t="shared" ref="M66:M75" si="21">INT(E66)+MOD(F66,1)</f>
        <v>45677.95417</v>
      </c>
      <c r="N66" s="25">
        <f t="shared" ref="N66:N75" si="22">INT(G66)+MOD(H66,1)</f>
        <v>45683.55347</v>
      </c>
      <c r="O66" s="25">
        <f t="shared" ref="O66:O75" si="23">N66-M66</f>
        <v>5.599305556</v>
      </c>
      <c r="P66" s="25">
        <f t="shared" ref="P66:P75" si="24">O66*24</f>
        <v>134.3833333</v>
      </c>
      <c r="Q66" s="12">
        <v>7.0</v>
      </c>
      <c r="R66" s="12"/>
    </row>
    <row r="67" ht="15.75" customHeight="1">
      <c r="A67" s="5">
        <v>45.0</v>
      </c>
      <c r="B67" s="26"/>
      <c r="C67" s="18" t="s">
        <v>135</v>
      </c>
      <c r="D67" s="19" t="s">
        <v>33</v>
      </c>
      <c r="E67" s="20">
        <v>45679.0</v>
      </c>
      <c r="F67" s="21">
        <v>0.78125</v>
      </c>
      <c r="G67" s="20">
        <v>45684.0</v>
      </c>
      <c r="H67" s="21">
        <v>0.3368055555555556</v>
      </c>
      <c r="I67" s="22">
        <v>12027.752</v>
      </c>
      <c r="J67" s="74"/>
      <c r="K67" s="88"/>
      <c r="L67" s="46"/>
      <c r="M67" s="25">
        <f t="shared" si="21"/>
        <v>45679.78125</v>
      </c>
      <c r="N67" s="25">
        <f t="shared" si="22"/>
        <v>45684.33681</v>
      </c>
      <c r="O67" s="25">
        <f t="shared" si="23"/>
        <v>4.555555556</v>
      </c>
      <c r="P67" s="25">
        <f t="shared" si="24"/>
        <v>109.3333333</v>
      </c>
      <c r="Q67" s="12">
        <v>6.0</v>
      </c>
      <c r="R67" s="12"/>
    </row>
    <row r="68" ht="15.75" customHeight="1">
      <c r="A68" s="5">
        <v>46.0</v>
      </c>
      <c r="B68" s="26"/>
      <c r="C68" s="18" t="s">
        <v>136</v>
      </c>
      <c r="D68" s="19" t="s">
        <v>33</v>
      </c>
      <c r="E68" s="20">
        <v>45684.0</v>
      </c>
      <c r="F68" s="21">
        <v>0.5833333333333334</v>
      </c>
      <c r="G68" s="20">
        <v>45689.0</v>
      </c>
      <c r="H68" s="21">
        <v>0.46875</v>
      </c>
      <c r="I68" s="22">
        <v>7257.788</v>
      </c>
      <c r="J68" s="74"/>
      <c r="K68" s="88"/>
      <c r="L68" s="46"/>
      <c r="M68" s="25">
        <f t="shared" si="21"/>
        <v>45684.58333</v>
      </c>
      <c r="N68" s="25">
        <f t="shared" si="22"/>
        <v>45689.46875</v>
      </c>
      <c r="O68" s="25">
        <f t="shared" si="23"/>
        <v>4.885416667</v>
      </c>
      <c r="P68" s="25">
        <f t="shared" si="24"/>
        <v>117.25</v>
      </c>
      <c r="Q68" s="12">
        <v>7.0</v>
      </c>
      <c r="R68" s="12"/>
    </row>
    <row r="69" ht="15.75" customHeight="1">
      <c r="A69" s="5">
        <v>47.0</v>
      </c>
      <c r="B69" s="26"/>
      <c r="C69" s="18" t="s">
        <v>137</v>
      </c>
      <c r="D69" s="19" t="s">
        <v>33</v>
      </c>
      <c r="E69" s="20">
        <v>45689.0</v>
      </c>
      <c r="F69" s="21">
        <v>0.5208333333333334</v>
      </c>
      <c r="G69" s="20">
        <v>45695.0</v>
      </c>
      <c r="H69" s="21">
        <v>0.3645833333333333</v>
      </c>
      <c r="I69" s="22">
        <v>7545.571</v>
      </c>
      <c r="J69" s="74"/>
      <c r="K69" s="88"/>
      <c r="L69" s="46"/>
      <c r="M69" s="25">
        <f t="shared" si="21"/>
        <v>45689.52083</v>
      </c>
      <c r="N69" s="25">
        <f t="shared" si="22"/>
        <v>45695.36458</v>
      </c>
      <c r="O69" s="25">
        <f t="shared" si="23"/>
        <v>5.84375</v>
      </c>
      <c r="P69" s="25">
        <f t="shared" si="24"/>
        <v>140.25</v>
      </c>
      <c r="Q69" s="12">
        <v>7.0</v>
      </c>
      <c r="R69" s="12"/>
    </row>
    <row r="70" ht="15.75" customHeight="1">
      <c r="A70" s="5">
        <v>48.0</v>
      </c>
      <c r="B70" s="26"/>
      <c r="C70" s="18" t="s">
        <v>138</v>
      </c>
      <c r="D70" s="19" t="s">
        <v>139</v>
      </c>
      <c r="E70" s="20">
        <v>45694.0</v>
      </c>
      <c r="F70" s="21">
        <v>0.09375</v>
      </c>
      <c r="G70" s="20">
        <v>45699.0</v>
      </c>
      <c r="H70" s="21">
        <v>0.717361111111111</v>
      </c>
      <c r="I70" s="22">
        <v>29803.495</v>
      </c>
      <c r="J70" s="74"/>
      <c r="K70" s="88"/>
      <c r="L70" s="46"/>
      <c r="M70" s="25">
        <f t="shared" si="21"/>
        <v>45694.09375</v>
      </c>
      <c r="N70" s="25">
        <f t="shared" si="22"/>
        <v>45699.71736</v>
      </c>
      <c r="O70" s="25">
        <f t="shared" si="23"/>
        <v>5.623611111</v>
      </c>
      <c r="P70" s="25">
        <f t="shared" si="24"/>
        <v>134.9666667</v>
      </c>
      <c r="Q70" s="12">
        <v>7.0</v>
      </c>
      <c r="R70" s="12"/>
    </row>
    <row r="71" ht="15.75" customHeight="1">
      <c r="A71" s="5">
        <v>49.0</v>
      </c>
      <c r="B71" s="26"/>
      <c r="C71" s="18" t="s">
        <v>140</v>
      </c>
      <c r="D71" s="19" t="s">
        <v>33</v>
      </c>
      <c r="E71" s="20">
        <v>45699.0</v>
      </c>
      <c r="F71" s="21">
        <v>0.4444444444444444</v>
      </c>
      <c r="G71" s="20">
        <v>45703.0</v>
      </c>
      <c r="H71" s="21">
        <v>0.6354166666666666</v>
      </c>
      <c r="I71" s="22">
        <v>8708.366</v>
      </c>
      <c r="J71" s="74"/>
      <c r="K71" s="88"/>
      <c r="L71" s="46"/>
      <c r="M71" s="25">
        <f t="shared" si="21"/>
        <v>45699.44444</v>
      </c>
      <c r="N71" s="25">
        <f t="shared" si="22"/>
        <v>45703.63542</v>
      </c>
      <c r="O71" s="25">
        <f t="shared" si="23"/>
        <v>4.190972222</v>
      </c>
      <c r="P71" s="25">
        <f t="shared" si="24"/>
        <v>100.5833333</v>
      </c>
      <c r="Q71" s="12">
        <v>6.0</v>
      </c>
      <c r="R71" s="12"/>
    </row>
    <row r="72" ht="15.75" customHeight="1">
      <c r="A72" s="5">
        <v>50.0</v>
      </c>
      <c r="B72" s="26"/>
      <c r="C72" s="18" t="s">
        <v>141</v>
      </c>
      <c r="D72" s="19" t="s">
        <v>33</v>
      </c>
      <c r="E72" s="20">
        <v>45700.0</v>
      </c>
      <c r="F72" s="21">
        <v>0.5590277777777778</v>
      </c>
      <c r="G72" s="20">
        <v>45712.0</v>
      </c>
      <c r="H72" s="21">
        <v>0.34722222222222227</v>
      </c>
      <c r="I72" s="22">
        <v>8801.354</v>
      </c>
      <c r="J72" s="74"/>
      <c r="K72" s="99"/>
      <c r="L72" s="82"/>
      <c r="M72" s="25">
        <f t="shared" si="21"/>
        <v>45700.55903</v>
      </c>
      <c r="N72" s="25">
        <f t="shared" si="22"/>
        <v>45712.34722</v>
      </c>
      <c r="O72" s="25">
        <f t="shared" si="23"/>
        <v>11.78819444</v>
      </c>
      <c r="P72" s="25">
        <f t="shared" si="24"/>
        <v>282.9166667</v>
      </c>
      <c r="Q72" s="12">
        <v>7.0</v>
      </c>
      <c r="R72" s="12"/>
    </row>
    <row r="73" ht="15.75" customHeight="1">
      <c r="A73" s="5">
        <v>51.0</v>
      </c>
      <c r="B73" s="26"/>
      <c r="C73" s="18" t="s">
        <v>142</v>
      </c>
      <c r="D73" s="27" t="s">
        <v>143</v>
      </c>
      <c r="E73" s="20">
        <v>45704.0</v>
      </c>
      <c r="F73" s="21">
        <v>0.8583333333333334</v>
      </c>
      <c r="G73" s="20">
        <v>45710.0</v>
      </c>
      <c r="H73" s="21">
        <v>0.8576388888888888</v>
      </c>
      <c r="I73" s="100">
        <v>34884.0</v>
      </c>
      <c r="J73" s="74"/>
      <c r="K73" s="99"/>
      <c r="L73" s="82"/>
      <c r="M73" s="25">
        <f t="shared" si="21"/>
        <v>45704.85833</v>
      </c>
      <c r="N73" s="25">
        <f t="shared" si="22"/>
        <v>45710.85764</v>
      </c>
      <c r="O73" s="25">
        <f t="shared" si="23"/>
        <v>5.999305556</v>
      </c>
      <c r="P73" s="25">
        <f t="shared" si="24"/>
        <v>143.9833333</v>
      </c>
      <c r="Q73" s="12">
        <v>6.0</v>
      </c>
      <c r="R73" s="12"/>
    </row>
    <row r="74" ht="15.75" customHeight="1">
      <c r="A74" s="5">
        <v>52.0</v>
      </c>
      <c r="B74" s="26"/>
      <c r="C74" s="18" t="s">
        <v>144</v>
      </c>
      <c r="D74" s="19" t="s">
        <v>33</v>
      </c>
      <c r="E74" s="20">
        <v>45712.0</v>
      </c>
      <c r="F74" s="21">
        <v>0.3993055555555556</v>
      </c>
      <c r="G74" s="20">
        <v>45714.0</v>
      </c>
      <c r="H74" s="21">
        <v>0.49652777777777773</v>
      </c>
      <c r="I74" s="22">
        <v>8291.498</v>
      </c>
      <c r="J74" s="74"/>
      <c r="K74" s="99"/>
      <c r="L74" s="82"/>
      <c r="M74" s="25">
        <f t="shared" si="21"/>
        <v>45712.39931</v>
      </c>
      <c r="N74" s="25">
        <f t="shared" si="22"/>
        <v>45714.49653</v>
      </c>
      <c r="O74" s="25">
        <f t="shared" si="23"/>
        <v>2.097222222</v>
      </c>
      <c r="P74" s="25">
        <f t="shared" si="24"/>
        <v>50.33333333</v>
      </c>
      <c r="Q74" s="12">
        <v>7.0</v>
      </c>
      <c r="R74" s="12"/>
    </row>
    <row r="75" ht="15.75" customHeight="1">
      <c r="A75" s="5"/>
      <c r="B75" s="89"/>
      <c r="C75" s="30"/>
      <c r="D75" s="19"/>
      <c r="E75" s="20"/>
      <c r="F75" s="21"/>
      <c r="G75" s="20"/>
      <c r="H75" s="21"/>
      <c r="I75" s="22"/>
      <c r="J75" s="74"/>
      <c r="K75" s="49"/>
      <c r="L75" s="50"/>
      <c r="M75" s="25">
        <f t="shared" si="21"/>
        <v>0</v>
      </c>
      <c r="N75" s="25">
        <f t="shared" si="22"/>
        <v>0</v>
      </c>
      <c r="O75" s="25">
        <f t="shared" si="23"/>
        <v>0</v>
      </c>
      <c r="P75" s="25">
        <f t="shared" si="24"/>
        <v>0</v>
      </c>
      <c r="Q75" s="12"/>
      <c r="R75" s="12"/>
    </row>
    <row r="76" ht="15.75" customHeight="1">
      <c r="A76" s="90"/>
      <c r="B76" s="91"/>
      <c r="C76" s="91"/>
      <c r="D76" s="91"/>
      <c r="E76" s="91"/>
      <c r="F76" s="91"/>
      <c r="G76" s="91"/>
      <c r="H76" s="91"/>
      <c r="I76" s="92">
        <f t="shared" ref="I76:J76" si="25">SUM(I66:I75)</f>
        <v>168963.544</v>
      </c>
      <c r="J76" s="93">
        <f t="shared" si="25"/>
        <v>0</v>
      </c>
      <c r="K76" s="39">
        <f>+(P76)/(31*24)</f>
        <v>1.63172043</v>
      </c>
      <c r="L76" s="41"/>
      <c r="M76" s="41"/>
      <c r="N76" s="41"/>
      <c r="O76" s="41"/>
      <c r="P76" s="42">
        <f>SUM(P66:P75)</f>
        <v>1214</v>
      </c>
      <c r="Q76" s="12"/>
      <c r="R76" s="1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12"/>
      <c r="R77" s="1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94"/>
      <c r="J78" s="95"/>
      <c r="K78" s="3"/>
      <c r="L78" s="2"/>
      <c r="M78" s="2"/>
      <c r="N78" s="2"/>
      <c r="O78" s="2"/>
      <c r="P78" s="2"/>
      <c r="Q78" s="12"/>
      <c r="R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12"/>
      <c r="R79" s="2"/>
    </row>
    <row r="80" ht="15.75" customHeight="1">
      <c r="A80" s="96" t="s">
        <v>80</v>
      </c>
      <c r="B80" s="96"/>
      <c r="C80" s="96" t="s">
        <v>81</v>
      </c>
      <c r="D80" s="96" t="s">
        <v>82</v>
      </c>
      <c r="E80" s="96" t="s">
        <v>18</v>
      </c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12"/>
      <c r="R80" s="2"/>
    </row>
    <row r="81" ht="15.75" customHeight="1">
      <c r="A81" s="96" t="s">
        <v>83</v>
      </c>
      <c r="B81" s="96"/>
      <c r="C81" s="96"/>
      <c r="D81" s="96" t="s">
        <v>84</v>
      </c>
      <c r="E81" s="96" t="s">
        <v>31</v>
      </c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</row>
    <row r="82" ht="15.75" customHeight="1">
      <c r="A82" s="96"/>
      <c r="B82" s="96"/>
      <c r="C82" s="96"/>
      <c r="D82" s="96" t="s">
        <v>85</v>
      </c>
      <c r="E82" s="96" t="s">
        <v>41</v>
      </c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</row>
    <row r="83" ht="15.75" customHeight="1">
      <c r="A83" s="96"/>
      <c r="B83" s="96"/>
      <c r="C83" s="96"/>
      <c r="D83" s="96" t="s">
        <v>86</v>
      </c>
      <c r="E83" s="96" t="s">
        <v>62</v>
      </c>
      <c r="F83" s="2"/>
      <c r="G83" s="2"/>
      <c r="H83" s="2"/>
      <c r="I83" s="2"/>
      <c r="J83" s="2"/>
      <c r="K83" s="3"/>
      <c r="L83" s="97"/>
      <c r="M83" s="2"/>
      <c r="N83" s="2"/>
      <c r="O83" s="2"/>
      <c r="P83" s="2"/>
      <c r="Q83" s="2"/>
      <c r="R83" s="2"/>
    </row>
    <row r="84" ht="15.75" customHeight="1">
      <c r="A84" s="96"/>
      <c r="B84" s="96"/>
      <c r="C84" s="96"/>
      <c r="D84" s="96" t="s">
        <v>87</v>
      </c>
      <c r="E84" s="96" t="s">
        <v>69</v>
      </c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</row>
    <row r="85" ht="15.75" customHeight="1">
      <c r="A85" s="96"/>
      <c r="B85" s="96"/>
      <c r="C85" s="96"/>
      <c r="D85" s="96"/>
      <c r="E85" s="96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2"/>
    <mergeCell ref="B35:B48"/>
    <mergeCell ref="B51:B60"/>
    <mergeCell ref="B66:B7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145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18" t="s">
        <v>146</v>
      </c>
      <c r="D7" s="19" t="s">
        <v>104</v>
      </c>
      <c r="E7" s="20">
        <v>45711.0</v>
      </c>
      <c r="F7" s="21">
        <v>0.611111111111111</v>
      </c>
      <c r="G7" s="20">
        <v>45715.0</v>
      </c>
      <c r="H7" s="21">
        <v>0.40277777777777773</v>
      </c>
      <c r="I7" s="22"/>
      <c r="J7" s="23">
        <v>5501.771</v>
      </c>
      <c r="K7" s="24"/>
      <c r="L7" s="21"/>
      <c r="M7" s="25">
        <f t="shared" ref="M7:M14" si="1">INT(E7)+MOD(F7,1)</f>
        <v>45711.61111</v>
      </c>
      <c r="N7" s="25">
        <f t="shared" ref="N7:N14" si="2">INT(G7)+MOD(H7,1)</f>
        <v>45715.40278</v>
      </c>
      <c r="O7" s="25">
        <f t="shared" ref="O7:O14" si="3">N7-M7</f>
        <v>3.791666667</v>
      </c>
      <c r="P7" s="25">
        <f t="shared" ref="P7:P14" si="4">O7*24</f>
        <v>91</v>
      </c>
      <c r="Q7" s="12">
        <v>2.0</v>
      </c>
      <c r="R7" s="2"/>
    </row>
    <row r="8">
      <c r="A8" s="5">
        <v>2.0</v>
      </c>
      <c r="B8" s="26"/>
      <c r="C8" s="18" t="s">
        <v>147</v>
      </c>
      <c r="D8" s="19" t="s">
        <v>148</v>
      </c>
      <c r="E8" s="20">
        <v>45714.0</v>
      </c>
      <c r="F8" s="21">
        <v>0.625</v>
      </c>
      <c r="G8" s="20">
        <v>45717.0</v>
      </c>
      <c r="H8" s="21">
        <v>0.6354166666666666</v>
      </c>
      <c r="I8" s="22">
        <v>18499.9</v>
      </c>
      <c r="J8" s="23"/>
      <c r="K8" s="24"/>
      <c r="L8" s="21"/>
      <c r="M8" s="25">
        <f t="shared" si="1"/>
        <v>45714.625</v>
      </c>
      <c r="N8" s="25">
        <f t="shared" si="2"/>
        <v>45717.63542</v>
      </c>
      <c r="O8" s="25">
        <f t="shared" si="3"/>
        <v>3.010416667</v>
      </c>
      <c r="P8" s="25">
        <f t="shared" si="4"/>
        <v>72.25</v>
      </c>
      <c r="Q8" s="12">
        <v>2.0</v>
      </c>
      <c r="R8" s="2"/>
    </row>
    <row r="9">
      <c r="A9" s="5">
        <v>3.0</v>
      </c>
      <c r="B9" s="26"/>
      <c r="C9" s="18" t="s">
        <v>149</v>
      </c>
      <c r="D9" s="19" t="s">
        <v>104</v>
      </c>
      <c r="E9" s="20">
        <v>45720.0</v>
      </c>
      <c r="F9" s="21">
        <v>0.3333333333333333</v>
      </c>
      <c r="G9" s="20">
        <v>45722.0</v>
      </c>
      <c r="H9" s="21">
        <v>0.37152777777777773</v>
      </c>
      <c r="I9" s="22"/>
      <c r="J9" s="23">
        <v>2508.45</v>
      </c>
      <c r="K9" s="24"/>
      <c r="L9" s="21"/>
      <c r="M9" s="25">
        <f t="shared" si="1"/>
        <v>45720.33333</v>
      </c>
      <c r="N9" s="25">
        <f t="shared" si="2"/>
        <v>45722.37153</v>
      </c>
      <c r="O9" s="25">
        <f t="shared" si="3"/>
        <v>2.038194444</v>
      </c>
      <c r="P9" s="25">
        <f t="shared" si="4"/>
        <v>48.91666667</v>
      </c>
      <c r="Q9" s="12">
        <v>2.0</v>
      </c>
      <c r="R9" s="2"/>
    </row>
    <row r="10">
      <c r="A10" s="5">
        <v>4.0</v>
      </c>
      <c r="B10" s="26"/>
      <c r="C10" s="18" t="s">
        <v>150</v>
      </c>
      <c r="D10" s="27" t="s">
        <v>30</v>
      </c>
      <c r="E10" s="20">
        <v>45727.0</v>
      </c>
      <c r="F10" s="21">
        <v>0.09166666666666667</v>
      </c>
      <c r="G10" s="20">
        <v>45727.0</v>
      </c>
      <c r="H10" s="21">
        <v>0.39999999999999997</v>
      </c>
      <c r="I10" s="28">
        <v>18.0</v>
      </c>
      <c r="J10" s="29">
        <v>54.0</v>
      </c>
      <c r="K10" s="24"/>
      <c r="L10" s="21"/>
      <c r="M10" s="25">
        <f t="shared" si="1"/>
        <v>45727.09167</v>
      </c>
      <c r="N10" s="25">
        <f t="shared" si="2"/>
        <v>45727.4</v>
      </c>
      <c r="O10" s="25">
        <f t="shared" si="3"/>
        <v>0.3083333333</v>
      </c>
      <c r="P10" s="25">
        <f t="shared" si="4"/>
        <v>7.4</v>
      </c>
      <c r="Q10" s="12">
        <v>2.0</v>
      </c>
      <c r="R10" s="2"/>
    </row>
    <row r="11">
      <c r="A11" s="5">
        <v>5.0</v>
      </c>
      <c r="B11" s="26"/>
      <c r="C11" s="18" t="s">
        <v>151</v>
      </c>
      <c r="D11" s="19" t="s">
        <v>148</v>
      </c>
      <c r="E11" s="20">
        <v>45727.0</v>
      </c>
      <c r="F11" s="21">
        <v>0.4861111111111111</v>
      </c>
      <c r="G11" s="20">
        <v>45729.0</v>
      </c>
      <c r="H11" s="21">
        <v>0.8368055555555555</v>
      </c>
      <c r="I11" s="22">
        <v>13815.2</v>
      </c>
      <c r="J11" s="23"/>
      <c r="K11" s="24"/>
      <c r="L11" s="21"/>
      <c r="M11" s="25">
        <f t="shared" si="1"/>
        <v>45727.48611</v>
      </c>
      <c r="N11" s="25">
        <f t="shared" si="2"/>
        <v>45729.83681</v>
      </c>
      <c r="O11" s="25">
        <f t="shared" si="3"/>
        <v>2.350694444</v>
      </c>
      <c r="P11" s="25">
        <f t="shared" si="4"/>
        <v>56.41666667</v>
      </c>
      <c r="Q11" s="12">
        <v>2.0</v>
      </c>
      <c r="R11" s="2"/>
    </row>
    <row r="12">
      <c r="A12" s="5">
        <v>6.0</v>
      </c>
      <c r="B12" s="26"/>
      <c r="C12" s="18" t="s">
        <v>152</v>
      </c>
      <c r="D12" s="19" t="s">
        <v>101</v>
      </c>
      <c r="E12" s="20">
        <v>45733.0</v>
      </c>
      <c r="F12" s="21">
        <v>0.6631944444444444</v>
      </c>
      <c r="G12" s="20">
        <v>45737.0</v>
      </c>
      <c r="H12" s="21">
        <v>0.9965277777777778</v>
      </c>
      <c r="I12" s="22"/>
      <c r="J12" s="23">
        <v>1619.382</v>
      </c>
      <c r="K12" s="24"/>
      <c r="L12" s="21"/>
      <c r="M12" s="25">
        <f t="shared" si="1"/>
        <v>45733.66319</v>
      </c>
      <c r="N12" s="25">
        <f t="shared" si="2"/>
        <v>45737.99653</v>
      </c>
      <c r="O12" s="25">
        <f t="shared" si="3"/>
        <v>4.333333333</v>
      </c>
      <c r="P12" s="25">
        <f t="shared" si="4"/>
        <v>104</v>
      </c>
      <c r="Q12" s="12">
        <v>2.0</v>
      </c>
      <c r="R12" s="2"/>
    </row>
    <row r="13">
      <c r="A13" s="5">
        <v>7.0</v>
      </c>
      <c r="B13" s="26"/>
      <c r="C13" s="18" t="s">
        <v>153</v>
      </c>
      <c r="D13" s="19" t="s">
        <v>154</v>
      </c>
      <c r="E13" s="20">
        <v>45738.0</v>
      </c>
      <c r="F13" s="21">
        <v>0.3888888888888889</v>
      </c>
      <c r="G13" s="20">
        <v>45739.0</v>
      </c>
      <c r="H13" s="21">
        <v>0.375</v>
      </c>
      <c r="I13" s="22">
        <v>338.144</v>
      </c>
      <c r="J13" s="23"/>
      <c r="K13" s="24"/>
      <c r="L13" s="21"/>
      <c r="M13" s="25">
        <f t="shared" si="1"/>
        <v>45738.38889</v>
      </c>
      <c r="N13" s="25">
        <f t="shared" si="2"/>
        <v>45739.375</v>
      </c>
      <c r="O13" s="25">
        <f t="shared" si="3"/>
        <v>0.9861111111</v>
      </c>
      <c r="P13" s="25">
        <f t="shared" si="4"/>
        <v>23.66666667</v>
      </c>
      <c r="Q13" s="12">
        <v>2.0</v>
      </c>
      <c r="R13" s="2"/>
    </row>
    <row r="14">
      <c r="A14" s="5">
        <v>8.0</v>
      </c>
      <c r="B14" s="26"/>
      <c r="C14" s="18" t="s">
        <v>155</v>
      </c>
      <c r="D14" s="19" t="s">
        <v>154</v>
      </c>
      <c r="E14" s="20">
        <v>45740.0</v>
      </c>
      <c r="F14" s="21">
        <v>0.37916666666666665</v>
      </c>
      <c r="G14" s="20">
        <v>45741.0</v>
      </c>
      <c r="H14" s="21">
        <v>0.4166666666666667</v>
      </c>
      <c r="I14" s="22">
        <v>338.144</v>
      </c>
      <c r="J14" s="23"/>
      <c r="K14" s="24"/>
      <c r="L14" s="21"/>
      <c r="M14" s="25">
        <f t="shared" si="1"/>
        <v>45740.37917</v>
      </c>
      <c r="N14" s="25">
        <f t="shared" si="2"/>
        <v>45741.41667</v>
      </c>
      <c r="O14" s="25">
        <f t="shared" si="3"/>
        <v>1.0375</v>
      </c>
      <c r="P14" s="25">
        <f t="shared" si="4"/>
        <v>24.9</v>
      </c>
      <c r="Q14" s="12">
        <v>2.0</v>
      </c>
      <c r="R14" s="2"/>
    </row>
    <row r="15" ht="15.75" customHeight="1">
      <c r="A15" s="5"/>
      <c r="B15" s="26"/>
      <c r="C15" s="30"/>
      <c r="D15" s="27"/>
      <c r="E15" s="20"/>
      <c r="F15" s="21"/>
      <c r="G15" s="20"/>
      <c r="H15" s="21"/>
      <c r="I15" s="28"/>
      <c r="J15" s="29"/>
      <c r="K15" s="24"/>
      <c r="L15" s="21"/>
      <c r="M15" s="46"/>
      <c r="N15" s="46"/>
      <c r="O15" s="46"/>
      <c r="P15" s="46"/>
      <c r="Q15" s="12"/>
      <c r="R15" s="2"/>
    </row>
    <row r="16" ht="15.75" customHeight="1">
      <c r="A16" s="31"/>
      <c r="B16" s="32"/>
      <c r="C16" s="33"/>
      <c r="D16" s="34"/>
      <c r="E16" s="35"/>
      <c r="F16" s="36"/>
      <c r="G16" s="35"/>
      <c r="H16" s="36"/>
      <c r="I16" s="37">
        <f t="shared" ref="I16:J16" si="5">SUM(I7:I15)</f>
        <v>33009.388</v>
      </c>
      <c r="J16" s="38">
        <f t="shared" si="5"/>
        <v>9683.603</v>
      </c>
      <c r="K16" s="39">
        <f>+(P16)/(31*24)</f>
        <v>0.5760080645</v>
      </c>
      <c r="L16" s="40"/>
      <c r="M16" s="41"/>
      <c r="N16" s="41"/>
      <c r="O16" s="41"/>
      <c r="P16" s="42">
        <f>SUM(P7:P15)</f>
        <v>428.55</v>
      </c>
      <c r="Q16" s="2"/>
      <c r="R16" s="2"/>
    </row>
    <row r="17">
      <c r="A17" s="1"/>
      <c r="B17" s="12"/>
      <c r="C17" s="43"/>
      <c r="D17" s="12"/>
      <c r="E17" s="13"/>
      <c r="F17" s="14"/>
      <c r="G17" s="13"/>
      <c r="H17" s="14"/>
      <c r="I17" s="44"/>
      <c r="J17" s="15"/>
      <c r="K17" s="16"/>
      <c r="L17" s="14"/>
      <c r="M17" s="2"/>
      <c r="N17" s="2"/>
      <c r="O17" s="2"/>
      <c r="P17" s="2"/>
      <c r="Q17" s="2"/>
      <c r="R17" s="2"/>
    </row>
    <row r="18">
      <c r="A18" s="5">
        <v>9.0</v>
      </c>
      <c r="B18" s="17" t="s">
        <v>31</v>
      </c>
      <c r="C18" s="18" t="s">
        <v>66</v>
      </c>
      <c r="D18" s="19" t="s">
        <v>33</v>
      </c>
      <c r="E18" s="20">
        <v>45709.0</v>
      </c>
      <c r="F18" s="21">
        <v>0.375</v>
      </c>
      <c r="G18" s="20">
        <v>45714.0</v>
      </c>
      <c r="H18" s="21">
        <v>0.6944444444444445</v>
      </c>
      <c r="I18" s="22">
        <v>8295.773</v>
      </c>
      <c r="J18" s="23"/>
      <c r="K18" s="45"/>
      <c r="L18" s="21"/>
      <c r="M18" s="25">
        <f t="shared" ref="M18:M21" si="6">INT(E18)+MOD(F18,1)</f>
        <v>45709.375</v>
      </c>
      <c r="N18" s="25">
        <f t="shared" ref="N18:N21" si="7">INT(G18)+MOD(H18,1)</f>
        <v>45714.69444</v>
      </c>
      <c r="O18" s="25">
        <f t="shared" ref="O18:O21" si="8">N18-M18</f>
        <v>5.319444444</v>
      </c>
      <c r="P18" s="25">
        <f t="shared" ref="P18:P21" si="9">O18*24</f>
        <v>127.6666667</v>
      </c>
      <c r="Q18" s="12">
        <v>3.0</v>
      </c>
      <c r="R18" s="2"/>
    </row>
    <row r="19">
      <c r="A19" s="5">
        <v>10.0</v>
      </c>
      <c r="B19" s="26"/>
      <c r="C19" s="18" t="s">
        <v>156</v>
      </c>
      <c r="D19" s="19" t="s">
        <v>33</v>
      </c>
      <c r="E19" s="20">
        <v>45714.0</v>
      </c>
      <c r="F19" s="21">
        <v>0.7291666666666666</v>
      </c>
      <c r="G19" s="20">
        <v>45722.0</v>
      </c>
      <c r="H19" s="21">
        <v>0.3159722222222222</v>
      </c>
      <c r="I19" s="22">
        <v>7497.36</v>
      </c>
      <c r="J19" s="23"/>
      <c r="K19" s="45"/>
      <c r="L19" s="21"/>
      <c r="M19" s="25">
        <f t="shared" si="6"/>
        <v>45714.72917</v>
      </c>
      <c r="N19" s="25">
        <f t="shared" si="7"/>
        <v>45722.31597</v>
      </c>
      <c r="O19" s="25">
        <f t="shared" si="8"/>
        <v>7.586805556</v>
      </c>
      <c r="P19" s="25">
        <f t="shared" si="9"/>
        <v>182.0833333</v>
      </c>
      <c r="Q19" s="12">
        <v>3.0</v>
      </c>
      <c r="R19" s="2"/>
    </row>
    <row r="20">
      <c r="A20" s="5">
        <v>11.0</v>
      </c>
      <c r="B20" s="26"/>
      <c r="C20" s="18" t="s">
        <v>157</v>
      </c>
      <c r="D20" s="19" t="s">
        <v>33</v>
      </c>
      <c r="E20" s="20">
        <v>45722.0</v>
      </c>
      <c r="F20" s="21">
        <v>0.34722222222222227</v>
      </c>
      <c r="G20" s="20">
        <v>45730.0</v>
      </c>
      <c r="H20" s="21">
        <v>0.6527777777777778</v>
      </c>
      <c r="I20" s="22">
        <v>7294.078</v>
      </c>
      <c r="J20" s="23"/>
      <c r="K20" s="45"/>
      <c r="L20" s="21"/>
      <c r="M20" s="25">
        <f t="shared" si="6"/>
        <v>45722.34722</v>
      </c>
      <c r="N20" s="25">
        <f t="shared" si="7"/>
        <v>45730.65278</v>
      </c>
      <c r="O20" s="25">
        <f t="shared" si="8"/>
        <v>8.305555556</v>
      </c>
      <c r="P20" s="25">
        <f t="shared" si="9"/>
        <v>199.3333333</v>
      </c>
      <c r="Q20" s="12">
        <v>3.0</v>
      </c>
      <c r="R20" s="2"/>
    </row>
    <row r="21" ht="15.75" customHeight="1">
      <c r="A21" s="5">
        <v>12.0</v>
      </c>
      <c r="B21" s="26"/>
      <c r="C21" s="18" t="s">
        <v>158</v>
      </c>
      <c r="D21" s="19" t="s">
        <v>33</v>
      </c>
      <c r="E21" s="20">
        <v>45739.0</v>
      </c>
      <c r="F21" s="21">
        <v>0.34375</v>
      </c>
      <c r="G21" s="20">
        <v>45741.0</v>
      </c>
      <c r="H21" s="21">
        <v>0.6284722222222222</v>
      </c>
      <c r="I21" s="22">
        <v>7562.24</v>
      </c>
      <c r="J21" s="23"/>
      <c r="K21" s="45"/>
      <c r="L21" s="21"/>
      <c r="M21" s="25">
        <f t="shared" si="6"/>
        <v>45739.34375</v>
      </c>
      <c r="N21" s="25">
        <f t="shared" si="7"/>
        <v>45741.62847</v>
      </c>
      <c r="O21" s="25">
        <f t="shared" si="8"/>
        <v>2.284722222</v>
      </c>
      <c r="P21" s="25">
        <f t="shared" si="9"/>
        <v>54.83333333</v>
      </c>
      <c r="Q21" s="12">
        <v>3.0</v>
      </c>
      <c r="R21" s="2"/>
    </row>
    <row r="22" ht="15.75" customHeight="1">
      <c r="A22" s="5"/>
      <c r="B22" s="47"/>
      <c r="C22" s="30"/>
      <c r="D22" s="19"/>
      <c r="E22" s="20"/>
      <c r="F22" s="21"/>
      <c r="G22" s="20"/>
      <c r="H22" s="21"/>
      <c r="I22" s="22"/>
      <c r="J22" s="48"/>
      <c r="K22" s="49"/>
      <c r="L22" s="50"/>
      <c r="M22" s="46"/>
      <c r="N22" s="46"/>
      <c r="O22" s="46"/>
      <c r="P22" s="46"/>
      <c r="Q22" s="12"/>
      <c r="R22" s="2"/>
    </row>
    <row r="23" ht="15.75" customHeight="1">
      <c r="A23" s="31"/>
      <c r="B23" s="32"/>
      <c r="C23" s="51"/>
      <c r="D23" s="52"/>
      <c r="E23" s="20"/>
      <c r="F23" s="21"/>
      <c r="G23" s="20"/>
      <c r="H23" s="21"/>
      <c r="I23" s="53">
        <f t="shared" ref="I23:J23" si="10">SUM(I18:I22)</f>
        <v>30649.451</v>
      </c>
      <c r="J23" s="54">
        <f t="shared" si="10"/>
        <v>0</v>
      </c>
      <c r="K23" s="39">
        <f>+(P23)/(31*24)</f>
        <v>0.757952509</v>
      </c>
      <c r="L23" s="40"/>
      <c r="M23" s="41"/>
      <c r="N23" s="41"/>
      <c r="O23" s="41"/>
      <c r="P23" s="42">
        <f>SUM(P18:P22)</f>
        <v>563.9166667</v>
      </c>
      <c r="Q23" s="2"/>
      <c r="R23" s="2"/>
    </row>
    <row r="24" ht="15.75" customHeight="1">
      <c r="A24" s="1"/>
      <c r="B24" s="12"/>
      <c r="C24" s="43"/>
      <c r="D24" s="12"/>
      <c r="E24" s="13"/>
      <c r="F24" s="14"/>
      <c r="G24" s="13"/>
      <c r="H24" s="14"/>
      <c r="I24" s="55"/>
      <c r="J24" s="56"/>
      <c r="K24" s="16"/>
      <c r="L24" s="14"/>
      <c r="M24" s="2"/>
      <c r="N24" s="2"/>
      <c r="O24" s="2"/>
      <c r="P24" s="2"/>
      <c r="Q24" s="2"/>
      <c r="R24" s="2"/>
    </row>
    <row r="25" ht="15.75" customHeight="1">
      <c r="A25" s="5">
        <v>13.0</v>
      </c>
      <c r="B25" s="17" t="s">
        <v>41</v>
      </c>
      <c r="C25" s="18" t="s">
        <v>159</v>
      </c>
      <c r="D25" s="19" t="s">
        <v>33</v>
      </c>
      <c r="E25" s="20">
        <v>45711.0</v>
      </c>
      <c r="F25" s="21">
        <v>0.6840277777777778</v>
      </c>
      <c r="G25" s="20">
        <v>45713.0</v>
      </c>
      <c r="H25" s="21">
        <v>0.5902777777777778</v>
      </c>
      <c r="I25" s="22">
        <v>8378.04</v>
      </c>
      <c r="J25" s="23"/>
      <c r="K25" s="45"/>
      <c r="L25" s="21"/>
      <c r="M25" s="25">
        <f t="shared" ref="M25:M34" si="11">INT(E25)+MOD(F25,1)</f>
        <v>45711.68403</v>
      </c>
      <c r="N25" s="25">
        <f t="shared" ref="N25:N34" si="12">INT(G25)+MOD(H25,1)</f>
        <v>45713.59028</v>
      </c>
      <c r="O25" s="60">
        <f t="shared" ref="O25:O34" si="13">N25-M25</f>
        <v>1.90625</v>
      </c>
      <c r="P25" s="25">
        <f t="shared" ref="P25:P34" si="14">O25*24</f>
        <v>45.75</v>
      </c>
      <c r="Q25" s="12">
        <v>4.0</v>
      </c>
      <c r="R25" s="2"/>
    </row>
    <row r="26" ht="15.75" customHeight="1">
      <c r="A26" s="5">
        <v>14.0</v>
      </c>
      <c r="B26" s="26"/>
      <c r="C26" s="18" t="s">
        <v>160</v>
      </c>
      <c r="D26" s="19" t="s">
        <v>33</v>
      </c>
      <c r="E26" s="20">
        <v>45705.0</v>
      </c>
      <c r="F26" s="21">
        <v>0.7152777777777778</v>
      </c>
      <c r="G26" s="20">
        <v>45711.0</v>
      </c>
      <c r="H26" s="21">
        <v>0.3368055555555556</v>
      </c>
      <c r="I26" s="22">
        <v>8801.972</v>
      </c>
      <c r="J26" s="23"/>
      <c r="K26" s="45"/>
      <c r="L26" s="21"/>
      <c r="M26" s="25">
        <f t="shared" si="11"/>
        <v>45705.71528</v>
      </c>
      <c r="N26" s="25">
        <f t="shared" si="12"/>
        <v>45711.33681</v>
      </c>
      <c r="O26" s="60">
        <f t="shared" si="13"/>
        <v>5.621527778</v>
      </c>
      <c r="P26" s="25">
        <f t="shared" si="14"/>
        <v>134.9166667</v>
      </c>
      <c r="Q26" s="12">
        <v>4.0</v>
      </c>
      <c r="R26" s="2"/>
    </row>
    <row r="27" ht="15.75" customHeight="1">
      <c r="A27" s="5">
        <v>15.0</v>
      </c>
      <c r="B27" s="26"/>
      <c r="C27" s="18" t="s">
        <v>161</v>
      </c>
      <c r="D27" s="19" t="s">
        <v>33</v>
      </c>
      <c r="E27" s="20">
        <v>45717.0</v>
      </c>
      <c r="F27" s="21">
        <v>0.3333333333333333</v>
      </c>
      <c r="G27" s="20">
        <v>45720.0</v>
      </c>
      <c r="H27" s="21">
        <v>0.3680555555555556</v>
      </c>
      <c r="I27" s="22">
        <v>7323.02</v>
      </c>
      <c r="J27" s="23"/>
      <c r="K27" s="45"/>
      <c r="L27" s="21"/>
      <c r="M27" s="25">
        <f t="shared" si="11"/>
        <v>45717.33333</v>
      </c>
      <c r="N27" s="25">
        <f t="shared" si="12"/>
        <v>45720.36806</v>
      </c>
      <c r="O27" s="60">
        <f t="shared" si="13"/>
        <v>3.034722222</v>
      </c>
      <c r="P27" s="25">
        <f t="shared" si="14"/>
        <v>72.83333333</v>
      </c>
      <c r="Q27" s="12">
        <v>4.0</v>
      </c>
      <c r="R27" s="2"/>
    </row>
    <row r="28" ht="15.75" customHeight="1">
      <c r="A28" s="5">
        <v>16.0</v>
      </c>
      <c r="B28" s="26"/>
      <c r="C28" s="18" t="s">
        <v>113</v>
      </c>
      <c r="D28" s="19" t="s">
        <v>33</v>
      </c>
      <c r="E28" s="20">
        <v>45711.0</v>
      </c>
      <c r="F28" s="21">
        <v>0.4756944444444444</v>
      </c>
      <c r="G28" s="20">
        <v>45720.0</v>
      </c>
      <c r="H28" s="21">
        <v>0.4444444444444444</v>
      </c>
      <c r="I28" s="22">
        <v>7327.01</v>
      </c>
      <c r="J28" s="23"/>
      <c r="K28" s="45"/>
      <c r="L28" s="21"/>
      <c r="M28" s="25">
        <f t="shared" si="11"/>
        <v>45711.47569</v>
      </c>
      <c r="N28" s="25">
        <f t="shared" si="12"/>
        <v>45720.44444</v>
      </c>
      <c r="O28" s="60">
        <f t="shared" si="13"/>
        <v>8.96875</v>
      </c>
      <c r="P28" s="25">
        <f t="shared" si="14"/>
        <v>215.25</v>
      </c>
      <c r="Q28" s="12">
        <v>4.0</v>
      </c>
      <c r="R28" s="2"/>
    </row>
    <row r="29" ht="15.75" customHeight="1">
      <c r="A29" s="5">
        <v>17.0</v>
      </c>
      <c r="B29" s="26"/>
      <c r="C29" s="101" t="s">
        <v>162</v>
      </c>
      <c r="D29" s="19" t="s">
        <v>33</v>
      </c>
      <c r="E29" s="20">
        <v>45720.0</v>
      </c>
      <c r="F29" s="21">
        <v>0.43402777777777773</v>
      </c>
      <c r="G29" s="20">
        <v>45722.0</v>
      </c>
      <c r="H29" s="21">
        <v>0.40277777777777773</v>
      </c>
      <c r="I29" s="22">
        <v>7509.74</v>
      </c>
      <c r="J29" s="23"/>
      <c r="K29" s="45"/>
      <c r="L29" s="21"/>
      <c r="M29" s="25">
        <f t="shared" si="11"/>
        <v>45720.43403</v>
      </c>
      <c r="N29" s="25">
        <f t="shared" si="12"/>
        <v>45722.40278</v>
      </c>
      <c r="O29" s="60">
        <f t="shared" si="13"/>
        <v>1.96875</v>
      </c>
      <c r="P29" s="25">
        <f t="shared" si="14"/>
        <v>47.25</v>
      </c>
      <c r="Q29" s="12">
        <v>4.0</v>
      </c>
      <c r="R29" s="2"/>
    </row>
    <row r="30" ht="15.75" customHeight="1">
      <c r="A30" s="5">
        <v>18.0</v>
      </c>
      <c r="B30" s="26"/>
      <c r="C30" s="18" t="s">
        <v>163</v>
      </c>
      <c r="D30" s="19" t="s">
        <v>33</v>
      </c>
      <c r="E30" s="20">
        <v>45721.0</v>
      </c>
      <c r="F30" s="21">
        <v>0.3888888888888889</v>
      </c>
      <c r="G30" s="20">
        <v>45725.0</v>
      </c>
      <c r="H30" s="21">
        <v>0.7638888888888888</v>
      </c>
      <c r="I30" s="22">
        <v>8792.503</v>
      </c>
      <c r="J30" s="23"/>
      <c r="K30" s="45"/>
      <c r="L30" s="21"/>
      <c r="M30" s="25">
        <f t="shared" si="11"/>
        <v>45721.38889</v>
      </c>
      <c r="N30" s="25">
        <f t="shared" si="12"/>
        <v>45725.76389</v>
      </c>
      <c r="O30" s="60">
        <f t="shared" si="13"/>
        <v>4.375</v>
      </c>
      <c r="P30" s="25">
        <f t="shared" si="14"/>
        <v>105</v>
      </c>
      <c r="Q30" s="12">
        <v>4.0</v>
      </c>
      <c r="R30" s="2"/>
    </row>
    <row r="31" ht="15.75" customHeight="1">
      <c r="A31" s="5">
        <v>19.0</v>
      </c>
      <c r="B31" s="26"/>
      <c r="C31" s="18" t="s">
        <v>164</v>
      </c>
      <c r="D31" s="19" t="s">
        <v>33</v>
      </c>
      <c r="E31" s="20">
        <v>45724.0</v>
      </c>
      <c r="F31" s="21">
        <v>0.4166666666666667</v>
      </c>
      <c r="G31" s="20">
        <v>45730.0</v>
      </c>
      <c r="H31" s="21">
        <v>0.40625</v>
      </c>
      <c r="I31" s="22">
        <v>9008.033</v>
      </c>
      <c r="J31" s="23"/>
      <c r="K31" s="45"/>
      <c r="L31" s="21"/>
      <c r="M31" s="25">
        <f t="shared" si="11"/>
        <v>45724.41667</v>
      </c>
      <c r="N31" s="25">
        <f t="shared" si="12"/>
        <v>45730.40625</v>
      </c>
      <c r="O31" s="60">
        <f t="shared" si="13"/>
        <v>5.989583333</v>
      </c>
      <c r="P31" s="25">
        <f t="shared" si="14"/>
        <v>143.75</v>
      </c>
      <c r="Q31" s="12">
        <v>4.0</v>
      </c>
      <c r="R31" s="2"/>
    </row>
    <row r="32" ht="15.75" customHeight="1">
      <c r="A32" s="5">
        <v>20.0</v>
      </c>
      <c r="B32" s="26"/>
      <c r="C32" s="18" t="s">
        <v>165</v>
      </c>
      <c r="D32" s="19" t="s">
        <v>33</v>
      </c>
      <c r="E32" s="20">
        <v>45734.0</v>
      </c>
      <c r="F32" s="21">
        <v>0.6909722222222222</v>
      </c>
      <c r="G32" s="20">
        <v>45737.0</v>
      </c>
      <c r="H32" s="21">
        <v>0.5416666666666666</v>
      </c>
      <c r="I32" s="22">
        <v>7514.52</v>
      </c>
      <c r="J32" s="23"/>
      <c r="K32" s="45"/>
      <c r="L32" s="21"/>
      <c r="M32" s="25">
        <f t="shared" si="11"/>
        <v>45734.69097</v>
      </c>
      <c r="N32" s="25">
        <f t="shared" si="12"/>
        <v>45737.54167</v>
      </c>
      <c r="O32" s="60">
        <f t="shared" si="13"/>
        <v>2.850694444</v>
      </c>
      <c r="P32" s="25">
        <f t="shared" si="14"/>
        <v>68.41666667</v>
      </c>
      <c r="Q32" s="12">
        <v>4.0</v>
      </c>
      <c r="R32" s="2"/>
    </row>
    <row r="33" ht="15.75" customHeight="1">
      <c r="A33" s="5">
        <v>21.0</v>
      </c>
      <c r="B33" s="26"/>
      <c r="C33" s="18" t="s">
        <v>166</v>
      </c>
      <c r="D33" s="19" t="s">
        <v>33</v>
      </c>
      <c r="E33" s="20">
        <v>45733.0</v>
      </c>
      <c r="F33" s="21">
        <v>0.6944444444444445</v>
      </c>
      <c r="G33" s="20">
        <v>45736.0</v>
      </c>
      <c r="H33" s="21">
        <v>0.34027777777777773</v>
      </c>
      <c r="I33" s="22">
        <v>7327.54</v>
      </c>
      <c r="J33" s="23"/>
      <c r="K33" s="45"/>
      <c r="L33" s="21"/>
      <c r="M33" s="25">
        <f t="shared" si="11"/>
        <v>45733.69444</v>
      </c>
      <c r="N33" s="25">
        <f t="shared" si="12"/>
        <v>45736.34028</v>
      </c>
      <c r="O33" s="60">
        <f t="shared" si="13"/>
        <v>2.645833333</v>
      </c>
      <c r="P33" s="25">
        <f t="shared" si="14"/>
        <v>63.5</v>
      </c>
      <c r="Q33" s="12">
        <v>4.0</v>
      </c>
      <c r="R33" s="2"/>
    </row>
    <row r="34" ht="15.75" customHeight="1">
      <c r="A34" s="5">
        <v>22.0</v>
      </c>
      <c r="B34" s="89"/>
      <c r="C34" s="18" t="s">
        <v>167</v>
      </c>
      <c r="D34" s="19" t="s">
        <v>33</v>
      </c>
      <c r="E34" s="20">
        <v>45738.0</v>
      </c>
      <c r="F34" s="21">
        <v>0.6666666666666666</v>
      </c>
      <c r="G34" s="20">
        <v>45740.0</v>
      </c>
      <c r="H34" s="21">
        <v>0.3159722222222222</v>
      </c>
      <c r="I34" s="22">
        <v>5800.78</v>
      </c>
      <c r="J34" s="23"/>
      <c r="K34" s="45"/>
      <c r="L34" s="21"/>
      <c r="M34" s="25">
        <f t="shared" si="11"/>
        <v>45738.66667</v>
      </c>
      <c r="N34" s="25">
        <f t="shared" si="12"/>
        <v>45740.31597</v>
      </c>
      <c r="O34" s="60">
        <f t="shared" si="13"/>
        <v>1.649305556</v>
      </c>
      <c r="P34" s="25">
        <f t="shared" si="14"/>
        <v>39.58333333</v>
      </c>
      <c r="Q34" s="12">
        <v>4.0</v>
      </c>
      <c r="R34" s="2"/>
    </row>
    <row r="35" ht="15.75" customHeight="1">
      <c r="A35" s="62"/>
      <c r="B35" s="34"/>
      <c r="C35" s="102"/>
      <c r="D35" s="103"/>
      <c r="E35" s="104"/>
      <c r="F35" s="72"/>
      <c r="G35" s="104"/>
      <c r="H35" s="72"/>
      <c r="I35" s="105">
        <f t="shared" ref="I35:J35" si="15">SUM(I25:I34)</f>
        <v>77783.158</v>
      </c>
      <c r="J35" s="63">
        <f t="shared" si="15"/>
        <v>0</v>
      </c>
      <c r="K35" s="64">
        <f>+(P35)/(31*24)</f>
        <v>1.258400538</v>
      </c>
      <c r="L35" s="40"/>
      <c r="M35" s="41"/>
      <c r="N35" s="41"/>
      <c r="O35" s="41"/>
      <c r="P35" s="42">
        <f>SUM(P25:P34)</f>
        <v>936.25</v>
      </c>
      <c r="Q35" s="12"/>
      <c r="R35" s="2"/>
    </row>
    <row r="36" ht="15.75" customHeight="1">
      <c r="A36" s="65"/>
      <c r="B36" s="66"/>
      <c r="C36" s="67"/>
      <c r="D36" s="12"/>
      <c r="E36" s="13"/>
      <c r="F36" s="14"/>
      <c r="G36" s="13"/>
      <c r="H36" s="14"/>
      <c r="I36" s="55"/>
      <c r="J36" s="56"/>
      <c r="K36" s="68"/>
      <c r="L36" s="69"/>
      <c r="M36" s="70"/>
      <c r="N36" s="70"/>
      <c r="O36" s="70"/>
      <c r="P36" s="71"/>
      <c r="Q36" s="12"/>
      <c r="R36" s="2"/>
    </row>
    <row r="37" ht="15.75" customHeight="1">
      <c r="A37" s="5">
        <v>23.0</v>
      </c>
      <c r="B37" s="17" t="s">
        <v>62</v>
      </c>
      <c r="C37" s="18" t="s">
        <v>168</v>
      </c>
      <c r="D37" s="19" t="s">
        <v>33</v>
      </c>
      <c r="E37" s="20">
        <v>45711.0</v>
      </c>
      <c r="F37" s="21">
        <v>0.375</v>
      </c>
      <c r="G37" s="20">
        <v>45717.0</v>
      </c>
      <c r="H37" s="21">
        <v>0.3923611111111111</v>
      </c>
      <c r="I37" s="22">
        <v>7527.183</v>
      </c>
      <c r="J37" s="23"/>
      <c r="K37" s="45"/>
      <c r="L37" s="72"/>
      <c r="M37" s="73">
        <f t="shared" ref="M37:M45" si="16">INT(E37)+MOD(F37,1)</f>
        <v>45711.375</v>
      </c>
      <c r="N37" s="73">
        <f t="shared" ref="N37:N45" si="17">INT(G37)+MOD(H37,1)</f>
        <v>45717.39236</v>
      </c>
      <c r="O37" s="73">
        <f t="shared" ref="O37:O45" si="18">N37-M37</f>
        <v>6.017361111</v>
      </c>
      <c r="P37" s="73">
        <f t="shared" ref="P37:P45" si="19">O37*24</f>
        <v>144.4166667</v>
      </c>
      <c r="Q37" s="12">
        <v>5.0</v>
      </c>
      <c r="R37" s="2"/>
    </row>
    <row r="38" ht="15.75" customHeight="1">
      <c r="A38" s="5">
        <v>24.0</v>
      </c>
      <c r="B38" s="26"/>
      <c r="C38" s="18" t="s">
        <v>169</v>
      </c>
      <c r="D38" s="19" t="s">
        <v>45</v>
      </c>
      <c r="E38" s="20">
        <v>45713.0</v>
      </c>
      <c r="F38" s="21">
        <v>0.6493055555555556</v>
      </c>
      <c r="G38" s="20">
        <v>45717.0</v>
      </c>
      <c r="H38" s="21">
        <v>0.2986111111111111</v>
      </c>
      <c r="I38" s="22">
        <v>3874.54</v>
      </c>
      <c r="J38" s="23"/>
      <c r="K38" s="45"/>
      <c r="L38" s="21"/>
      <c r="M38" s="25">
        <f t="shared" si="16"/>
        <v>45713.64931</v>
      </c>
      <c r="N38" s="25">
        <f t="shared" si="17"/>
        <v>45717.29861</v>
      </c>
      <c r="O38" s="25">
        <f t="shared" si="18"/>
        <v>3.649305556</v>
      </c>
      <c r="P38" s="25">
        <f t="shared" si="19"/>
        <v>87.58333333</v>
      </c>
      <c r="Q38" s="12">
        <v>5.0</v>
      </c>
      <c r="R38" s="2"/>
    </row>
    <row r="39" ht="15.75" customHeight="1">
      <c r="A39" s="5">
        <v>25.0</v>
      </c>
      <c r="B39" s="26"/>
      <c r="C39" s="101" t="s">
        <v>56</v>
      </c>
      <c r="D39" s="19" t="s">
        <v>33</v>
      </c>
      <c r="E39" s="20">
        <v>45717.0</v>
      </c>
      <c r="F39" s="21">
        <v>0.5416666666666666</v>
      </c>
      <c r="G39" s="20">
        <v>45720.0</v>
      </c>
      <c r="H39" s="21">
        <v>0.3541666666666667</v>
      </c>
      <c r="I39" s="22">
        <v>7548.951</v>
      </c>
      <c r="J39" s="29"/>
      <c r="K39" s="45"/>
      <c r="L39" s="21"/>
      <c r="M39" s="25">
        <f t="shared" si="16"/>
        <v>45717.54167</v>
      </c>
      <c r="N39" s="25">
        <f t="shared" si="17"/>
        <v>45720.35417</v>
      </c>
      <c r="O39" s="25">
        <f t="shared" si="18"/>
        <v>2.8125</v>
      </c>
      <c r="P39" s="25">
        <f t="shared" si="19"/>
        <v>67.5</v>
      </c>
      <c r="Q39" s="12">
        <v>5.0</v>
      </c>
      <c r="R39" s="2"/>
    </row>
    <row r="40" ht="15.75" customHeight="1">
      <c r="A40" s="5">
        <v>26.0</v>
      </c>
      <c r="B40" s="26"/>
      <c r="C40" s="18" t="s">
        <v>170</v>
      </c>
      <c r="D40" s="19" t="s">
        <v>33</v>
      </c>
      <c r="E40" s="20">
        <v>45720.0</v>
      </c>
      <c r="F40" s="21">
        <v>0.6631944444444444</v>
      </c>
      <c r="G40" s="20">
        <v>45723.0</v>
      </c>
      <c r="H40" s="21">
        <v>0.3923611111111111</v>
      </c>
      <c r="I40" s="22">
        <v>6593.42</v>
      </c>
      <c r="J40" s="23"/>
      <c r="K40" s="45"/>
      <c r="L40" s="21"/>
      <c r="M40" s="25">
        <f t="shared" si="16"/>
        <v>45720.66319</v>
      </c>
      <c r="N40" s="25">
        <f t="shared" si="17"/>
        <v>45723.39236</v>
      </c>
      <c r="O40" s="25">
        <f t="shared" si="18"/>
        <v>2.729166667</v>
      </c>
      <c r="P40" s="25">
        <f t="shared" si="19"/>
        <v>65.5</v>
      </c>
      <c r="Q40" s="12">
        <v>5.0</v>
      </c>
      <c r="R40" s="2"/>
    </row>
    <row r="41" ht="15.75" customHeight="1">
      <c r="A41" s="5">
        <v>27.0</v>
      </c>
      <c r="B41" s="26"/>
      <c r="C41" s="18" t="s">
        <v>171</v>
      </c>
      <c r="D41" s="19" t="s">
        <v>33</v>
      </c>
      <c r="E41" s="20">
        <v>45725.0</v>
      </c>
      <c r="F41" s="21">
        <v>0.3333333333333333</v>
      </c>
      <c r="G41" s="20">
        <v>45727.0</v>
      </c>
      <c r="H41" s="21">
        <v>0.3888888888888889</v>
      </c>
      <c r="I41" s="22">
        <v>7212.96</v>
      </c>
      <c r="J41" s="23"/>
      <c r="K41" s="45"/>
      <c r="L41" s="21"/>
      <c r="M41" s="25">
        <f t="shared" si="16"/>
        <v>45725.33333</v>
      </c>
      <c r="N41" s="25">
        <f t="shared" si="17"/>
        <v>45727.38889</v>
      </c>
      <c r="O41" s="25">
        <f t="shared" si="18"/>
        <v>2.055555556</v>
      </c>
      <c r="P41" s="25">
        <f t="shared" si="19"/>
        <v>49.33333333</v>
      </c>
      <c r="Q41" s="12">
        <v>5.0</v>
      </c>
      <c r="R41" s="2"/>
    </row>
    <row r="42" ht="15.75" customHeight="1">
      <c r="A42" s="5">
        <v>28.0</v>
      </c>
      <c r="B42" s="26"/>
      <c r="C42" s="18" t="s">
        <v>172</v>
      </c>
      <c r="D42" s="19" t="s">
        <v>33</v>
      </c>
      <c r="E42" s="20">
        <v>45728.0</v>
      </c>
      <c r="F42" s="21">
        <v>0.2569444444444445</v>
      </c>
      <c r="G42" s="20">
        <v>45731.0</v>
      </c>
      <c r="H42" s="21">
        <v>0.34722222222222227</v>
      </c>
      <c r="I42" s="22">
        <v>7473.96</v>
      </c>
      <c r="J42" s="23"/>
      <c r="K42" s="45"/>
      <c r="L42" s="21"/>
      <c r="M42" s="25">
        <f t="shared" si="16"/>
        <v>45728.25694</v>
      </c>
      <c r="N42" s="25">
        <f t="shared" si="17"/>
        <v>45731.34722</v>
      </c>
      <c r="O42" s="25">
        <f t="shared" si="18"/>
        <v>3.090277778</v>
      </c>
      <c r="P42" s="25">
        <f t="shared" si="19"/>
        <v>74.16666667</v>
      </c>
      <c r="Q42" s="12">
        <v>5.0</v>
      </c>
      <c r="R42" s="2"/>
    </row>
    <row r="43" ht="15.75" customHeight="1">
      <c r="A43" s="5">
        <v>29.0</v>
      </c>
      <c r="B43" s="26"/>
      <c r="C43" s="18" t="s">
        <v>161</v>
      </c>
      <c r="D43" s="19" t="s">
        <v>33</v>
      </c>
      <c r="E43" s="20">
        <v>45732.0</v>
      </c>
      <c r="F43" s="21">
        <v>0.5104166666666666</v>
      </c>
      <c r="G43" s="20">
        <v>45734.0</v>
      </c>
      <c r="H43" s="21">
        <v>0.6597222222222222</v>
      </c>
      <c r="I43" s="22">
        <v>7267.78</v>
      </c>
      <c r="J43" s="23"/>
      <c r="K43" s="45"/>
      <c r="L43" s="50"/>
      <c r="M43" s="25">
        <f t="shared" si="16"/>
        <v>45732.51042</v>
      </c>
      <c r="N43" s="25">
        <f t="shared" si="17"/>
        <v>45734.65972</v>
      </c>
      <c r="O43" s="25">
        <f t="shared" si="18"/>
        <v>2.149305556</v>
      </c>
      <c r="P43" s="25">
        <f t="shared" si="19"/>
        <v>51.58333333</v>
      </c>
      <c r="Q43" s="12"/>
      <c r="R43" s="2"/>
    </row>
    <row r="44" ht="15.75" customHeight="1">
      <c r="A44" s="5">
        <v>30.0</v>
      </c>
      <c r="B44" s="26"/>
      <c r="C44" s="18" t="s">
        <v>173</v>
      </c>
      <c r="D44" s="19" t="s">
        <v>33</v>
      </c>
      <c r="E44" s="20">
        <v>45737.0</v>
      </c>
      <c r="F44" s="21">
        <v>0.3194444444444445</v>
      </c>
      <c r="G44" s="20">
        <v>45739.0</v>
      </c>
      <c r="H44" s="21">
        <v>0.3020833333333333</v>
      </c>
      <c r="I44" s="22">
        <v>7882.22</v>
      </c>
      <c r="J44" s="29"/>
      <c r="K44" s="45"/>
      <c r="L44" s="50"/>
      <c r="M44" s="25">
        <f t="shared" si="16"/>
        <v>45737.31944</v>
      </c>
      <c r="N44" s="25">
        <f t="shared" si="17"/>
        <v>45739.30208</v>
      </c>
      <c r="O44" s="25">
        <f t="shared" si="18"/>
        <v>1.982638889</v>
      </c>
      <c r="P44" s="25">
        <f t="shared" si="19"/>
        <v>47.58333333</v>
      </c>
      <c r="Q44" s="12"/>
      <c r="R44" s="2"/>
    </row>
    <row r="45" ht="15.75" customHeight="1">
      <c r="A45" s="5"/>
      <c r="B45" s="26"/>
      <c r="C45" s="30"/>
      <c r="D45" s="19"/>
      <c r="E45" s="20"/>
      <c r="F45" s="21"/>
      <c r="G45" s="20"/>
      <c r="H45" s="21"/>
      <c r="I45" s="22"/>
      <c r="J45" s="23"/>
      <c r="K45" s="45"/>
      <c r="L45" s="50"/>
      <c r="M45" s="25">
        <f t="shared" si="16"/>
        <v>0</v>
      </c>
      <c r="N45" s="25">
        <f t="shared" si="17"/>
        <v>0</v>
      </c>
      <c r="O45" s="25">
        <f t="shared" si="18"/>
        <v>0</v>
      </c>
      <c r="P45" s="25">
        <f t="shared" si="19"/>
        <v>0</v>
      </c>
      <c r="Q45" s="12"/>
      <c r="R45" s="2"/>
    </row>
    <row r="46" ht="15.75" customHeight="1">
      <c r="A46" s="31"/>
      <c r="B46" s="32"/>
      <c r="C46" s="83"/>
      <c r="D46" s="32"/>
      <c r="E46" s="84"/>
      <c r="F46" s="40"/>
      <c r="G46" s="84"/>
      <c r="H46" s="40"/>
      <c r="I46" s="85">
        <f t="shared" ref="I46:J46" si="20">SUM(I37:I45)</f>
        <v>55381.014</v>
      </c>
      <c r="J46" s="86">
        <f t="shared" si="20"/>
        <v>0</v>
      </c>
      <c r="K46" s="39">
        <f>+(P46)/(31*24)</f>
        <v>0.789874552</v>
      </c>
      <c r="L46" s="40"/>
      <c r="M46" s="41"/>
      <c r="N46" s="41"/>
      <c r="O46" s="41"/>
      <c r="P46" s="42">
        <f>SUM(P37:P45)</f>
        <v>587.6666667</v>
      </c>
      <c r="Q46" s="12"/>
      <c r="R46" s="2"/>
    </row>
    <row r="47" ht="15.75" customHeight="1">
      <c r="A47" s="1"/>
      <c r="B47" s="12"/>
      <c r="C47" s="67"/>
      <c r="D47" s="12"/>
      <c r="E47" s="13"/>
      <c r="F47" s="14"/>
      <c r="G47" s="13"/>
      <c r="H47" s="14"/>
      <c r="I47" s="55"/>
      <c r="J47" s="56"/>
      <c r="K47" s="16"/>
      <c r="L47" s="14"/>
      <c r="M47" s="2"/>
      <c r="N47" s="2"/>
      <c r="O47" s="2"/>
      <c r="P47" s="2"/>
      <c r="Q47" s="12"/>
      <c r="R47" s="2"/>
    </row>
    <row r="48" ht="15.75" customHeight="1">
      <c r="A48" s="1"/>
      <c r="B48" s="12"/>
      <c r="C48" s="67"/>
      <c r="D48" s="12"/>
      <c r="E48" s="13"/>
      <c r="F48" s="14"/>
      <c r="G48" s="13"/>
      <c r="H48" s="14"/>
      <c r="I48" s="55"/>
      <c r="J48" s="56"/>
      <c r="K48" s="16"/>
      <c r="L48" s="14"/>
      <c r="M48" s="2"/>
      <c r="N48" s="2"/>
      <c r="O48" s="2"/>
      <c r="P48" s="2"/>
      <c r="Q48" s="2"/>
      <c r="R48" s="2"/>
    </row>
    <row r="49" ht="15.75" customHeight="1">
      <c r="A49" s="1"/>
      <c r="B49" s="12"/>
      <c r="C49" s="67"/>
      <c r="D49" s="12"/>
      <c r="E49" s="13"/>
      <c r="F49" s="14"/>
      <c r="G49" s="13"/>
      <c r="H49" s="14"/>
      <c r="I49" s="55"/>
      <c r="J49" s="56"/>
      <c r="K49" s="16"/>
      <c r="L49" s="14"/>
      <c r="M49" s="2"/>
      <c r="N49" s="2"/>
      <c r="O49" s="2"/>
      <c r="P49" s="2"/>
      <c r="Q49" s="2"/>
      <c r="R49" s="2"/>
    </row>
    <row r="50" ht="15.75" customHeight="1">
      <c r="A50" s="1"/>
      <c r="B50" s="12"/>
      <c r="C50" s="67"/>
      <c r="D50" s="12"/>
      <c r="E50" s="13"/>
      <c r="F50" s="14"/>
      <c r="G50" s="13"/>
      <c r="H50" s="14"/>
      <c r="I50" s="55"/>
      <c r="J50" s="56"/>
      <c r="K50" s="16"/>
      <c r="L50" s="14"/>
      <c r="M50" s="2"/>
      <c r="N50" s="2"/>
      <c r="O50" s="2"/>
      <c r="P50" s="2"/>
      <c r="Q50" s="2"/>
      <c r="R50" s="2"/>
    </row>
    <row r="51" ht="15.75" customHeight="1">
      <c r="A51" s="5">
        <v>31.0</v>
      </c>
      <c r="B51" s="17" t="s">
        <v>69</v>
      </c>
      <c r="C51" s="18" t="s">
        <v>174</v>
      </c>
      <c r="D51" s="19" t="s">
        <v>33</v>
      </c>
      <c r="E51" s="20">
        <v>45700.0</v>
      </c>
      <c r="F51" s="21">
        <v>0.65625</v>
      </c>
      <c r="G51" s="20">
        <v>45711.0</v>
      </c>
      <c r="H51" s="21">
        <v>0.3888888888888889</v>
      </c>
      <c r="I51" s="22">
        <v>8798.727</v>
      </c>
      <c r="J51" s="74"/>
      <c r="K51" s="88"/>
      <c r="L51" s="46"/>
      <c r="M51" s="25">
        <f t="shared" ref="M51:M57" si="21">INT(E51)+MOD(F51,1)</f>
        <v>45700.65625</v>
      </c>
      <c r="N51" s="25">
        <f t="shared" ref="N51:N57" si="22">INT(G51)+MOD(H51,1)</f>
        <v>45711.38889</v>
      </c>
      <c r="O51" s="25">
        <f t="shared" ref="O51:O57" si="23">N51-M51</f>
        <v>10.73263889</v>
      </c>
      <c r="P51" s="25">
        <f t="shared" ref="P51:P57" si="24">O51*24</f>
        <v>257.5833333</v>
      </c>
      <c r="Q51" s="12">
        <v>7.0</v>
      </c>
      <c r="R51" s="12"/>
    </row>
    <row r="52" ht="15.75" customHeight="1">
      <c r="A52" s="5">
        <v>32.0</v>
      </c>
      <c r="B52" s="26"/>
      <c r="C52" s="18" t="s">
        <v>175</v>
      </c>
      <c r="D52" s="27" t="s">
        <v>176</v>
      </c>
      <c r="E52" s="20">
        <v>45710.0</v>
      </c>
      <c r="F52" s="21">
        <v>0.9</v>
      </c>
      <c r="G52" s="20">
        <v>45718.0</v>
      </c>
      <c r="H52" s="21">
        <v>0.09652777777777777</v>
      </c>
      <c r="I52" s="100">
        <v>43445.04</v>
      </c>
      <c r="J52" s="74"/>
      <c r="K52" s="88"/>
      <c r="L52" s="46"/>
      <c r="M52" s="25">
        <f t="shared" si="21"/>
        <v>45710.9</v>
      </c>
      <c r="N52" s="25">
        <f t="shared" si="22"/>
        <v>45718.09653</v>
      </c>
      <c r="O52" s="25">
        <f t="shared" si="23"/>
        <v>7.196527778</v>
      </c>
      <c r="P52" s="25">
        <f t="shared" si="24"/>
        <v>172.7166667</v>
      </c>
      <c r="Q52" s="12">
        <v>6.0</v>
      </c>
      <c r="R52" s="12"/>
    </row>
    <row r="53" ht="15.75" customHeight="1">
      <c r="A53" s="5">
        <v>33.0</v>
      </c>
      <c r="B53" s="26"/>
      <c r="C53" s="18" t="s">
        <v>177</v>
      </c>
      <c r="D53" s="19" t="s">
        <v>143</v>
      </c>
      <c r="E53" s="20">
        <v>45718.0</v>
      </c>
      <c r="F53" s="21">
        <v>0.19999999999999998</v>
      </c>
      <c r="G53" s="20">
        <v>45733.0</v>
      </c>
      <c r="H53" s="21">
        <v>0.46527777777777773</v>
      </c>
      <c r="I53" s="22">
        <v>49862.61</v>
      </c>
      <c r="J53" s="74"/>
      <c r="K53" s="88"/>
      <c r="L53" s="46"/>
      <c r="M53" s="25">
        <f t="shared" si="21"/>
        <v>45718.2</v>
      </c>
      <c r="N53" s="25">
        <f t="shared" si="22"/>
        <v>45733.46528</v>
      </c>
      <c r="O53" s="25">
        <f t="shared" si="23"/>
        <v>15.26527778</v>
      </c>
      <c r="P53" s="25">
        <f t="shared" si="24"/>
        <v>366.3666667</v>
      </c>
      <c r="Q53" s="12">
        <v>7.0</v>
      </c>
      <c r="R53" s="12"/>
    </row>
    <row r="54" ht="15.75" customHeight="1">
      <c r="A54" s="5">
        <v>34.0</v>
      </c>
      <c r="B54" s="26"/>
      <c r="C54" s="18" t="s">
        <v>61</v>
      </c>
      <c r="D54" s="19" t="s">
        <v>33</v>
      </c>
      <c r="E54" s="20">
        <v>45714.0</v>
      </c>
      <c r="F54" s="21">
        <v>0.5694444444444444</v>
      </c>
      <c r="G54" s="20">
        <v>45726.0</v>
      </c>
      <c r="H54" s="21">
        <v>0.46527777777777773</v>
      </c>
      <c r="I54" s="22">
        <v>7515.601</v>
      </c>
      <c r="J54" s="74"/>
      <c r="K54" s="88"/>
      <c r="L54" s="46"/>
      <c r="M54" s="25">
        <f t="shared" si="21"/>
        <v>45714.56944</v>
      </c>
      <c r="N54" s="25">
        <f t="shared" si="22"/>
        <v>45726.46528</v>
      </c>
      <c r="O54" s="25">
        <f t="shared" si="23"/>
        <v>11.89583333</v>
      </c>
      <c r="P54" s="25">
        <f t="shared" si="24"/>
        <v>285.5</v>
      </c>
      <c r="Q54" s="12">
        <v>7.0</v>
      </c>
      <c r="R54" s="12"/>
    </row>
    <row r="55" ht="15.75" customHeight="1">
      <c r="A55" s="5">
        <v>35.0</v>
      </c>
      <c r="B55" s="26"/>
      <c r="C55" s="18" t="s">
        <v>178</v>
      </c>
      <c r="D55" s="19" t="s">
        <v>74</v>
      </c>
      <c r="E55" s="20">
        <v>45727.0</v>
      </c>
      <c r="F55" s="21">
        <v>0.6749999999999999</v>
      </c>
      <c r="G55" s="20">
        <v>45731.0</v>
      </c>
      <c r="H55" s="21">
        <v>0.5208333333333334</v>
      </c>
      <c r="I55" s="22">
        <v>55664.18</v>
      </c>
      <c r="J55" s="74"/>
      <c r="K55" s="88"/>
      <c r="L55" s="46"/>
      <c r="M55" s="25">
        <f t="shared" si="21"/>
        <v>45727.675</v>
      </c>
      <c r="N55" s="25">
        <f t="shared" si="22"/>
        <v>45731.52083</v>
      </c>
      <c r="O55" s="25">
        <f t="shared" si="23"/>
        <v>3.845833333</v>
      </c>
      <c r="P55" s="25">
        <f t="shared" si="24"/>
        <v>92.3</v>
      </c>
      <c r="Q55" s="12">
        <v>6.0</v>
      </c>
      <c r="R55" s="12"/>
    </row>
    <row r="56" ht="15.75" customHeight="1">
      <c r="A56" s="5">
        <v>36.0</v>
      </c>
      <c r="B56" s="26"/>
      <c r="C56" s="18" t="s">
        <v>179</v>
      </c>
      <c r="D56" s="27" t="s">
        <v>139</v>
      </c>
      <c r="E56" s="20">
        <v>45734.0</v>
      </c>
      <c r="F56" s="21">
        <v>0.3277777777777778</v>
      </c>
      <c r="G56" s="20">
        <v>45738.0</v>
      </c>
      <c r="H56" s="21">
        <v>0.8333333333333334</v>
      </c>
      <c r="I56" s="22">
        <v>30481.571</v>
      </c>
      <c r="J56" s="74"/>
      <c r="K56" s="99"/>
      <c r="L56" s="82"/>
      <c r="M56" s="25">
        <f t="shared" si="21"/>
        <v>45734.32778</v>
      </c>
      <c r="N56" s="25">
        <f t="shared" si="22"/>
        <v>45738.83333</v>
      </c>
      <c r="O56" s="25">
        <f t="shared" si="23"/>
        <v>4.505555556</v>
      </c>
      <c r="P56" s="25">
        <f t="shared" si="24"/>
        <v>108.1333333</v>
      </c>
      <c r="Q56" s="12">
        <v>7.0</v>
      </c>
      <c r="R56" s="12"/>
    </row>
    <row r="57" ht="15.75" customHeight="1">
      <c r="A57" s="5"/>
      <c r="B57" s="89"/>
      <c r="C57" s="30"/>
      <c r="D57" s="19"/>
      <c r="E57" s="20"/>
      <c r="F57" s="21"/>
      <c r="G57" s="20"/>
      <c r="H57" s="21"/>
      <c r="I57" s="22"/>
      <c r="J57" s="74"/>
      <c r="K57" s="49"/>
      <c r="L57" s="50"/>
      <c r="M57" s="25">
        <f t="shared" si="21"/>
        <v>0</v>
      </c>
      <c r="N57" s="25">
        <f t="shared" si="22"/>
        <v>0</v>
      </c>
      <c r="O57" s="25">
        <f t="shared" si="23"/>
        <v>0</v>
      </c>
      <c r="P57" s="25">
        <f t="shared" si="24"/>
        <v>0</v>
      </c>
      <c r="Q57" s="12"/>
      <c r="R57" s="12"/>
    </row>
    <row r="58" ht="15.75" customHeight="1">
      <c r="A58" s="90"/>
      <c r="B58" s="91"/>
      <c r="C58" s="91"/>
      <c r="D58" s="91"/>
      <c r="E58" s="91"/>
      <c r="F58" s="91"/>
      <c r="G58" s="91"/>
      <c r="H58" s="91"/>
      <c r="I58" s="92">
        <f t="shared" ref="I58:J58" si="25">SUM(I51:I57)</f>
        <v>195767.729</v>
      </c>
      <c r="J58" s="93">
        <f t="shared" si="25"/>
        <v>0</v>
      </c>
      <c r="K58" s="39">
        <f>+(P58)/(31*24)</f>
        <v>1.723924731</v>
      </c>
      <c r="L58" s="41"/>
      <c r="M58" s="41"/>
      <c r="N58" s="41"/>
      <c r="O58" s="41"/>
      <c r="P58" s="42">
        <f>SUM(P51:P57)</f>
        <v>1282.6</v>
      </c>
      <c r="Q58" s="12"/>
      <c r="R58" s="1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  <c r="M59" s="2"/>
      <c r="N59" s="2"/>
      <c r="O59" s="2"/>
      <c r="P59" s="2"/>
      <c r="Q59" s="12"/>
      <c r="R59" s="1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94"/>
      <c r="J60" s="95"/>
      <c r="K60" s="3"/>
      <c r="L60" s="2"/>
      <c r="M60" s="2"/>
      <c r="N60" s="2"/>
      <c r="O60" s="2"/>
      <c r="P60" s="2"/>
      <c r="Q60" s="12"/>
      <c r="R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  <c r="M61" s="2"/>
      <c r="N61" s="2"/>
      <c r="O61" s="2"/>
      <c r="P61" s="2"/>
      <c r="Q61" s="12"/>
      <c r="R61" s="2"/>
    </row>
    <row r="62" ht="15.75" customHeight="1">
      <c r="A62" s="96" t="s">
        <v>80</v>
      </c>
      <c r="B62" s="96"/>
      <c r="C62" s="96" t="s">
        <v>81</v>
      </c>
      <c r="D62" s="96" t="s">
        <v>82</v>
      </c>
      <c r="E62" s="96" t="s">
        <v>18</v>
      </c>
      <c r="F62" s="2"/>
      <c r="G62" s="2"/>
      <c r="H62" s="2"/>
      <c r="I62" s="2"/>
      <c r="J62" s="2"/>
      <c r="K62" s="3"/>
      <c r="L62" s="2"/>
      <c r="M62" s="2"/>
      <c r="N62" s="2"/>
      <c r="O62" s="2"/>
      <c r="P62" s="2"/>
      <c r="Q62" s="12"/>
      <c r="R62" s="2"/>
    </row>
    <row r="63" ht="15.75" customHeight="1">
      <c r="A63" s="96" t="s">
        <v>83</v>
      </c>
      <c r="B63" s="96"/>
      <c r="C63" s="96"/>
      <c r="D63" s="96" t="s">
        <v>84</v>
      </c>
      <c r="E63" s="96" t="s">
        <v>31</v>
      </c>
      <c r="F63" s="2"/>
      <c r="G63" s="2"/>
      <c r="H63" s="2"/>
      <c r="I63" s="2"/>
      <c r="J63" s="2"/>
      <c r="K63" s="3"/>
      <c r="L63" s="2"/>
      <c r="M63" s="2"/>
      <c r="N63" s="2"/>
      <c r="O63" s="2"/>
      <c r="P63" s="2"/>
      <c r="Q63" s="2"/>
      <c r="R63" s="2"/>
    </row>
    <row r="64" ht="15.75" customHeight="1">
      <c r="A64" s="96"/>
      <c r="B64" s="96"/>
      <c r="C64" s="96"/>
      <c r="D64" s="96" t="s">
        <v>85</v>
      </c>
      <c r="E64" s="96" t="s">
        <v>41</v>
      </c>
      <c r="F64" s="2"/>
      <c r="G64" s="2"/>
      <c r="H64" s="2"/>
      <c r="I64" s="2"/>
      <c r="J64" s="2"/>
      <c r="K64" s="3"/>
      <c r="L64" s="2"/>
      <c r="M64" s="2"/>
      <c r="N64" s="2"/>
      <c r="O64" s="2"/>
      <c r="P64" s="2"/>
      <c r="Q64" s="2"/>
      <c r="R64" s="2"/>
    </row>
    <row r="65" ht="15.75" customHeight="1">
      <c r="A65" s="96"/>
      <c r="B65" s="96"/>
      <c r="C65" s="96"/>
      <c r="D65" s="96" t="s">
        <v>86</v>
      </c>
      <c r="E65" s="96" t="s">
        <v>62</v>
      </c>
      <c r="F65" s="2"/>
      <c r="G65" s="2"/>
      <c r="H65" s="2"/>
      <c r="I65" s="2"/>
      <c r="J65" s="2"/>
      <c r="K65" s="3"/>
      <c r="L65" s="97"/>
      <c r="M65" s="2"/>
      <c r="N65" s="2"/>
      <c r="O65" s="2"/>
      <c r="P65" s="2"/>
      <c r="Q65" s="2"/>
      <c r="R65" s="2"/>
    </row>
    <row r="66" ht="15.75" customHeight="1">
      <c r="A66" s="96"/>
      <c r="B66" s="96"/>
      <c r="C66" s="96"/>
      <c r="D66" s="96" t="s">
        <v>87</v>
      </c>
      <c r="E66" s="96" t="s">
        <v>69</v>
      </c>
      <c r="F66" s="2"/>
      <c r="G66" s="2"/>
      <c r="H66" s="2"/>
      <c r="I66" s="2"/>
      <c r="J66" s="2"/>
      <c r="K66" s="3"/>
      <c r="L66" s="2"/>
      <c r="M66" s="2"/>
      <c r="N66" s="2"/>
      <c r="O66" s="2"/>
      <c r="P66" s="2"/>
      <c r="Q66" s="2"/>
      <c r="R66" s="2"/>
    </row>
    <row r="67" ht="15.75" customHeight="1">
      <c r="A67" s="96"/>
      <c r="B67" s="96"/>
      <c r="C67" s="96"/>
      <c r="D67" s="96"/>
      <c r="E67" s="96"/>
      <c r="F67" s="2"/>
      <c r="G67" s="2"/>
      <c r="H67" s="2"/>
      <c r="I67" s="2"/>
      <c r="J67" s="2"/>
      <c r="K67" s="3"/>
      <c r="L67" s="2"/>
      <c r="M67" s="2"/>
      <c r="N67" s="2"/>
      <c r="O67" s="2"/>
      <c r="P67" s="2"/>
      <c r="Q67" s="2"/>
      <c r="R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2"/>
      <c r="N68" s="2"/>
      <c r="O68" s="2"/>
      <c r="P68" s="2"/>
      <c r="Q68" s="2"/>
      <c r="R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  <c r="M69" s="2"/>
      <c r="N69" s="2"/>
      <c r="O69" s="2"/>
      <c r="P69" s="2"/>
      <c r="Q69" s="2"/>
      <c r="R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2"/>
      <c r="N71" s="2"/>
      <c r="O71" s="2"/>
      <c r="P71" s="2"/>
      <c r="Q71" s="2"/>
      <c r="R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15"/>
    <mergeCell ref="B18:B22"/>
    <mergeCell ref="B25:B34"/>
    <mergeCell ref="B37:B45"/>
    <mergeCell ref="B51:B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180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181</v>
      </c>
      <c r="D7" s="19" t="s">
        <v>182</v>
      </c>
      <c r="E7" s="20">
        <v>45746.0</v>
      </c>
      <c r="F7" s="21">
        <v>0.6493055555555556</v>
      </c>
      <c r="G7" s="20">
        <v>45748.0</v>
      </c>
      <c r="H7" s="21">
        <v>0.08333333333333333</v>
      </c>
      <c r="I7" s="22"/>
      <c r="J7" s="23">
        <v>555.21</v>
      </c>
      <c r="K7" s="24"/>
      <c r="L7" s="21"/>
      <c r="M7" s="25">
        <f t="shared" ref="M7:M12" si="1">INT(E7)+MOD(F7,1)</f>
        <v>45746.64931</v>
      </c>
      <c r="N7" s="25">
        <f t="shared" ref="N7:N12" si="2">INT(G7)+MOD(H7,1)</f>
        <v>45748.08333</v>
      </c>
      <c r="O7" s="25">
        <f t="shared" ref="O7:O12" si="3">N7-M7</f>
        <v>1.434027778</v>
      </c>
      <c r="P7" s="25">
        <f t="shared" ref="P7:P12" si="4">O7*24</f>
        <v>34.41666667</v>
      </c>
      <c r="Q7" s="12">
        <v>2.0</v>
      </c>
      <c r="R7" s="2"/>
    </row>
    <row r="8">
      <c r="A8" s="5">
        <v>2.0</v>
      </c>
      <c r="B8" s="26"/>
      <c r="C8" s="30" t="s">
        <v>183</v>
      </c>
      <c r="D8" s="19" t="s">
        <v>154</v>
      </c>
      <c r="E8" s="20">
        <v>45748.0</v>
      </c>
      <c r="F8" s="21">
        <v>0.9166666666666666</v>
      </c>
      <c r="G8" s="20">
        <v>45753.0</v>
      </c>
      <c r="H8" s="21">
        <v>0.40972222222222227</v>
      </c>
      <c r="I8" s="22"/>
      <c r="J8" s="23">
        <v>7114.301</v>
      </c>
      <c r="K8" s="24"/>
      <c r="L8" s="21"/>
      <c r="M8" s="25">
        <f t="shared" si="1"/>
        <v>45748.91667</v>
      </c>
      <c r="N8" s="25">
        <f t="shared" si="2"/>
        <v>45753.40972</v>
      </c>
      <c r="O8" s="25">
        <f t="shared" si="3"/>
        <v>4.493055556</v>
      </c>
      <c r="P8" s="25">
        <f t="shared" si="4"/>
        <v>107.8333333</v>
      </c>
      <c r="Q8" s="12">
        <v>2.0</v>
      </c>
      <c r="R8" s="2"/>
    </row>
    <row r="9">
      <c r="A9" s="5">
        <v>3.0</v>
      </c>
      <c r="B9" s="26"/>
      <c r="C9" s="30" t="s">
        <v>155</v>
      </c>
      <c r="D9" s="19" t="s">
        <v>184</v>
      </c>
      <c r="E9" s="20">
        <v>45746.0</v>
      </c>
      <c r="F9" s="21">
        <v>0.5520833333333334</v>
      </c>
      <c r="G9" s="20">
        <v>45746.0</v>
      </c>
      <c r="H9" s="21">
        <v>0.5520833333333334</v>
      </c>
      <c r="I9" s="22">
        <v>386.4</v>
      </c>
      <c r="J9" s="23"/>
      <c r="K9" s="24"/>
      <c r="L9" s="21"/>
      <c r="M9" s="25">
        <f t="shared" si="1"/>
        <v>45746.55208</v>
      </c>
      <c r="N9" s="25">
        <f t="shared" si="2"/>
        <v>45746.55208</v>
      </c>
      <c r="O9" s="25">
        <f t="shared" si="3"/>
        <v>0</v>
      </c>
      <c r="P9" s="25">
        <f t="shared" si="4"/>
        <v>0</v>
      </c>
      <c r="Q9" s="12">
        <v>2.0</v>
      </c>
      <c r="R9" s="2"/>
    </row>
    <row r="10">
      <c r="A10" s="5">
        <v>4.0</v>
      </c>
      <c r="B10" s="26"/>
      <c r="C10" s="30" t="s">
        <v>185</v>
      </c>
      <c r="D10" s="19" t="s">
        <v>25</v>
      </c>
      <c r="E10" s="20">
        <v>45765.0</v>
      </c>
      <c r="F10" s="21">
        <v>0.5659722222222222</v>
      </c>
      <c r="G10" s="20">
        <v>45766.0</v>
      </c>
      <c r="H10" s="21">
        <v>0.813888888888889</v>
      </c>
      <c r="I10" s="22">
        <v>2894.877</v>
      </c>
      <c r="J10" s="23"/>
      <c r="K10" s="24"/>
      <c r="L10" s="21"/>
      <c r="M10" s="25">
        <f t="shared" si="1"/>
        <v>45765.56597</v>
      </c>
      <c r="N10" s="25">
        <f t="shared" si="2"/>
        <v>45766.81389</v>
      </c>
      <c r="O10" s="25">
        <f t="shared" si="3"/>
        <v>1.247916667</v>
      </c>
      <c r="P10" s="25">
        <f t="shared" si="4"/>
        <v>29.95</v>
      </c>
      <c r="Q10" s="12">
        <v>2.0</v>
      </c>
      <c r="R10" s="2"/>
    </row>
    <row r="11">
      <c r="A11" s="5">
        <v>5.0</v>
      </c>
      <c r="B11" s="26"/>
      <c r="C11" s="30" t="s">
        <v>186</v>
      </c>
      <c r="D11" s="27" t="s">
        <v>25</v>
      </c>
      <c r="E11" s="20">
        <v>45769.0</v>
      </c>
      <c r="F11" s="21">
        <v>0.6215277777777778</v>
      </c>
      <c r="G11" s="20">
        <v>45770.0</v>
      </c>
      <c r="H11" s="21">
        <v>0.9340277777777778</v>
      </c>
      <c r="I11" s="22">
        <v>3321.543</v>
      </c>
      <c r="J11" s="23"/>
      <c r="K11" s="24"/>
      <c r="L11" s="21"/>
      <c r="M11" s="25">
        <f t="shared" si="1"/>
        <v>45769.62153</v>
      </c>
      <c r="N11" s="25">
        <f t="shared" si="2"/>
        <v>45770.93403</v>
      </c>
      <c r="O11" s="25">
        <f t="shared" si="3"/>
        <v>1.3125</v>
      </c>
      <c r="P11" s="25">
        <f t="shared" si="4"/>
        <v>31.5</v>
      </c>
      <c r="Q11" s="12">
        <v>2.0</v>
      </c>
      <c r="R11" s="2"/>
    </row>
    <row r="12">
      <c r="A12" s="5">
        <v>6.0</v>
      </c>
      <c r="B12" s="26"/>
      <c r="C12" s="30" t="s">
        <v>187</v>
      </c>
      <c r="D12" s="27" t="s">
        <v>30</v>
      </c>
      <c r="E12" s="20">
        <v>45775.0</v>
      </c>
      <c r="F12" s="21">
        <v>0.28750000000000003</v>
      </c>
      <c r="G12" s="20">
        <v>45775.0</v>
      </c>
      <c r="H12" s="21">
        <v>0.6708333333333334</v>
      </c>
      <c r="I12" s="28">
        <v>45.0</v>
      </c>
      <c r="J12" s="29">
        <v>46.0</v>
      </c>
      <c r="K12" s="24"/>
      <c r="L12" s="21"/>
      <c r="M12" s="25">
        <f t="shared" si="1"/>
        <v>45775.2875</v>
      </c>
      <c r="N12" s="25">
        <f t="shared" si="2"/>
        <v>45775.67083</v>
      </c>
      <c r="O12" s="25">
        <f t="shared" si="3"/>
        <v>0.3833333333</v>
      </c>
      <c r="P12" s="25">
        <f t="shared" si="4"/>
        <v>9.2</v>
      </c>
      <c r="Q12" s="12">
        <v>2.0</v>
      </c>
      <c r="R12" s="2"/>
    </row>
    <row r="13" ht="15.75" customHeight="1">
      <c r="A13" s="5"/>
      <c r="B13" s="26"/>
      <c r="C13" s="30"/>
      <c r="D13" s="19"/>
      <c r="E13" s="20"/>
      <c r="F13" s="21"/>
      <c r="G13" s="20"/>
      <c r="H13" s="21"/>
      <c r="I13" s="22"/>
      <c r="J13" s="23"/>
      <c r="K13" s="24"/>
      <c r="L13" s="21"/>
      <c r="M13" s="46"/>
      <c r="N13" s="46"/>
      <c r="O13" s="46"/>
      <c r="P13" s="46"/>
      <c r="Q13" s="12"/>
      <c r="R13" s="2"/>
    </row>
    <row r="14" ht="15.75" customHeight="1">
      <c r="A14" s="31"/>
      <c r="B14" s="32"/>
      <c r="C14" s="33"/>
      <c r="D14" s="34"/>
      <c r="E14" s="35"/>
      <c r="F14" s="36"/>
      <c r="G14" s="35"/>
      <c r="H14" s="36"/>
      <c r="I14" s="37">
        <f t="shared" ref="I14:J14" si="5">SUM(I7:I13)</f>
        <v>6647.82</v>
      </c>
      <c r="J14" s="38">
        <f t="shared" si="5"/>
        <v>7715.511</v>
      </c>
      <c r="K14" s="39">
        <f>+(P14)/(31*24)</f>
        <v>0.286155914</v>
      </c>
      <c r="L14" s="40"/>
      <c r="M14" s="41"/>
      <c r="N14" s="41"/>
      <c r="O14" s="41"/>
      <c r="P14" s="42">
        <f>SUM(P7:P13)</f>
        <v>212.9</v>
      </c>
      <c r="Q14" s="2"/>
      <c r="R14" s="2"/>
    </row>
    <row r="15">
      <c r="A15" s="1"/>
      <c r="B15" s="12"/>
      <c r="C15" s="43"/>
      <c r="D15" s="12"/>
      <c r="E15" s="13"/>
      <c r="F15" s="14"/>
      <c r="G15" s="13"/>
      <c r="H15" s="14"/>
      <c r="I15" s="44"/>
      <c r="J15" s="15"/>
      <c r="K15" s="16"/>
      <c r="L15" s="14"/>
      <c r="M15" s="2"/>
      <c r="N15" s="2"/>
      <c r="O15" s="2"/>
      <c r="P15" s="2"/>
      <c r="Q15" s="2"/>
      <c r="R15" s="2"/>
    </row>
    <row r="16">
      <c r="A16" s="5">
        <v>7.0</v>
      </c>
      <c r="B16" s="17" t="s">
        <v>31</v>
      </c>
      <c r="C16" s="30" t="s">
        <v>188</v>
      </c>
      <c r="D16" s="19" t="s">
        <v>33</v>
      </c>
      <c r="E16" s="20">
        <v>45730.0</v>
      </c>
      <c r="F16" s="21">
        <v>0.7118055555555555</v>
      </c>
      <c r="G16" s="20">
        <v>45733.0</v>
      </c>
      <c r="H16" s="21">
        <v>0.5902777777777778</v>
      </c>
      <c r="I16" s="22">
        <v>7295.799</v>
      </c>
      <c r="J16" s="23"/>
      <c r="K16" s="45"/>
      <c r="L16" s="21"/>
      <c r="M16" s="25">
        <f t="shared" ref="M16:M21" si="6">INT(E16)+MOD(F16,1)</f>
        <v>45730.71181</v>
      </c>
      <c r="N16" s="25">
        <f t="shared" ref="N16:N21" si="7">INT(G16)+MOD(H16,1)</f>
        <v>45733.59028</v>
      </c>
      <c r="O16" s="25">
        <f t="shared" ref="O16:O21" si="8">N16-M16</f>
        <v>2.878472222</v>
      </c>
      <c r="P16" s="25">
        <f t="shared" ref="P16:P21" si="9">O16*24</f>
        <v>69.08333333</v>
      </c>
      <c r="Q16" s="12">
        <v>3.0</v>
      </c>
      <c r="R16" s="2"/>
    </row>
    <row r="17">
      <c r="A17" s="5">
        <v>8.0</v>
      </c>
      <c r="B17" s="26"/>
      <c r="C17" s="30" t="s">
        <v>106</v>
      </c>
      <c r="D17" s="19" t="s">
        <v>33</v>
      </c>
      <c r="E17" s="20">
        <v>45733.0</v>
      </c>
      <c r="F17" s="21">
        <v>0.7291666666666666</v>
      </c>
      <c r="G17" s="20">
        <v>45741.0</v>
      </c>
      <c r="H17" s="21">
        <v>0.84375</v>
      </c>
      <c r="I17" s="22">
        <v>7320.968</v>
      </c>
      <c r="J17" s="23"/>
      <c r="K17" s="45"/>
      <c r="L17" s="21"/>
      <c r="M17" s="25">
        <f t="shared" si="6"/>
        <v>45733.72917</v>
      </c>
      <c r="N17" s="25">
        <f t="shared" si="7"/>
        <v>45741.84375</v>
      </c>
      <c r="O17" s="25">
        <f t="shared" si="8"/>
        <v>8.114583333</v>
      </c>
      <c r="P17" s="25">
        <f t="shared" si="9"/>
        <v>194.75</v>
      </c>
      <c r="Q17" s="12">
        <v>3.0</v>
      </c>
      <c r="R17" s="2"/>
    </row>
    <row r="18">
      <c r="A18" s="5">
        <v>9.0</v>
      </c>
      <c r="B18" s="26"/>
      <c r="C18" s="30" t="s">
        <v>189</v>
      </c>
      <c r="D18" s="19" t="s">
        <v>33</v>
      </c>
      <c r="E18" s="20">
        <v>45742.0</v>
      </c>
      <c r="F18" s="21">
        <v>0.37152777777777773</v>
      </c>
      <c r="G18" s="20">
        <v>45745.0</v>
      </c>
      <c r="H18" s="21">
        <v>0.3645833333333333</v>
      </c>
      <c r="I18" s="22">
        <v>7298.134</v>
      </c>
      <c r="J18" s="23"/>
      <c r="K18" s="45"/>
      <c r="L18" s="21"/>
      <c r="M18" s="25">
        <f t="shared" si="6"/>
        <v>45742.37153</v>
      </c>
      <c r="N18" s="25">
        <f t="shared" si="7"/>
        <v>45745.36458</v>
      </c>
      <c r="O18" s="25">
        <f t="shared" si="8"/>
        <v>2.993055556</v>
      </c>
      <c r="P18" s="25">
        <f t="shared" si="9"/>
        <v>71.83333333</v>
      </c>
      <c r="Q18" s="12">
        <v>3.0</v>
      </c>
      <c r="R18" s="2"/>
    </row>
    <row r="19">
      <c r="A19" s="5">
        <v>10.0</v>
      </c>
      <c r="B19" s="26"/>
      <c r="C19" s="30" t="s">
        <v>190</v>
      </c>
      <c r="D19" s="19" t="s">
        <v>33</v>
      </c>
      <c r="E19" s="20">
        <v>45752.0</v>
      </c>
      <c r="F19" s="21">
        <v>0.4166666666666667</v>
      </c>
      <c r="G19" s="20">
        <v>45756.0</v>
      </c>
      <c r="H19" s="21">
        <v>0.3125</v>
      </c>
      <c r="I19" s="22">
        <v>7499.014</v>
      </c>
      <c r="J19" s="23"/>
      <c r="K19" s="45"/>
      <c r="L19" s="21"/>
      <c r="M19" s="25">
        <f t="shared" si="6"/>
        <v>45752.41667</v>
      </c>
      <c r="N19" s="25">
        <f t="shared" si="7"/>
        <v>45756.3125</v>
      </c>
      <c r="O19" s="25">
        <f t="shared" si="8"/>
        <v>3.895833333</v>
      </c>
      <c r="P19" s="25">
        <f t="shared" si="9"/>
        <v>93.5</v>
      </c>
      <c r="Q19" s="12">
        <v>3.0</v>
      </c>
      <c r="R19" s="2"/>
    </row>
    <row r="20">
      <c r="A20" s="5">
        <v>11.0</v>
      </c>
      <c r="B20" s="26"/>
      <c r="C20" s="30" t="s">
        <v>191</v>
      </c>
      <c r="D20" s="19" t="s">
        <v>33</v>
      </c>
      <c r="E20" s="20">
        <v>45756.0</v>
      </c>
      <c r="F20" s="21">
        <v>0.34375</v>
      </c>
      <c r="G20" s="20">
        <v>45759.0</v>
      </c>
      <c r="H20" s="21">
        <v>0.7361111111111112</v>
      </c>
      <c r="I20" s="22">
        <v>7509.075</v>
      </c>
      <c r="J20" s="23"/>
      <c r="K20" s="49"/>
      <c r="L20" s="50"/>
      <c r="M20" s="25">
        <f t="shared" si="6"/>
        <v>45756.34375</v>
      </c>
      <c r="N20" s="25">
        <f t="shared" si="7"/>
        <v>45759.73611</v>
      </c>
      <c r="O20" s="25">
        <f t="shared" si="8"/>
        <v>3.392361111</v>
      </c>
      <c r="P20" s="25">
        <f t="shared" si="9"/>
        <v>81.41666667</v>
      </c>
      <c r="Q20" s="12">
        <v>3.0</v>
      </c>
      <c r="R20" s="2"/>
    </row>
    <row r="21" ht="15.75" customHeight="1">
      <c r="A21" s="5">
        <v>12.0</v>
      </c>
      <c r="B21" s="26"/>
      <c r="C21" s="30" t="s">
        <v>192</v>
      </c>
      <c r="D21" s="19" t="s">
        <v>33</v>
      </c>
      <c r="E21" s="20">
        <v>45769.0</v>
      </c>
      <c r="F21" s="21">
        <v>0.4375</v>
      </c>
      <c r="G21" s="20">
        <v>45772.0</v>
      </c>
      <c r="H21" s="21">
        <v>0.3125</v>
      </c>
      <c r="I21" s="22">
        <v>8097.82</v>
      </c>
      <c r="J21" s="23"/>
      <c r="K21" s="49"/>
      <c r="L21" s="50"/>
      <c r="M21" s="25">
        <f t="shared" si="6"/>
        <v>45769.4375</v>
      </c>
      <c r="N21" s="25">
        <f t="shared" si="7"/>
        <v>45772.3125</v>
      </c>
      <c r="O21" s="25">
        <f t="shared" si="8"/>
        <v>2.875</v>
      </c>
      <c r="P21" s="25">
        <f t="shared" si="9"/>
        <v>69</v>
      </c>
      <c r="Q21" s="12">
        <v>3.0</v>
      </c>
      <c r="R21" s="2"/>
    </row>
    <row r="22" ht="15.75" customHeight="1">
      <c r="A22" s="5"/>
      <c r="B22" s="26"/>
      <c r="C22" s="30"/>
      <c r="D22" s="19"/>
      <c r="E22" s="20"/>
      <c r="F22" s="21"/>
      <c r="G22" s="20"/>
      <c r="H22" s="21"/>
      <c r="I22" s="22"/>
      <c r="J22" s="23"/>
      <c r="K22" s="49"/>
      <c r="L22" s="50"/>
      <c r="M22" s="46"/>
      <c r="N22" s="46"/>
      <c r="O22" s="46"/>
      <c r="P22" s="46"/>
      <c r="Q22" s="12"/>
      <c r="R22" s="2"/>
    </row>
    <row r="23" ht="15.75" customHeight="1">
      <c r="A23" s="31"/>
      <c r="B23" s="32"/>
      <c r="C23" s="51"/>
      <c r="D23" s="52"/>
      <c r="E23" s="20"/>
      <c r="F23" s="21"/>
      <c r="G23" s="20"/>
      <c r="H23" s="21"/>
      <c r="I23" s="53">
        <f t="shared" ref="I23:J23" si="10">SUM(I16:I22)</f>
        <v>45020.81</v>
      </c>
      <c r="J23" s="54">
        <f t="shared" si="10"/>
        <v>0</v>
      </c>
      <c r="K23" s="39">
        <f>+(P23)/(31*24)</f>
        <v>0.7790098566</v>
      </c>
      <c r="L23" s="40"/>
      <c r="M23" s="41"/>
      <c r="N23" s="41"/>
      <c r="O23" s="41"/>
      <c r="P23" s="42">
        <f>SUM(P16:P22)</f>
        <v>579.5833333</v>
      </c>
      <c r="Q23" s="2"/>
      <c r="R23" s="2"/>
    </row>
    <row r="24" ht="15.75" customHeight="1">
      <c r="A24" s="1"/>
      <c r="B24" s="12"/>
      <c r="C24" s="43"/>
      <c r="D24" s="12"/>
      <c r="E24" s="13"/>
      <c r="F24" s="14"/>
      <c r="G24" s="13"/>
      <c r="H24" s="14"/>
      <c r="I24" s="55"/>
      <c r="J24" s="56"/>
      <c r="K24" s="16"/>
      <c r="L24" s="14"/>
      <c r="M24" s="2"/>
      <c r="N24" s="2"/>
      <c r="O24" s="2"/>
      <c r="P24" s="2"/>
      <c r="Q24" s="2"/>
      <c r="R24" s="2"/>
    </row>
    <row r="25" ht="15.75" customHeight="1">
      <c r="A25" s="5">
        <v>13.0</v>
      </c>
      <c r="B25" s="17" t="s">
        <v>41</v>
      </c>
      <c r="C25" s="30" t="s">
        <v>193</v>
      </c>
      <c r="D25" s="19" t="s">
        <v>33</v>
      </c>
      <c r="E25" s="20">
        <v>45725.0</v>
      </c>
      <c r="F25" s="21">
        <v>0.5868055555555556</v>
      </c>
      <c r="G25" s="20">
        <v>45738.0</v>
      </c>
      <c r="H25" s="21">
        <v>0.4895833333333333</v>
      </c>
      <c r="I25" s="22">
        <v>8887.389</v>
      </c>
      <c r="J25" s="23"/>
      <c r="K25" s="45"/>
      <c r="L25" s="72"/>
      <c r="M25" s="25">
        <f t="shared" ref="M25:M35" si="11">INT(E25)+MOD(F25,1)</f>
        <v>45725.58681</v>
      </c>
      <c r="N25" s="25">
        <f t="shared" ref="N25:N35" si="12">INT(G25)+MOD(H25,1)</f>
        <v>45738.48958</v>
      </c>
      <c r="O25" s="60">
        <f t="shared" ref="O25:O35" si="13">N25-M25</f>
        <v>12.90277778</v>
      </c>
      <c r="P25" s="25">
        <f t="shared" ref="P25:P35" si="14">O25*24</f>
        <v>309.6666667</v>
      </c>
      <c r="Q25" s="12">
        <v>4.0</v>
      </c>
      <c r="R25" s="2"/>
    </row>
    <row r="26" ht="15.75" customHeight="1">
      <c r="A26" s="5">
        <v>14.0</v>
      </c>
      <c r="B26" s="26"/>
      <c r="C26" s="30" t="s">
        <v>105</v>
      </c>
      <c r="D26" s="19" t="s">
        <v>33</v>
      </c>
      <c r="E26" s="20">
        <v>45738.0</v>
      </c>
      <c r="F26" s="21">
        <v>0.7048611111111112</v>
      </c>
      <c r="G26" s="20">
        <v>45742.0</v>
      </c>
      <c r="H26" s="21">
        <v>0.40625</v>
      </c>
      <c r="I26" s="22">
        <v>7498.249</v>
      </c>
      <c r="J26" s="23"/>
      <c r="K26" s="45"/>
      <c r="L26" s="21"/>
      <c r="M26" s="25">
        <f t="shared" si="11"/>
        <v>45738.70486</v>
      </c>
      <c r="N26" s="25">
        <f t="shared" si="12"/>
        <v>45742.40625</v>
      </c>
      <c r="O26" s="60">
        <f t="shared" si="13"/>
        <v>3.701388889</v>
      </c>
      <c r="P26" s="25">
        <f t="shared" si="14"/>
        <v>88.83333333</v>
      </c>
      <c r="Q26" s="12">
        <v>4.0</v>
      </c>
      <c r="R26" s="2"/>
    </row>
    <row r="27" ht="15.75" customHeight="1">
      <c r="A27" s="5">
        <v>15.0</v>
      </c>
      <c r="B27" s="26"/>
      <c r="C27" s="30" t="s">
        <v>194</v>
      </c>
      <c r="D27" s="19" t="s">
        <v>33</v>
      </c>
      <c r="E27" s="20">
        <v>45742.0</v>
      </c>
      <c r="F27" s="21">
        <v>0.625</v>
      </c>
      <c r="G27" s="20">
        <v>45746.0</v>
      </c>
      <c r="H27" s="21">
        <v>0.5729166666666666</v>
      </c>
      <c r="I27" s="22">
        <v>7517.057</v>
      </c>
      <c r="J27" s="29"/>
      <c r="K27" s="45"/>
      <c r="L27" s="21"/>
      <c r="M27" s="25">
        <f t="shared" si="11"/>
        <v>45742.625</v>
      </c>
      <c r="N27" s="25">
        <f t="shared" si="12"/>
        <v>45746.57292</v>
      </c>
      <c r="O27" s="60">
        <f t="shared" si="13"/>
        <v>3.947916667</v>
      </c>
      <c r="P27" s="25">
        <f t="shared" si="14"/>
        <v>94.75</v>
      </c>
      <c r="Q27" s="12">
        <v>4.0</v>
      </c>
      <c r="R27" s="2"/>
    </row>
    <row r="28" ht="15.75" customHeight="1">
      <c r="A28" s="5">
        <v>16.0</v>
      </c>
      <c r="B28" s="26"/>
      <c r="C28" s="30" t="s">
        <v>195</v>
      </c>
      <c r="D28" s="19" t="s">
        <v>33</v>
      </c>
      <c r="E28" s="20">
        <v>45742.0</v>
      </c>
      <c r="F28" s="21">
        <v>0.3333333333333333</v>
      </c>
      <c r="G28" s="20">
        <v>45748.0</v>
      </c>
      <c r="H28" s="21">
        <v>0.4166666666666667</v>
      </c>
      <c r="I28" s="22">
        <v>7330.945</v>
      </c>
      <c r="J28" s="23"/>
      <c r="K28" s="45"/>
      <c r="L28" s="21"/>
      <c r="M28" s="25">
        <f t="shared" si="11"/>
        <v>45742.33333</v>
      </c>
      <c r="N28" s="25">
        <f t="shared" si="12"/>
        <v>45748.41667</v>
      </c>
      <c r="O28" s="60">
        <f t="shared" si="13"/>
        <v>6.083333333</v>
      </c>
      <c r="P28" s="25">
        <f t="shared" si="14"/>
        <v>146</v>
      </c>
      <c r="Q28" s="12">
        <v>4.0</v>
      </c>
      <c r="R28" s="2"/>
    </row>
    <row r="29" ht="15.75" customHeight="1">
      <c r="A29" s="5">
        <v>17.0</v>
      </c>
      <c r="B29" s="26"/>
      <c r="C29" s="30" t="s">
        <v>196</v>
      </c>
      <c r="D29" s="19" t="s">
        <v>33</v>
      </c>
      <c r="E29" s="20">
        <v>45757.0</v>
      </c>
      <c r="F29" s="21">
        <v>0.6527777777777778</v>
      </c>
      <c r="G29" s="20">
        <v>45760.0</v>
      </c>
      <c r="H29" s="21">
        <v>0.3923611111111111</v>
      </c>
      <c r="I29" s="22">
        <v>7366.5</v>
      </c>
      <c r="J29" s="23"/>
      <c r="K29" s="45"/>
      <c r="L29" s="21"/>
      <c r="M29" s="25">
        <f t="shared" si="11"/>
        <v>45757.65278</v>
      </c>
      <c r="N29" s="25">
        <f t="shared" si="12"/>
        <v>45760.39236</v>
      </c>
      <c r="O29" s="60">
        <f t="shared" si="13"/>
        <v>2.739583333</v>
      </c>
      <c r="P29" s="25">
        <f t="shared" si="14"/>
        <v>65.75</v>
      </c>
      <c r="Q29" s="12">
        <v>4.0</v>
      </c>
      <c r="R29" s="2"/>
    </row>
    <row r="30" ht="15.75" customHeight="1">
      <c r="A30" s="5">
        <v>18.0</v>
      </c>
      <c r="B30" s="26"/>
      <c r="C30" s="30" t="s">
        <v>197</v>
      </c>
      <c r="D30" s="19" t="s">
        <v>33</v>
      </c>
      <c r="E30" s="20">
        <v>45745.0</v>
      </c>
      <c r="F30" s="21">
        <v>0.607638888888889</v>
      </c>
      <c r="G30" s="20">
        <v>45752.0</v>
      </c>
      <c r="H30" s="21">
        <v>0.37847222222222227</v>
      </c>
      <c r="I30" s="22">
        <v>7500.073</v>
      </c>
      <c r="J30" s="23"/>
      <c r="K30" s="45"/>
      <c r="L30" s="21"/>
      <c r="M30" s="25">
        <f t="shared" si="11"/>
        <v>45745.60764</v>
      </c>
      <c r="N30" s="25">
        <f t="shared" si="12"/>
        <v>45752.37847</v>
      </c>
      <c r="O30" s="60">
        <f t="shared" si="13"/>
        <v>6.770833333</v>
      </c>
      <c r="P30" s="25">
        <f t="shared" si="14"/>
        <v>162.5</v>
      </c>
      <c r="Q30" s="12">
        <v>4.0</v>
      </c>
      <c r="R30" s="2"/>
    </row>
    <row r="31" ht="15.75" customHeight="1">
      <c r="A31" s="5">
        <v>19.0</v>
      </c>
      <c r="B31" s="26"/>
      <c r="C31" s="30" t="s">
        <v>140</v>
      </c>
      <c r="D31" s="19" t="s">
        <v>33</v>
      </c>
      <c r="E31" s="20">
        <v>45750.0</v>
      </c>
      <c r="F31" s="21">
        <v>0.3993055555555556</v>
      </c>
      <c r="G31" s="20">
        <v>45753.0</v>
      </c>
      <c r="H31" s="21">
        <v>0.5625</v>
      </c>
      <c r="I31" s="22">
        <v>8297.62</v>
      </c>
      <c r="J31" s="23"/>
      <c r="K31" s="45"/>
      <c r="L31" s="50"/>
      <c r="M31" s="25">
        <f t="shared" si="11"/>
        <v>45750.39931</v>
      </c>
      <c r="N31" s="25">
        <f t="shared" si="12"/>
        <v>45753.5625</v>
      </c>
      <c r="O31" s="60">
        <f t="shared" si="13"/>
        <v>3.163194444</v>
      </c>
      <c r="P31" s="25">
        <f t="shared" si="14"/>
        <v>75.91666667</v>
      </c>
      <c r="Q31" s="12">
        <v>4.0</v>
      </c>
      <c r="R31" s="2"/>
    </row>
    <row r="32" ht="15.75" customHeight="1">
      <c r="A32" s="5">
        <v>20.0</v>
      </c>
      <c r="B32" s="26"/>
      <c r="C32" s="30" t="s">
        <v>198</v>
      </c>
      <c r="D32" s="19" t="s">
        <v>33</v>
      </c>
      <c r="E32" s="20">
        <v>45761.0</v>
      </c>
      <c r="F32" s="21">
        <v>0.5277777777777778</v>
      </c>
      <c r="G32" s="20">
        <v>45763.0</v>
      </c>
      <c r="H32" s="21">
        <v>0.3819444444444444</v>
      </c>
      <c r="I32" s="22">
        <v>7854.54</v>
      </c>
      <c r="J32" s="29"/>
      <c r="K32" s="45"/>
      <c r="L32" s="50"/>
      <c r="M32" s="25">
        <f t="shared" si="11"/>
        <v>45761.52778</v>
      </c>
      <c r="N32" s="25">
        <f t="shared" si="12"/>
        <v>45763.38194</v>
      </c>
      <c r="O32" s="60">
        <f t="shared" si="13"/>
        <v>1.854166667</v>
      </c>
      <c r="P32" s="25">
        <f t="shared" si="14"/>
        <v>44.5</v>
      </c>
      <c r="Q32" s="12">
        <v>4.0</v>
      </c>
      <c r="R32" s="2"/>
    </row>
    <row r="33" ht="15.75" customHeight="1">
      <c r="A33" s="5">
        <v>21.0</v>
      </c>
      <c r="B33" s="26"/>
      <c r="C33" s="30" t="s">
        <v>197</v>
      </c>
      <c r="D33" s="19" t="s">
        <v>33</v>
      </c>
      <c r="E33" s="20">
        <v>45767.0</v>
      </c>
      <c r="F33" s="21">
        <v>0.3611111111111111</v>
      </c>
      <c r="G33" s="20">
        <v>45768.0</v>
      </c>
      <c r="H33" s="21">
        <v>0.6909722222222222</v>
      </c>
      <c r="I33" s="22">
        <v>7484.64</v>
      </c>
      <c r="J33" s="29"/>
      <c r="K33" s="45"/>
      <c r="L33" s="50"/>
      <c r="M33" s="25">
        <f t="shared" si="11"/>
        <v>45767.36111</v>
      </c>
      <c r="N33" s="25">
        <f t="shared" si="12"/>
        <v>45768.69097</v>
      </c>
      <c r="O33" s="60">
        <f t="shared" si="13"/>
        <v>1.329861111</v>
      </c>
      <c r="P33" s="25">
        <f t="shared" si="14"/>
        <v>31.91666667</v>
      </c>
      <c r="Q33" s="12">
        <v>4.0</v>
      </c>
      <c r="R33" s="2"/>
    </row>
    <row r="34" ht="15.75" customHeight="1">
      <c r="A34" s="5">
        <v>22.0</v>
      </c>
      <c r="B34" s="89"/>
      <c r="C34" s="30" t="s">
        <v>199</v>
      </c>
      <c r="D34" s="19" t="s">
        <v>33</v>
      </c>
      <c r="E34" s="20">
        <v>45771.0</v>
      </c>
      <c r="F34" s="21">
        <v>0.4618055555555556</v>
      </c>
      <c r="G34" s="20">
        <v>45773.0</v>
      </c>
      <c r="H34" s="21">
        <v>0.7326388888888888</v>
      </c>
      <c r="I34" s="22">
        <v>7789.38</v>
      </c>
      <c r="J34" s="29"/>
      <c r="K34" s="45"/>
      <c r="L34" s="50"/>
      <c r="M34" s="25">
        <f t="shared" si="11"/>
        <v>45771.46181</v>
      </c>
      <c r="N34" s="25">
        <f t="shared" si="12"/>
        <v>45773.73264</v>
      </c>
      <c r="O34" s="60">
        <f t="shared" si="13"/>
        <v>2.270833333</v>
      </c>
      <c r="P34" s="25">
        <f t="shared" si="14"/>
        <v>54.5</v>
      </c>
      <c r="Q34" s="12">
        <v>4.0</v>
      </c>
      <c r="R34" s="2"/>
    </row>
    <row r="35" ht="18.0" customHeight="1">
      <c r="A35" s="5">
        <v>23.0</v>
      </c>
      <c r="B35" s="106"/>
      <c r="C35" s="30" t="s">
        <v>200</v>
      </c>
      <c r="D35" s="19" t="s">
        <v>33</v>
      </c>
      <c r="E35" s="20">
        <v>45769.0</v>
      </c>
      <c r="F35" s="21">
        <v>0.34027777777777773</v>
      </c>
      <c r="G35" s="20">
        <v>45771.0</v>
      </c>
      <c r="H35" s="21">
        <v>0.4236111111111111</v>
      </c>
      <c r="I35" s="22">
        <v>7531.44</v>
      </c>
      <c r="J35" s="29"/>
      <c r="K35" s="45"/>
      <c r="L35" s="50"/>
      <c r="M35" s="25">
        <f t="shared" si="11"/>
        <v>45769.34028</v>
      </c>
      <c r="N35" s="25">
        <f t="shared" si="12"/>
        <v>45771.42361</v>
      </c>
      <c r="O35" s="60">
        <f t="shared" si="13"/>
        <v>2.083333333</v>
      </c>
      <c r="P35" s="25">
        <f t="shared" si="14"/>
        <v>50</v>
      </c>
      <c r="Q35" s="12">
        <v>4.0</v>
      </c>
      <c r="R35" s="2"/>
    </row>
    <row r="36" ht="18.75" customHeight="1">
      <c r="A36" s="107"/>
      <c r="B36" s="106"/>
      <c r="C36" s="102"/>
      <c r="D36" s="108"/>
      <c r="E36" s="104"/>
      <c r="F36" s="72"/>
      <c r="G36" s="104"/>
      <c r="H36" s="72"/>
      <c r="I36" s="109"/>
      <c r="J36" s="23"/>
      <c r="K36" s="45"/>
      <c r="L36" s="69"/>
      <c r="M36" s="70"/>
      <c r="N36" s="70"/>
      <c r="O36" s="110"/>
      <c r="P36" s="71"/>
      <c r="Q36" s="12"/>
      <c r="R36" s="2"/>
    </row>
    <row r="37" ht="15.75" customHeight="1">
      <c r="A37" s="62"/>
      <c r="B37" s="34"/>
      <c r="C37" s="102"/>
      <c r="D37" s="103"/>
      <c r="E37" s="104"/>
      <c r="F37" s="72"/>
      <c r="G37" s="104"/>
      <c r="H37" s="72"/>
      <c r="I37" s="105">
        <f t="shared" ref="I37:J37" si="15">SUM(I25:I34)</f>
        <v>77526.393</v>
      </c>
      <c r="J37" s="63">
        <f t="shared" si="15"/>
        <v>0</v>
      </c>
      <c r="K37" s="64">
        <f>+(P37)/(31*24)</f>
        <v>1.443996416</v>
      </c>
      <c r="L37" s="40"/>
      <c r="M37" s="41"/>
      <c r="N37" s="41"/>
      <c r="O37" s="41"/>
      <c r="P37" s="42">
        <f>SUM(P25:P34)</f>
        <v>1074.333333</v>
      </c>
      <c r="Q37" s="12"/>
      <c r="R37" s="2"/>
    </row>
    <row r="38" ht="15.75" customHeight="1">
      <c r="A38" s="65"/>
      <c r="B38" s="66"/>
      <c r="C38" s="67"/>
      <c r="D38" s="12"/>
      <c r="E38" s="13"/>
      <c r="F38" s="14"/>
      <c r="G38" s="13"/>
      <c r="H38" s="14"/>
      <c r="I38" s="55"/>
      <c r="J38" s="56"/>
      <c r="K38" s="68"/>
      <c r="L38" s="69"/>
      <c r="M38" s="70"/>
      <c r="N38" s="70"/>
      <c r="O38" s="70"/>
      <c r="P38" s="71"/>
      <c r="Q38" s="12"/>
      <c r="R38" s="2"/>
    </row>
    <row r="39" ht="15.75" customHeight="1">
      <c r="A39" s="5">
        <v>24.0</v>
      </c>
      <c r="B39" s="17" t="s">
        <v>62</v>
      </c>
      <c r="C39" s="30" t="s">
        <v>201</v>
      </c>
      <c r="D39" s="19" t="s">
        <v>33</v>
      </c>
      <c r="E39" s="20">
        <v>45730.0</v>
      </c>
      <c r="F39" s="21">
        <v>0.4444444444444444</v>
      </c>
      <c r="G39" s="20">
        <v>45733.0</v>
      </c>
      <c r="H39" s="21">
        <v>0.576388888888889</v>
      </c>
      <c r="I39" s="22">
        <v>7493.277</v>
      </c>
      <c r="J39" s="23"/>
      <c r="K39" s="45"/>
      <c r="L39" s="72"/>
      <c r="M39" s="73">
        <f t="shared" ref="M39:M47" si="16">INT(E39)+MOD(F39,1)</f>
        <v>45730.44444</v>
      </c>
      <c r="N39" s="73">
        <f t="shared" ref="N39:N47" si="17">INT(G39)+MOD(H39,1)</f>
        <v>45733.57639</v>
      </c>
      <c r="O39" s="73">
        <f t="shared" ref="O39:O47" si="18">N39-M39</f>
        <v>3.131944444</v>
      </c>
      <c r="P39" s="73">
        <f t="shared" ref="P39:P47" si="19">O39*24</f>
        <v>75.16666667</v>
      </c>
      <c r="Q39" s="12">
        <v>5.0</v>
      </c>
      <c r="R39" s="2"/>
    </row>
    <row r="40" ht="15.75" customHeight="1">
      <c r="A40" s="5">
        <v>25.0</v>
      </c>
      <c r="B40" s="26"/>
      <c r="C40" s="30" t="s">
        <v>57</v>
      </c>
      <c r="D40" s="19" t="s">
        <v>33</v>
      </c>
      <c r="E40" s="20">
        <v>45740.0</v>
      </c>
      <c r="F40" s="21">
        <v>0.3645833333333333</v>
      </c>
      <c r="G40" s="20">
        <v>45743.0</v>
      </c>
      <c r="H40" s="21">
        <v>0.34027777777777773</v>
      </c>
      <c r="I40" s="22">
        <v>7222.08</v>
      </c>
      <c r="J40" s="23"/>
      <c r="K40" s="45"/>
      <c r="L40" s="21"/>
      <c r="M40" s="25">
        <f t="shared" si="16"/>
        <v>45740.36458</v>
      </c>
      <c r="N40" s="25">
        <f t="shared" si="17"/>
        <v>45743.34028</v>
      </c>
      <c r="O40" s="25">
        <f t="shared" si="18"/>
        <v>2.975694444</v>
      </c>
      <c r="P40" s="25">
        <f t="shared" si="19"/>
        <v>71.41666667</v>
      </c>
      <c r="Q40" s="12">
        <v>5.0</v>
      </c>
      <c r="R40" s="2"/>
    </row>
    <row r="41" ht="15.75" customHeight="1">
      <c r="A41" s="5">
        <v>26.0</v>
      </c>
      <c r="B41" s="26"/>
      <c r="C41" s="30" t="s">
        <v>202</v>
      </c>
      <c r="D41" s="19" t="s">
        <v>33</v>
      </c>
      <c r="E41" s="20">
        <v>45754.0</v>
      </c>
      <c r="F41" s="21">
        <v>0.6215277777777778</v>
      </c>
      <c r="G41" s="20">
        <v>45759.0</v>
      </c>
      <c r="H41" s="21">
        <v>0.4131944444444444</v>
      </c>
      <c r="I41" s="22">
        <v>7994.5</v>
      </c>
      <c r="J41" s="23"/>
      <c r="K41" s="45"/>
      <c r="L41" s="21"/>
      <c r="M41" s="25">
        <f t="shared" si="16"/>
        <v>45754.62153</v>
      </c>
      <c r="N41" s="25">
        <f t="shared" si="17"/>
        <v>45759.41319</v>
      </c>
      <c r="O41" s="25">
        <f t="shared" si="18"/>
        <v>4.791666667</v>
      </c>
      <c r="P41" s="25">
        <f t="shared" si="19"/>
        <v>115</v>
      </c>
      <c r="Q41" s="12">
        <v>5.0</v>
      </c>
      <c r="R41" s="2"/>
    </row>
    <row r="42" ht="15.75" customHeight="1">
      <c r="A42" s="5">
        <v>27.0</v>
      </c>
      <c r="B42" s="26"/>
      <c r="C42" s="30" t="s">
        <v>68</v>
      </c>
      <c r="D42" s="19" t="s">
        <v>33</v>
      </c>
      <c r="E42" s="20">
        <v>45754.0</v>
      </c>
      <c r="F42" s="21">
        <v>0.513888888888889</v>
      </c>
      <c r="G42" s="20">
        <v>45757.0</v>
      </c>
      <c r="H42" s="21">
        <v>0.625</v>
      </c>
      <c r="I42" s="22">
        <v>7438.94</v>
      </c>
      <c r="J42" s="23"/>
      <c r="K42" s="45"/>
      <c r="L42" s="21"/>
      <c r="M42" s="25">
        <f t="shared" si="16"/>
        <v>45754.51389</v>
      </c>
      <c r="N42" s="25">
        <f t="shared" si="17"/>
        <v>45757.625</v>
      </c>
      <c r="O42" s="25">
        <f t="shared" si="18"/>
        <v>3.111111111</v>
      </c>
      <c r="P42" s="25">
        <f t="shared" si="19"/>
        <v>74.66666667</v>
      </c>
      <c r="Q42" s="12">
        <v>5.0</v>
      </c>
      <c r="R42" s="2"/>
    </row>
    <row r="43" ht="15.75" customHeight="1">
      <c r="A43" s="5">
        <v>28.0</v>
      </c>
      <c r="B43" s="26"/>
      <c r="C43" s="30" t="s">
        <v>39</v>
      </c>
      <c r="D43" s="19" t="s">
        <v>33</v>
      </c>
      <c r="E43" s="20">
        <v>45743.0</v>
      </c>
      <c r="F43" s="21">
        <v>0.375</v>
      </c>
      <c r="G43" s="20">
        <v>45749.0</v>
      </c>
      <c r="H43" s="21">
        <v>0.6145833333333334</v>
      </c>
      <c r="I43" s="22">
        <v>8464.19</v>
      </c>
      <c r="J43" s="23"/>
      <c r="K43" s="45"/>
      <c r="L43" s="21"/>
      <c r="M43" s="25">
        <f t="shared" si="16"/>
        <v>45743.375</v>
      </c>
      <c r="N43" s="25">
        <f t="shared" si="17"/>
        <v>45749.61458</v>
      </c>
      <c r="O43" s="25">
        <f t="shared" si="18"/>
        <v>6.239583333</v>
      </c>
      <c r="P43" s="25">
        <f t="shared" si="19"/>
        <v>149.75</v>
      </c>
      <c r="Q43" s="12">
        <v>5.0</v>
      </c>
      <c r="R43" s="2"/>
    </row>
    <row r="44" ht="15.75" customHeight="1">
      <c r="A44" s="5">
        <v>29.0</v>
      </c>
      <c r="B44" s="26"/>
      <c r="C44" s="30" t="s">
        <v>203</v>
      </c>
      <c r="D44" s="27" t="s">
        <v>30</v>
      </c>
      <c r="E44" s="20">
        <v>45750.0</v>
      </c>
      <c r="F44" s="21">
        <v>0.4166666666666667</v>
      </c>
      <c r="G44" s="20">
        <v>45750.0</v>
      </c>
      <c r="H44" s="21">
        <v>0.7416666666666667</v>
      </c>
      <c r="I44" s="28">
        <v>32.0</v>
      </c>
      <c r="J44" s="29">
        <v>56.0</v>
      </c>
      <c r="K44" s="45"/>
      <c r="L44" s="21"/>
      <c r="M44" s="25">
        <f t="shared" si="16"/>
        <v>45750.41667</v>
      </c>
      <c r="N44" s="25">
        <f t="shared" si="17"/>
        <v>45750.74167</v>
      </c>
      <c r="O44" s="25">
        <f t="shared" si="18"/>
        <v>0.325</v>
      </c>
      <c r="P44" s="25">
        <f t="shared" si="19"/>
        <v>7.8</v>
      </c>
      <c r="Q44" s="12">
        <v>5.0</v>
      </c>
      <c r="R44" s="2"/>
    </row>
    <row r="45" ht="15.75" customHeight="1">
      <c r="A45" s="5">
        <v>30.0</v>
      </c>
      <c r="B45" s="26"/>
      <c r="C45" s="30" t="s">
        <v>169</v>
      </c>
      <c r="D45" s="19" t="s">
        <v>45</v>
      </c>
      <c r="E45" s="20">
        <v>45759.0</v>
      </c>
      <c r="F45" s="21">
        <v>0.4756944444444444</v>
      </c>
      <c r="G45" s="20">
        <v>45761.0</v>
      </c>
      <c r="H45" s="21">
        <v>0.7083333333333334</v>
      </c>
      <c r="I45" s="22">
        <v>3176.52</v>
      </c>
      <c r="J45" s="23"/>
      <c r="K45" s="45"/>
      <c r="L45" s="50"/>
      <c r="M45" s="25">
        <f t="shared" si="16"/>
        <v>45759.47569</v>
      </c>
      <c r="N45" s="25">
        <f t="shared" si="17"/>
        <v>45761.70833</v>
      </c>
      <c r="O45" s="25">
        <f t="shared" si="18"/>
        <v>2.232638889</v>
      </c>
      <c r="P45" s="25">
        <f t="shared" si="19"/>
        <v>53.58333333</v>
      </c>
      <c r="Q45" s="12"/>
      <c r="R45" s="2"/>
    </row>
    <row r="46" ht="15.75" customHeight="1">
      <c r="A46" s="5"/>
      <c r="B46" s="26"/>
      <c r="C46" s="67"/>
      <c r="D46" s="58"/>
      <c r="E46" s="13"/>
      <c r="F46" s="14"/>
      <c r="G46" s="13"/>
      <c r="H46" s="14"/>
      <c r="I46" s="59"/>
      <c r="J46" s="111"/>
      <c r="K46" s="45"/>
      <c r="L46" s="50"/>
      <c r="M46" s="25">
        <f t="shared" si="16"/>
        <v>0</v>
      </c>
      <c r="N46" s="25">
        <f t="shared" si="17"/>
        <v>0</v>
      </c>
      <c r="O46" s="25">
        <f t="shared" si="18"/>
        <v>0</v>
      </c>
      <c r="P46" s="25">
        <f t="shared" si="19"/>
        <v>0</v>
      </c>
      <c r="Q46" s="12"/>
      <c r="R46" s="2"/>
    </row>
    <row r="47" ht="15.75" customHeight="1">
      <c r="A47" s="5"/>
      <c r="B47" s="26"/>
      <c r="C47" s="30"/>
      <c r="D47" s="19"/>
      <c r="E47" s="20"/>
      <c r="F47" s="21"/>
      <c r="G47" s="20"/>
      <c r="H47" s="21"/>
      <c r="I47" s="22"/>
      <c r="J47" s="23"/>
      <c r="K47" s="45"/>
      <c r="L47" s="50"/>
      <c r="M47" s="25">
        <f t="shared" si="16"/>
        <v>0</v>
      </c>
      <c r="N47" s="25">
        <f t="shared" si="17"/>
        <v>0</v>
      </c>
      <c r="O47" s="25">
        <f t="shared" si="18"/>
        <v>0</v>
      </c>
      <c r="P47" s="25">
        <f t="shared" si="19"/>
        <v>0</v>
      </c>
      <c r="Q47" s="12"/>
      <c r="R47" s="2"/>
    </row>
    <row r="48" ht="15.75" customHeight="1">
      <c r="A48" s="31"/>
      <c r="B48" s="32"/>
      <c r="C48" s="83"/>
      <c r="D48" s="32"/>
      <c r="E48" s="84"/>
      <c r="F48" s="40"/>
      <c r="G48" s="84"/>
      <c r="H48" s="40"/>
      <c r="I48" s="85">
        <f t="shared" ref="I48:J48" si="20">SUM(I39:I47)</f>
        <v>41821.507</v>
      </c>
      <c r="J48" s="86">
        <f t="shared" si="20"/>
        <v>56</v>
      </c>
      <c r="K48" s="39">
        <f>+(P48)/(31*24)</f>
        <v>0.7357302867</v>
      </c>
      <c r="L48" s="40"/>
      <c r="M48" s="41"/>
      <c r="N48" s="41"/>
      <c r="O48" s="41"/>
      <c r="P48" s="42">
        <f>SUM(P39:P47)</f>
        <v>547.3833333</v>
      </c>
      <c r="Q48" s="12"/>
      <c r="R48" s="2"/>
    </row>
    <row r="49" ht="15.75" customHeight="1">
      <c r="A49" s="1"/>
      <c r="B49" s="12"/>
      <c r="C49" s="67"/>
      <c r="D49" s="12"/>
      <c r="E49" s="13"/>
      <c r="F49" s="14"/>
      <c r="G49" s="13"/>
      <c r="H49" s="14"/>
      <c r="I49" s="55"/>
      <c r="J49" s="56"/>
      <c r="K49" s="16"/>
      <c r="L49" s="14"/>
      <c r="M49" s="2"/>
      <c r="N49" s="2"/>
      <c r="O49" s="2"/>
      <c r="P49" s="2"/>
      <c r="Q49" s="12"/>
      <c r="R49" s="2"/>
    </row>
    <row r="50" ht="15.75" customHeight="1">
      <c r="A50" s="1"/>
      <c r="B50" s="12"/>
      <c r="C50" s="67"/>
      <c r="D50" s="12"/>
      <c r="E50" s="13"/>
      <c r="F50" s="14"/>
      <c r="G50" s="13"/>
      <c r="H50" s="14"/>
      <c r="I50" s="55"/>
      <c r="J50" s="56"/>
      <c r="K50" s="16"/>
      <c r="L50" s="14"/>
      <c r="M50" s="2"/>
      <c r="N50" s="2"/>
      <c r="O50" s="2"/>
      <c r="P50" s="2"/>
      <c r="Q50" s="2"/>
      <c r="R50" s="2"/>
    </row>
    <row r="51" ht="15.75" customHeight="1">
      <c r="A51" s="1"/>
      <c r="B51" s="12"/>
      <c r="C51" s="67"/>
      <c r="D51" s="12"/>
      <c r="E51" s="13"/>
      <c r="F51" s="14"/>
      <c r="G51" s="13"/>
      <c r="H51" s="14"/>
      <c r="I51" s="55"/>
      <c r="J51" s="56"/>
      <c r="K51" s="16"/>
      <c r="L51" s="14"/>
      <c r="M51" s="2"/>
      <c r="N51" s="2"/>
      <c r="O51" s="2"/>
      <c r="P51" s="2"/>
      <c r="Q51" s="2"/>
      <c r="R51" s="2"/>
    </row>
    <row r="52" ht="15.75" customHeight="1">
      <c r="A52" s="1"/>
      <c r="B52" s="12"/>
      <c r="C52" s="67"/>
      <c r="D52" s="12"/>
      <c r="E52" s="13"/>
      <c r="F52" s="14"/>
      <c r="G52" s="13"/>
      <c r="H52" s="14"/>
      <c r="I52" s="55"/>
      <c r="J52" s="56"/>
      <c r="K52" s="16"/>
      <c r="L52" s="14"/>
      <c r="M52" s="2"/>
      <c r="N52" s="2"/>
      <c r="O52" s="2"/>
      <c r="P52" s="2"/>
      <c r="Q52" s="2"/>
      <c r="R52" s="2"/>
    </row>
    <row r="53" ht="15.75" customHeight="1">
      <c r="A53" s="5">
        <v>31.0</v>
      </c>
      <c r="B53" s="17" t="s">
        <v>69</v>
      </c>
      <c r="C53" s="30" t="s">
        <v>204</v>
      </c>
      <c r="D53" s="19" t="s">
        <v>139</v>
      </c>
      <c r="E53" s="20">
        <v>45749.0</v>
      </c>
      <c r="F53" s="21">
        <v>0.33749999999999997</v>
      </c>
      <c r="G53" s="20">
        <v>45753.0</v>
      </c>
      <c r="H53" s="21">
        <v>0.2465277777777778</v>
      </c>
      <c r="I53" s="22">
        <v>30010.989</v>
      </c>
      <c r="J53" s="74"/>
      <c r="K53" s="88"/>
      <c r="L53" s="46"/>
      <c r="M53" s="25">
        <f t="shared" ref="M53:M59" si="21">INT(E53)+MOD(F53,1)</f>
        <v>45749.3375</v>
      </c>
      <c r="N53" s="25">
        <f t="shared" ref="N53:N59" si="22">INT(G53)+MOD(H53,1)</f>
        <v>45753.24653</v>
      </c>
      <c r="O53" s="25">
        <f t="shared" ref="O53:O59" si="23">N53-M53</f>
        <v>3.909027778</v>
      </c>
      <c r="P53" s="25">
        <f t="shared" ref="P53:P59" si="24">O53*24</f>
        <v>93.81666667</v>
      </c>
      <c r="Q53" s="12">
        <v>7.0</v>
      </c>
      <c r="R53" s="12"/>
    </row>
    <row r="54" ht="15.75" customHeight="1">
      <c r="A54" s="5">
        <v>32.0</v>
      </c>
      <c r="B54" s="26"/>
      <c r="C54" s="30" t="s">
        <v>205</v>
      </c>
      <c r="D54" s="19" t="s">
        <v>33</v>
      </c>
      <c r="E54" s="20">
        <v>45737.0</v>
      </c>
      <c r="F54" s="21">
        <v>0.638888888888889</v>
      </c>
      <c r="G54" s="20">
        <v>45740.0</v>
      </c>
      <c r="H54" s="21">
        <v>0.607638888888889</v>
      </c>
      <c r="I54" s="22">
        <v>8492.146</v>
      </c>
      <c r="J54" s="74"/>
      <c r="K54" s="88"/>
      <c r="L54" s="46"/>
      <c r="M54" s="25">
        <f t="shared" si="21"/>
        <v>45737.63889</v>
      </c>
      <c r="N54" s="25">
        <f t="shared" si="22"/>
        <v>45740.60764</v>
      </c>
      <c r="O54" s="25">
        <f t="shared" si="23"/>
        <v>2.96875</v>
      </c>
      <c r="P54" s="25">
        <f t="shared" si="24"/>
        <v>71.25</v>
      </c>
      <c r="Q54" s="12">
        <v>6.0</v>
      </c>
      <c r="R54" s="12"/>
    </row>
    <row r="55" ht="15.75" customHeight="1">
      <c r="A55" s="5">
        <v>33.0</v>
      </c>
      <c r="B55" s="26"/>
      <c r="C55" s="30" t="s">
        <v>206</v>
      </c>
      <c r="D55" s="19" t="s">
        <v>33</v>
      </c>
      <c r="E55" s="20">
        <v>45740.0</v>
      </c>
      <c r="F55" s="21">
        <v>0.05833333333333333</v>
      </c>
      <c r="G55" s="20">
        <v>45741.0</v>
      </c>
      <c r="H55" s="21">
        <v>0.5208333333333334</v>
      </c>
      <c r="I55" s="22">
        <v>1665.0</v>
      </c>
      <c r="J55" s="74"/>
      <c r="K55" s="88"/>
      <c r="L55" s="46"/>
      <c r="M55" s="25">
        <f t="shared" si="21"/>
        <v>45740.05833</v>
      </c>
      <c r="N55" s="25">
        <f t="shared" si="22"/>
        <v>45741.52083</v>
      </c>
      <c r="O55" s="25">
        <f t="shared" si="23"/>
        <v>1.4625</v>
      </c>
      <c r="P55" s="25">
        <f t="shared" si="24"/>
        <v>35.1</v>
      </c>
      <c r="Q55" s="12">
        <v>7.0</v>
      </c>
      <c r="R55" s="12"/>
    </row>
    <row r="56" ht="15.75" customHeight="1">
      <c r="A56" s="5">
        <v>34.0</v>
      </c>
      <c r="B56" s="26"/>
      <c r="C56" s="30" t="s">
        <v>125</v>
      </c>
      <c r="D56" s="19" t="s">
        <v>33</v>
      </c>
      <c r="E56" s="20">
        <v>45740.0</v>
      </c>
      <c r="F56" s="21">
        <v>0.71875</v>
      </c>
      <c r="G56" s="20">
        <v>45745.0</v>
      </c>
      <c r="H56" s="21">
        <v>0.6666666666666666</v>
      </c>
      <c r="I56" s="22">
        <v>8213.021</v>
      </c>
      <c r="J56" s="74"/>
      <c r="K56" s="88"/>
      <c r="L56" s="46"/>
      <c r="M56" s="25">
        <f t="shared" si="21"/>
        <v>45740.71875</v>
      </c>
      <c r="N56" s="25">
        <f t="shared" si="22"/>
        <v>45745.66667</v>
      </c>
      <c r="O56" s="25">
        <f t="shared" si="23"/>
        <v>4.947916667</v>
      </c>
      <c r="P56" s="25">
        <f t="shared" si="24"/>
        <v>118.75</v>
      </c>
      <c r="Q56" s="12">
        <v>7.0</v>
      </c>
      <c r="R56" s="12"/>
    </row>
    <row r="57" ht="15.75" customHeight="1">
      <c r="A57" s="5">
        <v>35.0</v>
      </c>
      <c r="B57" s="26"/>
      <c r="C57" s="30" t="s">
        <v>207</v>
      </c>
      <c r="D57" s="19" t="s">
        <v>79</v>
      </c>
      <c r="E57" s="20">
        <v>45759.0</v>
      </c>
      <c r="F57" s="21">
        <v>0.2027777777777778</v>
      </c>
      <c r="G57" s="20">
        <v>45762.0</v>
      </c>
      <c r="H57" s="21">
        <v>0.4527777777777778</v>
      </c>
      <c r="I57" s="22">
        <v>10065.68</v>
      </c>
      <c r="J57" s="74"/>
      <c r="K57" s="88"/>
      <c r="L57" s="46"/>
      <c r="M57" s="25">
        <f t="shared" si="21"/>
        <v>45759.20278</v>
      </c>
      <c r="N57" s="25">
        <f t="shared" si="22"/>
        <v>45762.45278</v>
      </c>
      <c r="O57" s="25">
        <f t="shared" si="23"/>
        <v>3.25</v>
      </c>
      <c r="P57" s="25">
        <f t="shared" si="24"/>
        <v>78</v>
      </c>
      <c r="Q57" s="12">
        <v>6.0</v>
      </c>
      <c r="R57" s="12"/>
    </row>
    <row r="58" ht="15.75" customHeight="1">
      <c r="A58" s="5">
        <v>36.0</v>
      </c>
      <c r="B58" s="26"/>
      <c r="C58" s="30" t="s">
        <v>165</v>
      </c>
      <c r="D58" s="19" t="s">
        <v>33</v>
      </c>
      <c r="E58" s="20">
        <v>45756.0</v>
      </c>
      <c r="F58" s="21">
        <v>0.34375</v>
      </c>
      <c r="G58" s="20">
        <v>45760.0</v>
      </c>
      <c r="H58" s="21">
        <v>0.5104166666666666</v>
      </c>
      <c r="I58" s="22">
        <v>7498.259</v>
      </c>
      <c r="J58" s="74"/>
      <c r="K58" s="99"/>
      <c r="L58" s="82"/>
      <c r="M58" s="25">
        <f t="shared" si="21"/>
        <v>45756.34375</v>
      </c>
      <c r="N58" s="25">
        <f t="shared" si="22"/>
        <v>45760.51042</v>
      </c>
      <c r="O58" s="25">
        <f t="shared" si="23"/>
        <v>4.166666667</v>
      </c>
      <c r="P58" s="25">
        <f t="shared" si="24"/>
        <v>100</v>
      </c>
      <c r="Q58" s="12">
        <v>7.0</v>
      </c>
      <c r="R58" s="12"/>
    </row>
    <row r="59" ht="15.75" customHeight="1">
      <c r="A59" s="5">
        <v>37.0</v>
      </c>
      <c r="B59" s="89"/>
      <c r="C59" s="30" t="s">
        <v>208</v>
      </c>
      <c r="D59" s="19" t="s">
        <v>139</v>
      </c>
      <c r="E59" s="20">
        <v>45772.0</v>
      </c>
      <c r="F59" s="21">
        <v>0.625</v>
      </c>
      <c r="G59" s="20">
        <v>45775.0</v>
      </c>
      <c r="H59" s="21">
        <v>0.3076388888888889</v>
      </c>
      <c r="I59" s="22">
        <v>19670.14</v>
      </c>
      <c r="J59" s="74"/>
      <c r="K59" s="49"/>
      <c r="L59" s="50"/>
      <c r="M59" s="25">
        <f t="shared" si="21"/>
        <v>45772.625</v>
      </c>
      <c r="N59" s="25">
        <f t="shared" si="22"/>
        <v>45775.30764</v>
      </c>
      <c r="O59" s="25">
        <f t="shared" si="23"/>
        <v>2.682638889</v>
      </c>
      <c r="P59" s="25">
        <f t="shared" si="24"/>
        <v>64.38333333</v>
      </c>
      <c r="Q59" s="12"/>
      <c r="R59" s="12"/>
    </row>
    <row r="60" ht="15.75" customHeight="1">
      <c r="A60" s="90"/>
      <c r="B60" s="91"/>
      <c r="C60" s="91"/>
      <c r="D60" s="91"/>
      <c r="E60" s="91"/>
      <c r="F60" s="91"/>
      <c r="G60" s="91"/>
      <c r="H60" s="91"/>
      <c r="I60" s="92">
        <f t="shared" ref="I60:J60" si="25">SUM(I53:I59)</f>
        <v>85615.235</v>
      </c>
      <c r="J60" s="93">
        <f t="shared" si="25"/>
        <v>0</v>
      </c>
      <c r="K60" s="39">
        <f>+(P60)/(31*24)</f>
        <v>0.7544354839</v>
      </c>
      <c r="L60" s="41"/>
      <c r="M60" s="41"/>
      <c r="N60" s="41"/>
      <c r="O60" s="41"/>
      <c r="P60" s="42">
        <f>SUM(P53:P59)</f>
        <v>561.3</v>
      </c>
      <c r="Q60" s="12"/>
      <c r="R60" s="1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  <c r="M61" s="2"/>
      <c r="N61" s="2"/>
      <c r="O61" s="2"/>
      <c r="P61" s="2"/>
      <c r="Q61" s="12"/>
      <c r="R61" s="1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94"/>
      <c r="J62" s="95"/>
      <c r="K62" s="3"/>
      <c r="L62" s="2"/>
      <c r="M62" s="2"/>
      <c r="N62" s="2"/>
      <c r="O62" s="2"/>
      <c r="P62" s="2"/>
      <c r="Q62" s="12"/>
      <c r="R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3"/>
      <c r="L63" s="2"/>
      <c r="M63" s="2"/>
      <c r="N63" s="2"/>
      <c r="O63" s="2"/>
      <c r="P63" s="2"/>
      <c r="Q63" s="12"/>
      <c r="R63" s="2"/>
    </row>
    <row r="64" ht="15.75" customHeight="1">
      <c r="A64" s="96" t="s">
        <v>80</v>
      </c>
      <c r="B64" s="96"/>
      <c r="C64" s="96" t="s">
        <v>81</v>
      </c>
      <c r="D64" s="96" t="s">
        <v>82</v>
      </c>
      <c r="E64" s="96" t="s">
        <v>18</v>
      </c>
      <c r="F64" s="2"/>
      <c r="G64" s="2"/>
      <c r="H64" s="2"/>
      <c r="I64" s="2"/>
      <c r="J64" s="2"/>
      <c r="K64" s="3"/>
      <c r="L64" s="2"/>
      <c r="M64" s="2"/>
      <c r="N64" s="2"/>
      <c r="O64" s="2"/>
      <c r="P64" s="2"/>
      <c r="Q64" s="12"/>
      <c r="R64" s="2"/>
    </row>
    <row r="65" ht="15.75" customHeight="1">
      <c r="A65" s="96" t="s">
        <v>83</v>
      </c>
      <c r="B65" s="96"/>
      <c r="C65" s="96"/>
      <c r="D65" s="96" t="s">
        <v>84</v>
      </c>
      <c r="E65" s="96" t="s">
        <v>31</v>
      </c>
      <c r="F65" s="2"/>
      <c r="G65" s="2"/>
      <c r="H65" s="2"/>
      <c r="I65" s="2"/>
      <c r="J65" s="2"/>
      <c r="K65" s="3"/>
      <c r="L65" s="2"/>
      <c r="M65" s="2"/>
      <c r="N65" s="2"/>
      <c r="O65" s="2"/>
      <c r="P65" s="2"/>
      <c r="Q65" s="2"/>
      <c r="R65" s="2"/>
    </row>
    <row r="66" ht="15.75" customHeight="1">
      <c r="A66" s="96"/>
      <c r="B66" s="96"/>
      <c r="C66" s="96"/>
      <c r="D66" s="96" t="s">
        <v>85</v>
      </c>
      <c r="E66" s="96" t="s">
        <v>41</v>
      </c>
      <c r="F66" s="2"/>
      <c r="G66" s="2"/>
      <c r="H66" s="2"/>
      <c r="I66" s="2"/>
      <c r="J66" s="2"/>
      <c r="K66" s="3"/>
      <c r="L66" s="2"/>
      <c r="M66" s="2"/>
      <c r="N66" s="2"/>
      <c r="O66" s="2"/>
      <c r="P66" s="2"/>
      <c r="Q66" s="2"/>
      <c r="R66" s="2"/>
    </row>
    <row r="67" ht="15.75" customHeight="1">
      <c r="A67" s="96"/>
      <c r="B67" s="96"/>
      <c r="C67" s="96"/>
      <c r="D67" s="96" t="s">
        <v>86</v>
      </c>
      <c r="E67" s="96" t="s">
        <v>62</v>
      </c>
      <c r="F67" s="2"/>
      <c r="G67" s="2"/>
      <c r="H67" s="2"/>
      <c r="I67" s="2"/>
      <c r="J67" s="2"/>
      <c r="K67" s="3"/>
      <c r="L67" s="97"/>
      <c r="M67" s="2"/>
      <c r="N67" s="2"/>
      <c r="O67" s="2"/>
      <c r="P67" s="2"/>
      <c r="Q67" s="2"/>
      <c r="R67" s="2"/>
    </row>
    <row r="68" ht="15.75" customHeight="1">
      <c r="A68" s="96"/>
      <c r="B68" s="96"/>
      <c r="C68" s="96"/>
      <c r="D68" s="96" t="s">
        <v>87</v>
      </c>
      <c r="E68" s="96" t="s">
        <v>69</v>
      </c>
      <c r="F68" s="2"/>
      <c r="G68" s="2"/>
      <c r="H68" s="2"/>
      <c r="I68" s="2"/>
      <c r="J68" s="2"/>
      <c r="K68" s="3"/>
      <c r="L68" s="2"/>
      <c r="M68" s="2"/>
      <c r="N68" s="2"/>
      <c r="O68" s="2"/>
      <c r="P68" s="2"/>
      <c r="Q68" s="2"/>
      <c r="R68" s="2"/>
    </row>
    <row r="69" ht="15.75" customHeight="1">
      <c r="A69" s="96"/>
      <c r="B69" s="96"/>
      <c r="C69" s="96"/>
      <c r="D69" s="96"/>
      <c r="E69" s="96"/>
      <c r="F69" s="2"/>
      <c r="G69" s="2"/>
      <c r="H69" s="2"/>
      <c r="I69" s="2"/>
      <c r="J69" s="2"/>
      <c r="K69" s="3"/>
      <c r="L69" s="2"/>
      <c r="M69" s="2"/>
      <c r="N69" s="2"/>
      <c r="O69" s="2"/>
      <c r="P69" s="2"/>
      <c r="Q69" s="2"/>
      <c r="R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2"/>
      <c r="N71" s="2"/>
      <c r="O71" s="2"/>
      <c r="P71" s="2"/>
      <c r="Q71" s="2"/>
      <c r="R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13"/>
    <mergeCell ref="B16:B22"/>
    <mergeCell ref="B25:B34"/>
    <mergeCell ref="B39:B47"/>
    <mergeCell ref="B53:B5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209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112" t="s">
        <v>26</v>
      </c>
      <c r="D7" s="27" t="s">
        <v>25</v>
      </c>
      <c r="E7" s="20">
        <v>45775.0</v>
      </c>
      <c r="F7" s="21">
        <v>0.9097222222222222</v>
      </c>
      <c r="G7" s="20">
        <v>45776.0</v>
      </c>
      <c r="H7" s="21">
        <v>0.8888888888888888</v>
      </c>
      <c r="I7" s="22">
        <v>2942.574</v>
      </c>
      <c r="J7" s="23"/>
      <c r="K7" s="24"/>
      <c r="L7" s="21"/>
      <c r="M7" s="25">
        <f t="shared" ref="M7:M10" si="1">INT(E7)+MOD(F7,1)</f>
        <v>45775.90972</v>
      </c>
      <c r="N7" s="25">
        <f t="shared" ref="N7:N10" si="2">INT(G7)+MOD(H7,1)</f>
        <v>45776.88889</v>
      </c>
      <c r="O7" s="25">
        <f t="shared" ref="O7:O10" si="3">N7-M7</f>
        <v>0.9791666667</v>
      </c>
      <c r="P7" s="25">
        <f t="shared" ref="P7:P10" si="4">O7*24</f>
        <v>23.5</v>
      </c>
      <c r="Q7" s="12">
        <v>1.0</v>
      </c>
      <c r="R7" s="2"/>
    </row>
    <row r="8">
      <c r="A8" s="5">
        <v>2.0</v>
      </c>
      <c r="B8" s="26"/>
      <c r="C8" s="112" t="s">
        <v>24</v>
      </c>
      <c r="D8" s="27" t="s">
        <v>25</v>
      </c>
      <c r="E8" s="20">
        <v>45783.0</v>
      </c>
      <c r="F8" s="21">
        <v>0.6215277777777778</v>
      </c>
      <c r="G8" s="20">
        <v>45784.0</v>
      </c>
      <c r="H8" s="21">
        <v>0.7361111111111112</v>
      </c>
      <c r="I8" s="22">
        <v>2939.027</v>
      </c>
      <c r="J8" s="23"/>
      <c r="K8" s="24"/>
      <c r="L8" s="21"/>
      <c r="M8" s="25">
        <f t="shared" si="1"/>
        <v>45783.62153</v>
      </c>
      <c r="N8" s="25">
        <f t="shared" si="2"/>
        <v>45784.73611</v>
      </c>
      <c r="O8" s="25">
        <f t="shared" si="3"/>
        <v>1.114583333</v>
      </c>
      <c r="P8" s="25">
        <f t="shared" si="4"/>
        <v>26.75</v>
      </c>
      <c r="Q8" s="12">
        <v>1.0</v>
      </c>
      <c r="R8" s="2"/>
    </row>
    <row r="9">
      <c r="A9" s="5">
        <v>3.0</v>
      </c>
      <c r="B9" s="26"/>
      <c r="C9" s="112" t="s">
        <v>210</v>
      </c>
      <c r="D9" s="19" t="s">
        <v>184</v>
      </c>
      <c r="E9" s="20">
        <v>45796.0</v>
      </c>
      <c r="F9" s="21">
        <v>0.9166666666666666</v>
      </c>
      <c r="G9" s="20">
        <v>45802.0</v>
      </c>
      <c r="H9" s="21">
        <v>0.05555555555555555</v>
      </c>
      <c r="I9" s="22"/>
      <c r="J9" s="23">
        <v>3139.1</v>
      </c>
      <c r="K9" s="24"/>
      <c r="L9" s="21"/>
      <c r="M9" s="25">
        <f t="shared" si="1"/>
        <v>45796.91667</v>
      </c>
      <c r="N9" s="25">
        <f t="shared" si="2"/>
        <v>45802.05556</v>
      </c>
      <c r="O9" s="25">
        <f t="shared" si="3"/>
        <v>5.138888889</v>
      </c>
      <c r="P9" s="25">
        <f t="shared" si="4"/>
        <v>123.3333333</v>
      </c>
      <c r="Q9" s="12">
        <v>2.0</v>
      </c>
      <c r="R9" s="2"/>
    </row>
    <row r="10">
      <c r="A10" s="5">
        <v>4.0</v>
      </c>
      <c r="B10" s="26"/>
      <c r="C10" s="112" t="s">
        <v>211</v>
      </c>
      <c r="D10" s="27" t="s">
        <v>184</v>
      </c>
      <c r="E10" s="20">
        <v>45791.0</v>
      </c>
      <c r="F10" s="21">
        <v>0.9236111111111112</v>
      </c>
      <c r="G10" s="20">
        <v>45792.0</v>
      </c>
      <c r="H10" s="21">
        <v>0.9375</v>
      </c>
      <c r="I10" s="22">
        <v>715.0</v>
      </c>
      <c r="J10" s="23"/>
      <c r="K10" s="24"/>
      <c r="L10" s="21"/>
      <c r="M10" s="25">
        <f t="shared" si="1"/>
        <v>45791.92361</v>
      </c>
      <c r="N10" s="25">
        <f t="shared" si="2"/>
        <v>45792.9375</v>
      </c>
      <c r="O10" s="25">
        <f t="shared" si="3"/>
        <v>1.013888889</v>
      </c>
      <c r="P10" s="25">
        <f t="shared" si="4"/>
        <v>24.33333333</v>
      </c>
      <c r="Q10" s="12">
        <v>2.0</v>
      </c>
      <c r="R10" s="2"/>
    </row>
    <row r="11">
      <c r="A11" s="5">
        <v>5.0</v>
      </c>
      <c r="B11" s="26"/>
      <c r="C11" s="30"/>
      <c r="D11" s="27"/>
      <c r="E11" s="20"/>
      <c r="F11" s="21"/>
      <c r="G11" s="20"/>
      <c r="H11" s="21"/>
      <c r="I11" s="22"/>
      <c r="J11" s="23"/>
      <c r="K11" s="24"/>
      <c r="L11" s="21"/>
      <c r="M11" s="46"/>
      <c r="N11" s="46"/>
      <c r="O11" s="46"/>
      <c r="P11" s="46"/>
      <c r="Q11" s="12"/>
      <c r="R11" s="2"/>
    </row>
    <row r="12">
      <c r="A12" s="5">
        <v>6.0</v>
      </c>
      <c r="B12" s="26"/>
      <c r="C12" s="30"/>
      <c r="D12" s="27"/>
      <c r="E12" s="20"/>
      <c r="F12" s="21"/>
      <c r="G12" s="20"/>
      <c r="H12" s="21"/>
      <c r="I12" s="28"/>
      <c r="J12" s="29"/>
      <c r="K12" s="24"/>
      <c r="L12" s="21"/>
      <c r="M12" s="46"/>
      <c r="N12" s="46"/>
      <c r="O12" s="46"/>
      <c r="P12" s="46"/>
      <c r="Q12" s="12"/>
      <c r="R12" s="2"/>
    </row>
    <row r="13" ht="15.75" customHeight="1">
      <c r="A13" s="5"/>
      <c r="B13" s="26"/>
      <c r="C13" s="30"/>
      <c r="D13" s="19"/>
      <c r="E13" s="20"/>
      <c r="F13" s="21"/>
      <c r="G13" s="20"/>
      <c r="H13" s="21"/>
      <c r="I13" s="22"/>
      <c r="J13" s="23"/>
      <c r="K13" s="24"/>
      <c r="L13" s="21"/>
      <c r="M13" s="46"/>
      <c r="N13" s="46"/>
      <c r="O13" s="46"/>
      <c r="P13" s="46"/>
      <c r="Q13" s="12"/>
      <c r="R13" s="2"/>
    </row>
    <row r="14" ht="15.75" customHeight="1">
      <c r="A14" s="31"/>
      <c r="B14" s="32"/>
      <c r="C14" s="33"/>
      <c r="D14" s="34"/>
      <c r="E14" s="35"/>
      <c r="F14" s="36"/>
      <c r="G14" s="35"/>
      <c r="H14" s="36"/>
      <c r="I14" s="37">
        <f t="shared" ref="I14:J14" si="5">SUM(I7:I13)</f>
        <v>6596.601</v>
      </c>
      <c r="J14" s="113">
        <f t="shared" si="5"/>
        <v>3139.1</v>
      </c>
      <c r="K14" s="39">
        <f>+(P14)/(31*24)</f>
        <v>0.2660170251</v>
      </c>
      <c r="L14" s="40"/>
      <c r="M14" s="41"/>
      <c r="N14" s="41"/>
      <c r="O14" s="41"/>
      <c r="P14" s="42">
        <f>SUM(P7:P13)</f>
        <v>197.9166667</v>
      </c>
      <c r="Q14" s="2"/>
      <c r="R14" s="2"/>
    </row>
    <row r="15">
      <c r="A15" s="1"/>
      <c r="B15" s="12"/>
      <c r="C15" s="43"/>
      <c r="D15" s="12"/>
      <c r="E15" s="13"/>
      <c r="F15" s="14"/>
      <c r="G15" s="13"/>
      <c r="H15" s="14"/>
      <c r="I15" s="44"/>
      <c r="J15" s="15"/>
      <c r="K15" s="16"/>
      <c r="L15" s="14"/>
      <c r="M15" s="2"/>
      <c r="N15" s="2"/>
      <c r="O15" s="2"/>
      <c r="P15" s="2"/>
      <c r="Q15" s="2"/>
      <c r="R15" s="2"/>
    </row>
    <row r="16">
      <c r="A16" s="5">
        <v>7.0</v>
      </c>
      <c r="B16" s="17" t="s">
        <v>31</v>
      </c>
      <c r="C16" s="112" t="s">
        <v>212</v>
      </c>
      <c r="D16" s="19" t="s">
        <v>33</v>
      </c>
      <c r="E16" s="20">
        <v>45772.0</v>
      </c>
      <c r="F16" s="21">
        <v>0.3819444444444444</v>
      </c>
      <c r="G16" s="20">
        <v>45780.0</v>
      </c>
      <c r="H16" s="21">
        <v>0.2881944444444445</v>
      </c>
      <c r="I16" s="22">
        <v>8309.631</v>
      </c>
      <c r="J16" s="23"/>
      <c r="K16" s="45"/>
      <c r="L16" s="21"/>
      <c r="M16" s="25">
        <f t="shared" ref="M16:M20" si="6">INT(E16)+MOD(F16,1)</f>
        <v>45772.38194</v>
      </c>
      <c r="N16" s="25">
        <f t="shared" ref="N16:N20" si="7">INT(G16)+MOD(H16,1)</f>
        <v>45780.28819</v>
      </c>
      <c r="O16" s="25">
        <f t="shared" ref="O16:O20" si="8">N16-M16</f>
        <v>7.90625</v>
      </c>
      <c r="P16" s="25">
        <f t="shared" ref="P16:P20" si="9">O16*24</f>
        <v>189.75</v>
      </c>
      <c r="Q16" s="12">
        <v>3.0</v>
      </c>
      <c r="R16" s="2"/>
    </row>
    <row r="17">
      <c r="A17" s="5">
        <v>8.0</v>
      </c>
      <c r="B17" s="26"/>
      <c r="C17" s="114" t="s">
        <v>36</v>
      </c>
      <c r="D17" s="19" t="s">
        <v>33</v>
      </c>
      <c r="E17" s="20">
        <v>45783.0</v>
      </c>
      <c r="F17" s="21">
        <v>0.6597222222222222</v>
      </c>
      <c r="G17" s="20">
        <v>45786.0</v>
      </c>
      <c r="H17" s="21">
        <v>0.3888888888888889</v>
      </c>
      <c r="I17" s="22">
        <v>7209.04</v>
      </c>
      <c r="J17" s="23"/>
      <c r="K17" s="45"/>
      <c r="L17" s="21"/>
      <c r="M17" s="25">
        <f t="shared" si="6"/>
        <v>45783.65972</v>
      </c>
      <c r="N17" s="25">
        <f t="shared" si="7"/>
        <v>45786.38889</v>
      </c>
      <c r="O17" s="25">
        <f t="shared" si="8"/>
        <v>2.729166667</v>
      </c>
      <c r="P17" s="25">
        <f t="shared" si="9"/>
        <v>65.5</v>
      </c>
      <c r="Q17" s="12">
        <v>3.0</v>
      </c>
      <c r="R17" s="2"/>
    </row>
    <row r="18">
      <c r="A18" s="5">
        <v>9.0</v>
      </c>
      <c r="B18" s="26"/>
      <c r="C18" s="112" t="s">
        <v>57</v>
      </c>
      <c r="D18" s="19" t="s">
        <v>33</v>
      </c>
      <c r="E18" s="20">
        <v>45781.0</v>
      </c>
      <c r="F18" s="21">
        <v>0.5243055555555556</v>
      </c>
      <c r="G18" s="20">
        <v>45783.0</v>
      </c>
      <c r="H18" s="21">
        <v>0.6180555555555556</v>
      </c>
      <c r="I18" s="22">
        <v>7299.36</v>
      </c>
      <c r="J18" s="23"/>
      <c r="K18" s="45"/>
      <c r="L18" s="21"/>
      <c r="M18" s="25">
        <f t="shared" si="6"/>
        <v>45781.52431</v>
      </c>
      <c r="N18" s="25">
        <f t="shared" si="7"/>
        <v>45783.61806</v>
      </c>
      <c r="O18" s="25">
        <f t="shared" si="8"/>
        <v>2.09375</v>
      </c>
      <c r="P18" s="25">
        <f t="shared" si="9"/>
        <v>50.25</v>
      </c>
      <c r="Q18" s="12">
        <v>3.0</v>
      </c>
      <c r="R18" s="2"/>
    </row>
    <row r="19">
      <c r="A19" s="5">
        <v>10.0</v>
      </c>
      <c r="B19" s="26"/>
      <c r="C19" s="112" t="s">
        <v>160</v>
      </c>
      <c r="D19" s="19" t="s">
        <v>33</v>
      </c>
      <c r="E19" s="20">
        <v>45788.0</v>
      </c>
      <c r="F19" s="21">
        <v>0.46527777777777773</v>
      </c>
      <c r="G19" s="20">
        <v>45795.0</v>
      </c>
      <c r="H19" s="21">
        <v>0.34027777777777773</v>
      </c>
      <c r="I19" s="22">
        <v>8492.33</v>
      </c>
      <c r="J19" s="23"/>
      <c r="K19" s="45"/>
      <c r="L19" s="21"/>
      <c r="M19" s="25">
        <f t="shared" si="6"/>
        <v>45788.46528</v>
      </c>
      <c r="N19" s="25">
        <f t="shared" si="7"/>
        <v>45795.34028</v>
      </c>
      <c r="O19" s="25">
        <f t="shared" si="8"/>
        <v>6.875</v>
      </c>
      <c r="P19" s="25">
        <f t="shared" si="9"/>
        <v>165</v>
      </c>
      <c r="Q19" s="12">
        <v>3.0</v>
      </c>
      <c r="R19" s="2"/>
    </row>
    <row r="20">
      <c r="A20" s="5">
        <v>11.0</v>
      </c>
      <c r="B20" s="26"/>
      <c r="C20" s="112" t="s">
        <v>213</v>
      </c>
      <c r="D20" s="19" t="s">
        <v>33</v>
      </c>
      <c r="E20" s="20">
        <v>45792.0</v>
      </c>
      <c r="F20" s="21">
        <v>0.7013888888888888</v>
      </c>
      <c r="G20" s="20">
        <v>45796.0</v>
      </c>
      <c r="H20" s="21">
        <v>0.8333333333333334</v>
      </c>
      <c r="I20" s="22">
        <v>7441.0</v>
      </c>
      <c r="J20" s="23"/>
      <c r="K20" s="49"/>
      <c r="L20" s="50"/>
      <c r="M20" s="25">
        <f t="shared" si="6"/>
        <v>45792.70139</v>
      </c>
      <c r="N20" s="25">
        <f t="shared" si="7"/>
        <v>45796.83333</v>
      </c>
      <c r="O20" s="25">
        <f t="shared" si="8"/>
        <v>4.131944444</v>
      </c>
      <c r="P20" s="25">
        <f t="shared" si="9"/>
        <v>99.16666667</v>
      </c>
      <c r="Q20" s="12">
        <v>3.0</v>
      </c>
      <c r="R20" s="2"/>
    </row>
    <row r="21" ht="15.75" customHeight="1">
      <c r="A21" s="5">
        <v>12.0</v>
      </c>
      <c r="B21" s="26"/>
      <c r="C21" s="30"/>
      <c r="D21" s="19"/>
      <c r="E21" s="20"/>
      <c r="F21" s="21"/>
      <c r="G21" s="20"/>
      <c r="H21" s="21"/>
      <c r="I21" s="22"/>
      <c r="J21" s="23"/>
      <c r="K21" s="49"/>
      <c r="L21" s="50"/>
      <c r="M21" s="46"/>
      <c r="N21" s="46"/>
      <c r="O21" s="46"/>
      <c r="P21" s="46"/>
      <c r="Q21" s="12"/>
      <c r="R21" s="2"/>
    </row>
    <row r="22" ht="15.75" customHeight="1">
      <c r="A22" s="5"/>
      <c r="B22" s="26"/>
      <c r="C22" s="30"/>
      <c r="D22" s="19"/>
      <c r="E22" s="20"/>
      <c r="F22" s="21"/>
      <c r="G22" s="20"/>
      <c r="H22" s="21"/>
      <c r="I22" s="22"/>
      <c r="J22" s="23"/>
      <c r="K22" s="49"/>
      <c r="L22" s="50"/>
      <c r="M22" s="46"/>
      <c r="N22" s="46"/>
      <c r="O22" s="46"/>
      <c r="P22" s="46"/>
      <c r="Q22" s="12"/>
      <c r="R22" s="2"/>
    </row>
    <row r="23" ht="15.75" customHeight="1">
      <c r="A23" s="31"/>
      <c r="B23" s="32"/>
      <c r="C23" s="51"/>
      <c r="D23" s="52"/>
      <c r="E23" s="20"/>
      <c r="F23" s="21"/>
      <c r="G23" s="20"/>
      <c r="H23" s="21"/>
      <c r="I23" s="53">
        <f t="shared" ref="I23:J23" si="10">SUM(I16:I22)</f>
        <v>38751.361</v>
      </c>
      <c r="J23" s="54">
        <f t="shared" si="10"/>
        <v>0</v>
      </c>
      <c r="K23" s="39">
        <f>+(P23)/(31*24)</f>
        <v>0.7656810036</v>
      </c>
      <c r="L23" s="40"/>
      <c r="M23" s="41"/>
      <c r="N23" s="41"/>
      <c r="O23" s="41"/>
      <c r="P23" s="42">
        <f>SUM(P16:P22)</f>
        <v>569.6666667</v>
      </c>
      <c r="Q23" s="2"/>
      <c r="R23" s="2"/>
    </row>
    <row r="24" ht="15.75" customHeight="1">
      <c r="A24" s="1"/>
      <c r="B24" s="12"/>
      <c r="C24" s="43"/>
      <c r="D24" s="12"/>
      <c r="E24" s="13"/>
      <c r="F24" s="14"/>
      <c r="G24" s="13"/>
      <c r="H24" s="14"/>
      <c r="I24" s="55"/>
      <c r="J24" s="56"/>
      <c r="K24" s="16"/>
      <c r="L24" s="14"/>
      <c r="M24" s="2"/>
      <c r="N24" s="2"/>
      <c r="O24" s="2"/>
      <c r="P24" s="2"/>
      <c r="Q24" s="2"/>
      <c r="R24" s="2"/>
    </row>
    <row r="25" ht="15.75" customHeight="1">
      <c r="A25" s="5">
        <v>13.0</v>
      </c>
      <c r="B25" s="17" t="s">
        <v>41</v>
      </c>
      <c r="C25" s="112" t="s">
        <v>214</v>
      </c>
      <c r="D25" s="19" t="s">
        <v>33</v>
      </c>
      <c r="E25" s="20">
        <v>45760.0</v>
      </c>
      <c r="F25" s="21">
        <v>0.37847222222222227</v>
      </c>
      <c r="G25" s="20">
        <v>45765.0</v>
      </c>
      <c r="H25" s="21">
        <v>0.3923611111111111</v>
      </c>
      <c r="I25" s="22">
        <v>7400.535</v>
      </c>
      <c r="J25" s="23"/>
      <c r="K25" s="45"/>
      <c r="L25" s="72"/>
      <c r="M25" s="25">
        <f t="shared" ref="M25:M33" si="11">INT(E25)+MOD(F25,1)</f>
        <v>45760.37847</v>
      </c>
      <c r="N25" s="25">
        <f t="shared" ref="N25:N33" si="12">INT(G25)+MOD(H25,1)</f>
        <v>45765.39236</v>
      </c>
      <c r="O25" s="60">
        <f t="shared" ref="O25:O33" si="13">N25-M25</f>
        <v>5.013888889</v>
      </c>
      <c r="P25" s="25">
        <f t="shared" ref="P25:P33" si="14">O25*24</f>
        <v>120.3333333</v>
      </c>
      <c r="Q25" s="12">
        <v>4.0</v>
      </c>
      <c r="R25" s="2"/>
    </row>
    <row r="26" ht="15.75" customHeight="1">
      <c r="A26" s="5">
        <v>14.0</v>
      </c>
      <c r="B26" s="26"/>
      <c r="C26" s="112" t="s">
        <v>189</v>
      </c>
      <c r="D26" s="19" t="s">
        <v>33</v>
      </c>
      <c r="E26" s="20">
        <v>45773.0</v>
      </c>
      <c r="F26" s="21">
        <v>0.78125</v>
      </c>
      <c r="G26" s="20">
        <v>45775.0</v>
      </c>
      <c r="H26" s="21">
        <v>0.3854166666666667</v>
      </c>
      <c r="I26" s="22">
        <v>7210.4</v>
      </c>
      <c r="J26" s="23"/>
      <c r="K26" s="45"/>
      <c r="L26" s="21"/>
      <c r="M26" s="25">
        <f t="shared" si="11"/>
        <v>45773.78125</v>
      </c>
      <c r="N26" s="25">
        <f t="shared" si="12"/>
        <v>45775.38542</v>
      </c>
      <c r="O26" s="60">
        <f t="shared" si="13"/>
        <v>1.604166667</v>
      </c>
      <c r="P26" s="25">
        <f t="shared" si="14"/>
        <v>38.5</v>
      </c>
      <c r="Q26" s="12">
        <v>4.0</v>
      </c>
      <c r="R26" s="2"/>
    </row>
    <row r="27" ht="15.75" customHeight="1">
      <c r="A27" s="5">
        <v>15.0</v>
      </c>
      <c r="B27" s="26"/>
      <c r="C27" s="112" t="s">
        <v>215</v>
      </c>
      <c r="D27" s="19" t="s">
        <v>33</v>
      </c>
      <c r="E27" s="20">
        <v>45771.0</v>
      </c>
      <c r="F27" s="21">
        <v>0.5590277777777778</v>
      </c>
      <c r="G27" s="20">
        <v>45774.0</v>
      </c>
      <c r="H27" s="21">
        <v>0.3020833333333333</v>
      </c>
      <c r="I27" s="22">
        <v>7452.1</v>
      </c>
      <c r="J27" s="29"/>
      <c r="K27" s="45"/>
      <c r="L27" s="21"/>
      <c r="M27" s="25">
        <f t="shared" si="11"/>
        <v>45771.55903</v>
      </c>
      <c r="N27" s="25">
        <f t="shared" si="12"/>
        <v>45774.30208</v>
      </c>
      <c r="O27" s="60">
        <f t="shared" si="13"/>
        <v>2.743055556</v>
      </c>
      <c r="P27" s="25">
        <f t="shared" si="14"/>
        <v>65.83333333</v>
      </c>
      <c r="Q27" s="12">
        <v>4.0</v>
      </c>
      <c r="R27" s="2"/>
    </row>
    <row r="28" ht="15.75" customHeight="1">
      <c r="A28" s="5">
        <v>16.0</v>
      </c>
      <c r="B28" s="26"/>
      <c r="C28" s="112" t="s">
        <v>216</v>
      </c>
      <c r="D28" s="19" t="s">
        <v>33</v>
      </c>
      <c r="E28" s="20">
        <v>45776.0</v>
      </c>
      <c r="F28" s="21">
        <v>0.5868055555555556</v>
      </c>
      <c r="G28" s="20">
        <v>45781.0</v>
      </c>
      <c r="H28" s="21">
        <v>0.4444444444444444</v>
      </c>
      <c r="I28" s="22">
        <v>8319.264</v>
      </c>
      <c r="J28" s="23"/>
      <c r="K28" s="45"/>
      <c r="L28" s="21"/>
      <c r="M28" s="25">
        <f t="shared" si="11"/>
        <v>45776.58681</v>
      </c>
      <c r="N28" s="25">
        <f t="shared" si="12"/>
        <v>45781.44444</v>
      </c>
      <c r="O28" s="60">
        <f t="shared" si="13"/>
        <v>4.857638889</v>
      </c>
      <c r="P28" s="25">
        <f t="shared" si="14"/>
        <v>116.5833333</v>
      </c>
      <c r="Q28" s="12">
        <v>4.0</v>
      </c>
      <c r="R28" s="2"/>
    </row>
    <row r="29" ht="15.75" customHeight="1">
      <c r="A29" s="5">
        <v>17.0</v>
      </c>
      <c r="B29" s="26"/>
      <c r="C29" s="112" t="s">
        <v>217</v>
      </c>
      <c r="D29" s="19" t="s">
        <v>33</v>
      </c>
      <c r="E29" s="20">
        <v>45784.0</v>
      </c>
      <c r="F29" s="21">
        <v>0.7256944444444445</v>
      </c>
      <c r="G29" s="20">
        <v>45788.0</v>
      </c>
      <c r="H29" s="21">
        <v>0.3680555555555556</v>
      </c>
      <c r="I29" s="22">
        <v>6005.78</v>
      </c>
      <c r="J29" s="23"/>
      <c r="K29" s="45"/>
      <c r="L29" s="21"/>
      <c r="M29" s="25">
        <f t="shared" si="11"/>
        <v>45784.72569</v>
      </c>
      <c r="N29" s="25">
        <f t="shared" si="12"/>
        <v>45788.36806</v>
      </c>
      <c r="O29" s="60">
        <f t="shared" si="13"/>
        <v>3.642361111</v>
      </c>
      <c r="P29" s="25">
        <f t="shared" si="14"/>
        <v>87.41666667</v>
      </c>
      <c r="Q29" s="12">
        <v>4.0</v>
      </c>
      <c r="R29" s="2"/>
    </row>
    <row r="30" ht="15.75" customHeight="1">
      <c r="A30" s="5">
        <v>18.0</v>
      </c>
      <c r="B30" s="26"/>
      <c r="C30" s="112" t="s">
        <v>218</v>
      </c>
      <c r="D30" s="19" t="s">
        <v>33</v>
      </c>
      <c r="E30" s="20">
        <v>45786.0</v>
      </c>
      <c r="F30" s="21">
        <v>0.4236111111111111</v>
      </c>
      <c r="G30" s="20">
        <v>45789.0</v>
      </c>
      <c r="H30" s="21">
        <v>0.5902777777777778</v>
      </c>
      <c r="I30" s="22">
        <v>7458.3</v>
      </c>
      <c r="J30" s="23"/>
      <c r="K30" s="45"/>
      <c r="L30" s="21"/>
      <c r="M30" s="25">
        <f t="shared" si="11"/>
        <v>45786.42361</v>
      </c>
      <c r="N30" s="25">
        <f t="shared" si="12"/>
        <v>45789.59028</v>
      </c>
      <c r="O30" s="60">
        <f t="shared" si="13"/>
        <v>3.166666667</v>
      </c>
      <c r="P30" s="25">
        <f t="shared" si="14"/>
        <v>76</v>
      </c>
      <c r="Q30" s="12">
        <v>4.0</v>
      </c>
      <c r="R30" s="2"/>
    </row>
    <row r="31" ht="15.75" customHeight="1">
      <c r="A31" s="5">
        <v>19.0</v>
      </c>
      <c r="B31" s="26"/>
      <c r="C31" s="112" t="s">
        <v>219</v>
      </c>
      <c r="D31" s="19" t="s">
        <v>33</v>
      </c>
      <c r="E31" s="20">
        <v>45789.0</v>
      </c>
      <c r="F31" s="21">
        <v>0.6319444444444444</v>
      </c>
      <c r="G31" s="20">
        <v>45792.0</v>
      </c>
      <c r="H31" s="21">
        <v>0.642361111111111</v>
      </c>
      <c r="I31" s="22">
        <v>7514.22</v>
      </c>
      <c r="J31" s="23"/>
      <c r="K31" s="45"/>
      <c r="L31" s="50"/>
      <c r="M31" s="25">
        <f t="shared" si="11"/>
        <v>45789.63194</v>
      </c>
      <c r="N31" s="25">
        <f t="shared" si="12"/>
        <v>45792.64236</v>
      </c>
      <c r="O31" s="60">
        <f t="shared" si="13"/>
        <v>3.010416667</v>
      </c>
      <c r="P31" s="25">
        <f t="shared" si="14"/>
        <v>72.25</v>
      </c>
      <c r="Q31" s="12">
        <v>4.0</v>
      </c>
      <c r="R31" s="2"/>
    </row>
    <row r="32" ht="15.75" customHeight="1">
      <c r="A32" s="5">
        <v>20.0</v>
      </c>
      <c r="B32" s="26"/>
      <c r="C32" s="112" t="s">
        <v>212</v>
      </c>
      <c r="D32" s="19" t="s">
        <v>33</v>
      </c>
      <c r="E32" s="20">
        <v>45791.0</v>
      </c>
      <c r="F32" s="21">
        <v>0.6215277777777778</v>
      </c>
      <c r="G32" s="20">
        <v>45794.0</v>
      </c>
      <c r="H32" s="21">
        <v>0.3819444444444444</v>
      </c>
      <c r="I32" s="22">
        <v>7743.52</v>
      </c>
      <c r="J32" s="29"/>
      <c r="K32" s="45"/>
      <c r="L32" s="50"/>
      <c r="M32" s="25">
        <f t="shared" si="11"/>
        <v>45791.62153</v>
      </c>
      <c r="N32" s="25">
        <f t="shared" si="12"/>
        <v>45794.38194</v>
      </c>
      <c r="O32" s="60">
        <f t="shared" si="13"/>
        <v>2.760416667</v>
      </c>
      <c r="P32" s="25">
        <f t="shared" si="14"/>
        <v>66.25</v>
      </c>
      <c r="Q32" s="12">
        <v>4.0</v>
      </c>
      <c r="R32" s="2"/>
    </row>
    <row r="33" ht="15.75" customHeight="1">
      <c r="A33" s="5">
        <v>21.0</v>
      </c>
      <c r="B33" s="26"/>
      <c r="C33" s="112" t="s">
        <v>220</v>
      </c>
      <c r="D33" s="19" t="s">
        <v>33</v>
      </c>
      <c r="E33" s="20">
        <v>45797.0</v>
      </c>
      <c r="F33" s="21">
        <v>0.34722222222222227</v>
      </c>
      <c r="G33" s="20">
        <v>45799.0</v>
      </c>
      <c r="H33" s="21">
        <v>0.3923611111111111</v>
      </c>
      <c r="I33" s="22">
        <v>7280.16</v>
      </c>
      <c r="J33" s="29"/>
      <c r="K33" s="45"/>
      <c r="L33" s="50"/>
      <c r="M33" s="25">
        <f t="shared" si="11"/>
        <v>45797.34722</v>
      </c>
      <c r="N33" s="25">
        <f t="shared" si="12"/>
        <v>45799.39236</v>
      </c>
      <c r="O33" s="60">
        <f t="shared" si="13"/>
        <v>2.045138889</v>
      </c>
      <c r="P33" s="25">
        <f t="shared" si="14"/>
        <v>49.08333333</v>
      </c>
      <c r="Q33" s="12">
        <v>4.0</v>
      </c>
      <c r="R33" s="2"/>
    </row>
    <row r="34" ht="15.75" customHeight="1">
      <c r="A34" s="5">
        <v>22.0</v>
      </c>
      <c r="B34" s="89"/>
      <c r="C34" s="30"/>
      <c r="D34" s="19"/>
      <c r="E34" s="20"/>
      <c r="F34" s="21"/>
      <c r="G34" s="20"/>
      <c r="H34" s="21"/>
      <c r="I34" s="22"/>
      <c r="J34" s="29"/>
      <c r="K34" s="45"/>
      <c r="L34" s="50"/>
      <c r="M34" s="46"/>
      <c r="N34" s="46"/>
      <c r="O34" s="61"/>
      <c r="P34" s="46"/>
      <c r="Q34" s="12"/>
      <c r="R34" s="2"/>
    </row>
    <row r="35" ht="18.0" customHeight="1">
      <c r="A35" s="5">
        <v>23.0</v>
      </c>
      <c r="B35" s="106"/>
      <c r="C35" s="30"/>
      <c r="D35" s="19"/>
      <c r="E35" s="20"/>
      <c r="F35" s="21"/>
      <c r="G35" s="20"/>
      <c r="H35" s="21"/>
      <c r="I35" s="22"/>
      <c r="J35" s="29"/>
      <c r="K35" s="45"/>
      <c r="L35" s="50"/>
      <c r="M35" s="46"/>
      <c r="N35" s="46"/>
      <c r="O35" s="61"/>
      <c r="P35" s="46"/>
      <c r="Q35" s="12"/>
      <c r="R35" s="2"/>
    </row>
    <row r="36" ht="18.75" customHeight="1">
      <c r="A36" s="107"/>
      <c r="B36" s="106"/>
      <c r="C36" s="102"/>
      <c r="D36" s="108"/>
      <c r="E36" s="104"/>
      <c r="F36" s="72"/>
      <c r="G36" s="104"/>
      <c r="H36" s="72"/>
      <c r="I36" s="109"/>
      <c r="J36" s="23"/>
      <c r="K36" s="45"/>
      <c r="L36" s="69"/>
      <c r="M36" s="70"/>
      <c r="N36" s="70"/>
      <c r="O36" s="110"/>
      <c r="P36" s="71"/>
      <c r="Q36" s="12"/>
      <c r="R36" s="2"/>
    </row>
    <row r="37" ht="15.75" customHeight="1">
      <c r="A37" s="62"/>
      <c r="B37" s="34"/>
      <c r="C37" s="102"/>
      <c r="D37" s="103"/>
      <c r="E37" s="104"/>
      <c r="F37" s="72"/>
      <c r="G37" s="104"/>
      <c r="H37" s="72"/>
      <c r="I37" s="105">
        <f t="shared" ref="I37:J37" si="15">SUM(I25:I34)</f>
        <v>66384.279</v>
      </c>
      <c r="J37" s="63">
        <f t="shared" si="15"/>
        <v>0</v>
      </c>
      <c r="K37" s="64">
        <f>+(P37)/(31*24)</f>
        <v>0.9304435484</v>
      </c>
      <c r="L37" s="40"/>
      <c r="M37" s="41"/>
      <c r="N37" s="41"/>
      <c r="O37" s="41"/>
      <c r="P37" s="42">
        <f>SUM(P25:P34)</f>
        <v>692.25</v>
      </c>
      <c r="Q37" s="12"/>
      <c r="R37" s="2"/>
    </row>
    <row r="38" ht="15.75" customHeight="1">
      <c r="A38" s="65"/>
      <c r="B38" s="66"/>
      <c r="C38" s="67"/>
      <c r="D38" s="12"/>
      <c r="E38" s="13"/>
      <c r="F38" s="14"/>
      <c r="G38" s="13"/>
      <c r="H38" s="14"/>
      <c r="I38" s="55"/>
      <c r="J38" s="56"/>
      <c r="K38" s="68"/>
      <c r="L38" s="69"/>
      <c r="M38" s="70"/>
      <c r="N38" s="70"/>
      <c r="O38" s="70"/>
      <c r="P38" s="71"/>
      <c r="Q38" s="12"/>
      <c r="R38" s="2"/>
    </row>
    <row r="39" ht="15.75" customHeight="1">
      <c r="A39" s="5">
        <v>24.0</v>
      </c>
      <c r="B39" s="17" t="s">
        <v>62</v>
      </c>
      <c r="C39" s="112" t="s">
        <v>221</v>
      </c>
      <c r="D39" s="19" t="s">
        <v>33</v>
      </c>
      <c r="E39" s="20">
        <v>45774.0</v>
      </c>
      <c r="F39" s="21">
        <v>0.3888888888888889</v>
      </c>
      <c r="G39" s="20">
        <v>45776.0</v>
      </c>
      <c r="H39" s="21">
        <v>0.3958333333333333</v>
      </c>
      <c r="I39" s="22">
        <v>7148.52</v>
      </c>
      <c r="J39" s="23"/>
      <c r="K39" s="45"/>
      <c r="L39" s="72"/>
      <c r="M39" s="73">
        <f t="shared" ref="M39:M45" si="16">INT(E39)+MOD(F39,1)</f>
        <v>45774.38889</v>
      </c>
      <c r="N39" s="73">
        <f t="shared" ref="N39:N45" si="17">INT(G39)+MOD(H39,1)</f>
        <v>45776.39583</v>
      </c>
      <c r="O39" s="73">
        <f t="shared" ref="O39:O45" si="18">N39-M39</f>
        <v>2.006944444</v>
      </c>
      <c r="P39" s="73">
        <f t="shared" ref="P39:P45" si="19">O39*24</f>
        <v>48.16666667</v>
      </c>
      <c r="Q39" s="12">
        <v>5.0</v>
      </c>
      <c r="R39" s="2"/>
    </row>
    <row r="40" ht="15.75" customHeight="1">
      <c r="A40" s="5">
        <v>25.0</v>
      </c>
      <c r="B40" s="26"/>
      <c r="C40" s="112" t="s">
        <v>162</v>
      </c>
      <c r="D40" s="19" t="s">
        <v>33</v>
      </c>
      <c r="E40" s="20">
        <v>45775.0</v>
      </c>
      <c r="F40" s="21">
        <v>0.6006944444444444</v>
      </c>
      <c r="G40" s="20">
        <v>45777.0</v>
      </c>
      <c r="H40" s="21">
        <v>0.6458333333333334</v>
      </c>
      <c r="I40" s="22">
        <v>7394.82</v>
      </c>
      <c r="J40" s="23"/>
      <c r="K40" s="45"/>
      <c r="L40" s="21"/>
      <c r="M40" s="25">
        <f t="shared" si="16"/>
        <v>45775.60069</v>
      </c>
      <c r="N40" s="25">
        <f t="shared" si="17"/>
        <v>45777.64583</v>
      </c>
      <c r="O40" s="25">
        <f t="shared" si="18"/>
        <v>2.045138889</v>
      </c>
      <c r="P40" s="25">
        <f t="shared" si="19"/>
        <v>49.08333333</v>
      </c>
      <c r="Q40" s="12">
        <v>5.0</v>
      </c>
      <c r="R40" s="2"/>
    </row>
    <row r="41" ht="15.75" customHeight="1">
      <c r="A41" s="5">
        <v>26.0</v>
      </c>
      <c r="B41" s="26"/>
      <c r="C41" s="112" t="s">
        <v>222</v>
      </c>
      <c r="D41" s="19" t="s">
        <v>33</v>
      </c>
      <c r="E41" s="20">
        <v>45773.0</v>
      </c>
      <c r="F41" s="21">
        <v>0.5625</v>
      </c>
      <c r="G41" s="20">
        <v>45786.0</v>
      </c>
      <c r="H41" s="21">
        <v>0.6354166666666666</v>
      </c>
      <c r="I41" s="22">
        <v>7403.957</v>
      </c>
      <c r="J41" s="23"/>
      <c r="K41" s="45"/>
      <c r="L41" s="21"/>
      <c r="M41" s="25">
        <f t="shared" si="16"/>
        <v>45773.5625</v>
      </c>
      <c r="N41" s="25">
        <f t="shared" si="17"/>
        <v>45786.63542</v>
      </c>
      <c r="O41" s="25">
        <f t="shared" si="18"/>
        <v>13.07291667</v>
      </c>
      <c r="P41" s="25">
        <f t="shared" si="19"/>
        <v>313.75</v>
      </c>
      <c r="Q41" s="12">
        <v>5.0</v>
      </c>
      <c r="R41" s="2"/>
    </row>
    <row r="42" ht="15.75" customHeight="1">
      <c r="A42" s="5">
        <v>27.0</v>
      </c>
      <c r="B42" s="26"/>
      <c r="C42" s="112" t="s">
        <v>223</v>
      </c>
      <c r="D42" s="19" t="s">
        <v>33</v>
      </c>
      <c r="E42" s="20">
        <v>45789.0</v>
      </c>
      <c r="F42" s="21">
        <v>0.34027777777777773</v>
      </c>
      <c r="G42" s="20">
        <v>45791.0</v>
      </c>
      <c r="H42" s="21">
        <v>0.5868055555555556</v>
      </c>
      <c r="I42" s="22">
        <v>7346.7</v>
      </c>
      <c r="J42" s="23"/>
      <c r="K42" s="45"/>
      <c r="L42" s="21"/>
      <c r="M42" s="25">
        <f t="shared" si="16"/>
        <v>45789.34028</v>
      </c>
      <c r="N42" s="25">
        <f t="shared" si="17"/>
        <v>45791.58681</v>
      </c>
      <c r="O42" s="25">
        <f t="shared" si="18"/>
        <v>2.246527778</v>
      </c>
      <c r="P42" s="25">
        <f t="shared" si="19"/>
        <v>53.91666667</v>
      </c>
      <c r="Q42" s="12">
        <v>5.0</v>
      </c>
      <c r="R42" s="2"/>
    </row>
    <row r="43" ht="15.75" customHeight="1">
      <c r="A43" s="5">
        <v>28.0</v>
      </c>
      <c r="B43" s="26"/>
      <c r="C43" s="112" t="s">
        <v>224</v>
      </c>
      <c r="D43" s="19" t="s">
        <v>33</v>
      </c>
      <c r="E43" s="20">
        <v>45786.0</v>
      </c>
      <c r="F43" s="21">
        <v>0.7534722222222222</v>
      </c>
      <c r="G43" s="20">
        <v>45793.0</v>
      </c>
      <c r="H43" s="21">
        <v>0.8055555555555555</v>
      </c>
      <c r="I43" s="22">
        <v>8024.104</v>
      </c>
      <c r="J43" s="23"/>
      <c r="K43" s="45"/>
      <c r="L43" s="21"/>
      <c r="M43" s="25">
        <f t="shared" si="16"/>
        <v>45786.75347</v>
      </c>
      <c r="N43" s="25">
        <f t="shared" si="17"/>
        <v>45793.80556</v>
      </c>
      <c r="O43" s="25">
        <f t="shared" si="18"/>
        <v>7.052083333</v>
      </c>
      <c r="P43" s="25">
        <f t="shared" si="19"/>
        <v>169.25</v>
      </c>
      <c r="Q43" s="12">
        <v>5.0</v>
      </c>
      <c r="R43" s="2"/>
    </row>
    <row r="44" ht="15.75" customHeight="1">
      <c r="A44" s="5">
        <v>29.0</v>
      </c>
      <c r="B44" s="26"/>
      <c r="C44" s="112" t="s">
        <v>225</v>
      </c>
      <c r="D44" s="27" t="s">
        <v>30</v>
      </c>
      <c r="E44" s="20">
        <v>45798.0</v>
      </c>
      <c r="F44" s="21">
        <v>0.65</v>
      </c>
      <c r="G44" s="20">
        <v>45798.0</v>
      </c>
      <c r="H44" s="21">
        <v>0.9666666666666667</v>
      </c>
      <c r="I44" s="28">
        <v>31.0</v>
      </c>
      <c r="J44" s="29">
        <v>77.0</v>
      </c>
      <c r="K44" s="45"/>
      <c r="L44" s="21"/>
      <c r="M44" s="25">
        <f t="shared" si="16"/>
        <v>45798.65</v>
      </c>
      <c r="N44" s="25">
        <f t="shared" si="17"/>
        <v>45798.96667</v>
      </c>
      <c r="O44" s="25">
        <f t="shared" si="18"/>
        <v>0.3166666667</v>
      </c>
      <c r="P44" s="25">
        <f t="shared" si="19"/>
        <v>7.6</v>
      </c>
      <c r="Q44" s="12">
        <v>5.0</v>
      </c>
      <c r="R44" s="2"/>
    </row>
    <row r="45" ht="15.75" customHeight="1">
      <c r="A45" s="5">
        <v>30.0</v>
      </c>
      <c r="B45" s="26"/>
      <c r="C45" s="112" t="s">
        <v>129</v>
      </c>
      <c r="D45" s="19" t="s">
        <v>33</v>
      </c>
      <c r="E45" s="20">
        <v>45799.0</v>
      </c>
      <c r="F45" s="21">
        <v>0.5972222222222222</v>
      </c>
      <c r="G45" s="20">
        <v>45801.0</v>
      </c>
      <c r="H45" s="21">
        <v>0.6701388888888888</v>
      </c>
      <c r="I45" s="22">
        <v>7548.24</v>
      </c>
      <c r="J45" s="23"/>
      <c r="K45" s="45"/>
      <c r="L45" s="50"/>
      <c r="M45" s="25">
        <f t="shared" si="16"/>
        <v>45799.59722</v>
      </c>
      <c r="N45" s="25">
        <f t="shared" si="17"/>
        <v>45801.67014</v>
      </c>
      <c r="O45" s="25">
        <f t="shared" si="18"/>
        <v>2.072916667</v>
      </c>
      <c r="P45" s="25">
        <f t="shared" si="19"/>
        <v>49.75</v>
      </c>
      <c r="Q45" s="12">
        <v>5.0</v>
      </c>
      <c r="R45" s="2"/>
    </row>
    <row r="46" ht="15.75" customHeight="1">
      <c r="A46" s="5"/>
      <c r="B46" s="26"/>
      <c r="C46" s="67"/>
      <c r="D46" s="58"/>
      <c r="E46" s="13"/>
      <c r="F46" s="14"/>
      <c r="G46" s="13"/>
      <c r="H46" s="14"/>
      <c r="I46" s="59"/>
      <c r="J46" s="111"/>
      <c r="K46" s="45"/>
      <c r="L46" s="50"/>
      <c r="M46" s="46"/>
      <c r="N46" s="46"/>
      <c r="O46" s="46"/>
      <c r="P46" s="46"/>
      <c r="Q46" s="12"/>
      <c r="R46" s="2"/>
    </row>
    <row r="47" ht="15.75" customHeight="1">
      <c r="A47" s="5"/>
      <c r="B47" s="26"/>
      <c r="C47" s="30"/>
      <c r="D47" s="19"/>
      <c r="E47" s="20"/>
      <c r="F47" s="21"/>
      <c r="G47" s="20"/>
      <c r="H47" s="21"/>
      <c r="I47" s="22"/>
      <c r="J47" s="23"/>
      <c r="K47" s="45"/>
      <c r="L47" s="50"/>
      <c r="M47" s="46"/>
      <c r="N47" s="46"/>
      <c r="O47" s="46"/>
      <c r="P47" s="46"/>
      <c r="Q47" s="12"/>
      <c r="R47" s="2"/>
    </row>
    <row r="48" ht="15.75" customHeight="1">
      <c r="A48" s="31"/>
      <c r="B48" s="32"/>
      <c r="C48" s="83"/>
      <c r="D48" s="32"/>
      <c r="E48" s="84"/>
      <c r="F48" s="40"/>
      <c r="G48" s="84"/>
      <c r="H48" s="40"/>
      <c r="I48" s="85">
        <f t="shared" ref="I48:J48" si="20">SUM(I39:I47)</f>
        <v>44897.341</v>
      </c>
      <c r="J48" s="86">
        <f t="shared" si="20"/>
        <v>77</v>
      </c>
      <c r="K48" s="39">
        <f>+(P48)/(31*24)</f>
        <v>0.9294578853</v>
      </c>
      <c r="L48" s="40"/>
      <c r="M48" s="41"/>
      <c r="N48" s="41"/>
      <c r="O48" s="41"/>
      <c r="P48" s="42">
        <f>SUM(P39:P47)</f>
        <v>691.5166667</v>
      </c>
      <c r="Q48" s="12"/>
      <c r="R48" s="2"/>
    </row>
    <row r="49" ht="15.75" customHeight="1">
      <c r="A49" s="1"/>
      <c r="B49" s="12"/>
      <c r="C49" s="67"/>
      <c r="D49" s="12"/>
      <c r="E49" s="13"/>
      <c r="F49" s="14"/>
      <c r="G49" s="13"/>
      <c r="H49" s="14"/>
      <c r="I49" s="55"/>
      <c r="J49" s="56"/>
      <c r="K49" s="16"/>
      <c r="L49" s="14"/>
      <c r="M49" s="2"/>
      <c r="N49" s="2"/>
      <c r="O49" s="2"/>
      <c r="P49" s="2"/>
      <c r="Q49" s="12"/>
      <c r="R49" s="2"/>
    </row>
    <row r="50" ht="15.75" customHeight="1">
      <c r="A50" s="1"/>
      <c r="B50" s="12"/>
      <c r="C50" s="67"/>
      <c r="D50" s="12"/>
      <c r="E50" s="13"/>
      <c r="F50" s="14"/>
      <c r="G50" s="13"/>
      <c r="H50" s="14"/>
      <c r="I50" s="55"/>
      <c r="J50" s="56"/>
      <c r="K50" s="16"/>
      <c r="L50" s="14"/>
      <c r="M50" s="2"/>
      <c r="N50" s="2"/>
      <c r="O50" s="2"/>
      <c r="P50" s="2"/>
      <c r="Q50" s="2"/>
      <c r="R50" s="2"/>
    </row>
    <row r="51" ht="15.75" customHeight="1">
      <c r="A51" s="1"/>
      <c r="B51" s="12"/>
      <c r="C51" s="67"/>
      <c r="D51" s="12"/>
      <c r="E51" s="13"/>
      <c r="F51" s="14"/>
      <c r="G51" s="13"/>
      <c r="H51" s="14"/>
      <c r="I51" s="55"/>
      <c r="J51" s="56"/>
      <c r="K51" s="16"/>
      <c r="L51" s="14"/>
      <c r="M51" s="2"/>
      <c r="N51" s="2"/>
      <c r="O51" s="2"/>
      <c r="P51" s="2"/>
      <c r="Q51" s="2"/>
      <c r="R51" s="2"/>
    </row>
    <row r="52" ht="15.75" customHeight="1">
      <c r="A52" s="1"/>
      <c r="B52" s="12"/>
      <c r="C52" s="67"/>
      <c r="D52" s="12"/>
      <c r="E52" s="13"/>
      <c r="F52" s="14"/>
      <c r="G52" s="13"/>
      <c r="H52" s="14"/>
      <c r="I52" s="55"/>
      <c r="J52" s="56"/>
      <c r="K52" s="16"/>
      <c r="L52" s="14"/>
      <c r="M52" s="2"/>
      <c r="N52" s="2"/>
      <c r="O52" s="2"/>
      <c r="P52" s="2"/>
      <c r="Q52" s="2"/>
      <c r="R52" s="2"/>
    </row>
    <row r="53" ht="15.75" customHeight="1">
      <c r="A53" s="5">
        <v>31.0</v>
      </c>
      <c r="B53" s="17" t="s">
        <v>69</v>
      </c>
      <c r="C53" s="112" t="s">
        <v>226</v>
      </c>
      <c r="D53" s="19" t="s">
        <v>33</v>
      </c>
      <c r="E53" s="20">
        <v>45732.0</v>
      </c>
      <c r="F53" s="21">
        <v>0.5868055555555556</v>
      </c>
      <c r="G53" s="20">
        <v>45737.0</v>
      </c>
      <c r="H53" s="21">
        <v>0.4375</v>
      </c>
      <c r="I53" s="22">
        <v>8496.531</v>
      </c>
      <c r="J53" s="74"/>
      <c r="K53" s="88"/>
      <c r="L53" s="46"/>
      <c r="M53" s="25">
        <f t="shared" ref="M53:M62" si="21">INT(E53)+MOD(F53,1)</f>
        <v>45732.58681</v>
      </c>
      <c r="N53" s="25">
        <f t="shared" ref="N53:N62" si="22">INT(G53)+MOD(H53,1)</f>
        <v>45737.4375</v>
      </c>
      <c r="O53" s="25">
        <f t="shared" ref="O53:O62" si="23">N53-M53</f>
        <v>4.850694444</v>
      </c>
      <c r="P53" s="25">
        <f t="shared" ref="P53:P62" si="24">O53*24</f>
        <v>116.4166667</v>
      </c>
      <c r="Q53" s="12">
        <v>7.0</v>
      </c>
      <c r="R53" s="12"/>
    </row>
    <row r="54" ht="15.75" customHeight="1">
      <c r="A54" s="5">
        <v>32.0</v>
      </c>
      <c r="B54" s="26"/>
      <c r="C54" s="112" t="s">
        <v>227</v>
      </c>
      <c r="D54" s="19" t="s">
        <v>33</v>
      </c>
      <c r="E54" s="20">
        <v>45752.0</v>
      </c>
      <c r="F54" s="21">
        <v>0.642361111111111</v>
      </c>
      <c r="G54" s="20">
        <v>45756.0</v>
      </c>
      <c r="H54" s="21">
        <v>0.611111111111111</v>
      </c>
      <c r="I54" s="22">
        <v>8026.975</v>
      </c>
      <c r="J54" s="74"/>
      <c r="K54" s="88"/>
      <c r="L54" s="46"/>
      <c r="M54" s="25">
        <f t="shared" si="21"/>
        <v>45752.64236</v>
      </c>
      <c r="N54" s="25">
        <f t="shared" si="22"/>
        <v>45756.61111</v>
      </c>
      <c r="O54" s="25">
        <f t="shared" si="23"/>
        <v>3.96875</v>
      </c>
      <c r="P54" s="25">
        <f t="shared" si="24"/>
        <v>95.25</v>
      </c>
      <c r="Q54" s="12">
        <v>7.0</v>
      </c>
      <c r="R54" s="12"/>
    </row>
    <row r="55" ht="15.75" customHeight="1">
      <c r="A55" s="5">
        <v>33.0</v>
      </c>
      <c r="B55" s="26"/>
      <c r="C55" s="112" t="s">
        <v>228</v>
      </c>
      <c r="D55" s="19" t="s">
        <v>33</v>
      </c>
      <c r="E55" s="20">
        <v>45761.0</v>
      </c>
      <c r="F55" s="21">
        <v>0.4895833333333333</v>
      </c>
      <c r="G55" s="20">
        <v>45767.0</v>
      </c>
      <c r="H55" s="21">
        <v>0.9131944444444445</v>
      </c>
      <c r="I55" s="22">
        <v>7240.088</v>
      </c>
      <c r="J55" s="74"/>
      <c r="K55" s="88"/>
      <c r="L55" s="46"/>
      <c r="M55" s="25">
        <f t="shared" si="21"/>
        <v>45761.48958</v>
      </c>
      <c r="N55" s="25">
        <f t="shared" si="22"/>
        <v>45767.91319</v>
      </c>
      <c r="O55" s="25">
        <f t="shared" si="23"/>
        <v>6.423611111</v>
      </c>
      <c r="P55" s="25">
        <f t="shared" si="24"/>
        <v>154.1666667</v>
      </c>
      <c r="Q55" s="12">
        <v>7.0</v>
      </c>
      <c r="R55" s="12"/>
    </row>
    <row r="56" ht="15.75" customHeight="1">
      <c r="A56" s="5"/>
      <c r="B56" s="26"/>
      <c r="C56" s="112" t="s">
        <v>229</v>
      </c>
      <c r="D56" s="19" t="s">
        <v>33</v>
      </c>
      <c r="E56" s="20">
        <v>45767.0</v>
      </c>
      <c r="F56" s="21">
        <v>0.4756944444444444</v>
      </c>
      <c r="G56" s="20">
        <v>45775.0</v>
      </c>
      <c r="H56" s="21">
        <v>0.8715277777777778</v>
      </c>
      <c r="I56" s="22">
        <v>7492.592</v>
      </c>
      <c r="J56" s="74"/>
      <c r="K56" s="88"/>
      <c r="L56" s="46"/>
      <c r="M56" s="25">
        <f t="shared" si="21"/>
        <v>45767.47569</v>
      </c>
      <c r="N56" s="25">
        <f t="shared" si="22"/>
        <v>45775.87153</v>
      </c>
      <c r="O56" s="25">
        <f t="shared" si="23"/>
        <v>8.395833333</v>
      </c>
      <c r="P56" s="25">
        <f t="shared" si="24"/>
        <v>201.5</v>
      </c>
      <c r="Q56" s="12">
        <v>7.0</v>
      </c>
      <c r="R56" s="12"/>
    </row>
    <row r="57" ht="15.75" customHeight="1">
      <c r="A57" s="5"/>
      <c r="B57" s="26"/>
      <c r="C57" s="112" t="s">
        <v>230</v>
      </c>
      <c r="D57" s="19" t="s">
        <v>143</v>
      </c>
      <c r="E57" s="20">
        <v>45776.0</v>
      </c>
      <c r="F57" s="21">
        <v>0.6375000000000001</v>
      </c>
      <c r="G57" s="20">
        <v>45781.0</v>
      </c>
      <c r="H57" s="21">
        <v>0.4270833333333333</v>
      </c>
      <c r="I57" s="22">
        <v>49791.28</v>
      </c>
      <c r="J57" s="74"/>
      <c r="K57" s="88"/>
      <c r="L57" s="46"/>
      <c r="M57" s="25">
        <f t="shared" si="21"/>
        <v>45776.6375</v>
      </c>
      <c r="N57" s="25">
        <f t="shared" si="22"/>
        <v>45781.42708</v>
      </c>
      <c r="O57" s="25">
        <f t="shared" si="23"/>
        <v>4.789583333</v>
      </c>
      <c r="P57" s="25">
        <f t="shared" si="24"/>
        <v>114.95</v>
      </c>
      <c r="Q57" s="12">
        <v>6.0</v>
      </c>
      <c r="R57" s="12"/>
    </row>
    <row r="58" ht="15.75" customHeight="1">
      <c r="A58" s="5"/>
      <c r="B58" s="26"/>
      <c r="C58" s="112" t="s">
        <v>231</v>
      </c>
      <c r="D58" s="19" t="s">
        <v>33</v>
      </c>
      <c r="E58" s="20">
        <v>45784.0</v>
      </c>
      <c r="F58" s="21">
        <v>0.5381944444444444</v>
      </c>
      <c r="G58" s="20">
        <v>45792.0</v>
      </c>
      <c r="H58" s="21">
        <v>0.3159722222222222</v>
      </c>
      <c r="I58" s="22">
        <v>8025.333</v>
      </c>
      <c r="J58" s="74"/>
      <c r="K58" s="88"/>
      <c r="L58" s="46"/>
      <c r="M58" s="25">
        <f t="shared" si="21"/>
        <v>45784.53819</v>
      </c>
      <c r="N58" s="25">
        <f t="shared" si="22"/>
        <v>45792.31597</v>
      </c>
      <c r="O58" s="25">
        <f t="shared" si="23"/>
        <v>7.777777778</v>
      </c>
      <c r="P58" s="25">
        <f t="shared" si="24"/>
        <v>186.6666667</v>
      </c>
      <c r="Q58" s="12">
        <v>7.0</v>
      </c>
      <c r="R58" s="12"/>
    </row>
    <row r="59" ht="15.75" customHeight="1">
      <c r="A59" s="5"/>
      <c r="B59" s="26"/>
      <c r="C59" s="112" t="s">
        <v>232</v>
      </c>
      <c r="D59" s="19" t="s">
        <v>233</v>
      </c>
      <c r="E59" s="20">
        <v>45789.0</v>
      </c>
      <c r="F59" s="21">
        <v>0.9930555555555555</v>
      </c>
      <c r="G59" s="20">
        <v>45795.0</v>
      </c>
      <c r="H59" s="21">
        <v>0.027777777777777776</v>
      </c>
      <c r="I59" s="22">
        <v>20710.81</v>
      </c>
      <c r="J59" s="74"/>
      <c r="K59" s="88"/>
      <c r="L59" s="46"/>
      <c r="M59" s="25">
        <f t="shared" si="21"/>
        <v>45789.99306</v>
      </c>
      <c r="N59" s="25">
        <f t="shared" si="22"/>
        <v>45795.02778</v>
      </c>
      <c r="O59" s="25">
        <f t="shared" si="23"/>
        <v>5.034722222</v>
      </c>
      <c r="P59" s="25">
        <f t="shared" si="24"/>
        <v>120.8333333</v>
      </c>
      <c r="Q59" s="12">
        <v>6.0</v>
      </c>
      <c r="R59" s="12"/>
    </row>
    <row r="60" ht="15.75" customHeight="1">
      <c r="A60" s="5">
        <v>34.0</v>
      </c>
      <c r="B60" s="26"/>
      <c r="C60" s="112" t="s">
        <v>232</v>
      </c>
      <c r="D60" s="19" t="s">
        <v>139</v>
      </c>
      <c r="E60" s="20">
        <v>45789.0</v>
      </c>
      <c r="F60" s="21">
        <v>0.9930555555555555</v>
      </c>
      <c r="G60" s="20">
        <v>45795.0</v>
      </c>
      <c r="H60" s="21">
        <v>0.027777777777777776</v>
      </c>
      <c r="I60" s="22">
        <v>9139.45</v>
      </c>
      <c r="J60" s="74"/>
      <c r="K60" s="88"/>
      <c r="L60" s="46"/>
      <c r="M60" s="25">
        <f t="shared" si="21"/>
        <v>45789.99306</v>
      </c>
      <c r="N60" s="25">
        <f t="shared" si="22"/>
        <v>45795.02778</v>
      </c>
      <c r="O60" s="25">
        <f t="shared" si="23"/>
        <v>5.034722222</v>
      </c>
      <c r="P60" s="25">
        <f t="shared" si="24"/>
        <v>120.8333333</v>
      </c>
      <c r="Q60" s="12">
        <v>6.0</v>
      </c>
      <c r="R60" s="12"/>
    </row>
    <row r="61" ht="15.75" customHeight="1">
      <c r="A61" s="5">
        <v>35.0</v>
      </c>
      <c r="B61" s="26"/>
      <c r="C61" s="112" t="s">
        <v>234</v>
      </c>
      <c r="D61" s="19" t="s">
        <v>33</v>
      </c>
      <c r="E61" s="20">
        <v>45792.0</v>
      </c>
      <c r="F61" s="21">
        <v>0.6284722222222222</v>
      </c>
      <c r="G61" s="20">
        <v>45796.0</v>
      </c>
      <c r="H61" s="21">
        <v>0.6840277777777778</v>
      </c>
      <c r="I61" s="22">
        <v>8801.553</v>
      </c>
      <c r="J61" s="74"/>
      <c r="K61" s="88"/>
      <c r="L61" s="46"/>
      <c r="M61" s="25">
        <f t="shared" si="21"/>
        <v>45792.62847</v>
      </c>
      <c r="N61" s="25">
        <f t="shared" si="22"/>
        <v>45796.68403</v>
      </c>
      <c r="O61" s="25">
        <f t="shared" si="23"/>
        <v>4.055555556</v>
      </c>
      <c r="P61" s="25">
        <f t="shared" si="24"/>
        <v>97.33333333</v>
      </c>
      <c r="Q61" s="12">
        <v>7.0</v>
      </c>
      <c r="R61" s="12"/>
    </row>
    <row r="62" ht="15.75" customHeight="1">
      <c r="A62" s="5">
        <v>36.0</v>
      </c>
      <c r="B62" s="26"/>
      <c r="C62" s="112" t="s">
        <v>205</v>
      </c>
      <c r="D62" s="19" t="s">
        <v>33</v>
      </c>
      <c r="E62" s="20">
        <v>45796.0</v>
      </c>
      <c r="F62" s="21">
        <v>0.7847222222222222</v>
      </c>
      <c r="G62" s="20">
        <v>45800.0</v>
      </c>
      <c r="H62" s="21">
        <v>0.607638888888889</v>
      </c>
      <c r="I62" s="22">
        <v>8598.708</v>
      </c>
      <c r="J62" s="74"/>
      <c r="K62" s="99"/>
      <c r="L62" s="82"/>
      <c r="M62" s="25">
        <f t="shared" si="21"/>
        <v>45796.78472</v>
      </c>
      <c r="N62" s="25">
        <f t="shared" si="22"/>
        <v>45800.60764</v>
      </c>
      <c r="O62" s="25">
        <f t="shared" si="23"/>
        <v>3.822916667</v>
      </c>
      <c r="P62" s="25">
        <f t="shared" si="24"/>
        <v>91.75</v>
      </c>
      <c r="Q62" s="12">
        <v>7.0</v>
      </c>
      <c r="R62" s="12"/>
    </row>
    <row r="63" ht="15.75" customHeight="1">
      <c r="A63" s="5">
        <v>37.0</v>
      </c>
      <c r="B63" s="89"/>
      <c r="C63" s="30"/>
      <c r="D63" s="19"/>
      <c r="E63" s="20"/>
      <c r="F63" s="21"/>
      <c r="G63" s="20"/>
      <c r="H63" s="21"/>
      <c r="I63" s="22"/>
      <c r="J63" s="74"/>
      <c r="K63" s="49"/>
      <c r="L63" s="50"/>
      <c r="M63" s="46"/>
      <c r="N63" s="46"/>
      <c r="O63" s="46"/>
      <c r="P63" s="46"/>
      <c r="Q63" s="12"/>
      <c r="R63" s="12"/>
    </row>
    <row r="64" ht="15.75" customHeight="1">
      <c r="A64" s="90"/>
      <c r="B64" s="91"/>
      <c r="C64" s="91"/>
      <c r="D64" s="91"/>
      <c r="E64" s="91"/>
      <c r="F64" s="91"/>
      <c r="G64" s="91"/>
      <c r="H64" s="91"/>
      <c r="I64" s="92">
        <f t="shared" ref="I64:J64" si="25">SUM(I53:I63)</f>
        <v>136323.32</v>
      </c>
      <c r="J64" s="93">
        <f t="shared" si="25"/>
        <v>0</v>
      </c>
      <c r="K64" s="39">
        <f>+(P64)/(31*24)</f>
        <v>1.746908602</v>
      </c>
      <c r="L64" s="41"/>
      <c r="M64" s="41"/>
      <c r="N64" s="41"/>
      <c r="O64" s="41"/>
      <c r="P64" s="42">
        <f>SUM(P53:P63)</f>
        <v>1299.7</v>
      </c>
      <c r="Q64" s="12"/>
      <c r="R64" s="1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  <c r="M65" s="2"/>
      <c r="N65" s="2"/>
      <c r="O65" s="2"/>
      <c r="P65" s="2"/>
      <c r="Q65" s="12"/>
      <c r="R65" s="1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94"/>
      <c r="J66" s="95"/>
      <c r="K66" s="3"/>
      <c r="L66" s="2"/>
      <c r="M66" s="2"/>
      <c r="N66" s="2"/>
      <c r="O66" s="2"/>
      <c r="P66" s="2"/>
      <c r="Q66" s="12"/>
      <c r="R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  <c r="M67" s="2"/>
      <c r="N67" s="2"/>
      <c r="O67" s="2"/>
      <c r="P67" s="2"/>
      <c r="Q67" s="12"/>
      <c r="R67" s="2"/>
    </row>
    <row r="68" ht="15.75" customHeight="1">
      <c r="A68" s="96" t="s">
        <v>80</v>
      </c>
      <c r="B68" s="96"/>
      <c r="C68" s="96" t="s">
        <v>81</v>
      </c>
      <c r="D68" s="96" t="s">
        <v>82</v>
      </c>
      <c r="E68" s="96" t="s">
        <v>18</v>
      </c>
      <c r="F68" s="2"/>
      <c r="G68" s="2"/>
      <c r="H68" s="2"/>
      <c r="I68" s="2"/>
      <c r="J68" s="2"/>
      <c r="K68" s="3"/>
      <c r="L68" s="2"/>
      <c r="M68" s="2"/>
      <c r="N68" s="2"/>
      <c r="O68" s="2"/>
      <c r="P68" s="2"/>
      <c r="Q68" s="12"/>
      <c r="R68" s="2"/>
    </row>
    <row r="69" ht="15.75" customHeight="1">
      <c r="A69" s="96" t="s">
        <v>83</v>
      </c>
      <c r="B69" s="96"/>
      <c r="C69" s="96"/>
      <c r="D69" s="96" t="s">
        <v>84</v>
      </c>
      <c r="E69" s="96" t="s">
        <v>31</v>
      </c>
      <c r="F69" s="2"/>
      <c r="G69" s="2"/>
      <c r="H69" s="2"/>
      <c r="I69" s="2"/>
      <c r="J69" s="2"/>
      <c r="K69" s="3"/>
      <c r="L69" s="2"/>
      <c r="M69" s="2"/>
      <c r="N69" s="2"/>
      <c r="O69" s="2"/>
      <c r="P69" s="2"/>
      <c r="Q69" s="2"/>
      <c r="R69" s="2"/>
    </row>
    <row r="70" ht="15.75" customHeight="1">
      <c r="A70" s="96"/>
      <c r="B70" s="96"/>
      <c r="C70" s="96"/>
      <c r="D70" s="96" t="s">
        <v>85</v>
      </c>
      <c r="E70" s="96" t="s">
        <v>41</v>
      </c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</row>
    <row r="71" ht="15.75" customHeight="1">
      <c r="A71" s="96"/>
      <c r="B71" s="96"/>
      <c r="C71" s="96"/>
      <c r="D71" s="96" t="s">
        <v>86</v>
      </c>
      <c r="E71" s="96" t="s">
        <v>62</v>
      </c>
      <c r="F71" s="2"/>
      <c r="G71" s="2"/>
      <c r="H71" s="2"/>
      <c r="I71" s="2"/>
      <c r="J71" s="2"/>
      <c r="K71" s="3"/>
      <c r="L71" s="97"/>
      <c r="M71" s="2"/>
      <c r="N71" s="2"/>
      <c r="O71" s="2"/>
      <c r="P71" s="2"/>
      <c r="Q71" s="2"/>
      <c r="R71" s="2"/>
    </row>
    <row r="72" ht="15.75" customHeight="1">
      <c r="A72" s="96"/>
      <c r="B72" s="96"/>
      <c r="C72" s="96"/>
      <c r="D72" s="96" t="s">
        <v>87</v>
      </c>
      <c r="E72" s="96" t="s">
        <v>69</v>
      </c>
      <c r="F72" s="2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</row>
    <row r="73" ht="15.75" customHeight="1">
      <c r="A73" s="96"/>
      <c r="B73" s="96"/>
      <c r="C73" s="96"/>
      <c r="D73" s="96"/>
      <c r="E73" s="96"/>
      <c r="F73" s="2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13"/>
    <mergeCell ref="B16:B22"/>
    <mergeCell ref="B25:B34"/>
    <mergeCell ref="B39:B47"/>
    <mergeCell ref="B53:B6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235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112" t="s">
        <v>236</v>
      </c>
      <c r="D7" s="19" t="s">
        <v>25</v>
      </c>
      <c r="E7" s="20">
        <v>45804.0</v>
      </c>
      <c r="F7" s="21">
        <v>0.642361111111111</v>
      </c>
      <c r="G7" s="20">
        <v>45805.0</v>
      </c>
      <c r="H7" s="21">
        <v>0.8923611111111112</v>
      </c>
      <c r="I7" s="22">
        <v>2954.479</v>
      </c>
      <c r="J7" s="23"/>
      <c r="K7" s="45"/>
      <c r="L7" s="21"/>
      <c r="M7" s="25">
        <f t="shared" ref="M7:M9" si="1">INT(E7)+MOD(F7,1)</f>
        <v>45804.64236</v>
      </c>
      <c r="N7" s="25">
        <f t="shared" ref="N7:N9" si="2">INT(G7)+MOD(H7,1)</f>
        <v>45805.89236</v>
      </c>
      <c r="O7" s="25">
        <f t="shared" ref="O7:O9" si="3">N7-M7</f>
        <v>1.25</v>
      </c>
      <c r="P7" s="25">
        <f t="shared" ref="P7:P9" si="4">O7*24</f>
        <v>30</v>
      </c>
      <c r="Q7" s="12">
        <v>1.0</v>
      </c>
      <c r="R7" s="2"/>
    </row>
    <row r="8">
      <c r="A8" s="5">
        <v>3.0</v>
      </c>
      <c r="B8" s="26"/>
      <c r="C8" s="112" t="s">
        <v>237</v>
      </c>
      <c r="D8" s="19" t="s">
        <v>238</v>
      </c>
      <c r="E8" s="20">
        <v>45815.0</v>
      </c>
      <c r="F8" s="21">
        <v>0.40625</v>
      </c>
      <c r="G8" s="20">
        <v>45816.0</v>
      </c>
      <c r="H8" s="21">
        <v>0.7673611111111112</v>
      </c>
      <c r="I8" s="22"/>
      <c r="J8" s="23">
        <v>1375.012</v>
      </c>
      <c r="K8" s="45"/>
      <c r="L8" s="21"/>
      <c r="M8" s="25">
        <f t="shared" si="1"/>
        <v>45815.40625</v>
      </c>
      <c r="N8" s="25">
        <f t="shared" si="2"/>
        <v>45816.76736</v>
      </c>
      <c r="O8" s="25">
        <f t="shared" si="3"/>
        <v>1.361111111</v>
      </c>
      <c r="P8" s="25">
        <f t="shared" si="4"/>
        <v>32.66666667</v>
      </c>
      <c r="Q8" s="12">
        <v>2.0</v>
      </c>
      <c r="R8" s="2"/>
    </row>
    <row r="9">
      <c r="A9" s="5">
        <v>4.0</v>
      </c>
      <c r="B9" s="26"/>
      <c r="C9" s="112" t="s">
        <v>239</v>
      </c>
      <c r="D9" s="27" t="s">
        <v>30</v>
      </c>
      <c r="E9" s="20">
        <v>45821.0</v>
      </c>
      <c r="F9" s="21">
        <v>0.42083333333333334</v>
      </c>
      <c r="G9" s="20">
        <v>45822.0</v>
      </c>
      <c r="H9" s="21">
        <v>0.0020833333333333333</v>
      </c>
      <c r="I9" s="28">
        <v>66.0</v>
      </c>
      <c r="J9" s="29">
        <v>90.0</v>
      </c>
      <c r="K9" s="45"/>
      <c r="L9" s="21"/>
      <c r="M9" s="25">
        <f t="shared" si="1"/>
        <v>45821.42083</v>
      </c>
      <c r="N9" s="25">
        <f t="shared" si="2"/>
        <v>45822.00208</v>
      </c>
      <c r="O9" s="25">
        <f t="shared" si="3"/>
        <v>0.58125</v>
      </c>
      <c r="P9" s="25">
        <f t="shared" si="4"/>
        <v>13.95</v>
      </c>
      <c r="Q9" s="12">
        <v>1.0</v>
      </c>
      <c r="R9" s="2"/>
    </row>
    <row r="10">
      <c r="A10" s="5">
        <v>5.0</v>
      </c>
      <c r="B10" s="26"/>
      <c r="C10" s="30"/>
      <c r="D10" s="27"/>
      <c r="E10" s="20"/>
      <c r="F10" s="21"/>
      <c r="G10" s="20"/>
      <c r="H10" s="21"/>
      <c r="I10" s="22"/>
      <c r="J10" s="23"/>
      <c r="K10" s="24"/>
      <c r="L10" s="21"/>
      <c r="M10" s="46"/>
      <c r="N10" s="46"/>
      <c r="O10" s="46"/>
      <c r="P10" s="46"/>
      <c r="Q10" s="12"/>
      <c r="R10" s="2"/>
    </row>
    <row r="11">
      <c r="A11" s="5">
        <v>6.0</v>
      </c>
      <c r="B11" s="26"/>
      <c r="C11" s="30"/>
      <c r="D11" s="27"/>
      <c r="E11" s="20"/>
      <c r="F11" s="21"/>
      <c r="G11" s="20"/>
      <c r="H11" s="21"/>
      <c r="I11" s="28"/>
      <c r="J11" s="29"/>
      <c r="K11" s="24"/>
      <c r="L11" s="21"/>
      <c r="M11" s="46"/>
      <c r="N11" s="46"/>
      <c r="O11" s="46"/>
      <c r="P11" s="46"/>
      <c r="Q11" s="12"/>
      <c r="R11" s="2"/>
    </row>
    <row r="12" ht="15.75" customHeight="1">
      <c r="A12" s="5"/>
      <c r="B12" s="26"/>
      <c r="C12" s="30"/>
      <c r="D12" s="19"/>
      <c r="E12" s="20"/>
      <c r="F12" s="21"/>
      <c r="G12" s="20"/>
      <c r="H12" s="21"/>
      <c r="I12" s="22"/>
      <c r="J12" s="23"/>
      <c r="K12" s="24"/>
      <c r="L12" s="21"/>
      <c r="M12" s="46"/>
      <c r="N12" s="46"/>
      <c r="O12" s="46"/>
      <c r="P12" s="46"/>
      <c r="Q12" s="12"/>
      <c r="R12" s="2"/>
    </row>
    <row r="13" ht="15.75" customHeight="1">
      <c r="A13" s="31"/>
      <c r="B13" s="32"/>
      <c r="C13" s="33"/>
      <c r="D13" s="34"/>
      <c r="E13" s="35"/>
      <c r="F13" s="36"/>
      <c r="G13" s="35"/>
      <c r="H13" s="36"/>
      <c r="I13" s="37">
        <f t="shared" ref="I13:J13" si="5">SUM(I7:I12)</f>
        <v>3020.479</v>
      </c>
      <c r="J13" s="113">
        <f t="shared" si="5"/>
        <v>1465.012</v>
      </c>
      <c r="K13" s="39">
        <f>+(P13)/(31*24)</f>
        <v>0.1029793907</v>
      </c>
      <c r="L13" s="40"/>
      <c r="M13" s="41"/>
      <c r="N13" s="41"/>
      <c r="O13" s="41"/>
      <c r="P13" s="42">
        <f>SUM(P7:P12)</f>
        <v>76.61666667</v>
      </c>
      <c r="Q13" s="2"/>
      <c r="R13" s="2"/>
    </row>
    <row r="14" ht="15.75" customHeight="1">
      <c r="A14" s="1"/>
      <c r="B14" s="12"/>
      <c r="C14" s="43"/>
      <c r="D14" s="12"/>
      <c r="E14" s="13"/>
      <c r="F14" s="14"/>
      <c r="G14" s="13"/>
      <c r="H14" s="14"/>
      <c r="I14" s="44"/>
      <c r="J14" s="15"/>
      <c r="K14" s="16"/>
      <c r="L14" s="14"/>
      <c r="M14" s="2"/>
      <c r="N14" s="2"/>
      <c r="O14" s="2"/>
      <c r="P14" s="2"/>
      <c r="Q14" s="2"/>
      <c r="R14" s="2"/>
    </row>
    <row r="15">
      <c r="A15" s="115">
        <v>7.0</v>
      </c>
      <c r="B15" s="116" t="s">
        <v>31</v>
      </c>
      <c r="C15" s="117" t="s">
        <v>164</v>
      </c>
      <c r="D15" s="118" t="s">
        <v>33</v>
      </c>
      <c r="E15" s="119">
        <v>45780.0</v>
      </c>
      <c r="F15" s="120">
        <v>0.3298611111111111</v>
      </c>
      <c r="G15" s="119">
        <v>45787.0</v>
      </c>
      <c r="H15" s="120">
        <v>0.5104166666666666</v>
      </c>
      <c r="I15" s="121">
        <v>8493.986</v>
      </c>
      <c r="J15" s="122"/>
      <c r="K15" s="123"/>
      <c r="L15" s="120"/>
      <c r="M15" s="124">
        <f t="shared" ref="M15:M19" si="6">INT(E15)+MOD(F15,1)</f>
        <v>45780.32986</v>
      </c>
      <c r="N15" s="124">
        <f t="shared" ref="N15:N19" si="7">INT(G15)+MOD(H15,1)</f>
        <v>45787.51042</v>
      </c>
      <c r="O15" s="124">
        <f t="shared" ref="O15:O19" si="8">N15-M15</f>
        <v>7.180555556</v>
      </c>
      <c r="P15" s="125">
        <f t="shared" ref="P15:P19" si="9">O15*24</f>
        <v>172.3333333</v>
      </c>
      <c r="Q15" s="12">
        <v>3.0</v>
      </c>
      <c r="R15" s="2"/>
    </row>
    <row r="16">
      <c r="A16" s="115">
        <v>8.0</v>
      </c>
      <c r="B16" s="126"/>
      <c r="C16" s="112" t="s">
        <v>240</v>
      </c>
      <c r="D16" s="19" t="s">
        <v>33</v>
      </c>
      <c r="E16" s="20">
        <v>45795.0</v>
      </c>
      <c r="F16" s="21">
        <v>0.3923611111111111</v>
      </c>
      <c r="G16" s="20">
        <v>45798.0</v>
      </c>
      <c r="H16" s="21">
        <v>0.4444444444444444</v>
      </c>
      <c r="I16" s="22">
        <v>7494.745</v>
      </c>
      <c r="J16" s="23"/>
      <c r="K16" s="45"/>
      <c r="L16" s="21"/>
      <c r="M16" s="25">
        <f t="shared" si="6"/>
        <v>45795.39236</v>
      </c>
      <c r="N16" s="25">
        <f t="shared" si="7"/>
        <v>45798.44444</v>
      </c>
      <c r="O16" s="25">
        <f t="shared" si="8"/>
        <v>3.052083333</v>
      </c>
      <c r="P16" s="127">
        <f t="shared" si="9"/>
        <v>73.25</v>
      </c>
      <c r="Q16" s="12">
        <v>3.0</v>
      </c>
      <c r="R16" s="2"/>
    </row>
    <row r="17">
      <c r="A17" s="115">
        <v>9.0</v>
      </c>
      <c r="B17" s="126"/>
      <c r="C17" s="112" t="s">
        <v>241</v>
      </c>
      <c r="D17" s="19" t="s">
        <v>33</v>
      </c>
      <c r="E17" s="20">
        <v>45801.0</v>
      </c>
      <c r="F17" s="21">
        <v>0.40277777777777773</v>
      </c>
      <c r="G17" s="20">
        <v>45804.0</v>
      </c>
      <c r="H17" s="21">
        <v>0.6180555555555556</v>
      </c>
      <c r="I17" s="22">
        <v>7492.195</v>
      </c>
      <c r="J17" s="23"/>
      <c r="K17" s="45"/>
      <c r="L17" s="21"/>
      <c r="M17" s="25">
        <f t="shared" si="6"/>
        <v>45801.40278</v>
      </c>
      <c r="N17" s="25">
        <f t="shared" si="7"/>
        <v>45804.61806</v>
      </c>
      <c r="O17" s="25">
        <f t="shared" si="8"/>
        <v>3.215277778</v>
      </c>
      <c r="P17" s="127">
        <f t="shared" si="9"/>
        <v>77.16666667</v>
      </c>
      <c r="Q17" s="12">
        <v>3.0</v>
      </c>
      <c r="R17" s="2"/>
    </row>
    <row r="18">
      <c r="A18" s="115">
        <v>10.0</v>
      </c>
      <c r="B18" s="126"/>
      <c r="C18" s="112" t="s">
        <v>242</v>
      </c>
      <c r="D18" s="19" t="s">
        <v>33</v>
      </c>
      <c r="E18" s="20">
        <v>45798.0</v>
      </c>
      <c r="F18" s="21">
        <v>0.4895833333333333</v>
      </c>
      <c r="G18" s="20">
        <v>45801.0</v>
      </c>
      <c r="H18" s="21">
        <v>0.2916666666666667</v>
      </c>
      <c r="I18" s="22">
        <v>7398.638</v>
      </c>
      <c r="J18" s="23"/>
      <c r="K18" s="45"/>
      <c r="L18" s="21"/>
      <c r="M18" s="25">
        <f t="shared" si="6"/>
        <v>45798.48958</v>
      </c>
      <c r="N18" s="25">
        <f t="shared" si="7"/>
        <v>45801.29167</v>
      </c>
      <c r="O18" s="25">
        <f t="shared" si="8"/>
        <v>2.802083333</v>
      </c>
      <c r="P18" s="127">
        <f t="shared" si="9"/>
        <v>67.25</v>
      </c>
      <c r="Q18" s="12">
        <v>3.0</v>
      </c>
      <c r="R18" s="2"/>
    </row>
    <row r="19">
      <c r="A19" s="115">
        <v>11.0</v>
      </c>
      <c r="B19" s="126"/>
      <c r="C19" s="112" t="s">
        <v>243</v>
      </c>
      <c r="D19" s="19" t="s">
        <v>33</v>
      </c>
      <c r="E19" s="20">
        <v>45804.0</v>
      </c>
      <c r="F19" s="21">
        <v>0.7604166666666666</v>
      </c>
      <c r="G19" s="20">
        <v>45807.0</v>
      </c>
      <c r="H19" s="21">
        <v>0.6354166666666666</v>
      </c>
      <c r="I19" s="22">
        <v>7292.063</v>
      </c>
      <c r="J19" s="23"/>
      <c r="K19" s="45"/>
      <c r="L19" s="50"/>
      <c r="M19" s="25">
        <f t="shared" si="6"/>
        <v>45804.76042</v>
      </c>
      <c r="N19" s="25">
        <f t="shared" si="7"/>
        <v>45807.63542</v>
      </c>
      <c r="O19" s="25">
        <f t="shared" si="8"/>
        <v>2.875</v>
      </c>
      <c r="P19" s="127">
        <f t="shared" si="9"/>
        <v>69</v>
      </c>
      <c r="Q19" s="12">
        <v>3.0</v>
      </c>
      <c r="R19" s="2"/>
    </row>
    <row r="20">
      <c r="A20" s="115">
        <v>12.0</v>
      </c>
      <c r="B20" s="126"/>
      <c r="C20" s="114" t="s">
        <v>107</v>
      </c>
      <c r="D20" s="19" t="s">
        <v>33</v>
      </c>
      <c r="E20" s="20">
        <v>45812.0</v>
      </c>
      <c r="F20" s="21">
        <v>0.8090277777777778</v>
      </c>
      <c r="G20" s="20">
        <v>45816.0</v>
      </c>
      <c r="H20" s="21">
        <v>0.6597222222222222</v>
      </c>
      <c r="I20" s="22">
        <v>7125.0</v>
      </c>
      <c r="J20" s="23"/>
      <c r="K20" s="45"/>
      <c r="L20" s="50"/>
      <c r="M20" s="46"/>
      <c r="N20" s="46"/>
      <c r="O20" s="46"/>
      <c r="P20" s="128"/>
      <c r="Q20" s="12">
        <v>3.0</v>
      </c>
      <c r="R20" s="2"/>
    </row>
    <row r="21" ht="15.75" customHeight="1">
      <c r="A21" s="115"/>
      <c r="B21" s="126"/>
      <c r="C21" s="112" t="s">
        <v>244</v>
      </c>
      <c r="D21" s="19" t="s">
        <v>33</v>
      </c>
      <c r="E21" s="20">
        <v>45816.0</v>
      </c>
      <c r="F21" s="21">
        <v>0.6979166666666666</v>
      </c>
      <c r="G21" s="20">
        <v>45821.0</v>
      </c>
      <c r="H21" s="21">
        <v>0.5381944444444444</v>
      </c>
      <c r="I21" s="22">
        <v>8810.965</v>
      </c>
      <c r="J21" s="23"/>
      <c r="K21" s="45"/>
      <c r="L21" s="50"/>
      <c r="M21" s="46"/>
      <c r="N21" s="46"/>
      <c r="O21" s="46"/>
      <c r="P21" s="128"/>
      <c r="Q21" s="12">
        <v>3.0</v>
      </c>
      <c r="R21" s="2"/>
    </row>
    <row r="22" ht="15.75" customHeight="1">
      <c r="A22" s="129"/>
      <c r="B22" s="130"/>
      <c r="C22" s="33"/>
      <c r="D22" s="34"/>
      <c r="E22" s="35"/>
      <c r="F22" s="36"/>
      <c r="G22" s="35"/>
      <c r="H22" s="36"/>
      <c r="I22" s="131">
        <f t="shared" ref="I22:J22" si="10">SUM(I15:I21)</f>
        <v>54107.592</v>
      </c>
      <c r="J22" s="113">
        <f t="shared" si="10"/>
        <v>0</v>
      </c>
      <c r="K22" s="64">
        <f>+(P22)/(31*24)</f>
        <v>0.6169354839</v>
      </c>
      <c r="L22" s="40"/>
      <c r="M22" s="41"/>
      <c r="N22" s="41"/>
      <c r="O22" s="41"/>
      <c r="P22" s="42">
        <f>SUM(P15:P21)</f>
        <v>459</v>
      </c>
      <c r="Q22" s="2"/>
      <c r="R22" s="2"/>
    </row>
    <row r="23" ht="15.75" customHeight="1">
      <c r="A23" s="1"/>
      <c r="B23" s="12"/>
      <c r="C23" s="43"/>
      <c r="D23" s="12"/>
      <c r="E23" s="13"/>
      <c r="F23" s="14"/>
      <c r="G23" s="13"/>
      <c r="H23" s="14"/>
      <c r="I23" s="55"/>
      <c r="J23" s="56"/>
      <c r="K23" s="16"/>
      <c r="L23" s="14"/>
      <c r="M23" s="2"/>
      <c r="N23" s="2"/>
      <c r="O23" s="2"/>
      <c r="P23" s="2"/>
      <c r="Q23" s="2"/>
      <c r="R23" s="2"/>
    </row>
    <row r="24" ht="15.75" customHeight="1">
      <c r="A24" s="115">
        <v>13.0</v>
      </c>
      <c r="B24" s="116" t="s">
        <v>41</v>
      </c>
      <c r="C24" s="117" t="s">
        <v>245</v>
      </c>
      <c r="D24" s="118" t="s">
        <v>33</v>
      </c>
      <c r="E24" s="119">
        <v>45765.0</v>
      </c>
      <c r="F24" s="120">
        <v>0.5833333333333334</v>
      </c>
      <c r="G24" s="119">
        <v>45774.0</v>
      </c>
      <c r="H24" s="120">
        <v>0.34027777777777773</v>
      </c>
      <c r="I24" s="121">
        <v>8697.041</v>
      </c>
      <c r="J24" s="122"/>
      <c r="K24" s="123"/>
      <c r="L24" s="120"/>
      <c r="M24" s="124">
        <f t="shared" ref="M24:M34" si="11">INT(E24)+MOD(F24,1)</f>
        <v>45765.58333</v>
      </c>
      <c r="N24" s="124">
        <f t="shared" ref="N24:N34" si="12">INT(G24)+MOD(H24,1)</f>
        <v>45774.34028</v>
      </c>
      <c r="O24" s="132">
        <f t="shared" ref="O24:O34" si="13">N24-M24</f>
        <v>8.756944444</v>
      </c>
      <c r="P24" s="125">
        <f t="shared" ref="P24:P34" si="14">O24*24</f>
        <v>210.1666667</v>
      </c>
      <c r="Q24" s="12">
        <v>4.0</v>
      </c>
      <c r="R24" s="2"/>
    </row>
    <row r="25" ht="15.75" customHeight="1">
      <c r="A25" s="115">
        <v>14.0</v>
      </c>
      <c r="B25" s="126"/>
      <c r="C25" s="112" t="s">
        <v>246</v>
      </c>
      <c r="D25" s="19" t="s">
        <v>33</v>
      </c>
      <c r="E25" s="20">
        <v>45799.0</v>
      </c>
      <c r="F25" s="21">
        <v>0.6909722222222222</v>
      </c>
      <c r="G25" s="20">
        <v>45802.0</v>
      </c>
      <c r="H25" s="21">
        <v>0.4479166666666667</v>
      </c>
      <c r="I25" s="22">
        <v>7742.08</v>
      </c>
      <c r="J25" s="23"/>
      <c r="K25" s="45"/>
      <c r="L25" s="21"/>
      <c r="M25" s="25">
        <f t="shared" si="11"/>
        <v>45799.69097</v>
      </c>
      <c r="N25" s="25">
        <f t="shared" si="12"/>
        <v>45802.44792</v>
      </c>
      <c r="O25" s="60">
        <f t="shared" si="13"/>
        <v>2.756944444</v>
      </c>
      <c r="P25" s="127">
        <f t="shared" si="14"/>
        <v>66.16666667</v>
      </c>
      <c r="Q25" s="12">
        <v>4.0</v>
      </c>
      <c r="R25" s="2"/>
    </row>
    <row r="26" ht="15.75" customHeight="1">
      <c r="A26" s="115">
        <v>15.0</v>
      </c>
      <c r="B26" s="126"/>
      <c r="C26" s="114" t="s">
        <v>36</v>
      </c>
      <c r="D26" s="19" t="s">
        <v>33</v>
      </c>
      <c r="E26" s="20">
        <v>45802.0</v>
      </c>
      <c r="F26" s="21">
        <v>0.5833333333333334</v>
      </c>
      <c r="G26" s="20">
        <v>45804.0</v>
      </c>
      <c r="H26" s="21">
        <v>0.37152777777777773</v>
      </c>
      <c r="I26" s="22">
        <v>7473.22</v>
      </c>
      <c r="J26" s="29"/>
      <c r="K26" s="45"/>
      <c r="L26" s="21"/>
      <c r="M26" s="25">
        <f t="shared" si="11"/>
        <v>45802.58333</v>
      </c>
      <c r="N26" s="25">
        <f t="shared" si="12"/>
        <v>45804.37153</v>
      </c>
      <c r="O26" s="60">
        <f t="shared" si="13"/>
        <v>1.788194444</v>
      </c>
      <c r="P26" s="127">
        <f t="shared" si="14"/>
        <v>42.91666667</v>
      </c>
      <c r="Q26" s="12">
        <v>4.0</v>
      </c>
      <c r="R26" s="2"/>
    </row>
    <row r="27" ht="15.75" customHeight="1">
      <c r="A27" s="115">
        <v>16.0</v>
      </c>
      <c r="B27" s="126"/>
      <c r="C27" s="112" t="s">
        <v>162</v>
      </c>
      <c r="D27" s="19" t="s">
        <v>33</v>
      </c>
      <c r="E27" s="20">
        <v>45806.0</v>
      </c>
      <c r="F27" s="21">
        <v>0.3333333333333333</v>
      </c>
      <c r="G27" s="20">
        <v>45808.0</v>
      </c>
      <c r="H27" s="21">
        <v>0.6215277777777778</v>
      </c>
      <c r="I27" s="22">
        <v>7434.64</v>
      </c>
      <c r="J27" s="23"/>
      <c r="K27" s="45"/>
      <c r="L27" s="21"/>
      <c r="M27" s="25">
        <f t="shared" si="11"/>
        <v>45806.33333</v>
      </c>
      <c r="N27" s="25">
        <f t="shared" si="12"/>
        <v>45808.62153</v>
      </c>
      <c r="O27" s="60">
        <f t="shared" si="13"/>
        <v>2.288194444</v>
      </c>
      <c r="P27" s="127">
        <f t="shared" si="14"/>
        <v>54.91666667</v>
      </c>
      <c r="Q27" s="12">
        <v>4.0</v>
      </c>
      <c r="R27" s="2"/>
    </row>
    <row r="28" ht="15.75" customHeight="1">
      <c r="A28" s="115">
        <v>17.0</v>
      </c>
      <c r="B28" s="126"/>
      <c r="C28" s="112" t="s">
        <v>124</v>
      </c>
      <c r="D28" s="19" t="s">
        <v>33</v>
      </c>
      <c r="E28" s="20">
        <v>45804.0</v>
      </c>
      <c r="F28" s="21">
        <v>0.5416666666666666</v>
      </c>
      <c r="G28" s="20">
        <v>45807.0</v>
      </c>
      <c r="H28" s="21">
        <v>0.34375</v>
      </c>
      <c r="I28" s="22">
        <v>7383.62</v>
      </c>
      <c r="J28" s="23"/>
      <c r="K28" s="45"/>
      <c r="L28" s="21"/>
      <c r="M28" s="25">
        <f t="shared" si="11"/>
        <v>45804.54167</v>
      </c>
      <c r="N28" s="25">
        <f t="shared" si="12"/>
        <v>45807.34375</v>
      </c>
      <c r="O28" s="60">
        <f t="shared" si="13"/>
        <v>2.802083333</v>
      </c>
      <c r="P28" s="127">
        <f t="shared" si="14"/>
        <v>67.25</v>
      </c>
      <c r="Q28" s="12">
        <v>4.0</v>
      </c>
      <c r="R28" s="2"/>
    </row>
    <row r="29" ht="15.75" customHeight="1">
      <c r="A29" s="115">
        <v>18.0</v>
      </c>
      <c r="B29" s="126"/>
      <c r="C29" s="112" t="s">
        <v>197</v>
      </c>
      <c r="D29" s="19" t="s">
        <v>33</v>
      </c>
      <c r="E29" s="20">
        <v>45799.0</v>
      </c>
      <c r="F29" s="21">
        <v>0.3819444444444444</v>
      </c>
      <c r="G29" s="20">
        <v>45802.0</v>
      </c>
      <c r="H29" s="21">
        <v>0.5902777777777778</v>
      </c>
      <c r="I29" s="22">
        <v>7495.227</v>
      </c>
      <c r="J29" s="23"/>
      <c r="K29" s="45"/>
      <c r="L29" s="21"/>
      <c r="M29" s="25">
        <f t="shared" si="11"/>
        <v>45799.38194</v>
      </c>
      <c r="N29" s="25">
        <f t="shared" si="12"/>
        <v>45802.59028</v>
      </c>
      <c r="O29" s="60">
        <f t="shared" si="13"/>
        <v>3.208333333</v>
      </c>
      <c r="P29" s="127">
        <f t="shared" si="14"/>
        <v>77</v>
      </c>
      <c r="Q29" s="12">
        <v>4.0</v>
      </c>
      <c r="R29" s="2"/>
    </row>
    <row r="30" ht="15.75" customHeight="1">
      <c r="A30" s="115">
        <v>19.0</v>
      </c>
      <c r="B30" s="126"/>
      <c r="C30" s="114" t="s">
        <v>240</v>
      </c>
      <c r="D30" s="19" t="s">
        <v>33</v>
      </c>
      <c r="E30" s="20">
        <v>45808.0</v>
      </c>
      <c r="F30" s="21">
        <v>0.65625</v>
      </c>
      <c r="G30" s="20">
        <v>45811.0</v>
      </c>
      <c r="H30" s="21">
        <v>0.44097222222222227</v>
      </c>
      <c r="I30" s="22">
        <v>7283.3</v>
      </c>
      <c r="J30" s="23"/>
      <c r="K30" s="45"/>
      <c r="L30" s="50"/>
      <c r="M30" s="25">
        <f t="shared" si="11"/>
        <v>45808.65625</v>
      </c>
      <c r="N30" s="25">
        <f t="shared" si="12"/>
        <v>45811.44097</v>
      </c>
      <c r="O30" s="60">
        <f t="shared" si="13"/>
        <v>2.784722222</v>
      </c>
      <c r="P30" s="127">
        <f t="shared" si="14"/>
        <v>66.83333333</v>
      </c>
      <c r="Q30" s="12">
        <v>4.0</v>
      </c>
      <c r="R30" s="2"/>
    </row>
    <row r="31" ht="15.75" customHeight="1">
      <c r="A31" s="115">
        <v>20.0</v>
      </c>
      <c r="B31" s="126"/>
      <c r="C31" s="112" t="s">
        <v>247</v>
      </c>
      <c r="D31" s="19" t="s">
        <v>45</v>
      </c>
      <c r="E31" s="20">
        <v>45812.0</v>
      </c>
      <c r="F31" s="21">
        <v>0.375</v>
      </c>
      <c r="G31" s="20">
        <v>45817.0</v>
      </c>
      <c r="H31" s="21">
        <v>0.6354166666666666</v>
      </c>
      <c r="I31" s="22">
        <v>4036.8</v>
      </c>
      <c r="J31" s="29"/>
      <c r="K31" s="45"/>
      <c r="L31" s="50"/>
      <c r="M31" s="25">
        <f t="shared" si="11"/>
        <v>45812.375</v>
      </c>
      <c r="N31" s="25">
        <f t="shared" si="12"/>
        <v>45817.63542</v>
      </c>
      <c r="O31" s="60">
        <f t="shared" si="13"/>
        <v>5.260416667</v>
      </c>
      <c r="P31" s="127">
        <f t="shared" si="14"/>
        <v>126.25</v>
      </c>
      <c r="Q31" s="12">
        <v>4.0</v>
      </c>
      <c r="R31" s="2"/>
    </row>
    <row r="32" ht="15.75" customHeight="1">
      <c r="A32" s="115">
        <v>21.0</v>
      </c>
      <c r="B32" s="126"/>
      <c r="C32" s="112" t="s">
        <v>248</v>
      </c>
      <c r="D32" s="19" t="s">
        <v>33</v>
      </c>
      <c r="E32" s="20">
        <v>45820.0</v>
      </c>
      <c r="F32" s="21">
        <v>0.6354166666666666</v>
      </c>
      <c r="G32" s="20">
        <v>45825.0</v>
      </c>
      <c r="H32" s="21">
        <v>0.3020833333333333</v>
      </c>
      <c r="I32" s="22">
        <v>7569.2</v>
      </c>
      <c r="J32" s="29"/>
      <c r="K32" s="45"/>
      <c r="L32" s="50"/>
      <c r="M32" s="25">
        <f t="shared" si="11"/>
        <v>45820.63542</v>
      </c>
      <c r="N32" s="25">
        <f t="shared" si="12"/>
        <v>45825.30208</v>
      </c>
      <c r="O32" s="60">
        <f t="shared" si="13"/>
        <v>4.666666667</v>
      </c>
      <c r="P32" s="127">
        <f t="shared" si="14"/>
        <v>112</v>
      </c>
      <c r="Q32" s="12">
        <v>4.0</v>
      </c>
      <c r="R32" s="2"/>
    </row>
    <row r="33" ht="15.75" customHeight="1">
      <c r="A33" s="115">
        <v>22.0</v>
      </c>
      <c r="B33" s="133"/>
      <c r="C33" s="112" t="s">
        <v>249</v>
      </c>
      <c r="D33" s="19" t="s">
        <v>33</v>
      </c>
      <c r="E33" s="20">
        <v>45817.0</v>
      </c>
      <c r="F33" s="21">
        <v>0.6979166666666666</v>
      </c>
      <c r="G33" s="20">
        <v>45820.0</v>
      </c>
      <c r="H33" s="21">
        <v>0.6284722222222222</v>
      </c>
      <c r="I33" s="22">
        <v>7860.64</v>
      </c>
      <c r="J33" s="29"/>
      <c r="K33" s="45"/>
      <c r="L33" s="50"/>
      <c r="M33" s="25">
        <f t="shared" si="11"/>
        <v>45817.69792</v>
      </c>
      <c r="N33" s="25">
        <f t="shared" si="12"/>
        <v>45820.62847</v>
      </c>
      <c r="O33" s="60">
        <f t="shared" si="13"/>
        <v>2.930555556</v>
      </c>
      <c r="P33" s="127">
        <f t="shared" si="14"/>
        <v>70.33333333</v>
      </c>
      <c r="Q33" s="12">
        <v>4.0</v>
      </c>
      <c r="R33" s="2"/>
    </row>
    <row r="34" ht="18.0" customHeight="1">
      <c r="A34" s="115">
        <v>23.0</v>
      </c>
      <c r="B34" s="134"/>
      <c r="C34" s="112" t="s">
        <v>43</v>
      </c>
      <c r="D34" s="19" t="s">
        <v>33</v>
      </c>
      <c r="E34" s="20">
        <v>45807.0</v>
      </c>
      <c r="F34" s="21">
        <v>0.7604166666666666</v>
      </c>
      <c r="G34" s="20">
        <v>45812.0</v>
      </c>
      <c r="H34" s="21">
        <v>0.7048611111111112</v>
      </c>
      <c r="I34" s="22">
        <v>8330.254</v>
      </c>
      <c r="J34" s="29"/>
      <c r="K34" s="45"/>
      <c r="L34" s="21"/>
      <c r="M34" s="25">
        <f t="shared" si="11"/>
        <v>45807.76042</v>
      </c>
      <c r="N34" s="25">
        <f t="shared" si="12"/>
        <v>45812.70486</v>
      </c>
      <c r="O34" s="60">
        <f t="shared" si="13"/>
        <v>4.944444444</v>
      </c>
      <c r="P34" s="127">
        <f t="shared" si="14"/>
        <v>118.6666667</v>
      </c>
      <c r="Q34" s="12">
        <v>4.0</v>
      </c>
      <c r="R34" s="2"/>
    </row>
    <row r="35" ht="18.75" customHeight="1">
      <c r="A35" s="135"/>
      <c r="B35" s="134"/>
      <c r="C35" s="102"/>
      <c r="D35" s="108"/>
      <c r="E35" s="104"/>
      <c r="F35" s="72"/>
      <c r="G35" s="104"/>
      <c r="H35" s="72"/>
      <c r="I35" s="109"/>
      <c r="J35" s="136"/>
      <c r="K35" s="137"/>
      <c r="L35" s="69"/>
      <c r="M35" s="70"/>
      <c r="N35" s="70"/>
      <c r="O35" s="110"/>
      <c r="P35" s="138"/>
      <c r="Q35" s="12"/>
      <c r="R35" s="2"/>
    </row>
    <row r="36" ht="15.75" customHeight="1">
      <c r="A36" s="139"/>
      <c r="B36" s="140"/>
      <c r="C36" s="141"/>
      <c r="D36" s="34"/>
      <c r="E36" s="35"/>
      <c r="F36" s="36"/>
      <c r="G36" s="35"/>
      <c r="H36" s="36"/>
      <c r="I36" s="131">
        <f t="shared" ref="I36:J36" si="15">SUM(I24:I33)</f>
        <v>72975.768</v>
      </c>
      <c r="J36" s="142">
        <f t="shared" si="15"/>
        <v>0</v>
      </c>
      <c r="K36" s="64">
        <f>+(P36)/(31*24)</f>
        <v>1.201388889</v>
      </c>
      <c r="L36" s="40"/>
      <c r="M36" s="41"/>
      <c r="N36" s="41"/>
      <c r="O36" s="41"/>
      <c r="P36" s="42">
        <f>SUM(P24:P33)</f>
        <v>893.8333333</v>
      </c>
      <c r="Q36" s="12"/>
      <c r="R36" s="2"/>
    </row>
    <row r="37" ht="15.75" customHeight="1">
      <c r="A37" s="65"/>
      <c r="B37" s="66"/>
      <c r="C37" s="67"/>
      <c r="D37" s="12"/>
      <c r="E37" s="13"/>
      <c r="F37" s="14"/>
      <c r="G37" s="13"/>
      <c r="H37" s="14"/>
      <c r="I37" s="55"/>
      <c r="J37" s="56"/>
      <c r="K37" s="68"/>
      <c r="L37" s="69"/>
      <c r="M37" s="70"/>
      <c r="N37" s="70"/>
      <c r="O37" s="70"/>
      <c r="P37" s="71"/>
      <c r="Q37" s="12"/>
      <c r="R37" s="2"/>
    </row>
    <row r="38" ht="15.75" customHeight="1">
      <c r="A38" s="115">
        <v>24.0</v>
      </c>
      <c r="B38" s="116" t="s">
        <v>62</v>
      </c>
      <c r="C38" s="117" t="s">
        <v>250</v>
      </c>
      <c r="D38" s="118" t="s">
        <v>33</v>
      </c>
      <c r="E38" s="119">
        <v>45763.0</v>
      </c>
      <c r="F38" s="120">
        <v>0.5729166666666666</v>
      </c>
      <c r="G38" s="119">
        <v>45771.0</v>
      </c>
      <c r="H38" s="120">
        <v>0.3298611111111111</v>
      </c>
      <c r="I38" s="121">
        <v>8294.958</v>
      </c>
      <c r="J38" s="122"/>
      <c r="K38" s="123"/>
      <c r="L38" s="120"/>
      <c r="M38" s="124">
        <f t="shared" ref="M38:M48" si="16">INT(E38)+MOD(F38,1)</f>
        <v>45763.57292</v>
      </c>
      <c r="N38" s="124">
        <f t="shared" ref="N38:N48" si="17">INT(G38)+MOD(H38,1)</f>
        <v>45771.32986</v>
      </c>
      <c r="O38" s="124">
        <f t="shared" ref="O38:O48" si="18">N38-M38</f>
        <v>7.756944444</v>
      </c>
      <c r="P38" s="125">
        <f t="shared" ref="P38:P48" si="19">O38*24</f>
        <v>186.1666667</v>
      </c>
      <c r="Q38" s="12">
        <v>5.0</v>
      </c>
      <c r="R38" s="2"/>
    </row>
    <row r="39" ht="15.75" customHeight="1">
      <c r="A39" s="115">
        <v>25.0</v>
      </c>
      <c r="B39" s="126"/>
      <c r="C39" s="112" t="s">
        <v>251</v>
      </c>
      <c r="D39" s="19" t="s">
        <v>33</v>
      </c>
      <c r="E39" s="20">
        <v>45776.0</v>
      </c>
      <c r="F39" s="21">
        <v>0.607638888888889</v>
      </c>
      <c r="G39" s="20">
        <v>45784.0</v>
      </c>
      <c r="H39" s="21">
        <v>0.4166666666666667</v>
      </c>
      <c r="I39" s="22">
        <v>8023.951</v>
      </c>
      <c r="J39" s="23"/>
      <c r="K39" s="45"/>
      <c r="L39" s="21"/>
      <c r="M39" s="25">
        <f t="shared" si="16"/>
        <v>45776.60764</v>
      </c>
      <c r="N39" s="25">
        <f t="shared" si="17"/>
        <v>45784.41667</v>
      </c>
      <c r="O39" s="25">
        <f t="shared" si="18"/>
        <v>7.809027778</v>
      </c>
      <c r="P39" s="127">
        <f t="shared" si="19"/>
        <v>187.4166667</v>
      </c>
      <c r="Q39" s="12">
        <v>5.0</v>
      </c>
      <c r="R39" s="2"/>
    </row>
    <row r="40" ht="15.75" customHeight="1">
      <c r="A40" s="115">
        <v>26.0</v>
      </c>
      <c r="B40" s="126"/>
      <c r="C40" s="112" t="s">
        <v>252</v>
      </c>
      <c r="D40" s="19" t="s">
        <v>33</v>
      </c>
      <c r="E40" s="20">
        <v>45794.0</v>
      </c>
      <c r="F40" s="21">
        <v>0.4236111111111111</v>
      </c>
      <c r="G40" s="20">
        <v>45797.0</v>
      </c>
      <c r="H40" s="21">
        <v>0.4548611111111111</v>
      </c>
      <c r="I40" s="22">
        <v>8500.741</v>
      </c>
      <c r="J40" s="23"/>
      <c r="K40" s="45"/>
      <c r="L40" s="21"/>
      <c r="M40" s="25">
        <f t="shared" si="16"/>
        <v>45794.42361</v>
      </c>
      <c r="N40" s="25">
        <f t="shared" si="17"/>
        <v>45797.45486</v>
      </c>
      <c r="O40" s="25">
        <f t="shared" si="18"/>
        <v>3.03125</v>
      </c>
      <c r="P40" s="127">
        <f t="shared" si="19"/>
        <v>72.75</v>
      </c>
      <c r="Q40" s="12">
        <v>5.0</v>
      </c>
      <c r="R40" s="2"/>
    </row>
    <row r="41" ht="15.75" customHeight="1">
      <c r="A41" s="115"/>
      <c r="B41" s="126"/>
      <c r="C41" s="114" t="s">
        <v>253</v>
      </c>
      <c r="D41" s="19" t="s">
        <v>33</v>
      </c>
      <c r="E41" s="20">
        <v>45803.0</v>
      </c>
      <c r="F41" s="21">
        <v>0.4201388888888889</v>
      </c>
      <c r="G41" s="20">
        <v>45806.0</v>
      </c>
      <c r="H41" s="21">
        <v>0.2986111111111111</v>
      </c>
      <c r="I41" s="22">
        <v>7527.02</v>
      </c>
      <c r="J41" s="23"/>
      <c r="K41" s="45"/>
      <c r="L41" s="21"/>
      <c r="M41" s="25">
        <f t="shared" si="16"/>
        <v>45803.42014</v>
      </c>
      <c r="N41" s="25">
        <f t="shared" si="17"/>
        <v>45806.29861</v>
      </c>
      <c r="O41" s="25">
        <f t="shared" si="18"/>
        <v>2.878472222</v>
      </c>
      <c r="P41" s="127">
        <f t="shared" si="19"/>
        <v>69.08333333</v>
      </c>
      <c r="Q41" s="12">
        <v>5.0</v>
      </c>
      <c r="R41" s="2"/>
    </row>
    <row r="42" ht="15.75" customHeight="1">
      <c r="A42" s="115"/>
      <c r="B42" s="126"/>
      <c r="C42" s="112" t="s">
        <v>42</v>
      </c>
      <c r="D42" s="19" t="s">
        <v>33</v>
      </c>
      <c r="E42" s="20">
        <v>45802.0</v>
      </c>
      <c r="F42" s="21">
        <v>0.3854166666666667</v>
      </c>
      <c r="G42" s="20">
        <v>45805.0</v>
      </c>
      <c r="H42" s="21">
        <v>0.7152777777777778</v>
      </c>
      <c r="I42" s="22">
        <v>8301.809</v>
      </c>
      <c r="J42" s="23"/>
      <c r="K42" s="45"/>
      <c r="L42" s="21"/>
      <c r="M42" s="25">
        <f t="shared" si="16"/>
        <v>45802.38542</v>
      </c>
      <c r="N42" s="25">
        <f t="shared" si="17"/>
        <v>45805.71528</v>
      </c>
      <c r="O42" s="25">
        <f t="shared" si="18"/>
        <v>3.329861111</v>
      </c>
      <c r="P42" s="127">
        <f t="shared" si="19"/>
        <v>79.91666667</v>
      </c>
      <c r="Q42" s="12">
        <v>5.0</v>
      </c>
      <c r="R42" s="2"/>
    </row>
    <row r="43" ht="15.75" customHeight="1">
      <c r="A43" s="115"/>
      <c r="B43" s="126"/>
      <c r="C43" s="112" t="s">
        <v>166</v>
      </c>
      <c r="D43" s="19" t="s">
        <v>33</v>
      </c>
      <c r="E43" s="20">
        <v>45807.0</v>
      </c>
      <c r="F43" s="21">
        <v>0.3854166666666667</v>
      </c>
      <c r="G43" s="20">
        <v>45809.0</v>
      </c>
      <c r="H43" s="21">
        <v>0.7326388888888888</v>
      </c>
      <c r="I43" s="22">
        <v>7237.06</v>
      </c>
      <c r="J43" s="23"/>
      <c r="K43" s="45"/>
      <c r="L43" s="21"/>
      <c r="M43" s="25">
        <f t="shared" si="16"/>
        <v>45807.38542</v>
      </c>
      <c r="N43" s="25">
        <f t="shared" si="17"/>
        <v>45809.73264</v>
      </c>
      <c r="O43" s="25">
        <f t="shared" si="18"/>
        <v>2.347222222</v>
      </c>
      <c r="P43" s="127">
        <f t="shared" si="19"/>
        <v>56.33333333</v>
      </c>
      <c r="Q43" s="12">
        <v>5.0</v>
      </c>
      <c r="R43" s="2"/>
    </row>
    <row r="44" ht="15.75" customHeight="1">
      <c r="A44" s="115"/>
      <c r="B44" s="126"/>
      <c r="C44" s="114" t="s">
        <v>254</v>
      </c>
      <c r="D44" s="27" t="s">
        <v>255</v>
      </c>
      <c r="E44" s="20">
        <v>45813.0</v>
      </c>
      <c r="F44" s="21">
        <v>0.08333333333333333</v>
      </c>
      <c r="G44" s="20">
        <v>45819.0</v>
      </c>
      <c r="H44" s="21">
        <v>0.9611111111111111</v>
      </c>
      <c r="I44" s="23">
        <v>31729.56</v>
      </c>
      <c r="J44" s="23"/>
      <c r="K44" s="45"/>
      <c r="L44" s="21"/>
      <c r="M44" s="25">
        <f t="shared" si="16"/>
        <v>45813.08333</v>
      </c>
      <c r="N44" s="25">
        <f t="shared" si="17"/>
        <v>45819.96111</v>
      </c>
      <c r="O44" s="25">
        <f t="shared" si="18"/>
        <v>6.877777778</v>
      </c>
      <c r="P44" s="127">
        <f t="shared" si="19"/>
        <v>165.0666667</v>
      </c>
      <c r="Q44" s="12">
        <v>5.0</v>
      </c>
      <c r="R44" s="2"/>
    </row>
    <row r="45" ht="15.75" customHeight="1">
      <c r="A45" s="115">
        <v>27.0</v>
      </c>
      <c r="B45" s="126"/>
      <c r="C45" s="114" t="s">
        <v>161</v>
      </c>
      <c r="D45" s="19" t="s">
        <v>33</v>
      </c>
      <c r="E45" s="20">
        <v>45809.0</v>
      </c>
      <c r="F45" s="21">
        <v>0.5381944444444444</v>
      </c>
      <c r="G45" s="20">
        <v>45812.0</v>
      </c>
      <c r="H45" s="21">
        <v>0.9791666666666666</v>
      </c>
      <c r="I45" s="22">
        <v>7421.28</v>
      </c>
      <c r="J45" s="23"/>
      <c r="K45" s="45"/>
      <c r="L45" s="21"/>
      <c r="M45" s="25">
        <f t="shared" si="16"/>
        <v>45809.53819</v>
      </c>
      <c r="N45" s="25">
        <f t="shared" si="17"/>
        <v>45812.97917</v>
      </c>
      <c r="O45" s="25">
        <f t="shared" si="18"/>
        <v>3.440972222</v>
      </c>
      <c r="P45" s="127">
        <f t="shared" si="19"/>
        <v>82.58333333</v>
      </c>
      <c r="Q45" s="12">
        <v>5.0</v>
      </c>
      <c r="R45" s="2"/>
    </row>
    <row r="46" ht="15.75" customHeight="1">
      <c r="A46" s="115">
        <v>28.0</v>
      </c>
      <c r="B46" s="126"/>
      <c r="C46" s="114" t="s">
        <v>256</v>
      </c>
      <c r="D46" s="19" t="s">
        <v>33</v>
      </c>
      <c r="E46" s="20">
        <v>45820.0</v>
      </c>
      <c r="F46" s="21">
        <v>0.4305555555555556</v>
      </c>
      <c r="G46" s="20">
        <v>45823.0</v>
      </c>
      <c r="H46" s="21">
        <v>0.6493055555555556</v>
      </c>
      <c r="I46" s="22">
        <v>7262.74</v>
      </c>
      <c r="J46" s="23"/>
      <c r="K46" s="45"/>
      <c r="L46" s="21"/>
      <c r="M46" s="25">
        <f t="shared" si="16"/>
        <v>45820.43056</v>
      </c>
      <c r="N46" s="25">
        <f t="shared" si="17"/>
        <v>45823.64931</v>
      </c>
      <c r="O46" s="25">
        <f t="shared" si="18"/>
        <v>3.21875</v>
      </c>
      <c r="P46" s="127">
        <f t="shared" si="19"/>
        <v>77.25</v>
      </c>
      <c r="Q46" s="12">
        <v>5.0</v>
      </c>
      <c r="R46" s="2"/>
    </row>
    <row r="47" ht="15.75" customHeight="1">
      <c r="A47" s="115">
        <v>29.0</v>
      </c>
      <c r="B47" s="126"/>
      <c r="C47" s="112" t="s">
        <v>257</v>
      </c>
      <c r="D47" s="19" t="s">
        <v>33</v>
      </c>
      <c r="E47" s="20">
        <v>45823.0</v>
      </c>
      <c r="F47" s="21">
        <v>0.78125</v>
      </c>
      <c r="G47" s="20">
        <v>45827.0</v>
      </c>
      <c r="H47" s="21">
        <v>0.3333333333333333</v>
      </c>
      <c r="I47" s="22">
        <v>7388.42</v>
      </c>
      <c r="J47" s="29"/>
      <c r="K47" s="45"/>
      <c r="L47" s="21"/>
      <c r="M47" s="25">
        <f t="shared" si="16"/>
        <v>45823.78125</v>
      </c>
      <c r="N47" s="25">
        <f t="shared" si="17"/>
        <v>45827.33333</v>
      </c>
      <c r="O47" s="25">
        <f t="shared" si="18"/>
        <v>3.552083333</v>
      </c>
      <c r="P47" s="127">
        <f t="shared" si="19"/>
        <v>85.25</v>
      </c>
      <c r="Q47" s="12">
        <v>5.0</v>
      </c>
      <c r="R47" s="2"/>
    </row>
    <row r="48" ht="15.75" customHeight="1">
      <c r="A48" s="115">
        <v>30.0</v>
      </c>
      <c r="B48" s="126"/>
      <c r="C48" s="112" t="s">
        <v>258</v>
      </c>
      <c r="D48" s="19" t="s">
        <v>33</v>
      </c>
      <c r="E48" s="20">
        <v>45820.0</v>
      </c>
      <c r="F48" s="21">
        <v>0.545138888888889</v>
      </c>
      <c r="G48" s="20">
        <v>45824.0</v>
      </c>
      <c r="H48" s="21">
        <v>0.3229166666666667</v>
      </c>
      <c r="I48" s="22">
        <v>8819.286</v>
      </c>
      <c r="J48" s="23"/>
      <c r="K48" s="45"/>
      <c r="L48" s="50"/>
      <c r="M48" s="25">
        <f t="shared" si="16"/>
        <v>45820.54514</v>
      </c>
      <c r="N48" s="25">
        <f t="shared" si="17"/>
        <v>45824.32292</v>
      </c>
      <c r="O48" s="25">
        <f t="shared" si="18"/>
        <v>3.777777778</v>
      </c>
      <c r="P48" s="127">
        <f t="shared" si="19"/>
        <v>90.66666667</v>
      </c>
      <c r="Q48" s="12">
        <v>5.0</v>
      </c>
      <c r="R48" s="2"/>
    </row>
    <row r="49" ht="15.75" customHeight="1">
      <c r="A49" s="115"/>
      <c r="B49" s="126"/>
      <c r="C49" s="67"/>
      <c r="D49" s="58"/>
      <c r="E49" s="13"/>
      <c r="F49" s="14"/>
      <c r="G49" s="13"/>
      <c r="H49" s="14"/>
      <c r="I49" s="59"/>
      <c r="J49" s="111"/>
      <c r="K49" s="137"/>
      <c r="L49" s="50"/>
      <c r="M49" s="46"/>
      <c r="N49" s="46"/>
      <c r="O49" s="46"/>
      <c r="P49" s="128"/>
      <c r="Q49" s="12"/>
      <c r="R49" s="2"/>
    </row>
    <row r="50" ht="15.75" customHeight="1">
      <c r="A50" s="115"/>
      <c r="B50" s="126"/>
      <c r="C50" s="30"/>
      <c r="D50" s="19"/>
      <c r="E50" s="20"/>
      <c r="F50" s="21"/>
      <c r="G50" s="20"/>
      <c r="H50" s="21"/>
      <c r="I50" s="22"/>
      <c r="J50" s="23"/>
      <c r="K50" s="45"/>
      <c r="L50" s="50"/>
      <c r="M50" s="46"/>
      <c r="N50" s="46"/>
      <c r="O50" s="46"/>
      <c r="P50" s="128"/>
      <c r="Q50" s="12"/>
      <c r="R50" s="2"/>
    </row>
    <row r="51" ht="15.75" customHeight="1">
      <c r="A51" s="129"/>
      <c r="B51" s="130"/>
      <c r="C51" s="83"/>
      <c r="D51" s="32"/>
      <c r="E51" s="84"/>
      <c r="F51" s="40"/>
      <c r="G51" s="84"/>
      <c r="H51" s="40"/>
      <c r="I51" s="85">
        <f t="shared" ref="I51:J51" si="20">SUM(I38:I50)</f>
        <v>110506.825</v>
      </c>
      <c r="J51" s="86">
        <f t="shared" si="20"/>
        <v>0</v>
      </c>
      <c r="K51" s="39">
        <f>+(P51)/(31*24)</f>
        <v>1.549036738</v>
      </c>
      <c r="L51" s="40"/>
      <c r="M51" s="41"/>
      <c r="N51" s="41"/>
      <c r="O51" s="41"/>
      <c r="P51" s="42">
        <f>SUM(P38:P50)</f>
        <v>1152.483333</v>
      </c>
      <c r="Q51" s="12"/>
      <c r="R51" s="2"/>
    </row>
    <row r="52" ht="15.75" customHeight="1">
      <c r="A52" s="1"/>
      <c r="B52" s="12"/>
      <c r="C52" s="67"/>
      <c r="D52" s="12"/>
      <c r="E52" s="13"/>
      <c r="F52" s="14"/>
      <c r="G52" s="13"/>
      <c r="H52" s="14"/>
      <c r="I52" s="55"/>
      <c r="J52" s="56"/>
      <c r="K52" s="16"/>
      <c r="L52" s="14"/>
      <c r="M52" s="2"/>
      <c r="N52" s="2"/>
      <c r="O52" s="2"/>
      <c r="P52" s="2"/>
      <c r="Q52" s="12"/>
      <c r="R52" s="2"/>
    </row>
    <row r="53" ht="15.75" customHeight="1">
      <c r="A53" s="1"/>
      <c r="B53" s="12"/>
      <c r="C53" s="67"/>
      <c r="D53" s="12"/>
      <c r="E53" s="13"/>
      <c r="F53" s="14"/>
      <c r="G53" s="13"/>
      <c r="H53" s="14"/>
      <c r="I53" s="55"/>
      <c r="J53" s="56"/>
      <c r="K53" s="16"/>
      <c r="L53" s="14"/>
      <c r="M53" s="2"/>
      <c r="N53" s="2"/>
      <c r="O53" s="2"/>
      <c r="P53" s="2"/>
      <c r="Q53" s="2"/>
      <c r="R53" s="2"/>
    </row>
    <row r="54" ht="15.75" customHeight="1">
      <c r="A54" s="1"/>
      <c r="B54" s="12"/>
      <c r="C54" s="67"/>
      <c r="D54" s="12"/>
      <c r="E54" s="13"/>
      <c r="F54" s="14"/>
      <c r="G54" s="13"/>
      <c r="H54" s="14"/>
      <c r="I54" s="55"/>
      <c r="J54" s="56"/>
      <c r="K54" s="16"/>
      <c r="L54" s="14"/>
      <c r="M54" s="2"/>
      <c r="N54" s="2"/>
      <c r="O54" s="2"/>
      <c r="P54" s="2"/>
      <c r="Q54" s="2"/>
      <c r="R54" s="2"/>
    </row>
    <row r="55" ht="15.75" customHeight="1">
      <c r="A55" s="1"/>
      <c r="B55" s="12"/>
      <c r="C55" s="67"/>
      <c r="D55" s="12"/>
      <c r="E55" s="13"/>
      <c r="F55" s="14"/>
      <c r="G55" s="13"/>
      <c r="H55" s="14"/>
      <c r="I55" s="55"/>
      <c r="J55" s="56"/>
      <c r="K55" s="16"/>
      <c r="L55" s="14"/>
      <c r="M55" s="2"/>
      <c r="N55" s="2"/>
      <c r="O55" s="2"/>
      <c r="P55" s="2"/>
      <c r="Q55" s="2"/>
      <c r="R55" s="2"/>
    </row>
    <row r="56" ht="15.75" customHeight="1">
      <c r="A56" s="115">
        <v>31.0</v>
      </c>
      <c r="B56" s="116" t="s">
        <v>69</v>
      </c>
      <c r="C56" s="143" t="s">
        <v>259</v>
      </c>
      <c r="D56" s="118" t="s">
        <v>33</v>
      </c>
      <c r="E56" s="119">
        <v>45800.0</v>
      </c>
      <c r="F56" s="120">
        <v>0.607638888888889</v>
      </c>
      <c r="G56" s="119">
        <v>45804.0</v>
      </c>
      <c r="H56" s="120">
        <v>0.4479166666666667</v>
      </c>
      <c r="I56" s="121">
        <v>8494.994</v>
      </c>
      <c r="J56" s="144"/>
      <c r="K56" s="145"/>
      <c r="L56" s="146"/>
      <c r="M56" s="124">
        <f t="shared" ref="M56:M65" si="21">INT(E56)+MOD(F56,1)</f>
        <v>45800.60764</v>
      </c>
      <c r="N56" s="124">
        <f t="shared" ref="N56:N65" si="22">INT(G56)+MOD(H56,1)</f>
        <v>45804.44792</v>
      </c>
      <c r="O56" s="124">
        <f t="shared" ref="O56:O65" si="23">N56-M56</f>
        <v>3.840277778</v>
      </c>
      <c r="P56" s="125">
        <f t="shared" ref="P56:P65" si="24">O56*24</f>
        <v>92.16666667</v>
      </c>
      <c r="Q56" s="12">
        <v>7.0</v>
      </c>
      <c r="R56" s="12"/>
    </row>
    <row r="57" ht="15.75" customHeight="1">
      <c r="A57" s="115">
        <v>32.0</v>
      </c>
      <c r="B57" s="126"/>
      <c r="C57" s="112" t="s">
        <v>260</v>
      </c>
      <c r="D57" s="19" t="s">
        <v>33</v>
      </c>
      <c r="E57" s="20">
        <v>45804.0</v>
      </c>
      <c r="F57" s="21">
        <v>0.611111111111111</v>
      </c>
      <c r="G57" s="20">
        <v>45807.0</v>
      </c>
      <c r="H57" s="21">
        <v>0.5694444444444444</v>
      </c>
      <c r="I57" s="22">
        <v>7497.989</v>
      </c>
      <c r="J57" s="74"/>
      <c r="K57" s="88"/>
      <c r="L57" s="46"/>
      <c r="M57" s="25">
        <f t="shared" si="21"/>
        <v>45804.61111</v>
      </c>
      <c r="N57" s="25">
        <f t="shared" si="22"/>
        <v>45807.56944</v>
      </c>
      <c r="O57" s="25">
        <f t="shared" si="23"/>
        <v>2.958333333</v>
      </c>
      <c r="P57" s="127">
        <f t="shared" si="24"/>
        <v>71</v>
      </c>
      <c r="Q57" s="12">
        <v>7.0</v>
      </c>
      <c r="R57" s="12"/>
    </row>
    <row r="58" ht="15.75" customHeight="1">
      <c r="A58" s="115">
        <v>33.0</v>
      </c>
      <c r="B58" s="126"/>
      <c r="C58" s="112" t="s">
        <v>49</v>
      </c>
      <c r="D58" s="19" t="s">
        <v>33</v>
      </c>
      <c r="E58" s="20">
        <v>45805.0</v>
      </c>
      <c r="F58" s="21">
        <v>0.7638888888888888</v>
      </c>
      <c r="G58" s="20">
        <v>45809.0</v>
      </c>
      <c r="H58" s="21">
        <v>0.4513888888888889</v>
      </c>
      <c r="I58" s="22">
        <v>7193.146</v>
      </c>
      <c r="J58" s="74"/>
      <c r="K58" s="88"/>
      <c r="L58" s="46"/>
      <c r="M58" s="25">
        <f t="shared" si="21"/>
        <v>45805.76389</v>
      </c>
      <c r="N58" s="25">
        <f t="shared" si="22"/>
        <v>45809.45139</v>
      </c>
      <c r="O58" s="25">
        <f t="shared" si="23"/>
        <v>3.6875</v>
      </c>
      <c r="P58" s="127">
        <f t="shared" si="24"/>
        <v>88.5</v>
      </c>
      <c r="Q58" s="12">
        <v>7.0</v>
      </c>
      <c r="R58" s="12"/>
    </row>
    <row r="59" ht="15.75" customHeight="1">
      <c r="A59" s="115"/>
      <c r="B59" s="126"/>
      <c r="C59" s="114" t="s">
        <v>261</v>
      </c>
      <c r="D59" s="27" t="s">
        <v>148</v>
      </c>
      <c r="E59" s="20">
        <v>45810.0</v>
      </c>
      <c r="F59" s="21">
        <v>0.22916666666666666</v>
      </c>
      <c r="G59" s="20">
        <v>45813.0</v>
      </c>
      <c r="H59" s="21">
        <v>0.13194444444444445</v>
      </c>
      <c r="I59" s="23">
        <v>8962.82</v>
      </c>
      <c r="J59" s="74"/>
      <c r="K59" s="88"/>
      <c r="L59" s="46"/>
      <c r="M59" s="25">
        <f t="shared" si="21"/>
        <v>45810.22917</v>
      </c>
      <c r="N59" s="25">
        <f t="shared" si="22"/>
        <v>45813.13194</v>
      </c>
      <c r="O59" s="25">
        <f t="shared" si="23"/>
        <v>2.902777778</v>
      </c>
      <c r="P59" s="127">
        <f t="shared" si="24"/>
        <v>69.66666667</v>
      </c>
      <c r="Q59" s="12">
        <v>6.0</v>
      </c>
      <c r="R59" s="12"/>
    </row>
    <row r="60" ht="15.75" customHeight="1">
      <c r="A60" s="115"/>
      <c r="B60" s="126"/>
      <c r="C60" s="114" t="s">
        <v>261</v>
      </c>
      <c r="D60" s="27" t="s">
        <v>148</v>
      </c>
      <c r="E60" s="20">
        <v>45810.0</v>
      </c>
      <c r="F60" s="21">
        <v>0.22916666666666666</v>
      </c>
      <c r="G60" s="20">
        <v>45813.0</v>
      </c>
      <c r="H60" s="21">
        <v>0.13194444444444445</v>
      </c>
      <c r="I60" s="23">
        <v>9955.14</v>
      </c>
      <c r="J60" s="74"/>
      <c r="K60" s="88"/>
      <c r="L60" s="46"/>
      <c r="M60" s="25">
        <f t="shared" si="21"/>
        <v>45810.22917</v>
      </c>
      <c r="N60" s="25">
        <f t="shared" si="22"/>
        <v>45813.13194</v>
      </c>
      <c r="O60" s="25">
        <f t="shared" si="23"/>
        <v>2.902777778</v>
      </c>
      <c r="P60" s="127">
        <f t="shared" si="24"/>
        <v>69.66666667</v>
      </c>
      <c r="Q60" s="12">
        <v>6.0</v>
      </c>
      <c r="R60" s="12"/>
    </row>
    <row r="61" ht="15.75" customHeight="1">
      <c r="A61" s="115"/>
      <c r="B61" s="126"/>
      <c r="C61" s="114" t="s">
        <v>214</v>
      </c>
      <c r="D61" s="19" t="s">
        <v>33</v>
      </c>
      <c r="E61" s="20">
        <v>45807.0</v>
      </c>
      <c r="F61" s="21">
        <v>0.6180555555555556</v>
      </c>
      <c r="G61" s="20">
        <v>45813.0</v>
      </c>
      <c r="H61" s="21">
        <v>0.46875</v>
      </c>
      <c r="I61" s="22">
        <v>7410.822</v>
      </c>
      <c r="J61" s="74"/>
      <c r="K61" s="88"/>
      <c r="L61" s="46"/>
      <c r="M61" s="25">
        <f t="shared" si="21"/>
        <v>45807.61806</v>
      </c>
      <c r="N61" s="25">
        <f t="shared" si="22"/>
        <v>45813.46875</v>
      </c>
      <c r="O61" s="25">
        <f t="shared" si="23"/>
        <v>5.850694444</v>
      </c>
      <c r="P61" s="127">
        <f t="shared" si="24"/>
        <v>140.4166667</v>
      </c>
      <c r="Q61" s="12">
        <v>7.0</v>
      </c>
      <c r="R61" s="12"/>
    </row>
    <row r="62" ht="15.75" customHeight="1">
      <c r="A62" s="115"/>
      <c r="B62" s="126"/>
      <c r="C62" s="114" t="s">
        <v>262</v>
      </c>
      <c r="D62" s="27" t="s">
        <v>143</v>
      </c>
      <c r="E62" s="20">
        <v>45815.0</v>
      </c>
      <c r="F62" s="21">
        <v>0.2041666666666667</v>
      </c>
      <c r="G62" s="20">
        <v>45817.0</v>
      </c>
      <c r="H62" s="21">
        <v>0.2708333333333333</v>
      </c>
      <c r="I62" s="23">
        <v>49905.03</v>
      </c>
      <c r="J62" s="74"/>
      <c r="K62" s="88"/>
      <c r="L62" s="46"/>
      <c r="M62" s="25">
        <f t="shared" si="21"/>
        <v>45815.20417</v>
      </c>
      <c r="N62" s="25">
        <f t="shared" si="22"/>
        <v>45817.27083</v>
      </c>
      <c r="O62" s="25">
        <f t="shared" si="23"/>
        <v>2.066666667</v>
      </c>
      <c r="P62" s="127">
        <f t="shared" si="24"/>
        <v>49.6</v>
      </c>
      <c r="Q62" s="12">
        <v>6.0</v>
      </c>
      <c r="R62" s="12"/>
    </row>
    <row r="63" ht="15.75" customHeight="1">
      <c r="A63" s="115">
        <v>34.0</v>
      </c>
      <c r="B63" s="126"/>
      <c r="C63" s="112" t="s">
        <v>263</v>
      </c>
      <c r="D63" s="27" t="s">
        <v>74</v>
      </c>
      <c r="E63" s="20">
        <v>45817.0</v>
      </c>
      <c r="F63" s="21">
        <v>0.5</v>
      </c>
      <c r="G63" s="20">
        <v>45824.0</v>
      </c>
      <c r="H63" s="21">
        <v>0.16666666666666666</v>
      </c>
      <c r="I63" s="100">
        <v>61217.84</v>
      </c>
      <c r="J63" s="74"/>
      <c r="K63" s="88"/>
      <c r="L63" s="46"/>
      <c r="M63" s="25">
        <f t="shared" si="21"/>
        <v>45817.5</v>
      </c>
      <c r="N63" s="25">
        <f t="shared" si="22"/>
        <v>45824.16667</v>
      </c>
      <c r="O63" s="25">
        <f t="shared" si="23"/>
        <v>6.666666667</v>
      </c>
      <c r="P63" s="127">
        <f t="shared" si="24"/>
        <v>160</v>
      </c>
      <c r="Q63" s="12">
        <v>6.0</v>
      </c>
      <c r="R63" s="12"/>
    </row>
    <row r="64" ht="15.75" customHeight="1">
      <c r="A64" s="115">
        <v>35.0</v>
      </c>
      <c r="B64" s="126"/>
      <c r="C64" s="112" t="s">
        <v>264</v>
      </c>
      <c r="D64" s="19" t="s">
        <v>33</v>
      </c>
      <c r="E64" s="20">
        <v>45813.0</v>
      </c>
      <c r="F64" s="21">
        <v>0.5208333333333334</v>
      </c>
      <c r="G64" s="20">
        <v>45817.0</v>
      </c>
      <c r="H64" s="21">
        <v>0.3125</v>
      </c>
      <c r="I64" s="22">
        <v>7295.371</v>
      </c>
      <c r="J64" s="74"/>
      <c r="K64" s="88"/>
      <c r="L64" s="46"/>
      <c r="M64" s="25">
        <f t="shared" si="21"/>
        <v>45813.52083</v>
      </c>
      <c r="N64" s="25">
        <f t="shared" si="22"/>
        <v>45817.3125</v>
      </c>
      <c r="O64" s="25">
        <f t="shared" si="23"/>
        <v>3.791666667</v>
      </c>
      <c r="P64" s="127">
        <f t="shared" si="24"/>
        <v>91</v>
      </c>
      <c r="Q64" s="12">
        <v>7.0</v>
      </c>
      <c r="R64" s="12"/>
    </row>
    <row r="65" ht="15.75" customHeight="1">
      <c r="A65" s="115">
        <v>36.0</v>
      </c>
      <c r="B65" s="126"/>
      <c r="C65" s="112" t="s">
        <v>265</v>
      </c>
      <c r="D65" s="19" t="s">
        <v>33</v>
      </c>
      <c r="E65" s="20">
        <v>45817.0</v>
      </c>
      <c r="F65" s="21">
        <v>0.3576388888888889</v>
      </c>
      <c r="G65" s="20">
        <v>45822.0</v>
      </c>
      <c r="H65" s="21">
        <v>0.3159722222222222</v>
      </c>
      <c r="I65" s="22">
        <v>8297.643</v>
      </c>
      <c r="J65" s="74"/>
      <c r="K65" s="99"/>
      <c r="L65" s="82"/>
      <c r="M65" s="25">
        <f t="shared" si="21"/>
        <v>45817.35764</v>
      </c>
      <c r="N65" s="25">
        <f t="shared" si="22"/>
        <v>45822.31597</v>
      </c>
      <c r="O65" s="25">
        <f t="shared" si="23"/>
        <v>4.958333333</v>
      </c>
      <c r="P65" s="127">
        <f t="shared" si="24"/>
        <v>119</v>
      </c>
      <c r="Q65" s="12">
        <v>7.0</v>
      </c>
      <c r="R65" s="12"/>
    </row>
    <row r="66" ht="15.75" customHeight="1">
      <c r="A66" s="115">
        <v>37.0</v>
      </c>
      <c r="B66" s="133"/>
      <c r="C66" s="30"/>
      <c r="D66" s="19"/>
      <c r="E66" s="20"/>
      <c r="F66" s="21"/>
      <c r="G66" s="20"/>
      <c r="H66" s="21"/>
      <c r="I66" s="22"/>
      <c r="J66" s="74"/>
      <c r="K66" s="49"/>
      <c r="L66" s="50"/>
      <c r="M66" s="46"/>
      <c r="N66" s="46"/>
      <c r="O66" s="46"/>
      <c r="P66" s="128"/>
      <c r="Q66" s="12"/>
      <c r="R66" s="12"/>
    </row>
    <row r="67" ht="15.75" customHeight="1">
      <c r="A67" s="147"/>
      <c r="B67" s="148"/>
      <c r="C67" s="91"/>
      <c r="D67" s="91"/>
      <c r="E67" s="91"/>
      <c r="F67" s="91"/>
      <c r="G67" s="91"/>
      <c r="H67" s="91"/>
      <c r="I67" s="92">
        <f t="shared" ref="I67:J67" si="25">SUM(I56:I66)</f>
        <v>176230.795</v>
      </c>
      <c r="J67" s="93">
        <f t="shared" si="25"/>
        <v>0</v>
      </c>
      <c r="K67" s="39">
        <f>+(P67)/(31*24)</f>
        <v>1.278248208</v>
      </c>
      <c r="L67" s="41"/>
      <c r="M67" s="41"/>
      <c r="N67" s="41"/>
      <c r="O67" s="41"/>
      <c r="P67" s="42">
        <f>SUM(P56:P66)</f>
        <v>951.0166667</v>
      </c>
      <c r="Q67" s="12"/>
      <c r="R67" s="1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2"/>
      <c r="N68" s="2"/>
      <c r="O68" s="2"/>
      <c r="P68" s="2"/>
      <c r="Q68" s="12"/>
      <c r="R68" s="1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94"/>
      <c r="J69" s="95"/>
      <c r="K69" s="3"/>
      <c r="L69" s="2"/>
      <c r="M69" s="2"/>
      <c r="N69" s="2"/>
      <c r="O69" s="2"/>
      <c r="P69" s="2"/>
      <c r="Q69" s="12"/>
      <c r="R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12"/>
      <c r="R70" s="2"/>
    </row>
    <row r="71" ht="15.75" customHeight="1">
      <c r="A71" s="96" t="s">
        <v>80</v>
      </c>
      <c r="B71" s="96"/>
      <c r="C71" s="96" t="s">
        <v>81</v>
      </c>
      <c r="D71" s="96" t="s">
        <v>82</v>
      </c>
      <c r="E71" s="96" t="s">
        <v>18</v>
      </c>
      <c r="F71" s="2"/>
      <c r="G71" s="2"/>
      <c r="H71" s="2"/>
      <c r="I71" s="2"/>
      <c r="J71" s="2"/>
      <c r="K71" s="3"/>
      <c r="L71" s="2"/>
      <c r="M71" s="2"/>
      <c r="N71" s="2"/>
      <c r="O71" s="2"/>
      <c r="P71" s="2"/>
      <c r="Q71" s="12"/>
      <c r="R71" s="2"/>
    </row>
    <row r="72" ht="15.75" customHeight="1">
      <c r="A72" s="96" t="s">
        <v>83</v>
      </c>
      <c r="B72" s="96"/>
      <c r="C72" s="96"/>
      <c r="D72" s="96" t="s">
        <v>84</v>
      </c>
      <c r="E72" s="96" t="s">
        <v>31</v>
      </c>
      <c r="F72" s="2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</row>
    <row r="73" ht="15.75" customHeight="1">
      <c r="A73" s="96"/>
      <c r="B73" s="96"/>
      <c r="C73" s="96"/>
      <c r="D73" s="96" t="s">
        <v>85</v>
      </c>
      <c r="E73" s="96" t="s">
        <v>41</v>
      </c>
      <c r="F73" s="2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</row>
    <row r="74" ht="15.75" customHeight="1">
      <c r="A74" s="96"/>
      <c r="B74" s="96"/>
      <c r="C74" s="96"/>
      <c r="D74" s="96" t="s">
        <v>86</v>
      </c>
      <c r="E74" s="96" t="s">
        <v>62</v>
      </c>
      <c r="F74" s="2"/>
      <c r="G74" s="2"/>
      <c r="H74" s="2"/>
      <c r="I74" s="2"/>
      <c r="J74" s="2"/>
      <c r="K74" s="3"/>
      <c r="L74" s="97"/>
      <c r="M74" s="2"/>
      <c r="N74" s="2"/>
      <c r="O74" s="2"/>
      <c r="P74" s="2"/>
      <c r="Q74" s="2"/>
      <c r="R74" s="2"/>
    </row>
    <row r="75" ht="15.75" customHeight="1">
      <c r="A75" s="96"/>
      <c r="B75" s="96"/>
      <c r="C75" s="96"/>
      <c r="D75" s="96" t="s">
        <v>87</v>
      </c>
      <c r="E75" s="96" t="s">
        <v>69</v>
      </c>
      <c r="F75" s="2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</row>
    <row r="76" ht="15.75" customHeight="1">
      <c r="A76" s="96"/>
      <c r="B76" s="96"/>
      <c r="C76" s="96"/>
      <c r="D76" s="96"/>
      <c r="E76" s="96"/>
      <c r="F76" s="2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12"/>
    <mergeCell ref="B15:B21"/>
    <mergeCell ref="B24:B33"/>
    <mergeCell ref="B38:B50"/>
    <mergeCell ref="B56:B6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266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112" t="s">
        <v>267</v>
      </c>
      <c r="D7" s="27" t="s">
        <v>184</v>
      </c>
      <c r="E7" s="20">
        <v>45823.0</v>
      </c>
      <c r="F7" s="21">
        <v>0.6416666666666667</v>
      </c>
      <c r="G7" s="20">
        <v>45833.0</v>
      </c>
      <c r="H7" s="21">
        <v>0.9479166666666666</v>
      </c>
      <c r="I7" s="28"/>
      <c r="J7" s="87">
        <v>7375.412</v>
      </c>
      <c r="K7" s="24"/>
      <c r="L7" s="21"/>
      <c r="M7" s="25">
        <f t="shared" ref="M7:M18" si="1">INT(E7)+MOD(F7,1)</f>
        <v>45823.64167</v>
      </c>
      <c r="N7" s="25">
        <f t="shared" ref="N7:N18" si="2">INT(G7)+MOD(H7,1)</f>
        <v>45833.94792</v>
      </c>
      <c r="O7" s="25">
        <f t="shared" ref="O7:O18" si="3">N7-M7</f>
        <v>10.30625</v>
      </c>
      <c r="P7" s="25">
        <f t="shared" ref="P7:P18" si="4">O7*24</f>
        <v>247.35</v>
      </c>
      <c r="Q7" s="12">
        <v>1.0</v>
      </c>
      <c r="R7" s="2"/>
    </row>
    <row r="8">
      <c r="A8" s="5">
        <v>2.0</v>
      </c>
      <c r="B8" s="26"/>
      <c r="C8" s="112" t="s">
        <v>268</v>
      </c>
      <c r="D8" s="27" t="s">
        <v>184</v>
      </c>
      <c r="E8" s="20">
        <v>45830.0</v>
      </c>
      <c r="F8" s="21">
        <v>0.4166666666666667</v>
      </c>
      <c r="G8" s="20">
        <v>45830.0</v>
      </c>
      <c r="H8" s="21">
        <v>0.7638888888888888</v>
      </c>
      <c r="I8" s="100">
        <v>775.123</v>
      </c>
      <c r="J8" s="87"/>
      <c r="K8" s="24"/>
      <c r="L8" s="21"/>
      <c r="M8" s="25">
        <f t="shared" si="1"/>
        <v>45830.41667</v>
      </c>
      <c r="N8" s="25">
        <f t="shared" si="2"/>
        <v>45830.76389</v>
      </c>
      <c r="O8" s="25">
        <f t="shared" si="3"/>
        <v>0.3472222222</v>
      </c>
      <c r="P8" s="25">
        <f t="shared" si="4"/>
        <v>8.333333333</v>
      </c>
      <c r="Q8" s="12">
        <v>1.0</v>
      </c>
      <c r="R8" s="2"/>
    </row>
    <row r="9">
      <c r="A9" s="5">
        <v>3.0</v>
      </c>
      <c r="B9" s="26"/>
      <c r="C9" s="112" t="s">
        <v>269</v>
      </c>
      <c r="D9" s="19" t="s">
        <v>25</v>
      </c>
      <c r="E9" s="20">
        <v>45840.0</v>
      </c>
      <c r="F9" s="21">
        <v>0.8611111111111112</v>
      </c>
      <c r="G9" s="20">
        <v>45841.0</v>
      </c>
      <c r="H9" s="21">
        <v>0.7256944444444445</v>
      </c>
      <c r="I9" s="22">
        <v>2911.234</v>
      </c>
      <c r="J9" s="23"/>
      <c r="K9" s="24"/>
      <c r="L9" s="21"/>
      <c r="M9" s="25">
        <f t="shared" si="1"/>
        <v>45840.86111</v>
      </c>
      <c r="N9" s="25">
        <f t="shared" si="2"/>
        <v>45841.72569</v>
      </c>
      <c r="O9" s="25">
        <f t="shared" si="3"/>
        <v>0.8645833333</v>
      </c>
      <c r="P9" s="25">
        <f t="shared" si="4"/>
        <v>20.75</v>
      </c>
      <c r="Q9" s="12">
        <v>1.0</v>
      </c>
      <c r="R9" s="2"/>
    </row>
    <row r="10">
      <c r="A10" s="5">
        <v>4.0</v>
      </c>
      <c r="B10" s="26"/>
      <c r="C10" s="112" t="s">
        <v>268</v>
      </c>
      <c r="D10" s="27" t="s">
        <v>184</v>
      </c>
      <c r="E10" s="20">
        <v>45837.0</v>
      </c>
      <c r="F10" s="21">
        <v>0.3090277777777778</v>
      </c>
      <c r="G10" s="20">
        <v>45838.0</v>
      </c>
      <c r="H10" s="21">
        <v>0.2916666666666667</v>
      </c>
      <c r="I10" s="100">
        <v>775.123</v>
      </c>
      <c r="J10" s="87"/>
      <c r="K10" s="24"/>
      <c r="L10" s="21"/>
      <c r="M10" s="25">
        <f t="shared" si="1"/>
        <v>45837.30903</v>
      </c>
      <c r="N10" s="25">
        <f t="shared" si="2"/>
        <v>45838.29167</v>
      </c>
      <c r="O10" s="25">
        <f t="shared" si="3"/>
        <v>0.9826388889</v>
      </c>
      <c r="P10" s="25">
        <f t="shared" si="4"/>
        <v>23.58333333</v>
      </c>
      <c r="Q10" s="12">
        <v>1.0</v>
      </c>
      <c r="R10" s="2"/>
    </row>
    <row r="11">
      <c r="A11" s="5">
        <v>5.0</v>
      </c>
      <c r="B11" s="26"/>
      <c r="C11" s="112" t="s">
        <v>270</v>
      </c>
      <c r="D11" s="19" t="s">
        <v>271</v>
      </c>
      <c r="E11" s="20">
        <v>45840.0</v>
      </c>
      <c r="F11" s="21">
        <v>0.3680555555555556</v>
      </c>
      <c r="G11" s="20">
        <v>45840.0</v>
      </c>
      <c r="H11" s="21">
        <v>0.9166666666666666</v>
      </c>
      <c r="I11" s="22">
        <v>685.59</v>
      </c>
      <c r="J11" s="23"/>
      <c r="K11" s="24"/>
      <c r="L11" s="21"/>
      <c r="M11" s="25">
        <f t="shared" si="1"/>
        <v>45840.36806</v>
      </c>
      <c r="N11" s="25">
        <f t="shared" si="2"/>
        <v>45840.91667</v>
      </c>
      <c r="O11" s="25">
        <f t="shared" si="3"/>
        <v>0.5486111111</v>
      </c>
      <c r="P11" s="25">
        <f t="shared" si="4"/>
        <v>13.16666667</v>
      </c>
      <c r="Q11" s="12">
        <v>1.0</v>
      </c>
      <c r="R11" s="2"/>
    </row>
    <row r="12">
      <c r="A12" s="5">
        <v>6.0</v>
      </c>
      <c r="B12" s="26"/>
      <c r="C12" s="112" t="s">
        <v>272</v>
      </c>
      <c r="D12" s="27" t="s">
        <v>30</v>
      </c>
      <c r="E12" s="20">
        <v>45847.0</v>
      </c>
      <c r="F12" s="21">
        <v>0.7805555555555556</v>
      </c>
      <c r="G12" s="20">
        <v>45848.0</v>
      </c>
      <c r="H12" s="21">
        <v>0.5</v>
      </c>
      <c r="I12" s="28">
        <v>112.0</v>
      </c>
      <c r="J12" s="29">
        <v>167.0</v>
      </c>
      <c r="K12" s="24"/>
      <c r="L12" s="21"/>
      <c r="M12" s="25">
        <f t="shared" si="1"/>
        <v>45847.78056</v>
      </c>
      <c r="N12" s="25">
        <f t="shared" si="2"/>
        <v>45848.5</v>
      </c>
      <c r="O12" s="25">
        <f t="shared" si="3"/>
        <v>0.7194444444</v>
      </c>
      <c r="P12" s="25">
        <f t="shared" si="4"/>
        <v>17.26666667</v>
      </c>
      <c r="Q12" s="12">
        <v>1.0</v>
      </c>
      <c r="R12" s="2"/>
    </row>
    <row r="13">
      <c r="A13" s="5">
        <v>7.0</v>
      </c>
      <c r="B13" s="26"/>
      <c r="C13" s="112" t="s">
        <v>273</v>
      </c>
      <c r="D13" s="19" t="s">
        <v>25</v>
      </c>
      <c r="E13" s="20">
        <v>45848.0</v>
      </c>
      <c r="F13" s="21">
        <v>0.6041666666666666</v>
      </c>
      <c r="G13" s="20">
        <v>45850.0</v>
      </c>
      <c r="H13" s="21">
        <v>0.16319444444444445</v>
      </c>
      <c r="I13" s="22">
        <v>3578.424</v>
      </c>
      <c r="J13" s="23"/>
      <c r="K13" s="24"/>
      <c r="L13" s="21"/>
      <c r="M13" s="25">
        <f t="shared" si="1"/>
        <v>45848.60417</v>
      </c>
      <c r="N13" s="25">
        <f t="shared" si="2"/>
        <v>45850.16319</v>
      </c>
      <c r="O13" s="25">
        <f t="shared" si="3"/>
        <v>1.559027778</v>
      </c>
      <c r="P13" s="25">
        <f t="shared" si="4"/>
        <v>37.41666667</v>
      </c>
      <c r="Q13" s="12">
        <v>1.0</v>
      </c>
      <c r="R13" s="2"/>
    </row>
    <row r="14">
      <c r="A14" s="5">
        <v>8.0</v>
      </c>
      <c r="B14" s="26"/>
      <c r="C14" s="112" t="s">
        <v>274</v>
      </c>
      <c r="D14" s="19" t="s">
        <v>25</v>
      </c>
      <c r="E14" s="20">
        <v>45857.0</v>
      </c>
      <c r="F14" s="21">
        <v>0.607638888888889</v>
      </c>
      <c r="G14" s="20">
        <v>45858.0</v>
      </c>
      <c r="H14" s="21">
        <v>0.875</v>
      </c>
      <c r="I14" s="59">
        <v>3190.89</v>
      </c>
      <c r="J14" s="23"/>
      <c r="K14" s="24"/>
      <c r="L14" s="21"/>
      <c r="M14" s="25">
        <f t="shared" si="1"/>
        <v>45857.60764</v>
      </c>
      <c r="N14" s="25">
        <f t="shared" si="2"/>
        <v>45858.875</v>
      </c>
      <c r="O14" s="25">
        <f t="shared" si="3"/>
        <v>1.267361111</v>
      </c>
      <c r="P14" s="25">
        <f t="shared" si="4"/>
        <v>30.41666667</v>
      </c>
      <c r="Q14" s="12">
        <v>1.0</v>
      </c>
      <c r="R14" s="2"/>
    </row>
    <row r="15">
      <c r="A15" s="5">
        <v>9.0</v>
      </c>
      <c r="B15" s="26"/>
      <c r="C15" s="112" t="s">
        <v>275</v>
      </c>
      <c r="D15" s="19" t="s">
        <v>25</v>
      </c>
      <c r="E15" s="20">
        <v>45856.0</v>
      </c>
      <c r="F15" s="21">
        <v>0.23958333333333334</v>
      </c>
      <c r="G15" s="20">
        <v>45857.0</v>
      </c>
      <c r="H15" s="21">
        <v>0.225</v>
      </c>
      <c r="I15" s="59">
        <v>2876.146</v>
      </c>
      <c r="J15" s="23"/>
      <c r="K15" s="24"/>
      <c r="L15" s="21"/>
      <c r="M15" s="25">
        <f t="shared" si="1"/>
        <v>45856.23958</v>
      </c>
      <c r="N15" s="25">
        <f t="shared" si="2"/>
        <v>45857.225</v>
      </c>
      <c r="O15" s="25">
        <f t="shared" si="3"/>
        <v>0.9854166667</v>
      </c>
      <c r="P15" s="25">
        <f t="shared" si="4"/>
        <v>23.65</v>
      </c>
      <c r="Q15" s="12">
        <v>1.0</v>
      </c>
      <c r="R15" s="2"/>
    </row>
    <row r="16">
      <c r="A16" s="5">
        <v>10.0</v>
      </c>
      <c r="B16" s="26"/>
      <c r="C16" s="112" t="s">
        <v>276</v>
      </c>
      <c r="D16" s="19" t="s">
        <v>277</v>
      </c>
      <c r="E16" s="20">
        <v>45852.0</v>
      </c>
      <c r="F16" s="21">
        <v>0.7743055555555555</v>
      </c>
      <c r="G16" s="20">
        <v>45853.0</v>
      </c>
      <c r="H16" s="21">
        <v>0.5993055555555555</v>
      </c>
      <c r="I16" s="22">
        <v>1000.0</v>
      </c>
      <c r="J16" s="23"/>
      <c r="K16" s="24"/>
      <c r="L16" s="21"/>
      <c r="M16" s="25">
        <f t="shared" si="1"/>
        <v>45852.77431</v>
      </c>
      <c r="N16" s="25">
        <f t="shared" si="2"/>
        <v>45853.59931</v>
      </c>
      <c r="O16" s="25">
        <f t="shared" si="3"/>
        <v>0.825</v>
      </c>
      <c r="P16" s="25">
        <f t="shared" si="4"/>
        <v>19.8</v>
      </c>
      <c r="Q16" s="12">
        <v>1.0</v>
      </c>
      <c r="R16" s="2"/>
    </row>
    <row r="17">
      <c r="A17" s="5">
        <v>11.0</v>
      </c>
      <c r="B17" s="26"/>
      <c r="C17" s="112" t="s">
        <v>276</v>
      </c>
      <c r="D17" s="19" t="s">
        <v>277</v>
      </c>
      <c r="E17" s="20">
        <v>45857.0</v>
      </c>
      <c r="F17" s="21">
        <v>0.3020833333333333</v>
      </c>
      <c r="G17" s="20">
        <v>45858.0</v>
      </c>
      <c r="H17" s="21">
        <v>0.06597222222222222</v>
      </c>
      <c r="I17" s="22">
        <v>1100.0</v>
      </c>
      <c r="J17" s="23"/>
      <c r="K17" s="24"/>
      <c r="L17" s="21"/>
      <c r="M17" s="25">
        <f t="shared" si="1"/>
        <v>45857.30208</v>
      </c>
      <c r="N17" s="25">
        <f t="shared" si="2"/>
        <v>45858.06597</v>
      </c>
      <c r="O17" s="25">
        <f t="shared" si="3"/>
        <v>0.7638888889</v>
      </c>
      <c r="P17" s="25">
        <f t="shared" si="4"/>
        <v>18.33333333</v>
      </c>
      <c r="Q17" s="12">
        <v>1.0</v>
      </c>
      <c r="R17" s="2"/>
    </row>
    <row r="18">
      <c r="A18" s="5">
        <v>12.0</v>
      </c>
      <c r="B18" s="26"/>
      <c r="C18" s="112" t="s">
        <v>268</v>
      </c>
      <c r="D18" s="27" t="s">
        <v>184</v>
      </c>
      <c r="E18" s="20">
        <v>45861.0</v>
      </c>
      <c r="F18" s="21">
        <v>0.5104166666666666</v>
      </c>
      <c r="G18" s="20">
        <v>45861.0</v>
      </c>
      <c r="H18" s="21">
        <v>0.9583333333333334</v>
      </c>
      <c r="I18" s="100">
        <v>718.453</v>
      </c>
      <c r="J18" s="87"/>
      <c r="K18" s="24"/>
      <c r="L18" s="21"/>
      <c r="M18" s="25">
        <f t="shared" si="1"/>
        <v>45861.51042</v>
      </c>
      <c r="N18" s="25">
        <f t="shared" si="2"/>
        <v>45861.95833</v>
      </c>
      <c r="O18" s="25">
        <f t="shared" si="3"/>
        <v>0.4479166667</v>
      </c>
      <c r="P18" s="25">
        <f t="shared" si="4"/>
        <v>10.75</v>
      </c>
      <c r="Q18" s="12">
        <v>2.0</v>
      </c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17722.983</v>
      </c>
      <c r="J21" s="113">
        <f t="shared" si="5"/>
        <v>7542.412</v>
      </c>
      <c r="K21" s="39">
        <f>+(P21)/(31*24)</f>
        <v>0.6328181004</v>
      </c>
      <c r="L21" s="40"/>
      <c r="M21" s="41"/>
      <c r="N21" s="41"/>
      <c r="O21" s="41"/>
      <c r="P21" s="42">
        <f>SUM(P7:P20)</f>
        <v>470.8166667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13.0</v>
      </c>
      <c r="B23" s="116" t="s">
        <v>31</v>
      </c>
      <c r="C23" s="112" t="s">
        <v>37</v>
      </c>
      <c r="D23" s="19" t="s">
        <v>33</v>
      </c>
      <c r="E23" s="20">
        <v>45822.0</v>
      </c>
      <c r="F23" s="21">
        <v>0.3645833333333333</v>
      </c>
      <c r="G23" s="20">
        <v>45829.0</v>
      </c>
      <c r="H23" s="21">
        <v>0.6493055555555556</v>
      </c>
      <c r="I23" s="22">
        <v>8296.047</v>
      </c>
      <c r="J23" s="122"/>
      <c r="K23" s="123"/>
      <c r="L23" s="120"/>
      <c r="M23" s="124">
        <f t="shared" ref="M23:M28" si="6">INT(E23)+MOD(F23,1)</f>
        <v>45822.36458</v>
      </c>
      <c r="N23" s="124">
        <f t="shared" ref="N23:N28" si="7">INT(G23)+MOD(H23,1)</f>
        <v>45829.64931</v>
      </c>
      <c r="O23" s="124">
        <f t="shared" ref="O23:O28" si="8">N23-M23</f>
        <v>7.284722222</v>
      </c>
      <c r="P23" s="125">
        <f t="shared" ref="P23:P28" si="9">O23*24</f>
        <v>174.8333333</v>
      </c>
      <c r="Q23" s="12">
        <v>3.0</v>
      </c>
      <c r="R23" s="2"/>
    </row>
    <row r="24" ht="15.75" customHeight="1">
      <c r="A24" s="115">
        <v>14.0</v>
      </c>
      <c r="B24" s="126"/>
      <c r="C24" s="112" t="s">
        <v>278</v>
      </c>
      <c r="D24" s="19" t="s">
        <v>33</v>
      </c>
      <c r="E24" s="20">
        <v>45821.0</v>
      </c>
      <c r="F24" s="21">
        <v>0.576388888888889</v>
      </c>
      <c r="G24" s="20">
        <v>45828.0</v>
      </c>
      <c r="H24" s="21">
        <v>0.7465277777777778</v>
      </c>
      <c r="I24" s="22">
        <v>8319.89</v>
      </c>
      <c r="J24" s="23"/>
      <c r="K24" s="45"/>
      <c r="L24" s="21"/>
      <c r="M24" s="124">
        <f t="shared" si="6"/>
        <v>45821.57639</v>
      </c>
      <c r="N24" s="124">
        <f t="shared" si="7"/>
        <v>45828.74653</v>
      </c>
      <c r="O24" s="124">
        <f t="shared" si="8"/>
        <v>7.170138889</v>
      </c>
      <c r="P24" s="125">
        <f t="shared" si="9"/>
        <v>172.0833333</v>
      </c>
      <c r="Q24" s="12">
        <v>3.0</v>
      </c>
      <c r="R24" s="2"/>
    </row>
    <row r="25" ht="15.75" customHeight="1">
      <c r="A25" s="115">
        <v>15.0</v>
      </c>
      <c r="B25" s="126"/>
      <c r="C25" s="112" t="s">
        <v>279</v>
      </c>
      <c r="D25" s="19" t="s">
        <v>33</v>
      </c>
      <c r="E25" s="20">
        <v>45828.0</v>
      </c>
      <c r="F25" s="21">
        <v>0.78125</v>
      </c>
      <c r="G25" s="20">
        <v>45835.0</v>
      </c>
      <c r="H25" s="21">
        <v>0.6180555555555556</v>
      </c>
      <c r="I25" s="22">
        <v>7493.015</v>
      </c>
      <c r="J25" s="23"/>
      <c r="K25" s="45"/>
      <c r="L25" s="21"/>
      <c r="M25" s="124">
        <f t="shared" si="6"/>
        <v>45828.78125</v>
      </c>
      <c r="N25" s="124">
        <f t="shared" si="7"/>
        <v>45835.61806</v>
      </c>
      <c r="O25" s="124">
        <f t="shared" si="8"/>
        <v>6.836805556</v>
      </c>
      <c r="P25" s="125">
        <f t="shared" si="9"/>
        <v>164.0833333</v>
      </c>
      <c r="Q25" s="12">
        <v>3.0</v>
      </c>
      <c r="R25" s="2"/>
    </row>
    <row r="26" ht="15.75" customHeight="1">
      <c r="A26" s="115">
        <v>16.0</v>
      </c>
      <c r="B26" s="126"/>
      <c r="C26" s="112" t="s">
        <v>231</v>
      </c>
      <c r="D26" s="19" t="s">
        <v>33</v>
      </c>
      <c r="E26" s="20">
        <v>45835.0</v>
      </c>
      <c r="F26" s="21">
        <v>0.6597222222222222</v>
      </c>
      <c r="G26" s="20">
        <v>45840.0</v>
      </c>
      <c r="H26" s="21">
        <v>0.40972222222222227</v>
      </c>
      <c r="I26" s="22">
        <v>8038.975</v>
      </c>
      <c r="J26" s="23"/>
      <c r="K26" s="45"/>
      <c r="L26" s="21"/>
      <c r="M26" s="124">
        <f t="shared" si="6"/>
        <v>45835.65972</v>
      </c>
      <c r="N26" s="124">
        <f t="shared" si="7"/>
        <v>45840.40972</v>
      </c>
      <c r="O26" s="124">
        <f t="shared" si="8"/>
        <v>4.75</v>
      </c>
      <c r="P26" s="125">
        <f t="shared" si="9"/>
        <v>114</v>
      </c>
      <c r="Q26" s="12">
        <v>3.0</v>
      </c>
      <c r="R26" s="2"/>
    </row>
    <row r="27" ht="15.75" customHeight="1">
      <c r="A27" s="115">
        <v>17.0</v>
      </c>
      <c r="B27" s="126"/>
      <c r="C27" s="112" t="s">
        <v>280</v>
      </c>
      <c r="D27" s="19" t="s">
        <v>33</v>
      </c>
      <c r="E27" s="20">
        <v>45845.0</v>
      </c>
      <c r="F27" s="21">
        <v>0.8229166666666666</v>
      </c>
      <c r="G27" s="20">
        <v>45851.0</v>
      </c>
      <c r="H27" s="21">
        <v>0.3645833333333333</v>
      </c>
      <c r="I27" s="22">
        <v>8013.465</v>
      </c>
      <c r="J27" s="23"/>
      <c r="K27" s="45"/>
      <c r="L27" s="21"/>
      <c r="M27" s="124">
        <f t="shared" si="6"/>
        <v>45845.82292</v>
      </c>
      <c r="N27" s="124">
        <f t="shared" si="7"/>
        <v>45851.36458</v>
      </c>
      <c r="O27" s="124">
        <f t="shared" si="8"/>
        <v>5.541666667</v>
      </c>
      <c r="P27" s="125">
        <f t="shared" si="9"/>
        <v>133</v>
      </c>
      <c r="Q27" s="12">
        <v>3.0</v>
      </c>
      <c r="R27" s="2"/>
    </row>
    <row r="28" ht="15.75" customHeight="1">
      <c r="A28" s="115">
        <v>18.0</v>
      </c>
      <c r="B28" s="126"/>
      <c r="C28" s="112" t="s">
        <v>281</v>
      </c>
      <c r="D28" s="19" t="s">
        <v>33</v>
      </c>
      <c r="E28" s="20">
        <v>45852.0</v>
      </c>
      <c r="F28" s="21">
        <v>0.375</v>
      </c>
      <c r="G28" s="20">
        <v>45858.0</v>
      </c>
      <c r="H28" s="21">
        <v>0.3923611111111111</v>
      </c>
      <c r="I28" s="22">
        <v>7763.127</v>
      </c>
      <c r="J28" s="23"/>
      <c r="K28" s="45"/>
      <c r="L28" s="21"/>
      <c r="M28" s="124">
        <f t="shared" si="6"/>
        <v>45852.375</v>
      </c>
      <c r="N28" s="124">
        <f t="shared" si="7"/>
        <v>45858.39236</v>
      </c>
      <c r="O28" s="124">
        <f t="shared" si="8"/>
        <v>6.017361111</v>
      </c>
      <c r="P28" s="125">
        <f t="shared" si="9"/>
        <v>144.4166667</v>
      </c>
      <c r="Q28" s="12">
        <v>3.0</v>
      </c>
      <c r="R28" s="2"/>
    </row>
    <row r="29" ht="15.75" customHeight="1">
      <c r="A29" s="115"/>
      <c r="B29" s="126"/>
      <c r="C29" s="112"/>
      <c r="D29" s="19"/>
      <c r="E29" s="20"/>
      <c r="F29" s="21"/>
      <c r="G29" s="20"/>
      <c r="H29" s="21"/>
      <c r="I29" s="22"/>
      <c r="J29" s="23"/>
      <c r="K29" s="45"/>
      <c r="L29" s="21"/>
      <c r="M29" s="46"/>
      <c r="N29" s="46"/>
      <c r="O29" s="46"/>
      <c r="P29" s="128"/>
      <c r="Q29" s="12"/>
      <c r="R29" s="2"/>
    </row>
    <row r="30" ht="15.75" customHeight="1">
      <c r="A30" s="115"/>
      <c r="B30" s="126"/>
      <c r="C30" s="112"/>
      <c r="D30" s="19"/>
      <c r="E30" s="20"/>
      <c r="F30" s="21"/>
      <c r="G30" s="20"/>
      <c r="H30" s="21"/>
      <c r="I30" s="22"/>
      <c r="J30" s="23"/>
      <c r="K30" s="45"/>
      <c r="L30" s="21"/>
      <c r="M30" s="46"/>
      <c r="N30" s="46"/>
      <c r="O30" s="46"/>
      <c r="P30" s="128"/>
      <c r="Q30" s="12"/>
      <c r="R30" s="2"/>
    </row>
    <row r="31" ht="15.75" customHeight="1">
      <c r="A31" s="129"/>
      <c r="B31" s="130"/>
      <c r="C31" s="33"/>
      <c r="D31" s="34"/>
      <c r="E31" s="35"/>
      <c r="F31" s="36"/>
      <c r="G31" s="35"/>
      <c r="H31" s="36"/>
      <c r="I31" s="131">
        <f t="shared" ref="I31:J31" si="10">SUM(I23:I30)</f>
        <v>47924.519</v>
      </c>
      <c r="J31" s="113">
        <f t="shared" si="10"/>
        <v>0</v>
      </c>
      <c r="K31" s="64">
        <f>+(P31)/(31*24)</f>
        <v>1.212925627</v>
      </c>
      <c r="L31" s="40"/>
      <c r="M31" s="41"/>
      <c r="N31" s="41"/>
      <c r="O31" s="41"/>
      <c r="P31" s="42">
        <f>SUM(P23:P30)</f>
        <v>902.4166667</v>
      </c>
      <c r="Q31" s="2"/>
      <c r="R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  <c r="R32" s="2"/>
    </row>
    <row r="33" ht="15.75" customHeight="1">
      <c r="A33" s="115">
        <v>19.0</v>
      </c>
      <c r="B33" s="116" t="s">
        <v>41</v>
      </c>
      <c r="C33" s="149" t="s">
        <v>146</v>
      </c>
      <c r="D33" s="19" t="s">
        <v>33</v>
      </c>
      <c r="E33" s="20">
        <v>45825.0</v>
      </c>
      <c r="F33" s="21">
        <v>0.3368055555555556</v>
      </c>
      <c r="G33" s="20">
        <v>45828.0</v>
      </c>
      <c r="H33" s="21">
        <v>0.3854166666666667</v>
      </c>
      <c r="I33" s="22">
        <v>7717.78</v>
      </c>
      <c r="J33" s="122"/>
      <c r="K33" s="123"/>
      <c r="L33" s="120"/>
      <c r="M33" s="124">
        <f t="shared" ref="M33:M49" si="11">INT(E33)+MOD(F33,1)</f>
        <v>45825.33681</v>
      </c>
      <c r="N33" s="124">
        <f t="shared" ref="N33:N49" si="12">INT(G33)+MOD(H33,1)</f>
        <v>45828.38542</v>
      </c>
      <c r="O33" s="132">
        <f t="shared" ref="O33:O49" si="13">N33-M33</f>
        <v>3.048611111</v>
      </c>
      <c r="P33" s="125">
        <f t="shared" ref="P33:P49" si="14">O33*24</f>
        <v>73.16666667</v>
      </c>
      <c r="Q33" s="12">
        <v>4.0</v>
      </c>
      <c r="R33" s="2"/>
    </row>
    <row r="34" ht="15.75" customHeight="1">
      <c r="A34" s="115">
        <v>20.0</v>
      </c>
      <c r="B34" s="126"/>
      <c r="C34" s="149" t="s">
        <v>282</v>
      </c>
      <c r="D34" s="19" t="s">
        <v>33</v>
      </c>
      <c r="E34" s="20">
        <v>45828.0</v>
      </c>
      <c r="F34" s="21">
        <v>0.44097222222222227</v>
      </c>
      <c r="G34" s="20">
        <v>45832.0</v>
      </c>
      <c r="H34" s="21">
        <v>0.3541666666666667</v>
      </c>
      <c r="I34" s="22">
        <v>8458.14</v>
      </c>
      <c r="J34" s="23"/>
      <c r="K34" s="45"/>
      <c r="L34" s="21"/>
      <c r="M34" s="25">
        <f t="shared" si="11"/>
        <v>45828.44097</v>
      </c>
      <c r="N34" s="25">
        <f t="shared" si="12"/>
        <v>45832.35417</v>
      </c>
      <c r="O34" s="60">
        <f t="shared" si="13"/>
        <v>3.913194444</v>
      </c>
      <c r="P34" s="127">
        <f t="shared" si="14"/>
        <v>93.91666667</v>
      </c>
      <c r="Q34" s="12">
        <v>4.0</v>
      </c>
      <c r="R34" s="2"/>
    </row>
    <row r="35" ht="15.75" customHeight="1">
      <c r="A35" s="115">
        <v>21.0</v>
      </c>
      <c r="B35" s="126"/>
      <c r="C35" s="149" t="s">
        <v>283</v>
      </c>
      <c r="D35" s="19" t="s">
        <v>33</v>
      </c>
      <c r="E35" s="20">
        <v>45830.0</v>
      </c>
      <c r="F35" s="21">
        <v>0.5208333333333334</v>
      </c>
      <c r="G35" s="20">
        <v>45833.0</v>
      </c>
      <c r="H35" s="21">
        <v>0.5833333333333334</v>
      </c>
      <c r="I35" s="22">
        <v>7247.98</v>
      </c>
      <c r="J35" s="29"/>
      <c r="K35" s="45"/>
      <c r="L35" s="21"/>
      <c r="M35" s="25">
        <f t="shared" si="11"/>
        <v>45830.52083</v>
      </c>
      <c r="N35" s="25">
        <f t="shared" si="12"/>
        <v>45833.58333</v>
      </c>
      <c r="O35" s="60">
        <f t="shared" si="13"/>
        <v>3.0625</v>
      </c>
      <c r="P35" s="127">
        <f t="shared" si="14"/>
        <v>73.5</v>
      </c>
      <c r="Q35" s="12">
        <v>4.0</v>
      </c>
      <c r="R35" s="2"/>
    </row>
    <row r="36" ht="15.75" customHeight="1">
      <c r="A36" s="115">
        <v>22.0</v>
      </c>
      <c r="B36" s="126"/>
      <c r="C36" s="149" t="s">
        <v>109</v>
      </c>
      <c r="D36" s="19" t="s">
        <v>33</v>
      </c>
      <c r="E36" s="20">
        <v>45839.0</v>
      </c>
      <c r="F36" s="21">
        <v>0.6736111111111112</v>
      </c>
      <c r="G36" s="20">
        <v>45841.0</v>
      </c>
      <c r="H36" s="21">
        <v>0.5381944444444444</v>
      </c>
      <c r="I36" s="22">
        <v>7689.68</v>
      </c>
      <c r="J36" s="23"/>
      <c r="K36" s="45"/>
      <c r="L36" s="21"/>
      <c r="M36" s="25">
        <f t="shared" si="11"/>
        <v>45839.67361</v>
      </c>
      <c r="N36" s="25">
        <f t="shared" si="12"/>
        <v>45841.53819</v>
      </c>
      <c r="O36" s="60">
        <f t="shared" si="13"/>
        <v>1.864583333</v>
      </c>
      <c r="P36" s="127">
        <f t="shared" si="14"/>
        <v>44.75</v>
      </c>
      <c r="Q36" s="12">
        <v>4.0</v>
      </c>
      <c r="R36" s="2"/>
    </row>
    <row r="37" ht="15.75" customHeight="1">
      <c r="A37" s="115">
        <v>23.0</v>
      </c>
      <c r="B37" s="126"/>
      <c r="C37" s="149" t="s">
        <v>284</v>
      </c>
      <c r="D37" s="19" t="s">
        <v>33</v>
      </c>
      <c r="E37" s="20">
        <v>45832.0</v>
      </c>
      <c r="F37" s="21">
        <v>0.4861111111111111</v>
      </c>
      <c r="G37" s="20">
        <v>45837.0</v>
      </c>
      <c r="H37" s="21">
        <v>0.3229166666666667</v>
      </c>
      <c r="I37" s="22">
        <v>8293.144</v>
      </c>
      <c r="J37" s="23"/>
      <c r="K37" s="45"/>
      <c r="L37" s="21"/>
      <c r="M37" s="25">
        <f t="shared" si="11"/>
        <v>45832.48611</v>
      </c>
      <c r="N37" s="25">
        <f t="shared" si="12"/>
        <v>45837.32292</v>
      </c>
      <c r="O37" s="60">
        <f t="shared" si="13"/>
        <v>4.836805556</v>
      </c>
      <c r="P37" s="127">
        <f t="shared" si="14"/>
        <v>116.0833333</v>
      </c>
      <c r="Q37" s="12">
        <v>4.0</v>
      </c>
      <c r="R37" s="2"/>
    </row>
    <row r="38" ht="15.75" customHeight="1">
      <c r="A38" s="115">
        <v>24.0</v>
      </c>
      <c r="B38" s="126"/>
      <c r="C38" s="149" t="s">
        <v>285</v>
      </c>
      <c r="D38" s="19" t="s">
        <v>33</v>
      </c>
      <c r="E38" s="20">
        <v>45841.0</v>
      </c>
      <c r="F38" s="21">
        <v>0.6597222222222222</v>
      </c>
      <c r="G38" s="20">
        <v>45844.0</v>
      </c>
      <c r="H38" s="21">
        <v>0.3888888888888889</v>
      </c>
      <c r="I38" s="22">
        <v>7531.08</v>
      </c>
      <c r="J38" s="23"/>
      <c r="K38" s="45"/>
      <c r="L38" s="21"/>
      <c r="M38" s="25">
        <f t="shared" si="11"/>
        <v>45841.65972</v>
      </c>
      <c r="N38" s="25">
        <f t="shared" si="12"/>
        <v>45844.38889</v>
      </c>
      <c r="O38" s="60">
        <f t="shared" si="13"/>
        <v>2.729166667</v>
      </c>
      <c r="P38" s="127">
        <f t="shared" si="14"/>
        <v>65.5</v>
      </c>
      <c r="Q38" s="12">
        <v>4.0</v>
      </c>
      <c r="R38" s="2"/>
    </row>
    <row r="39" ht="15.75" customHeight="1">
      <c r="A39" s="115">
        <v>25.0</v>
      </c>
      <c r="B39" s="126"/>
      <c r="C39" s="149" t="s">
        <v>286</v>
      </c>
      <c r="D39" s="19" t="s">
        <v>33</v>
      </c>
      <c r="E39" s="20">
        <v>45845.0</v>
      </c>
      <c r="F39" s="21">
        <v>0.4756944444444444</v>
      </c>
      <c r="G39" s="20">
        <v>45848.0</v>
      </c>
      <c r="H39" s="21">
        <v>0.43402777777777773</v>
      </c>
      <c r="I39" s="22">
        <v>8371.12</v>
      </c>
      <c r="J39" s="23"/>
      <c r="K39" s="45"/>
      <c r="L39" s="21"/>
      <c r="M39" s="25">
        <f t="shared" si="11"/>
        <v>45845.47569</v>
      </c>
      <c r="N39" s="25">
        <f t="shared" si="12"/>
        <v>45848.43403</v>
      </c>
      <c r="O39" s="60">
        <f t="shared" si="13"/>
        <v>2.958333333</v>
      </c>
      <c r="P39" s="127">
        <f t="shared" si="14"/>
        <v>71</v>
      </c>
      <c r="Q39" s="12">
        <v>4.0</v>
      </c>
      <c r="R39" s="2"/>
    </row>
    <row r="40" ht="15.75" customHeight="1">
      <c r="A40" s="115">
        <v>26.0</v>
      </c>
      <c r="B40" s="126"/>
      <c r="C40" s="149" t="s">
        <v>287</v>
      </c>
      <c r="D40" s="19" t="s">
        <v>33</v>
      </c>
      <c r="E40" s="20">
        <v>45841.0</v>
      </c>
      <c r="F40" s="21">
        <v>0.46875</v>
      </c>
      <c r="G40" s="20">
        <v>45845.0</v>
      </c>
      <c r="H40" s="21">
        <v>0.34722222222222227</v>
      </c>
      <c r="I40" s="22">
        <v>7493.677</v>
      </c>
      <c r="J40" s="23"/>
      <c r="K40" s="45"/>
      <c r="L40" s="21"/>
      <c r="M40" s="25">
        <f t="shared" si="11"/>
        <v>45841.46875</v>
      </c>
      <c r="N40" s="25">
        <f t="shared" si="12"/>
        <v>45845.34722</v>
      </c>
      <c r="O40" s="60">
        <f t="shared" si="13"/>
        <v>3.878472222</v>
      </c>
      <c r="P40" s="127">
        <f t="shared" si="14"/>
        <v>93.08333333</v>
      </c>
      <c r="Q40" s="12">
        <v>4.0</v>
      </c>
      <c r="R40" s="2"/>
    </row>
    <row r="41" ht="15.75" customHeight="1">
      <c r="A41" s="115">
        <v>27.0</v>
      </c>
      <c r="B41" s="126"/>
      <c r="C41" s="149" t="s">
        <v>288</v>
      </c>
      <c r="D41" s="19" t="s">
        <v>33</v>
      </c>
      <c r="E41" s="20">
        <v>45848.0</v>
      </c>
      <c r="F41" s="21">
        <v>0.4791666666666667</v>
      </c>
      <c r="G41" s="20">
        <v>45851.0</v>
      </c>
      <c r="H41" s="21">
        <v>0.3055555555555555</v>
      </c>
      <c r="I41" s="22">
        <v>6848.72</v>
      </c>
      <c r="J41" s="23"/>
      <c r="K41" s="45"/>
      <c r="L41" s="21"/>
      <c r="M41" s="25">
        <f t="shared" si="11"/>
        <v>45848.47917</v>
      </c>
      <c r="N41" s="25">
        <f t="shared" si="12"/>
        <v>45851.30556</v>
      </c>
      <c r="O41" s="60">
        <f t="shared" si="13"/>
        <v>2.826388889</v>
      </c>
      <c r="P41" s="127">
        <f t="shared" si="14"/>
        <v>67.83333333</v>
      </c>
      <c r="Q41" s="12">
        <v>4.0</v>
      </c>
      <c r="R41" s="2"/>
    </row>
    <row r="42" ht="15.75" customHeight="1">
      <c r="A42" s="115">
        <v>28.0</v>
      </c>
      <c r="B42" s="126"/>
      <c r="C42" s="149" t="s">
        <v>66</v>
      </c>
      <c r="D42" s="19" t="s">
        <v>33</v>
      </c>
      <c r="E42" s="20">
        <v>45844.0</v>
      </c>
      <c r="F42" s="21">
        <v>0.4513888888888889</v>
      </c>
      <c r="G42" s="20">
        <v>45849.0</v>
      </c>
      <c r="H42" s="21">
        <v>0.34722222222222227</v>
      </c>
      <c r="I42" s="22">
        <v>8027.364</v>
      </c>
      <c r="J42" s="23"/>
      <c r="K42" s="45"/>
      <c r="L42" s="21"/>
      <c r="M42" s="25">
        <f t="shared" si="11"/>
        <v>45844.45139</v>
      </c>
      <c r="N42" s="25">
        <f t="shared" si="12"/>
        <v>45849.34722</v>
      </c>
      <c r="O42" s="60">
        <f t="shared" si="13"/>
        <v>4.895833333</v>
      </c>
      <c r="P42" s="127">
        <f t="shared" si="14"/>
        <v>117.5</v>
      </c>
      <c r="Q42" s="12">
        <v>4.0</v>
      </c>
      <c r="R42" s="2"/>
    </row>
    <row r="43" ht="15.75" customHeight="1">
      <c r="A43" s="115">
        <v>29.0</v>
      </c>
      <c r="B43" s="126"/>
      <c r="C43" s="149" t="s">
        <v>289</v>
      </c>
      <c r="D43" s="19" t="s">
        <v>33</v>
      </c>
      <c r="E43" s="20">
        <v>45849.0</v>
      </c>
      <c r="F43" s="21">
        <v>0.3993055555555556</v>
      </c>
      <c r="G43" s="20">
        <v>45852.0</v>
      </c>
      <c r="H43" s="21">
        <v>0.6875</v>
      </c>
      <c r="I43" s="22">
        <v>8313.009</v>
      </c>
      <c r="J43" s="23"/>
      <c r="K43" s="45"/>
      <c r="L43" s="21"/>
      <c r="M43" s="25">
        <f t="shared" si="11"/>
        <v>45849.39931</v>
      </c>
      <c r="N43" s="25">
        <f t="shared" si="12"/>
        <v>45852.6875</v>
      </c>
      <c r="O43" s="60">
        <f t="shared" si="13"/>
        <v>3.288194444</v>
      </c>
      <c r="P43" s="127">
        <f t="shared" si="14"/>
        <v>78.91666667</v>
      </c>
      <c r="Q43" s="12">
        <v>4.0</v>
      </c>
      <c r="R43" s="2"/>
    </row>
    <row r="44" ht="15.75" customHeight="1">
      <c r="A44" s="115">
        <v>30.0</v>
      </c>
      <c r="B44" s="126"/>
      <c r="C44" s="149" t="s">
        <v>290</v>
      </c>
      <c r="D44" s="19" t="s">
        <v>33</v>
      </c>
      <c r="E44" s="20">
        <v>45854.0</v>
      </c>
      <c r="F44" s="21">
        <v>0.3854166666666667</v>
      </c>
      <c r="G44" s="20">
        <v>45858.0</v>
      </c>
      <c r="H44" s="21">
        <v>0.6180555555555556</v>
      </c>
      <c r="I44" s="22">
        <v>7797.58</v>
      </c>
      <c r="J44" s="23"/>
      <c r="K44" s="45"/>
      <c r="L44" s="21"/>
      <c r="M44" s="25">
        <f t="shared" si="11"/>
        <v>45854.38542</v>
      </c>
      <c r="N44" s="25">
        <f t="shared" si="12"/>
        <v>45858.61806</v>
      </c>
      <c r="O44" s="60">
        <f t="shared" si="13"/>
        <v>4.232638889</v>
      </c>
      <c r="P44" s="127">
        <f t="shared" si="14"/>
        <v>101.5833333</v>
      </c>
      <c r="Q44" s="12">
        <v>4.0</v>
      </c>
      <c r="R44" s="2"/>
    </row>
    <row r="45" ht="15.75" customHeight="1">
      <c r="A45" s="115">
        <v>31.0</v>
      </c>
      <c r="B45" s="126"/>
      <c r="C45" s="149" t="s">
        <v>291</v>
      </c>
      <c r="D45" s="19" t="s">
        <v>33</v>
      </c>
      <c r="E45" s="20">
        <v>45854.0</v>
      </c>
      <c r="F45" s="21">
        <v>0.6805555555555555</v>
      </c>
      <c r="G45" s="20">
        <v>45860.0</v>
      </c>
      <c r="H45" s="21">
        <v>0.4826388888888889</v>
      </c>
      <c r="I45" s="22">
        <v>10745.4</v>
      </c>
      <c r="J45" s="23"/>
      <c r="K45" s="45"/>
      <c r="L45" s="50"/>
      <c r="M45" s="25">
        <f t="shared" si="11"/>
        <v>45854.68056</v>
      </c>
      <c r="N45" s="25">
        <f t="shared" si="12"/>
        <v>45860.48264</v>
      </c>
      <c r="O45" s="60">
        <f t="shared" si="13"/>
        <v>5.802083333</v>
      </c>
      <c r="P45" s="127">
        <f t="shared" si="14"/>
        <v>139.25</v>
      </c>
      <c r="Q45" s="12">
        <v>4.0</v>
      </c>
      <c r="R45" s="2"/>
    </row>
    <row r="46" ht="15.75" customHeight="1">
      <c r="A46" s="115">
        <v>32.0</v>
      </c>
      <c r="B46" s="126"/>
      <c r="C46" s="149" t="s">
        <v>292</v>
      </c>
      <c r="D46" s="19" t="s">
        <v>33</v>
      </c>
      <c r="E46" s="20">
        <v>45851.0</v>
      </c>
      <c r="F46" s="21">
        <v>0.40972222222222227</v>
      </c>
      <c r="G46" s="20">
        <v>45856.0</v>
      </c>
      <c r="H46" s="21">
        <v>0.5902777777777778</v>
      </c>
      <c r="I46" s="22">
        <v>7997.361</v>
      </c>
      <c r="J46" s="29"/>
      <c r="K46" s="45"/>
      <c r="L46" s="50"/>
      <c r="M46" s="25">
        <f t="shared" si="11"/>
        <v>45851.40972</v>
      </c>
      <c r="N46" s="25">
        <f t="shared" si="12"/>
        <v>45856.59028</v>
      </c>
      <c r="O46" s="60">
        <f t="shared" si="13"/>
        <v>5.180555556</v>
      </c>
      <c r="P46" s="127">
        <f t="shared" si="14"/>
        <v>124.3333333</v>
      </c>
      <c r="Q46" s="12">
        <v>4.0</v>
      </c>
      <c r="R46" s="2"/>
    </row>
    <row r="47" ht="15.75" customHeight="1">
      <c r="A47" s="115">
        <v>33.0</v>
      </c>
      <c r="B47" s="126"/>
      <c r="C47" s="149" t="s">
        <v>293</v>
      </c>
      <c r="D47" s="19" t="s">
        <v>33</v>
      </c>
      <c r="E47" s="20">
        <v>45858.0</v>
      </c>
      <c r="F47" s="21">
        <v>0.37847222222222227</v>
      </c>
      <c r="G47" s="20">
        <v>45861.0</v>
      </c>
      <c r="H47" s="21">
        <v>0.6333333333333333</v>
      </c>
      <c r="I47" s="22">
        <v>8798.567</v>
      </c>
      <c r="J47" s="29"/>
      <c r="K47" s="45"/>
      <c r="L47" s="50"/>
      <c r="M47" s="25">
        <f t="shared" si="11"/>
        <v>45858.37847</v>
      </c>
      <c r="N47" s="25">
        <f t="shared" si="12"/>
        <v>45861.63333</v>
      </c>
      <c r="O47" s="60">
        <f t="shared" si="13"/>
        <v>3.254861111</v>
      </c>
      <c r="P47" s="127">
        <f t="shared" si="14"/>
        <v>78.11666667</v>
      </c>
      <c r="Q47" s="12">
        <v>4.0</v>
      </c>
      <c r="R47" s="2"/>
    </row>
    <row r="48" ht="15.75" customHeight="1">
      <c r="A48" s="115"/>
      <c r="B48" s="133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25">
        <f t="shared" si="11"/>
        <v>0</v>
      </c>
      <c r="N48" s="25">
        <f t="shared" si="12"/>
        <v>0</v>
      </c>
      <c r="O48" s="60">
        <f t="shared" si="13"/>
        <v>0</v>
      </c>
      <c r="P48" s="127">
        <f t="shared" si="14"/>
        <v>0</v>
      </c>
      <c r="Q48" s="12"/>
      <c r="R48" s="2"/>
    </row>
    <row r="49" ht="18.0" customHeight="1">
      <c r="A49" s="115"/>
      <c r="B49" s="134"/>
      <c r="C49" s="30"/>
      <c r="D49" s="19"/>
      <c r="E49" s="20"/>
      <c r="F49" s="21"/>
      <c r="G49" s="20"/>
      <c r="H49" s="21"/>
      <c r="I49" s="22"/>
      <c r="J49" s="29"/>
      <c r="K49" s="45"/>
      <c r="L49" s="21"/>
      <c r="M49" s="25">
        <f t="shared" si="11"/>
        <v>0</v>
      </c>
      <c r="N49" s="25">
        <f t="shared" si="12"/>
        <v>0</v>
      </c>
      <c r="O49" s="60">
        <f t="shared" si="13"/>
        <v>0</v>
      </c>
      <c r="P49" s="127">
        <f t="shared" si="14"/>
        <v>0</v>
      </c>
      <c r="Q49" s="12"/>
      <c r="R49" s="2"/>
    </row>
    <row r="50" ht="18.75" customHeight="1">
      <c r="A50" s="135"/>
      <c r="B50" s="134"/>
      <c r="C50" s="102"/>
      <c r="D50" s="108"/>
      <c r="E50" s="104"/>
      <c r="F50" s="72"/>
      <c r="G50" s="104"/>
      <c r="H50" s="72"/>
      <c r="I50" s="109"/>
      <c r="J50" s="136"/>
      <c r="K50" s="137"/>
      <c r="L50" s="69"/>
      <c r="M50" s="70"/>
      <c r="N50" s="70"/>
      <c r="O50" s="110"/>
      <c r="P50" s="138"/>
      <c r="Q50" s="12"/>
      <c r="R50" s="2"/>
    </row>
    <row r="51" ht="15.75" customHeight="1">
      <c r="A51" s="139"/>
      <c r="B51" s="140"/>
      <c r="C51" s="141"/>
      <c r="D51" s="34"/>
      <c r="E51" s="35"/>
      <c r="F51" s="36"/>
      <c r="G51" s="35"/>
      <c r="H51" s="36"/>
      <c r="I51" s="131">
        <f t="shared" ref="I51:J51" si="15">SUM(I33:I48)</f>
        <v>121330.602</v>
      </c>
      <c r="J51" s="142">
        <f t="shared" si="15"/>
        <v>0</v>
      </c>
      <c r="K51" s="64">
        <f>+(P51)/(31*24)</f>
        <v>1.799103943</v>
      </c>
      <c r="L51" s="40"/>
      <c r="M51" s="41"/>
      <c r="N51" s="41"/>
      <c r="O51" s="41"/>
      <c r="P51" s="42">
        <f>SUM(P33:P48)</f>
        <v>1338.533333</v>
      </c>
      <c r="Q51" s="12"/>
      <c r="R51" s="2"/>
    </row>
    <row r="52" ht="15.75" customHeight="1">
      <c r="A52" s="65"/>
      <c r="B52" s="66"/>
      <c r="C52" s="67"/>
      <c r="D52" s="12"/>
      <c r="E52" s="13"/>
      <c r="F52" s="14"/>
      <c r="G52" s="13"/>
      <c r="H52" s="14"/>
      <c r="I52" s="55"/>
      <c r="J52" s="56"/>
      <c r="K52" s="68"/>
      <c r="L52" s="69"/>
      <c r="M52" s="70"/>
      <c r="N52" s="70"/>
      <c r="O52" s="70"/>
      <c r="P52" s="71"/>
      <c r="Q52" s="12"/>
      <c r="R52" s="2"/>
    </row>
    <row r="53" ht="15.75" customHeight="1">
      <c r="A53" s="115">
        <v>34.0</v>
      </c>
      <c r="B53" s="116" t="s">
        <v>62</v>
      </c>
      <c r="C53" s="149" t="s">
        <v>294</v>
      </c>
      <c r="D53" s="19" t="s">
        <v>33</v>
      </c>
      <c r="E53" s="20">
        <v>45827.0</v>
      </c>
      <c r="F53" s="21">
        <v>0.37152777777777773</v>
      </c>
      <c r="G53" s="20">
        <v>45830.0</v>
      </c>
      <c r="H53" s="21">
        <v>0.3541666666666667</v>
      </c>
      <c r="I53" s="22">
        <v>7624.54</v>
      </c>
      <c r="J53" s="122"/>
      <c r="K53" s="123"/>
      <c r="L53" s="120"/>
      <c r="M53" s="124">
        <f t="shared" ref="M53:M65" si="16">INT(E53)+MOD(F53,1)</f>
        <v>45827.37153</v>
      </c>
      <c r="N53" s="124">
        <f t="shared" ref="N53:N65" si="17">INT(G53)+MOD(H53,1)</f>
        <v>45830.35417</v>
      </c>
      <c r="O53" s="124">
        <f t="shared" ref="O53:O65" si="18">N53-M53</f>
        <v>2.982638889</v>
      </c>
      <c r="P53" s="125">
        <f t="shared" ref="P53:P65" si="19">O53*24</f>
        <v>71.58333333</v>
      </c>
      <c r="Q53" s="12">
        <v>5.0</v>
      </c>
      <c r="R53" s="2"/>
    </row>
    <row r="54" ht="15.75" customHeight="1">
      <c r="A54" s="115">
        <v>35.0</v>
      </c>
      <c r="B54" s="126"/>
      <c r="C54" s="149" t="s">
        <v>295</v>
      </c>
      <c r="D54" s="19" t="s">
        <v>33</v>
      </c>
      <c r="E54" s="20">
        <v>45824.0</v>
      </c>
      <c r="F54" s="21">
        <v>0.3506944444444444</v>
      </c>
      <c r="G54" s="20">
        <v>45832.0</v>
      </c>
      <c r="H54" s="21">
        <v>0.3888888888888889</v>
      </c>
      <c r="I54" s="22">
        <v>7623.709</v>
      </c>
      <c r="J54" s="23"/>
      <c r="K54" s="45"/>
      <c r="L54" s="21"/>
      <c r="M54" s="25">
        <f t="shared" si="16"/>
        <v>45824.35069</v>
      </c>
      <c r="N54" s="25">
        <f t="shared" si="17"/>
        <v>45832.38889</v>
      </c>
      <c r="O54" s="25">
        <f t="shared" si="18"/>
        <v>8.038194444</v>
      </c>
      <c r="P54" s="127">
        <f t="shared" si="19"/>
        <v>192.9166667</v>
      </c>
      <c r="Q54" s="12">
        <v>5.0</v>
      </c>
      <c r="R54" s="2"/>
    </row>
    <row r="55" ht="15.75" customHeight="1">
      <c r="A55" s="115">
        <v>36.0</v>
      </c>
      <c r="B55" s="126"/>
      <c r="C55" s="149" t="s">
        <v>202</v>
      </c>
      <c r="D55" s="19" t="s">
        <v>33</v>
      </c>
      <c r="E55" s="20">
        <v>45833.0</v>
      </c>
      <c r="F55" s="21">
        <v>0.3506944444444444</v>
      </c>
      <c r="G55" s="20">
        <v>45835.0</v>
      </c>
      <c r="H55" s="21">
        <v>0.7569444444444445</v>
      </c>
      <c r="I55" s="22">
        <v>9273.38</v>
      </c>
      <c r="J55" s="23"/>
      <c r="K55" s="45"/>
      <c r="L55" s="21"/>
      <c r="M55" s="25">
        <f t="shared" si="16"/>
        <v>45833.35069</v>
      </c>
      <c r="N55" s="25">
        <f t="shared" si="17"/>
        <v>45835.75694</v>
      </c>
      <c r="O55" s="25">
        <f t="shared" si="18"/>
        <v>2.40625</v>
      </c>
      <c r="P55" s="127">
        <f t="shared" si="19"/>
        <v>57.75</v>
      </c>
      <c r="Q55" s="12">
        <v>5.0</v>
      </c>
      <c r="R55" s="2"/>
    </row>
    <row r="56" ht="15.75" customHeight="1">
      <c r="A56" s="115">
        <v>37.0</v>
      </c>
      <c r="B56" s="126"/>
      <c r="C56" s="149" t="s">
        <v>296</v>
      </c>
      <c r="D56" s="19" t="s">
        <v>33</v>
      </c>
      <c r="E56" s="20">
        <v>45837.0</v>
      </c>
      <c r="F56" s="21">
        <v>0.3680555555555556</v>
      </c>
      <c r="G56" s="20">
        <v>45839.0</v>
      </c>
      <c r="H56" s="21">
        <v>0.625</v>
      </c>
      <c r="I56" s="22">
        <v>7950.16</v>
      </c>
      <c r="J56" s="23"/>
      <c r="K56" s="45"/>
      <c r="L56" s="21"/>
      <c r="M56" s="25">
        <f t="shared" si="16"/>
        <v>45837.36806</v>
      </c>
      <c r="N56" s="25">
        <f t="shared" si="17"/>
        <v>45839.625</v>
      </c>
      <c r="O56" s="25">
        <f t="shared" si="18"/>
        <v>2.256944444</v>
      </c>
      <c r="P56" s="127">
        <f t="shared" si="19"/>
        <v>54.16666667</v>
      </c>
      <c r="Q56" s="12">
        <v>5.0</v>
      </c>
      <c r="R56" s="2"/>
    </row>
    <row r="57" ht="15.75" customHeight="1">
      <c r="A57" s="115">
        <v>38.0</v>
      </c>
      <c r="B57" s="126"/>
      <c r="C57" s="149" t="s">
        <v>213</v>
      </c>
      <c r="D57" s="19" t="s">
        <v>33</v>
      </c>
      <c r="E57" s="20">
        <v>45835.0</v>
      </c>
      <c r="F57" s="21">
        <v>0.6041666666666666</v>
      </c>
      <c r="G57" s="20">
        <v>45841.0</v>
      </c>
      <c r="H57" s="21">
        <v>0.3368055555555556</v>
      </c>
      <c r="I57" s="22">
        <v>7402.513</v>
      </c>
      <c r="J57" s="23"/>
      <c r="K57" s="45"/>
      <c r="L57" s="21"/>
      <c r="M57" s="25">
        <f t="shared" si="16"/>
        <v>45835.60417</v>
      </c>
      <c r="N57" s="25">
        <f t="shared" si="17"/>
        <v>45841.33681</v>
      </c>
      <c r="O57" s="25">
        <f t="shared" si="18"/>
        <v>5.732638889</v>
      </c>
      <c r="P57" s="127">
        <f t="shared" si="19"/>
        <v>137.5833333</v>
      </c>
      <c r="Q57" s="12">
        <v>5.0</v>
      </c>
      <c r="R57" s="2"/>
    </row>
    <row r="58" ht="15.75" customHeight="1">
      <c r="A58" s="115">
        <v>39.0</v>
      </c>
      <c r="B58" s="126"/>
      <c r="C58" s="149" t="s">
        <v>297</v>
      </c>
      <c r="D58" s="19" t="s">
        <v>33</v>
      </c>
      <c r="E58" s="20">
        <v>45836.0</v>
      </c>
      <c r="F58" s="21">
        <v>0.6458333333333334</v>
      </c>
      <c r="G58" s="20">
        <v>45843.0</v>
      </c>
      <c r="H58" s="21">
        <v>0.4236111111111111</v>
      </c>
      <c r="I58" s="22">
        <v>7428.458</v>
      </c>
      <c r="J58" s="23"/>
      <c r="K58" s="45"/>
      <c r="L58" s="21"/>
      <c r="M58" s="25">
        <f t="shared" si="16"/>
        <v>45836.64583</v>
      </c>
      <c r="N58" s="25">
        <f t="shared" si="17"/>
        <v>45843.42361</v>
      </c>
      <c r="O58" s="25">
        <f t="shared" si="18"/>
        <v>6.777777778</v>
      </c>
      <c r="P58" s="127">
        <f t="shared" si="19"/>
        <v>162.6666667</v>
      </c>
      <c r="Q58" s="12">
        <v>5.0</v>
      </c>
      <c r="R58" s="2"/>
    </row>
    <row r="59" ht="15.75" customHeight="1">
      <c r="A59" s="115">
        <v>40.0</v>
      </c>
      <c r="B59" s="126"/>
      <c r="C59" s="149" t="s">
        <v>35</v>
      </c>
      <c r="D59" s="19" t="s">
        <v>33</v>
      </c>
      <c r="E59" s="20">
        <v>45840.0</v>
      </c>
      <c r="F59" s="21">
        <v>0.4548611111111111</v>
      </c>
      <c r="G59" s="20">
        <v>45845.0</v>
      </c>
      <c r="H59" s="21">
        <v>0.5694444444444444</v>
      </c>
      <c r="I59" s="22">
        <v>8303.332</v>
      </c>
      <c r="J59" s="23"/>
      <c r="K59" s="45"/>
      <c r="L59" s="21"/>
      <c r="M59" s="25">
        <f t="shared" si="16"/>
        <v>45840.45486</v>
      </c>
      <c r="N59" s="25">
        <f t="shared" si="17"/>
        <v>45845.56944</v>
      </c>
      <c r="O59" s="25">
        <f t="shared" si="18"/>
        <v>5.114583333</v>
      </c>
      <c r="P59" s="127">
        <f t="shared" si="19"/>
        <v>122.75</v>
      </c>
      <c r="Q59" s="12">
        <v>5.0</v>
      </c>
      <c r="R59" s="2"/>
    </row>
    <row r="60" ht="15.75" customHeight="1">
      <c r="A60" s="115">
        <v>41.0</v>
      </c>
      <c r="B60" s="126"/>
      <c r="C60" s="149" t="s">
        <v>39</v>
      </c>
      <c r="D60" s="19" t="s">
        <v>33</v>
      </c>
      <c r="E60" s="20">
        <v>45842.0</v>
      </c>
      <c r="F60" s="21">
        <v>0.7534722222222222</v>
      </c>
      <c r="G60" s="20">
        <v>45847.0</v>
      </c>
      <c r="H60" s="21">
        <v>0.7013888888888888</v>
      </c>
      <c r="I60" s="22">
        <v>8495.465</v>
      </c>
      <c r="J60" s="23"/>
      <c r="K60" s="45"/>
      <c r="L60" s="21"/>
      <c r="M60" s="25">
        <f t="shared" si="16"/>
        <v>45842.75347</v>
      </c>
      <c r="N60" s="25">
        <f t="shared" si="17"/>
        <v>45847.70139</v>
      </c>
      <c r="O60" s="25">
        <f t="shared" si="18"/>
        <v>4.947916667</v>
      </c>
      <c r="P60" s="127">
        <f t="shared" si="19"/>
        <v>118.75</v>
      </c>
      <c r="Q60" s="12">
        <v>5.0</v>
      </c>
      <c r="R60" s="2"/>
    </row>
    <row r="61" ht="15.75" customHeight="1">
      <c r="A61" s="115">
        <v>42.0</v>
      </c>
      <c r="B61" s="126"/>
      <c r="C61" s="149" t="s">
        <v>219</v>
      </c>
      <c r="D61" s="19" t="s">
        <v>33</v>
      </c>
      <c r="E61" s="20">
        <v>45843.0</v>
      </c>
      <c r="F61" s="21">
        <v>0.6631944444444444</v>
      </c>
      <c r="G61" s="20">
        <v>45845.0</v>
      </c>
      <c r="H61" s="21">
        <v>0.8472222222222222</v>
      </c>
      <c r="I61" s="22">
        <v>7376.34</v>
      </c>
      <c r="J61" s="23"/>
      <c r="K61" s="45"/>
      <c r="L61" s="21"/>
      <c r="M61" s="25">
        <f t="shared" si="16"/>
        <v>45843.66319</v>
      </c>
      <c r="N61" s="25">
        <f t="shared" si="17"/>
        <v>45845.84722</v>
      </c>
      <c r="O61" s="25">
        <f t="shared" si="18"/>
        <v>2.184027778</v>
      </c>
      <c r="P61" s="127">
        <f t="shared" si="19"/>
        <v>52.41666667</v>
      </c>
      <c r="Q61" s="12">
        <v>5.0</v>
      </c>
      <c r="R61" s="2"/>
    </row>
    <row r="62" ht="15.75" customHeight="1">
      <c r="A62" s="115">
        <v>43.0</v>
      </c>
      <c r="B62" s="126"/>
      <c r="C62" s="149" t="s">
        <v>298</v>
      </c>
      <c r="D62" s="19" t="s">
        <v>33</v>
      </c>
      <c r="E62" s="20">
        <v>45846.0</v>
      </c>
      <c r="F62" s="21">
        <v>0.4305555555555556</v>
      </c>
      <c r="G62" s="20">
        <v>45851.0</v>
      </c>
      <c r="H62" s="21">
        <v>0.6215277777777778</v>
      </c>
      <c r="I62" s="22">
        <v>8492.657</v>
      </c>
      <c r="J62" s="29"/>
      <c r="K62" s="45"/>
      <c r="L62" s="21"/>
      <c r="M62" s="25">
        <f t="shared" si="16"/>
        <v>45846.43056</v>
      </c>
      <c r="N62" s="25">
        <f t="shared" si="17"/>
        <v>45851.62153</v>
      </c>
      <c r="O62" s="25">
        <f t="shared" si="18"/>
        <v>5.190972222</v>
      </c>
      <c r="P62" s="127">
        <f t="shared" si="19"/>
        <v>124.5833333</v>
      </c>
      <c r="Q62" s="12">
        <v>5.0</v>
      </c>
      <c r="R62" s="2"/>
    </row>
    <row r="63" ht="15.75" customHeight="1">
      <c r="A63" s="115">
        <v>44.0</v>
      </c>
      <c r="B63" s="126"/>
      <c r="C63" s="149" t="s">
        <v>299</v>
      </c>
      <c r="D63" s="19" t="s">
        <v>33</v>
      </c>
      <c r="E63" s="20">
        <v>45857.0</v>
      </c>
      <c r="F63" s="21">
        <v>0.47222222222222227</v>
      </c>
      <c r="G63" s="20">
        <v>45862.0</v>
      </c>
      <c r="H63" s="21">
        <v>0.7048611111111112</v>
      </c>
      <c r="I63" s="22">
        <v>10146.2</v>
      </c>
      <c r="J63" s="23"/>
      <c r="K63" s="45"/>
      <c r="L63" s="50"/>
      <c r="M63" s="25">
        <f t="shared" si="16"/>
        <v>45857.47222</v>
      </c>
      <c r="N63" s="25">
        <f t="shared" si="17"/>
        <v>45862.70486</v>
      </c>
      <c r="O63" s="25">
        <f t="shared" si="18"/>
        <v>5.232638889</v>
      </c>
      <c r="P63" s="127">
        <f t="shared" si="19"/>
        <v>125.5833333</v>
      </c>
      <c r="Q63" s="12">
        <v>5.0</v>
      </c>
      <c r="R63" s="2"/>
    </row>
    <row r="64" ht="15.75" customHeight="1">
      <c r="A64" s="115">
        <v>45.0</v>
      </c>
      <c r="B64" s="126"/>
      <c r="C64" s="149" t="s">
        <v>300</v>
      </c>
      <c r="D64" s="19" t="s">
        <v>33</v>
      </c>
      <c r="E64" s="20">
        <v>45860.0</v>
      </c>
      <c r="F64" s="21">
        <v>0.5243055555555556</v>
      </c>
      <c r="G64" s="20">
        <v>45864.0</v>
      </c>
      <c r="H64" s="21">
        <v>0.3923611111111111</v>
      </c>
      <c r="I64" s="22">
        <v>7887.02</v>
      </c>
      <c r="J64" s="111"/>
      <c r="K64" s="137"/>
      <c r="L64" s="50"/>
      <c r="M64" s="25">
        <f t="shared" si="16"/>
        <v>45860.52431</v>
      </c>
      <c r="N64" s="25">
        <f t="shared" si="17"/>
        <v>45864.39236</v>
      </c>
      <c r="O64" s="25">
        <f t="shared" si="18"/>
        <v>3.868055556</v>
      </c>
      <c r="P64" s="127">
        <f t="shared" si="19"/>
        <v>92.83333333</v>
      </c>
      <c r="Q64" s="12">
        <v>5.0</v>
      </c>
      <c r="R64" s="2"/>
    </row>
    <row r="65" ht="15.75" customHeight="1">
      <c r="A65" s="115">
        <v>46.0</v>
      </c>
      <c r="B65" s="126"/>
      <c r="C65" s="149" t="s">
        <v>301</v>
      </c>
      <c r="D65" s="19" t="s">
        <v>33</v>
      </c>
      <c r="E65" s="20">
        <v>45862.0</v>
      </c>
      <c r="F65" s="21">
        <v>0.7638888888888888</v>
      </c>
      <c r="G65" s="20">
        <v>45866.0</v>
      </c>
      <c r="H65" s="21">
        <v>0.579861111111111</v>
      </c>
      <c r="I65" s="22">
        <v>10010.82</v>
      </c>
      <c r="J65" s="23"/>
      <c r="K65" s="45"/>
      <c r="L65" s="50"/>
      <c r="M65" s="25">
        <f t="shared" si="16"/>
        <v>45862.76389</v>
      </c>
      <c r="N65" s="25">
        <f t="shared" si="17"/>
        <v>45866.57986</v>
      </c>
      <c r="O65" s="25">
        <f t="shared" si="18"/>
        <v>3.815972222</v>
      </c>
      <c r="P65" s="127">
        <f t="shared" si="19"/>
        <v>91.58333333</v>
      </c>
      <c r="Q65" s="12">
        <v>5.0</v>
      </c>
      <c r="R65" s="2"/>
    </row>
    <row r="66" ht="15.75" customHeight="1">
      <c r="A66" s="129"/>
      <c r="B66" s="130"/>
      <c r="C66" s="83"/>
      <c r="D66" s="34"/>
      <c r="E66" s="35"/>
      <c r="F66" s="36"/>
      <c r="G66" s="35"/>
      <c r="H66" s="36"/>
      <c r="I66" s="131">
        <f t="shared" ref="I66:J66" si="20">SUM(I53:I65)</f>
        <v>108014.594</v>
      </c>
      <c r="J66" s="86">
        <f t="shared" si="20"/>
        <v>0</v>
      </c>
      <c r="K66" s="39">
        <f>+(P66)/(31*24)</f>
        <v>1.888664875</v>
      </c>
      <c r="L66" s="40"/>
      <c r="M66" s="41"/>
      <c r="N66" s="41"/>
      <c r="O66" s="41"/>
      <c r="P66" s="42">
        <f>SUM(P53:P65)</f>
        <v>1405.166667</v>
      </c>
      <c r="Q66" s="12"/>
      <c r="R66" s="2"/>
    </row>
    <row r="67" ht="15.75" customHeight="1">
      <c r="A67" s="1"/>
      <c r="B67" s="12"/>
      <c r="C67" s="67"/>
      <c r="D67" s="12"/>
      <c r="E67" s="13"/>
      <c r="F67" s="14"/>
      <c r="G67" s="13"/>
      <c r="H67" s="14"/>
      <c r="I67" s="55"/>
      <c r="J67" s="56"/>
      <c r="K67" s="16"/>
      <c r="L67" s="14"/>
      <c r="M67" s="2"/>
      <c r="N67" s="2"/>
      <c r="O67" s="2"/>
      <c r="P67" s="2"/>
      <c r="Q67" s="12"/>
      <c r="R67" s="2"/>
    </row>
    <row r="68" ht="15.75" customHeight="1">
      <c r="A68" s="1"/>
      <c r="B68" s="12"/>
      <c r="C68" s="67"/>
      <c r="D68" s="12"/>
      <c r="E68" s="13"/>
      <c r="F68" s="14"/>
      <c r="G68" s="13"/>
      <c r="H68" s="14"/>
      <c r="I68" s="55"/>
      <c r="J68" s="56"/>
      <c r="K68" s="16"/>
      <c r="L68" s="14"/>
      <c r="M68" s="2"/>
      <c r="N68" s="2"/>
      <c r="O68" s="2"/>
      <c r="P68" s="2"/>
      <c r="Q68" s="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15">
        <v>47.0</v>
      </c>
      <c r="B71" s="116" t="s">
        <v>69</v>
      </c>
      <c r="C71" s="149" t="s">
        <v>302</v>
      </c>
      <c r="D71" s="19" t="s">
        <v>148</v>
      </c>
      <c r="E71" s="20">
        <v>45832.0</v>
      </c>
      <c r="F71" s="21">
        <v>0.10833333333333334</v>
      </c>
      <c r="G71" s="20">
        <v>45835.0</v>
      </c>
      <c r="H71" s="21">
        <v>0.013888888888888888</v>
      </c>
      <c r="I71" s="22">
        <v>10028.24</v>
      </c>
      <c r="J71" s="144"/>
      <c r="K71" s="145"/>
      <c r="L71" s="146"/>
      <c r="M71" s="124">
        <f t="shared" ref="M71:M77" si="21">INT(E71)+MOD(F71,1)</f>
        <v>45832.10833</v>
      </c>
      <c r="N71" s="124">
        <f t="shared" ref="N71:N77" si="22">INT(G71)+MOD(H71,1)</f>
        <v>45835.01389</v>
      </c>
      <c r="O71" s="124">
        <f t="shared" ref="O71:O77" si="23">N71-M71</f>
        <v>2.905555556</v>
      </c>
      <c r="P71" s="125">
        <f t="shared" ref="P71:P77" si="24">O71*24</f>
        <v>69.73333333</v>
      </c>
      <c r="Q71" s="12">
        <v>6.0</v>
      </c>
      <c r="R71" s="12"/>
    </row>
    <row r="72" ht="15.75" customHeight="1">
      <c r="A72" s="115">
        <v>48.0</v>
      </c>
      <c r="B72" s="126"/>
      <c r="C72" s="149" t="s">
        <v>303</v>
      </c>
      <c r="D72" s="19" t="s">
        <v>33</v>
      </c>
      <c r="E72" s="20">
        <v>45830.0</v>
      </c>
      <c r="F72" s="21">
        <v>0.4861111111111111</v>
      </c>
      <c r="G72" s="20">
        <v>45835.0</v>
      </c>
      <c r="H72" s="21">
        <v>0.38680555555555557</v>
      </c>
      <c r="I72" s="22">
        <v>7518.695</v>
      </c>
      <c r="J72" s="74"/>
      <c r="K72" s="88"/>
      <c r="L72" s="46"/>
      <c r="M72" s="25">
        <f t="shared" si="21"/>
        <v>45830.48611</v>
      </c>
      <c r="N72" s="25">
        <f t="shared" si="22"/>
        <v>45835.38681</v>
      </c>
      <c r="O72" s="25">
        <f t="shared" si="23"/>
        <v>4.900694444</v>
      </c>
      <c r="P72" s="127">
        <f t="shared" si="24"/>
        <v>117.6166667</v>
      </c>
      <c r="Q72" s="12">
        <v>7.0</v>
      </c>
      <c r="R72" s="12"/>
    </row>
    <row r="73" ht="15.75" customHeight="1">
      <c r="A73" s="115">
        <v>49.0</v>
      </c>
      <c r="B73" s="126"/>
      <c r="C73" s="149" t="s">
        <v>304</v>
      </c>
      <c r="D73" s="19" t="s">
        <v>33</v>
      </c>
      <c r="E73" s="20">
        <v>45835.0</v>
      </c>
      <c r="F73" s="21">
        <v>0.7013888888888888</v>
      </c>
      <c r="G73" s="20">
        <v>45842.0</v>
      </c>
      <c r="H73" s="21">
        <v>0.6875</v>
      </c>
      <c r="I73" s="22">
        <v>8492.875</v>
      </c>
      <c r="J73" s="74"/>
      <c r="K73" s="88"/>
      <c r="L73" s="46"/>
      <c r="M73" s="25">
        <f t="shared" si="21"/>
        <v>45835.70139</v>
      </c>
      <c r="N73" s="25">
        <f t="shared" si="22"/>
        <v>45842.6875</v>
      </c>
      <c r="O73" s="25">
        <f t="shared" si="23"/>
        <v>6.986111111</v>
      </c>
      <c r="P73" s="127">
        <f t="shared" si="24"/>
        <v>167.6666667</v>
      </c>
      <c r="Q73" s="12">
        <v>7.0</v>
      </c>
      <c r="R73" s="12"/>
    </row>
    <row r="74" ht="15.75" customHeight="1">
      <c r="A74" s="115">
        <v>50.0</v>
      </c>
      <c r="B74" s="126"/>
      <c r="C74" s="149" t="s">
        <v>305</v>
      </c>
      <c r="D74" s="19" t="s">
        <v>33</v>
      </c>
      <c r="E74" s="20">
        <v>45847.0</v>
      </c>
      <c r="F74" s="21">
        <v>0.7569444444444445</v>
      </c>
      <c r="G74" s="20">
        <v>45853.0</v>
      </c>
      <c r="H74" s="21">
        <v>0.4236111111111111</v>
      </c>
      <c r="I74" s="22">
        <v>7997.499</v>
      </c>
      <c r="J74" s="74"/>
      <c r="K74" s="88"/>
      <c r="L74" s="46"/>
      <c r="M74" s="25">
        <f t="shared" si="21"/>
        <v>45847.75694</v>
      </c>
      <c r="N74" s="25">
        <f t="shared" si="22"/>
        <v>45853.42361</v>
      </c>
      <c r="O74" s="25">
        <f t="shared" si="23"/>
        <v>5.666666667</v>
      </c>
      <c r="P74" s="127">
        <f t="shared" si="24"/>
        <v>136</v>
      </c>
      <c r="Q74" s="12">
        <v>7.0</v>
      </c>
      <c r="R74" s="12"/>
    </row>
    <row r="75" ht="15.75" customHeight="1">
      <c r="A75" s="115">
        <v>51.0</v>
      </c>
      <c r="B75" s="126"/>
      <c r="C75" s="149" t="s">
        <v>306</v>
      </c>
      <c r="D75" s="19" t="s">
        <v>143</v>
      </c>
      <c r="E75" s="20">
        <v>45852.0</v>
      </c>
      <c r="F75" s="21">
        <v>0.6833333333333332</v>
      </c>
      <c r="G75" s="20">
        <v>45858.0</v>
      </c>
      <c r="H75" s="21">
        <v>0.034722222222222224</v>
      </c>
      <c r="I75" s="22">
        <v>49899.59</v>
      </c>
      <c r="J75" s="74"/>
      <c r="K75" s="88"/>
      <c r="L75" s="46"/>
      <c r="M75" s="25">
        <f t="shared" si="21"/>
        <v>45852.68333</v>
      </c>
      <c r="N75" s="25">
        <f t="shared" si="22"/>
        <v>45858.03472</v>
      </c>
      <c r="O75" s="25">
        <f t="shared" si="23"/>
        <v>5.351388889</v>
      </c>
      <c r="P75" s="127">
        <f t="shared" si="24"/>
        <v>128.4333333</v>
      </c>
      <c r="Q75" s="12">
        <v>6.0</v>
      </c>
      <c r="R75" s="12"/>
    </row>
    <row r="76" ht="15.75" customHeight="1">
      <c r="A76" s="115">
        <v>52.0</v>
      </c>
      <c r="B76" s="126"/>
      <c r="C76" s="149" t="s">
        <v>307</v>
      </c>
      <c r="D76" s="19" t="s">
        <v>33</v>
      </c>
      <c r="E76" s="20">
        <v>45854.0</v>
      </c>
      <c r="F76" s="21">
        <v>0.4826388888888889</v>
      </c>
      <c r="G76" s="20">
        <v>45859.0</v>
      </c>
      <c r="H76" s="21">
        <v>0.3541666666666667</v>
      </c>
      <c r="I76" s="22">
        <v>8797.538</v>
      </c>
      <c r="J76" s="74"/>
      <c r="K76" s="88"/>
      <c r="L76" s="46"/>
      <c r="M76" s="25">
        <f t="shared" si="21"/>
        <v>45854.48264</v>
      </c>
      <c r="N76" s="25">
        <f t="shared" si="22"/>
        <v>45859.35417</v>
      </c>
      <c r="O76" s="25">
        <f t="shared" si="23"/>
        <v>4.871527778</v>
      </c>
      <c r="P76" s="127">
        <f t="shared" si="24"/>
        <v>116.9166667</v>
      </c>
      <c r="Q76" s="12">
        <v>7.0</v>
      </c>
      <c r="R76" s="12"/>
    </row>
    <row r="77" ht="15.75" customHeight="1">
      <c r="A77" s="115">
        <v>53.0</v>
      </c>
      <c r="B77" s="126"/>
      <c r="C77" s="149" t="s">
        <v>54</v>
      </c>
      <c r="D77" s="19" t="s">
        <v>33</v>
      </c>
      <c r="E77" s="20">
        <v>45860.0</v>
      </c>
      <c r="F77" s="21">
        <v>0.6041666666666666</v>
      </c>
      <c r="G77" s="20">
        <v>45863.0</v>
      </c>
      <c r="H77" s="21">
        <v>0.6180555555555556</v>
      </c>
      <c r="I77" s="22">
        <v>8017.997</v>
      </c>
      <c r="J77" s="74"/>
      <c r="K77" s="88"/>
      <c r="L77" s="46"/>
      <c r="M77" s="25">
        <f t="shared" si="21"/>
        <v>45860.60417</v>
      </c>
      <c r="N77" s="25">
        <f t="shared" si="22"/>
        <v>45863.61806</v>
      </c>
      <c r="O77" s="25">
        <f t="shared" si="23"/>
        <v>3.013888889</v>
      </c>
      <c r="P77" s="127">
        <f t="shared" si="24"/>
        <v>72.33333333</v>
      </c>
      <c r="Q77" s="12">
        <v>7.0</v>
      </c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88"/>
      <c r="L78" s="46"/>
      <c r="M78" s="46"/>
      <c r="N78" s="46"/>
      <c r="O78" s="46"/>
      <c r="P78" s="128"/>
      <c r="Q78" s="12"/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99"/>
      <c r="L79" s="82"/>
      <c r="M79" s="46"/>
      <c r="N79" s="46"/>
      <c r="O79" s="46"/>
      <c r="P79" s="128"/>
      <c r="Q79" s="12"/>
      <c r="R79" s="12"/>
    </row>
    <row r="80" ht="15.75" customHeight="1">
      <c r="A80" s="115"/>
      <c r="B80" s="133"/>
      <c r="C80" s="30"/>
      <c r="D80" s="19"/>
      <c r="E80" s="20"/>
      <c r="F80" s="21"/>
      <c r="G80" s="20"/>
      <c r="H80" s="21"/>
      <c r="I80" s="22"/>
      <c r="J80" s="74"/>
      <c r="K80" s="49"/>
      <c r="L80" s="50"/>
      <c r="M80" s="46"/>
      <c r="N80" s="46"/>
      <c r="O80" s="46"/>
      <c r="P80" s="128"/>
      <c r="Q80" s="12"/>
      <c r="R80" s="12"/>
    </row>
    <row r="81" ht="15.75" customHeight="1">
      <c r="A81" s="147"/>
      <c r="B81" s="148"/>
      <c r="C81" s="91"/>
      <c r="D81" s="91"/>
      <c r="E81" s="91"/>
      <c r="F81" s="91"/>
      <c r="G81" s="91"/>
      <c r="H81" s="91"/>
      <c r="I81" s="92">
        <f t="shared" ref="I81:J81" si="25">SUM(I71:I80)</f>
        <v>100752.434</v>
      </c>
      <c r="J81" s="93">
        <f t="shared" si="25"/>
        <v>0</v>
      </c>
      <c r="K81" s="39">
        <f>+(P81)/(31*24)</f>
        <v>1.086962366</v>
      </c>
      <c r="L81" s="41"/>
      <c r="M81" s="41"/>
      <c r="N81" s="41"/>
      <c r="O81" s="41"/>
      <c r="P81" s="42">
        <f>SUM(P71:P80)</f>
        <v>808.7</v>
      </c>
      <c r="Q81" s="12"/>
      <c r="R81" s="1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94"/>
      <c r="J83" s="95"/>
      <c r="K83" s="3"/>
      <c r="L83" s="2"/>
      <c r="M83" s="2"/>
      <c r="N83" s="2"/>
      <c r="O83" s="2"/>
      <c r="P83" s="2"/>
      <c r="Q83" s="1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96" t="s">
        <v>80</v>
      </c>
      <c r="B85" s="96"/>
      <c r="C85" s="96" t="s">
        <v>81</v>
      </c>
      <c r="D85" s="96" t="s">
        <v>82</v>
      </c>
      <c r="E85" s="96" t="s">
        <v>18</v>
      </c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83</v>
      </c>
      <c r="B86" s="96"/>
      <c r="C86" s="96"/>
      <c r="D86" s="96" t="s">
        <v>84</v>
      </c>
      <c r="E86" s="96" t="s">
        <v>31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96"/>
      <c r="B87" s="96"/>
      <c r="C87" s="96"/>
      <c r="D87" s="96" t="s">
        <v>85</v>
      </c>
      <c r="E87" s="96" t="s">
        <v>41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86</v>
      </c>
      <c r="E88" s="96" t="s">
        <v>62</v>
      </c>
      <c r="F88" s="2"/>
      <c r="G88" s="2"/>
      <c r="H88" s="2"/>
      <c r="I88" s="2"/>
      <c r="J88" s="2"/>
      <c r="K88" s="3"/>
      <c r="L88" s="97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87</v>
      </c>
      <c r="E89" s="96" t="s">
        <v>69</v>
      </c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/>
      <c r="E90" s="96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0"/>
    <mergeCell ref="B33:B48"/>
    <mergeCell ref="B53:B65"/>
    <mergeCell ref="B71:B8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308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28</v>
      </c>
      <c r="D7" s="19" t="s">
        <v>25</v>
      </c>
      <c r="E7" s="20">
        <v>45866.0</v>
      </c>
      <c r="F7" s="21">
        <v>0.6493055555555556</v>
      </c>
      <c r="G7" s="20">
        <v>45867.0</v>
      </c>
      <c r="H7" s="21">
        <v>0.6180555555555556</v>
      </c>
      <c r="I7" s="22">
        <v>2899.234</v>
      </c>
      <c r="J7" s="23"/>
      <c r="K7" s="45"/>
      <c r="L7" s="21"/>
      <c r="M7" s="25">
        <f t="shared" ref="M7:M16" si="1">INT(E7)+MOD(F7,1)</f>
        <v>45866.64931</v>
      </c>
      <c r="N7" s="25">
        <f t="shared" ref="N7:N16" si="2">INT(G7)+MOD(H7,1)</f>
        <v>45867.61806</v>
      </c>
      <c r="O7" s="25">
        <f t="shared" ref="O7:O16" si="3">N7-M7</f>
        <v>0.96875</v>
      </c>
      <c r="P7" s="25">
        <f t="shared" ref="P7:P16" si="4">O7*24</f>
        <v>23.25</v>
      </c>
      <c r="Q7" s="12">
        <v>1.0</v>
      </c>
      <c r="R7" s="2"/>
    </row>
    <row r="8">
      <c r="A8" s="5">
        <v>2.0</v>
      </c>
      <c r="B8" s="26"/>
      <c r="C8" s="30" t="s">
        <v>309</v>
      </c>
      <c r="D8" s="27" t="s">
        <v>30</v>
      </c>
      <c r="E8" s="20">
        <v>45870.0</v>
      </c>
      <c r="F8" s="21">
        <v>0.7625000000000001</v>
      </c>
      <c r="G8" s="20">
        <v>45871.0</v>
      </c>
      <c r="H8" s="21">
        <v>0.4875</v>
      </c>
      <c r="I8" s="28">
        <v>57.0</v>
      </c>
      <c r="J8" s="29">
        <v>120.0</v>
      </c>
      <c r="K8" s="45"/>
      <c r="L8" s="21"/>
      <c r="M8" s="25">
        <f t="shared" si="1"/>
        <v>45870.7625</v>
      </c>
      <c r="N8" s="25">
        <f t="shared" si="2"/>
        <v>45871.4875</v>
      </c>
      <c r="O8" s="25">
        <f t="shared" si="3"/>
        <v>0.725</v>
      </c>
      <c r="P8" s="25">
        <f t="shared" si="4"/>
        <v>17.4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45868.0</v>
      </c>
      <c r="F9" s="21">
        <v>0.8645833333333334</v>
      </c>
      <c r="G9" s="20">
        <v>45869.0</v>
      </c>
      <c r="H9" s="21">
        <v>0.5625</v>
      </c>
      <c r="I9" s="22">
        <v>1086.977</v>
      </c>
      <c r="J9" s="23"/>
      <c r="K9" s="45"/>
      <c r="L9" s="21"/>
      <c r="M9" s="25">
        <f t="shared" si="1"/>
        <v>45868.86458</v>
      </c>
      <c r="N9" s="25">
        <f t="shared" si="2"/>
        <v>45869.5625</v>
      </c>
      <c r="O9" s="25">
        <f t="shared" si="3"/>
        <v>0.6979166667</v>
      </c>
      <c r="P9" s="25">
        <f t="shared" si="4"/>
        <v>16.75</v>
      </c>
      <c r="Q9" s="12">
        <v>2.0</v>
      </c>
      <c r="R9" s="2"/>
    </row>
    <row r="10">
      <c r="A10" s="5">
        <v>4.0</v>
      </c>
      <c r="B10" s="26"/>
      <c r="C10" s="30" t="s">
        <v>310</v>
      </c>
      <c r="D10" s="19" t="s">
        <v>25</v>
      </c>
      <c r="E10" s="20">
        <v>45875.0</v>
      </c>
      <c r="F10" s="21">
        <v>0.7361111111111112</v>
      </c>
      <c r="G10" s="20">
        <v>45876.0</v>
      </c>
      <c r="H10" s="21">
        <v>0.576388888888889</v>
      </c>
      <c r="I10" s="22">
        <v>2215.922</v>
      </c>
      <c r="J10" s="23"/>
      <c r="K10" s="45"/>
      <c r="L10" s="21"/>
      <c r="M10" s="25">
        <f t="shared" si="1"/>
        <v>45875.73611</v>
      </c>
      <c r="N10" s="25">
        <f t="shared" si="2"/>
        <v>45876.57639</v>
      </c>
      <c r="O10" s="25">
        <f t="shared" si="3"/>
        <v>0.8402777778</v>
      </c>
      <c r="P10" s="25">
        <f t="shared" si="4"/>
        <v>20.16666667</v>
      </c>
      <c r="Q10" s="12">
        <v>1.0</v>
      </c>
      <c r="R10" s="2"/>
    </row>
    <row r="11">
      <c r="A11" s="5">
        <v>5.0</v>
      </c>
      <c r="B11" s="26"/>
      <c r="C11" s="30" t="s">
        <v>269</v>
      </c>
      <c r="D11" s="19" t="s">
        <v>25</v>
      </c>
      <c r="E11" s="20">
        <v>45877.0</v>
      </c>
      <c r="F11" s="21">
        <v>0.907638888888889</v>
      </c>
      <c r="G11" s="20">
        <v>45878.0</v>
      </c>
      <c r="H11" s="21">
        <v>0.7604166666666666</v>
      </c>
      <c r="I11" s="22">
        <v>2239.166</v>
      </c>
      <c r="J11" s="23"/>
      <c r="K11" s="45"/>
      <c r="L11" s="21"/>
      <c r="M11" s="25">
        <f t="shared" si="1"/>
        <v>45877.90764</v>
      </c>
      <c r="N11" s="25">
        <f t="shared" si="2"/>
        <v>45878.76042</v>
      </c>
      <c r="O11" s="25">
        <f t="shared" si="3"/>
        <v>0.8527777778</v>
      </c>
      <c r="P11" s="25">
        <f t="shared" si="4"/>
        <v>20.46666667</v>
      </c>
      <c r="Q11" s="12">
        <v>1.0</v>
      </c>
      <c r="R11" s="2"/>
    </row>
    <row r="12">
      <c r="A12" s="5">
        <v>6.0</v>
      </c>
      <c r="B12" s="26"/>
      <c r="C12" s="30" t="s">
        <v>311</v>
      </c>
      <c r="D12" s="19" t="s">
        <v>25</v>
      </c>
      <c r="E12" s="20">
        <v>45878.0</v>
      </c>
      <c r="F12" s="21">
        <v>0.9548611111111112</v>
      </c>
      <c r="G12" s="20">
        <v>45879.0</v>
      </c>
      <c r="H12" s="21">
        <v>0.90625</v>
      </c>
      <c r="I12" s="22">
        <v>2816.54</v>
      </c>
      <c r="J12" s="23"/>
      <c r="K12" s="45"/>
      <c r="L12" s="21"/>
      <c r="M12" s="25">
        <f t="shared" si="1"/>
        <v>45878.95486</v>
      </c>
      <c r="N12" s="25">
        <f t="shared" si="2"/>
        <v>45879.90625</v>
      </c>
      <c r="O12" s="25">
        <f t="shared" si="3"/>
        <v>0.9513888889</v>
      </c>
      <c r="P12" s="25">
        <f t="shared" si="4"/>
        <v>22.83333333</v>
      </c>
      <c r="Q12" s="12">
        <v>1.0</v>
      </c>
      <c r="R12" s="2"/>
    </row>
    <row r="13">
      <c r="A13" s="5">
        <v>7.0</v>
      </c>
      <c r="B13" s="26"/>
      <c r="C13" s="30" t="s">
        <v>312</v>
      </c>
      <c r="D13" s="19" t="s">
        <v>101</v>
      </c>
      <c r="E13" s="20">
        <v>45884.0</v>
      </c>
      <c r="F13" s="21">
        <v>0.7326388888888888</v>
      </c>
      <c r="G13" s="20">
        <v>45885.0</v>
      </c>
      <c r="H13" s="21">
        <v>0.7708333333333334</v>
      </c>
      <c r="I13" s="22"/>
      <c r="J13" s="22">
        <v>341.063</v>
      </c>
      <c r="K13" s="45"/>
      <c r="L13" s="21"/>
      <c r="M13" s="25">
        <f t="shared" si="1"/>
        <v>45884.73264</v>
      </c>
      <c r="N13" s="25">
        <f t="shared" si="2"/>
        <v>45885.77083</v>
      </c>
      <c r="O13" s="25">
        <f t="shared" si="3"/>
        <v>1.038194444</v>
      </c>
      <c r="P13" s="25">
        <f t="shared" si="4"/>
        <v>24.91666667</v>
      </c>
      <c r="Q13" s="12">
        <v>2.0</v>
      </c>
      <c r="R13" s="2"/>
    </row>
    <row r="14">
      <c r="A14" s="5">
        <v>8.0</v>
      </c>
      <c r="B14" s="26"/>
      <c r="C14" s="30" t="s">
        <v>313</v>
      </c>
      <c r="D14" s="19" t="s">
        <v>25</v>
      </c>
      <c r="E14" s="20">
        <v>45890.0</v>
      </c>
      <c r="F14" s="21">
        <v>0.642361111111111</v>
      </c>
      <c r="G14" s="20">
        <v>45892.0</v>
      </c>
      <c r="H14" s="21">
        <v>0.2222222222222222</v>
      </c>
      <c r="I14" s="22">
        <v>4110.556</v>
      </c>
      <c r="J14" s="23"/>
      <c r="K14" s="45"/>
      <c r="L14" s="21"/>
      <c r="M14" s="25">
        <f t="shared" si="1"/>
        <v>45890.64236</v>
      </c>
      <c r="N14" s="25">
        <f t="shared" si="2"/>
        <v>45892.22222</v>
      </c>
      <c r="O14" s="25">
        <f t="shared" si="3"/>
        <v>1.579861111</v>
      </c>
      <c r="P14" s="25">
        <f t="shared" si="4"/>
        <v>37.91666667</v>
      </c>
      <c r="Q14" s="12">
        <v>1.0</v>
      </c>
      <c r="R14" s="2"/>
    </row>
    <row r="15">
      <c r="A15" s="5">
        <v>9.0</v>
      </c>
      <c r="B15" s="26"/>
      <c r="C15" s="30" t="s">
        <v>276</v>
      </c>
      <c r="D15" s="19" t="s">
        <v>277</v>
      </c>
      <c r="E15" s="20">
        <v>45886.0</v>
      </c>
      <c r="F15" s="21">
        <v>0.9618055555555555</v>
      </c>
      <c r="G15" s="20">
        <v>45887.0</v>
      </c>
      <c r="H15" s="21">
        <v>0.8020833333333334</v>
      </c>
      <c r="I15" s="22">
        <v>1086.977</v>
      </c>
      <c r="J15" s="23"/>
      <c r="K15" s="45"/>
      <c r="L15" s="21"/>
      <c r="M15" s="25">
        <f t="shared" si="1"/>
        <v>45886.96181</v>
      </c>
      <c r="N15" s="25">
        <f t="shared" si="2"/>
        <v>45887.80208</v>
      </c>
      <c r="O15" s="25">
        <f t="shared" si="3"/>
        <v>0.8402777778</v>
      </c>
      <c r="P15" s="25">
        <f t="shared" si="4"/>
        <v>20.16666667</v>
      </c>
      <c r="Q15" s="12">
        <v>2.0</v>
      </c>
      <c r="R15" s="2"/>
    </row>
    <row r="16">
      <c r="A16" s="5">
        <v>10.0</v>
      </c>
      <c r="B16" s="26"/>
      <c r="C16" s="30" t="s">
        <v>276</v>
      </c>
      <c r="D16" s="19" t="s">
        <v>277</v>
      </c>
      <c r="E16" s="20">
        <v>45894.0</v>
      </c>
      <c r="F16" s="21">
        <v>0.0</v>
      </c>
      <c r="G16" s="20">
        <v>45894.0</v>
      </c>
      <c r="H16" s="21">
        <v>0.4826388888888889</v>
      </c>
      <c r="I16" s="22">
        <v>1101.86</v>
      </c>
      <c r="J16" s="23"/>
      <c r="K16" s="45"/>
      <c r="L16" s="21"/>
      <c r="M16" s="25">
        <f t="shared" si="1"/>
        <v>45894</v>
      </c>
      <c r="N16" s="25">
        <f t="shared" si="2"/>
        <v>45894.48264</v>
      </c>
      <c r="O16" s="25">
        <f t="shared" si="3"/>
        <v>0.4826388889</v>
      </c>
      <c r="P16" s="25">
        <f t="shared" si="4"/>
        <v>11.58333333</v>
      </c>
      <c r="Q16" s="12">
        <v>1.0</v>
      </c>
      <c r="R16" s="2"/>
    </row>
    <row r="17">
      <c r="A17" s="5">
        <v>11.0</v>
      </c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>
        <v>12.0</v>
      </c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17614.232</v>
      </c>
      <c r="J21" s="113">
        <f t="shared" si="5"/>
        <v>461.063</v>
      </c>
      <c r="K21" s="39">
        <f>+(P21)/(31*24)</f>
        <v>0.2895833333</v>
      </c>
      <c r="L21" s="40"/>
      <c r="M21" s="41"/>
      <c r="N21" s="41"/>
      <c r="O21" s="41"/>
      <c r="P21" s="42">
        <f>SUM(P7:P20)</f>
        <v>215.45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13.0</v>
      </c>
      <c r="B23" s="116" t="s">
        <v>31</v>
      </c>
      <c r="C23" s="30" t="s">
        <v>314</v>
      </c>
      <c r="D23" s="19" t="s">
        <v>33</v>
      </c>
      <c r="E23" s="20">
        <v>45862.0</v>
      </c>
      <c r="F23" s="21">
        <v>0.3819444444444444</v>
      </c>
      <c r="G23" s="20">
        <v>45866.0</v>
      </c>
      <c r="H23" s="21">
        <v>0.3368055555555556</v>
      </c>
      <c r="I23" s="22">
        <v>8506.455</v>
      </c>
      <c r="J23" s="23"/>
      <c r="K23" s="45"/>
      <c r="L23" s="120"/>
      <c r="M23" s="124">
        <f t="shared" ref="M23:M28" si="6">INT(E23)+MOD(F23,1)</f>
        <v>45862.38194</v>
      </c>
      <c r="N23" s="124">
        <f t="shared" ref="N23:N28" si="7">INT(G23)+MOD(H23,1)</f>
        <v>45866.33681</v>
      </c>
      <c r="O23" s="124">
        <f t="shared" ref="O23:O28" si="8">N23-M23</f>
        <v>3.954861111</v>
      </c>
      <c r="P23" s="125">
        <f t="shared" ref="P23:P28" si="9">O23*24</f>
        <v>94.91666667</v>
      </c>
      <c r="Q23" s="12">
        <v>3.0</v>
      </c>
      <c r="R23" s="2"/>
    </row>
    <row r="24" ht="15.75" customHeight="1">
      <c r="A24" s="115">
        <v>14.0</v>
      </c>
      <c r="B24" s="126"/>
      <c r="C24" s="30" t="s">
        <v>242</v>
      </c>
      <c r="D24" s="19" t="s">
        <v>33</v>
      </c>
      <c r="E24" s="20">
        <v>45866.0</v>
      </c>
      <c r="F24" s="21">
        <v>0.7083333333333334</v>
      </c>
      <c r="G24" s="20">
        <v>45869.0</v>
      </c>
      <c r="H24" s="21">
        <v>0.6284722222222222</v>
      </c>
      <c r="I24" s="22">
        <v>7514.876</v>
      </c>
      <c r="J24" s="23"/>
      <c r="K24" s="45"/>
      <c r="L24" s="21"/>
      <c r="M24" s="124">
        <f t="shared" si="6"/>
        <v>45866.70833</v>
      </c>
      <c r="N24" s="124">
        <f t="shared" si="7"/>
        <v>45869.62847</v>
      </c>
      <c r="O24" s="124">
        <f t="shared" si="8"/>
        <v>2.920138889</v>
      </c>
      <c r="P24" s="125">
        <f t="shared" si="9"/>
        <v>70.08333333</v>
      </c>
      <c r="Q24" s="12">
        <v>3.0</v>
      </c>
      <c r="R24" s="2"/>
    </row>
    <row r="25" ht="15.75" customHeight="1">
      <c r="A25" s="115">
        <v>15.0</v>
      </c>
      <c r="B25" s="126"/>
      <c r="C25" s="30" t="s">
        <v>214</v>
      </c>
      <c r="D25" s="19" t="s">
        <v>33</v>
      </c>
      <c r="E25" s="20">
        <v>45872.0</v>
      </c>
      <c r="F25" s="21">
        <v>0.5833333333333334</v>
      </c>
      <c r="G25" s="20">
        <v>45876.0</v>
      </c>
      <c r="H25" s="21">
        <v>0.3368055555555556</v>
      </c>
      <c r="I25" s="22">
        <v>7398.468</v>
      </c>
      <c r="J25" s="23"/>
      <c r="K25" s="45"/>
      <c r="L25" s="21"/>
      <c r="M25" s="124">
        <f t="shared" si="6"/>
        <v>45872.58333</v>
      </c>
      <c r="N25" s="124">
        <f t="shared" si="7"/>
        <v>45876.33681</v>
      </c>
      <c r="O25" s="124">
        <f t="shared" si="8"/>
        <v>3.753472222</v>
      </c>
      <c r="P25" s="125">
        <f t="shared" si="9"/>
        <v>90.08333333</v>
      </c>
      <c r="Q25" s="12">
        <v>3.0</v>
      </c>
      <c r="R25" s="2"/>
    </row>
    <row r="26" ht="15.75" customHeight="1">
      <c r="A26" s="115">
        <v>16.0</v>
      </c>
      <c r="B26" s="126"/>
      <c r="C26" s="30" t="s">
        <v>315</v>
      </c>
      <c r="D26" s="19" t="s">
        <v>33</v>
      </c>
      <c r="E26" s="20">
        <v>45877.0</v>
      </c>
      <c r="F26" s="21">
        <v>0.579861111111111</v>
      </c>
      <c r="G26" s="20">
        <v>45880.0</v>
      </c>
      <c r="H26" s="21">
        <v>0.4513888888888889</v>
      </c>
      <c r="I26" s="22">
        <v>8495.807</v>
      </c>
      <c r="J26" s="23"/>
      <c r="K26" s="45"/>
      <c r="L26" s="21"/>
      <c r="M26" s="124">
        <f t="shared" si="6"/>
        <v>45877.57986</v>
      </c>
      <c r="N26" s="124">
        <f t="shared" si="7"/>
        <v>45880.45139</v>
      </c>
      <c r="O26" s="124">
        <f t="shared" si="8"/>
        <v>2.871527778</v>
      </c>
      <c r="P26" s="125">
        <f t="shared" si="9"/>
        <v>68.91666667</v>
      </c>
      <c r="Q26" s="12">
        <v>3.0</v>
      </c>
      <c r="R26" s="2"/>
    </row>
    <row r="27" ht="15.75" customHeight="1">
      <c r="A27" s="115">
        <v>17.0</v>
      </c>
      <c r="B27" s="126"/>
      <c r="C27" s="30" t="s">
        <v>133</v>
      </c>
      <c r="D27" s="19" t="s">
        <v>33</v>
      </c>
      <c r="E27" s="20">
        <v>45880.0</v>
      </c>
      <c r="F27" s="21">
        <v>0.5069444444444444</v>
      </c>
      <c r="G27" s="20">
        <v>45885.0</v>
      </c>
      <c r="H27" s="21">
        <v>0.5</v>
      </c>
      <c r="I27" s="22">
        <v>8013.578</v>
      </c>
      <c r="J27" s="23"/>
      <c r="K27" s="45"/>
      <c r="L27" s="21"/>
      <c r="M27" s="124">
        <f t="shared" si="6"/>
        <v>45880.50694</v>
      </c>
      <c r="N27" s="124">
        <f t="shared" si="7"/>
        <v>45885.5</v>
      </c>
      <c r="O27" s="124">
        <f t="shared" si="8"/>
        <v>4.993055556</v>
      </c>
      <c r="P27" s="125">
        <f t="shared" si="9"/>
        <v>119.8333333</v>
      </c>
      <c r="Q27" s="12">
        <v>3.0</v>
      </c>
      <c r="R27" s="2"/>
    </row>
    <row r="28" ht="15.75" customHeight="1">
      <c r="A28" s="115">
        <v>18.0</v>
      </c>
      <c r="B28" s="126"/>
      <c r="C28" s="30" t="s">
        <v>316</v>
      </c>
      <c r="D28" s="19" t="s">
        <v>33</v>
      </c>
      <c r="E28" s="20">
        <v>45887.0</v>
      </c>
      <c r="F28" s="21">
        <v>0.5</v>
      </c>
      <c r="G28" s="20">
        <v>45891.0</v>
      </c>
      <c r="H28" s="21">
        <v>0.3541666666666667</v>
      </c>
      <c r="I28" s="22">
        <v>7039.525</v>
      </c>
      <c r="J28" s="23"/>
      <c r="K28" s="45"/>
      <c r="L28" s="21"/>
      <c r="M28" s="124">
        <f t="shared" si="6"/>
        <v>45887.5</v>
      </c>
      <c r="N28" s="124">
        <f t="shared" si="7"/>
        <v>45891.35417</v>
      </c>
      <c r="O28" s="124">
        <f t="shared" si="8"/>
        <v>3.854166667</v>
      </c>
      <c r="P28" s="125">
        <f t="shared" si="9"/>
        <v>92.5</v>
      </c>
      <c r="Q28" s="12">
        <v>3.0</v>
      </c>
      <c r="R28" s="2"/>
    </row>
    <row r="29" ht="15.75" customHeight="1">
      <c r="A29" s="115"/>
      <c r="B29" s="126"/>
      <c r="C29" s="30"/>
      <c r="D29" s="19"/>
      <c r="E29" s="20"/>
      <c r="F29" s="21"/>
      <c r="G29" s="20"/>
      <c r="H29" s="21"/>
      <c r="I29" s="22"/>
      <c r="J29" s="23"/>
      <c r="K29" s="45"/>
      <c r="L29" s="21"/>
      <c r="M29" s="46"/>
      <c r="N29" s="46"/>
      <c r="O29" s="46"/>
      <c r="P29" s="128"/>
      <c r="Q29" s="12"/>
      <c r="R29" s="2"/>
    </row>
    <row r="30" ht="15.75" customHeight="1">
      <c r="A30" s="115"/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46"/>
      <c r="N30" s="46"/>
      <c r="O30" s="46"/>
      <c r="P30" s="128"/>
      <c r="Q30" s="12"/>
      <c r="R30" s="2"/>
    </row>
    <row r="31" ht="15.75" customHeight="1">
      <c r="A31" s="129"/>
      <c r="B31" s="130"/>
      <c r="C31" s="33"/>
      <c r="D31" s="34"/>
      <c r="E31" s="35"/>
      <c r="F31" s="36"/>
      <c r="G31" s="35"/>
      <c r="H31" s="36"/>
      <c r="I31" s="131">
        <f t="shared" ref="I31:J31" si="10">SUM(I23:I30)</f>
        <v>46968.709</v>
      </c>
      <c r="J31" s="113">
        <f t="shared" si="10"/>
        <v>0</v>
      </c>
      <c r="K31" s="64">
        <f>+(P31)/(31*24)</f>
        <v>0.7208781362</v>
      </c>
      <c r="L31" s="40"/>
      <c r="M31" s="41"/>
      <c r="N31" s="41"/>
      <c r="O31" s="41"/>
      <c r="P31" s="42">
        <f>SUM(P23:P30)</f>
        <v>536.3333333</v>
      </c>
      <c r="Q31" s="2"/>
      <c r="R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  <c r="R32" s="2"/>
    </row>
    <row r="33" ht="15.75" customHeight="1">
      <c r="A33" s="115">
        <v>19.0</v>
      </c>
      <c r="B33" s="116" t="s">
        <v>41</v>
      </c>
      <c r="C33" s="30" t="s">
        <v>317</v>
      </c>
      <c r="D33" s="19" t="s">
        <v>33</v>
      </c>
      <c r="E33" s="20">
        <v>45866.0</v>
      </c>
      <c r="F33" s="21">
        <v>0.40277777777777773</v>
      </c>
      <c r="G33" s="20">
        <v>45870.0</v>
      </c>
      <c r="H33" s="21">
        <v>0.8958333333333334</v>
      </c>
      <c r="I33" s="22">
        <v>7801.78</v>
      </c>
      <c r="J33" s="23"/>
      <c r="K33" s="123"/>
      <c r="L33" s="120"/>
      <c r="M33" s="124">
        <f t="shared" ref="M33:M42" si="11">INT(E33)+MOD(F33,1)</f>
        <v>45866.40278</v>
      </c>
      <c r="N33" s="124">
        <f t="shared" ref="N33:N42" si="12">INT(G33)+MOD(H33,1)</f>
        <v>45870.89583</v>
      </c>
      <c r="O33" s="132">
        <f t="shared" ref="O33:O42" si="13">N33-M33</f>
        <v>4.493055556</v>
      </c>
      <c r="P33" s="125">
        <f t="shared" ref="P33:P42" si="14">O33*24</f>
        <v>107.8333333</v>
      </c>
      <c r="Q33" s="12">
        <v>4.0</v>
      </c>
      <c r="R33" s="2"/>
    </row>
    <row r="34" ht="15.75" customHeight="1">
      <c r="A34" s="115">
        <v>20.0</v>
      </c>
      <c r="B34" s="126"/>
      <c r="C34" s="30" t="s">
        <v>318</v>
      </c>
      <c r="D34" s="19" t="s">
        <v>319</v>
      </c>
      <c r="E34" s="20">
        <v>45872.0</v>
      </c>
      <c r="F34" s="21">
        <v>0.3611111111111111</v>
      </c>
      <c r="G34" s="20">
        <v>45874.0</v>
      </c>
      <c r="H34" s="21">
        <v>0.3055555555555555</v>
      </c>
      <c r="I34" s="22">
        <v>2673.16</v>
      </c>
      <c r="J34" s="23"/>
      <c r="K34" s="45"/>
      <c r="L34" s="21"/>
      <c r="M34" s="25">
        <f t="shared" si="11"/>
        <v>45872.36111</v>
      </c>
      <c r="N34" s="25">
        <f t="shared" si="12"/>
        <v>45874.30556</v>
      </c>
      <c r="O34" s="60">
        <f t="shared" si="13"/>
        <v>1.944444444</v>
      </c>
      <c r="P34" s="127">
        <f t="shared" si="14"/>
        <v>46.66666667</v>
      </c>
      <c r="Q34" s="12">
        <v>4.0</v>
      </c>
      <c r="R34" s="2"/>
    </row>
    <row r="35" ht="15.75" customHeight="1">
      <c r="A35" s="115">
        <v>21.0</v>
      </c>
      <c r="B35" s="126"/>
      <c r="C35" s="30" t="s">
        <v>320</v>
      </c>
      <c r="D35" s="19" t="s">
        <v>33</v>
      </c>
      <c r="E35" s="20">
        <v>45871.0</v>
      </c>
      <c r="F35" s="21">
        <v>0.4583333333333333</v>
      </c>
      <c r="G35" s="20">
        <v>45872.0</v>
      </c>
      <c r="H35" s="21">
        <v>0.4513888888888889</v>
      </c>
      <c r="I35" s="22">
        <v>4025.78</v>
      </c>
      <c r="J35" s="29"/>
      <c r="K35" s="45"/>
      <c r="L35" s="21"/>
      <c r="M35" s="25">
        <f t="shared" si="11"/>
        <v>45871.45833</v>
      </c>
      <c r="N35" s="25">
        <f t="shared" si="12"/>
        <v>45872.45139</v>
      </c>
      <c r="O35" s="60">
        <f t="shared" si="13"/>
        <v>0.9930555556</v>
      </c>
      <c r="P35" s="127">
        <f t="shared" si="14"/>
        <v>23.83333333</v>
      </c>
      <c r="Q35" s="12">
        <v>4.0</v>
      </c>
      <c r="R35" s="2"/>
    </row>
    <row r="36" ht="15.75" customHeight="1">
      <c r="A36" s="115">
        <v>22.0</v>
      </c>
      <c r="B36" s="126"/>
      <c r="C36" s="30" t="s">
        <v>321</v>
      </c>
      <c r="D36" s="19" t="s">
        <v>33</v>
      </c>
      <c r="E36" s="20">
        <v>45878.0</v>
      </c>
      <c r="F36" s="21">
        <v>0.44097222222222227</v>
      </c>
      <c r="G36" s="20">
        <v>45881.0</v>
      </c>
      <c r="H36" s="21">
        <v>0.3958333333333333</v>
      </c>
      <c r="I36" s="22">
        <v>7643.76</v>
      </c>
      <c r="J36" s="23"/>
      <c r="K36" s="45"/>
      <c r="L36" s="21"/>
      <c r="M36" s="25">
        <f t="shared" si="11"/>
        <v>45878.44097</v>
      </c>
      <c r="N36" s="25">
        <f t="shared" si="12"/>
        <v>45881.39583</v>
      </c>
      <c r="O36" s="60">
        <f t="shared" si="13"/>
        <v>2.954861111</v>
      </c>
      <c r="P36" s="127">
        <f t="shared" si="14"/>
        <v>70.91666667</v>
      </c>
      <c r="Q36" s="12">
        <v>4.0</v>
      </c>
      <c r="R36" s="2"/>
    </row>
    <row r="37" ht="15.75" customHeight="1">
      <c r="A37" s="115">
        <v>23.0</v>
      </c>
      <c r="B37" s="126"/>
      <c r="C37" s="30" t="s">
        <v>68</v>
      </c>
      <c r="D37" s="19" t="s">
        <v>33</v>
      </c>
      <c r="E37" s="20">
        <v>45881.0</v>
      </c>
      <c r="F37" s="21">
        <v>0.5555555555555556</v>
      </c>
      <c r="G37" s="20">
        <v>45884.0</v>
      </c>
      <c r="H37" s="21">
        <v>0.4270833333333333</v>
      </c>
      <c r="I37" s="22">
        <v>7289.3</v>
      </c>
      <c r="J37" s="23"/>
      <c r="K37" s="45"/>
      <c r="L37" s="21"/>
      <c r="M37" s="25">
        <f t="shared" si="11"/>
        <v>45881.55556</v>
      </c>
      <c r="N37" s="25">
        <f t="shared" si="12"/>
        <v>45884.42708</v>
      </c>
      <c r="O37" s="60">
        <f t="shared" si="13"/>
        <v>2.871527778</v>
      </c>
      <c r="P37" s="127">
        <f t="shared" si="14"/>
        <v>68.91666667</v>
      </c>
      <c r="Q37" s="12">
        <v>4.0</v>
      </c>
      <c r="R37" s="2"/>
    </row>
    <row r="38" ht="15.75" customHeight="1">
      <c r="A38" s="115">
        <v>24.0</v>
      </c>
      <c r="B38" s="126"/>
      <c r="C38" s="30" t="s">
        <v>322</v>
      </c>
      <c r="D38" s="19" t="s">
        <v>33</v>
      </c>
      <c r="E38" s="20">
        <v>45878.0</v>
      </c>
      <c r="F38" s="21">
        <v>0.4861111111111111</v>
      </c>
      <c r="G38" s="20">
        <v>45882.0</v>
      </c>
      <c r="H38" s="21">
        <v>0.3645833333333333</v>
      </c>
      <c r="I38" s="22">
        <v>8296.764</v>
      </c>
      <c r="J38" s="23"/>
      <c r="K38" s="45"/>
      <c r="L38" s="21"/>
      <c r="M38" s="25">
        <f t="shared" si="11"/>
        <v>45878.48611</v>
      </c>
      <c r="N38" s="25">
        <f t="shared" si="12"/>
        <v>45882.36458</v>
      </c>
      <c r="O38" s="60">
        <f t="shared" si="13"/>
        <v>3.878472222</v>
      </c>
      <c r="P38" s="127">
        <f t="shared" si="14"/>
        <v>93.08333333</v>
      </c>
      <c r="Q38" s="12">
        <v>4.0</v>
      </c>
      <c r="R38" s="2"/>
    </row>
    <row r="39" ht="15.75" customHeight="1">
      <c r="A39" s="115">
        <v>25.0</v>
      </c>
      <c r="B39" s="126"/>
      <c r="C39" s="30" t="s">
        <v>323</v>
      </c>
      <c r="D39" s="19" t="s">
        <v>33</v>
      </c>
      <c r="E39" s="20">
        <v>45885.0</v>
      </c>
      <c r="F39" s="21">
        <v>0.5416666666666666</v>
      </c>
      <c r="G39" s="20">
        <v>45888.0</v>
      </c>
      <c r="H39" s="21">
        <v>0.3611111111111111</v>
      </c>
      <c r="I39" s="22">
        <v>7339.58</v>
      </c>
      <c r="J39" s="23"/>
      <c r="K39" s="45"/>
      <c r="L39" s="21"/>
      <c r="M39" s="25">
        <f t="shared" si="11"/>
        <v>45885.54167</v>
      </c>
      <c r="N39" s="25">
        <f t="shared" si="12"/>
        <v>45888.36111</v>
      </c>
      <c r="O39" s="60">
        <f t="shared" si="13"/>
        <v>2.819444444</v>
      </c>
      <c r="P39" s="127">
        <f t="shared" si="14"/>
        <v>67.66666667</v>
      </c>
      <c r="Q39" s="12">
        <v>4.0</v>
      </c>
      <c r="R39" s="2"/>
    </row>
    <row r="40" ht="15.75" customHeight="1">
      <c r="A40" s="115">
        <v>26.0</v>
      </c>
      <c r="B40" s="126"/>
      <c r="C40" s="30" t="s">
        <v>324</v>
      </c>
      <c r="D40" s="19" t="s">
        <v>33</v>
      </c>
      <c r="E40" s="20">
        <v>45887.0</v>
      </c>
      <c r="F40" s="21">
        <v>0.7083333333333334</v>
      </c>
      <c r="G40" s="20">
        <v>45891.0</v>
      </c>
      <c r="H40" s="21">
        <v>0.6458333333333334</v>
      </c>
      <c r="I40" s="22">
        <v>7193.6</v>
      </c>
      <c r="J40" s="23"/>
      <c r="K40" s="45"/>
      <c r="L40" s="21"/>
      <c r="M40" s="25">
        <f t="shared" si="11"/>
        <v>45887.70833</v>
      </c>
      <c r="N40" s="25">
        <f t="shared" si="12"/>
        <v>45891.64583</v>
      </c>
      <c r="O40" s="60">
        <f t="shared" si="13"/>
        <v>3.9375</v>
      </c>
      <c r="P40" s="127">
        <f t="shared" si="14"/>
        <v>94.5</v>
      </c>
      <c r="Q40" s="12">
        <v>4.0</v>
      </c>
      <c r="R40" s="2"/>
    </row>
    <row r="41" ht="15.75" customHeight="1">
      <c r="A41" s="115">
        <v>27.0</v>
      </c>
      <c r="B41" s="126"/>
      <c r="C41" s="30" t="s">
        <v>166</v>
      </c>
      <c r="D41" s="19" t="s">
        <v>33</v>
      </c>
      <c r="E41" s="20">
        <v>45891.0</v>
      </c>
      <c r="F41" s="21">
        <v>0.7013888888888888</v>
      </c>
      <c r="G41" s="20">
        <v>45895.0</v>
      </c>
      <c r="H41" s="21">
        <v>0.3298611111111111</v>
      </c>
      <c r="I41" s="22">
        <v>7068.46</v>
      </c>
      <c r="J41" s="23"/>
      <c r="K41" s="45"/>
      <c r="L41" s="21"/>
      <c r="M41" s="25">
        <f t="shared" si="11"/>
        <v>45891.70139</v>
      </c>
      <c r="N41" s="25">
        <f t="shared" si="12"/>
        <v>45895.32986</v>
      </c>
      <c r="O41" s="60">
        <f t="shared" si="13"/>
        <v>3.628472222</v>
      </c>
      <c r="P41" s="127">
        <f t="shared" si="14"/>
        <v>87.08333333</v>
      </c>
      <c r="Q41" s="12">
        <v>4.0</v>
      </c>
      <c r="R41" s="2"/>
    </row>
    <row r="42" ht="15.75" customHeight="1">
      <c r="A42" s="115">
        <v>28.0</v>
      </c>
      <c r="B42" s="126"/>
      <c r="C42" s="30" t="s">
        <v>325</v>
      </c>
      <c r="D42" s="19" t="s">
        <v>33</v>
      </c>
      <c r="E42" s="20">
        <v>45894.0</v>
      </c>
      <c r="F42" s="21">
        <v>0.40972222222222227</v>
      </c>
      <c r="G42" s="20">
        <v>45896.0</v>
      </c>
      <c r="H42" s="21">
        <v>0.7013888888888888</v>
      </c>
      <c r="I42" s="22">
        <v>7415.38</v>
      </c>
      <c r="J42" s="23"/>
      <c r="K42" s="45"/>
      <c r="L42" s="21"/>
      <c r="M42" s="25">
        <f t="shared" si="11"/>
        <v>45894.40972</v>
      </c>
      <c r="N42" s="25">
        <f t="shared" si="12"/>
        <v>45896.70139</v>
      </c>
      <c r="O42" s="60">
        <f t="shared" si="13"/>
        <v>2.291666667</v>
      </c>
      <c r="P42" s="127">
        <f t="shared" si="14"/>
        <v>55</v>
      </c>
      <c r="Q42" s="12">
        <v>4.0</v>
      </c>
      <c r="R42" s="2"/>
    </row>
    <row r="43" ht="15.75" customHeight="1">
      <c r="A43" s="115">
        <v>29.0</v>
      </c>
      <c r="B43" s="126"/>
      <c r="C43" s="30"/>
      <c r="D43" s="19"/>
      <c r="E43" s="20"/>
      <c r="F43" s="21"/>
      <c r="G43" s="20"/>
      <c r="H43" s="21"/>
      <c r="I43" s="22"/>
      <c r="J43" s="23"/>
      <c r="K43" s="45"/>
      <c r="L43" s="21"/>
      <c r="M43" s="46"/>
      <c r="N43" s="46"/>
      <c r="O43" s="61"/>
      <c r="P43" s="128"/>
      <c r="Q43" s="12"/>
      <c r="R43" s="2"/>
    </row>
    <row r="44" ht="15.75" customHeight="1">
      <c r="A44" s="115">
        <v>30.0</v>
      </c>
      <c r="B44" s="126"/>
      <c r="C44" s="30"/>
      <c r="D44" s="19"/>
      <c r="E44" s="20"/>
      <c r="F44" s="21"/>
      <c r="G44" s="20"/>
      <c r="H44" s="21"/>
      <c r="I44" s="22"/>
      <c r="J44" s="23"/>
      <c r="K44" s="45"/>
      <c r="L44" s="21"/>
      <c r="M44" s="46"/>
      <c r="N44" s="46"/>
      <c r="O44" s="61"/>
      <c r="P44" s="128"/>
      <c r="Q44" s="12"/>
      <c r="R44" s="2"/>
    </row>
    <row r="45" ht="15.75" customHeight="1">
      <c r="A45" s="115">
        <v>31.0</v>
      </c>
      <c r="B45" s="126"/>
      <c r="C45" s="30"/>
      <c r="D45" s="19"/>
      <c r="E45" s="20"/>
      <c r="F45" s="21"/>
      <c r="G45" s="20"/>
      <c r="H45" s="21"/>
      <c r="I45" s="22"/>
      <c r="J45" s="23"/>
      <c r="K45" s="45"/>
      <c r="L45" s="50"/>
      <c r="M45" s="46"/>
      <c r="N45" s="46"/>
      <c r="O45" s="61"/>
      <c r="P45" s="128"/>
      <c r="Q45" s="12"/>
      <c r="R45" s="2"/>
    </row>
    <row r="46" ht="15.75" customHeight="1">
      <c r="A46" s="115">
        <v>32.0</v>
      </c>
      <c r="B46" s="126"/>
      <c r="C46" s="30"/>
      <c r="D46" s="19"/>
      <c r="E46" s="20"/>
      <c r="F46" s="21"/>
      <c r="G46" s="20"/>
      <c r="H46" s="21"/>
      <c r="I46" s="22"/>
      <c r="J46" s="29"/>
      <c r="K46" s="45"/>
      <c r="L46" s="50"/>
      <c r="M46" s="46"/>
      <c r="N46" s="46"/>
      <c r="O46" s="61"/>
      <c r="P46" s="128"/>
      <c r="Q46" s="12"/>
      <c r="R46" s="2"/>
    </row>
    <row r="47" ht="15.75" customHeight="1">
      <c r="A47" s="115">
        <v>33.0</v>
      </c>
      <c r="B47" s="126"/>
      <c r="C47" s="67"/>
      <c r="D47" s="108"/>
      <c r="E47" s="104"/>
      <c r="F47" s="72"/>
      <c r="G47" s="104"/>
      <c r="H47" s="72"/>
      <c r="I47" s="109"/>
      <c r="J47" s="111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33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8.0" customHeight="1">
      <c r="A49" s="115"/>
      <c r="B49" s="134"/>
      <c r="C49" s="30"/>
      <c r="D49" s="19"/>
      <c r="E49" s="20"/>
      <c r="F49" s="21"/>
      <c r="G49" s="20"/>
      <c r="H49" s="21"/>
      <c r="I49" s="22"/>
      <c r="J49" s="29"/>
      <c r="K49" s="45"/>
      <c r="L49" s="21"/>
      <c r="M49" s="46"/>
      <c r="N49" s="46"/>
      <c r="O49" s="61"/>
      <c r="P49" s="128"/>
      <c r="Q49" s="12"/>
      <c r="R49" s="2"/>
    </row>
    <row r="50" ht="18.75" customHeight="1">
      <c r="A50" s="135"/>
      <c r="B50" s="134"/>
      <c r="C50" s="102"/>
      <c r="D50" s="108"/>
      <c r="E50" s="104"/>
      <c r="F50" s="72"/>
      <c r="G50" s="104"/>
      <c r="H50" s="72"/>
      <c r="I50" s="109"/>
      <c r="J50" s="136"/>
      <c r="K50" s="137"/>
      <c r="L50" s="69"/>
      <c r="M50" s="70"/>
      <c r="N50" s="70"/>
      <c r="O50" s="110"/>
      <c r="P50" s="138"/>
      <c r="Q50" s="12"/>
      <c r="R50" s="2"/>
    </row>
    <row r="51" ht="15.75" customHeight="1">
      <c r="A51" s="139"/>
      <c r="B51" s="140"/>
      <c r="C51" s="141"/>
      <c r="D51" s="34"/>
      <c r="E51" s="35"/>
      <c r="F51" s="36"/>
      <c r="G51" s="35"/>
      <c r="H51" s="36"/>
      <c r="I51" s="131">
        <f>SUM(I33:I50)</f>
        <v>66747.564</v>
      </c>
      <c r="J51" s="142">
        <f>SUM(J33:J48)</f>
        <v>0</v>
      </c>
      <c r="K51" s="64">
        <f>+(P51)/(31*24)</f>
        <v>0.9616935484</v>
      </c>
      <c r="L51" s="40"/>
      <c r="M51" s="41"/>
      <c r="N51" s="41"/>
      <c r="O51" s="41"/>
      <c r="P51" s="42">
        <f>SUM(P33:P48)</f>
        <v>715.5</v>
      </c>
      <c r="Q51" s="12"/>
      <c r="R51" s="2"/>
    </row>
    <row r="52" ht="15.75" customHeight="1">
      <c r="A52" s="65"/>
      <c r="B52" s="66"/>
      <c r="C52" s="67"/>
      <c r="D52" s="12"/>
      <c r="E52" s="13"/>
      <c r="F52" s="14"/>
      <c r="G52" s="13"/>
      <c r="H52" s="14"/>
      <c r="I52" s="55"/>
      <c r="J52" s="56"/>
      <c r="K52" s="68"/>
      <c r="L52" s="69"/>
      <c r="M52" s="70"/>
      <c r="N52" s="70"/>
      <c r="O52" s="70"/>
      <c r="P52" s="71"/>
      <c r="Q52" s="12"/>
      <c r="R52" s="2"/>
    </row>
    <row r="53" ht="15.75" customHeight="1">
      <c r="A53" s="115">
        <v>34.0</v>
      </c>
      <c r="B53" s="116" t="s">
        <v>62</v>
      </c>
      <c r="C53" s="30" t="s">
        <v>326</v>
      </c>
      <c r="D53" s="19" t="s">
        <v>33</v>
      </c>
      <c r="E53" s="20">
        <v>45864.0</v>
      </c>
      <c r="F53" s="21">
        <v>0.46527777777777773</v>
      </c>
      <c r="G53" s="20">
        <v>45870.0</v>
      </c>
      <c r="H53" s="21">
        <v>0.6006944444444444</v>
      </c>
      <c r="I53" s="22">
        <v>10021.3</v>
      </c>
      <c r="J53" s="122"/>
      <c r="K53" s="123"/>
      <c r="L53" s="120"/>
      <c r="M53" s="124">
        <f t="shared" ref="M53:M60" si="15">INT(E53)+MOD(F53,1)</f>
        <v>45864.46528</v>
      </c>
      <c r="N53" s="124">
        <f t="shared" ref="N53:N60" si="16">INT(G53)+MOD(H53,1)</f>
        <v>45870.60069</v>
      </c>
      <c r="O53" s="124">
        <f t="shared" ref="O53:O60" si="17">N53-M53</f>
        <v>6.135416667</v>
      </c>
      <c r="P53" s="125">
        <f t="shared" ref="P53:P60" si="18">O53*24</f>
        <v>147.25</v>
      </c>
      <c r="Q53" s="12">
        <v>5.0</v>
      </c>
      <c r="R53" s="2"/>
    </row>
    <row r="54" ht="15.75" customHeight="1">
      <c r="A54" s="115">
        <v>35.0</v>
      </c>
      <c r="B54" s="126"/>
      <c r="C54" s="30" t="s">
        <v>37</v>
      </c>
      <c r="D54" s="19" t="s">
        <v>33</v>
      </c>
      <c r="E54" s="20">
        <v>45874.0</v>
      </c>
      <c r="F54" s="21">
        <v>0.611111111111111</v>
      </c>
      <c r="G54" s="20">
        <v>45878.0</v>
      </c>
      <c r="H54" s="21">
        <v>0.3333333333333333</v>
      </c>
      <c r="I54" s="22">
        <v>8016.269</v>
      </c>
      <c r="J54" s="23"/>
      <c r="K54" s="45"/>
      <c r="L54" s="21"/>
      <c r="M54" s="25">
        <f t="shared" si="15"/>
        <v>45874.61111</v>
      </c>
      <c r="N54" s="25">
        <f t="shared" si="16"/>
        <v>45878.33333</v>
      </c>
      <c r="O54" s="25">
        <f t="shared" si="17"/>
        <v>3.722222222</v>
      </c>
      <c r="P54" s="127">
        <f t="shared" si="18"/>
        <v>89.33333333</v>
      </c>
      <c r="Q54" s="12">
        <v>5.0</v>
      </c>
      <c r="R54" s="2"/>
    </row>
    <row r="55" ht="15.75" customHeight="1">
      <c r="A55" s="115">
        <v>36.0</v>
      </c>
      <c r="B55" s="126"/>
      <c r="C55" s="30" t="s">
        <v>327</v>
      </c>
      <c r="D55" s="19" t="s">
        <v>33</v>
      </c>
      <c r="E55" s="20">
        <v>45879.0</v>
      </c>
      <c r="F55" s="21">
        <v>0.5555555555555556</v>
      </c>
      <c r="G55" s="20">
        <v>45881.0</v>
      </c>
      <c r="H55" s="21">
        <v>0.5729166666666666</v>
      </c>
      <c r="I55" s="22">
        <v>3903.6</v>
      </c>
      <c r="J55" s="23"/>
      <c r="K55" s="45"/>
      <c r="L55" s="21"/>
      <c r="M55" s="25">
        <f t="shared" si="15"/>
        <v>45879.55556</v>
      </c>
      <c r="N55" s="25">
        <f t="shared" si="16"/>
        <v>45881.57292</v>
      </c>
      <c r="O55" s="25">
        <f t="shared" si="17"/>
        <v>2.017361111</v>
      </c>
      <c r="P55" s="127">
        <f t="shared" si="18"/>
        <v>48.41666667</v>
      </c>
      <c r="Q55" s="12">
        <v>5.0</v>
      </c>
      <c r="R55" s="2"/>
    </row>
    <row r="56" ht="15.75" customHeight="1">
      <c r="A56" s="115">
        <v>37.0</v>
      </c>
      <c r="B56" s="126"/>
      <c r="C56" s="30" t="s">
        <v>328</v>
      </c>
      <c r="D56" s="19" t="s">
        <v>33</v>
      </c>
      <c r="E56" s="20">
        <v>45881.0</v>
      </c>
      <c r="F56" s="21">
        <v>0.607638888888889</v>
      </c>
      <c r="G56" s="20">
        <v>45883.0</v>
      </c>
      <c r="H56" s="21">
        <v>0.3854166666666667</v>
      </c>
      <c r="I56" s="22">
        <v>3570.4</v>
      </c>
      <c r="J56" s="23"/>
      <c r="K56" s="45"/>
      <c r="L56" s="21"/>
      <c r="M56" s="25">
        <f t="shared" si="15"/>
        <v>45881.60764</v>
      </c>
      <c r="N56" s="25">
        <f t="shared" si="16"/>
        <v>45883.38542</v>
      </c>
      <c r="O56" s="25">
        <f t="shared" si="17"/>
        <v>1.777777778</v>
      </c>
      <c r="P56" s="127">
        <f t="shared" si="18"/>
        <v>42.66666667</v>
      </c>
      <c r="Q56" s="12">
        <v>5.0</v>
      </c>
      <c r="R56" s="2"/>
    </row>
    <row r="57" ht="15.75" customHeight="1">
      <c r="A57" s="115">
        <v>38.0</v>
      </c>
      <c r="B57" s="126"/>
      <c r="C57" s="30" t="s">
        <v>329</v>
      </c>
      <c r="D57" s="19" t="s">
        <v>33</v>
      </c>
      <c r="E57" s="20">
        <v>45883.0</v>
      </c>
      <c r="F57" s="21">
        <v>0.6527777777777778</v>
      </c>
      <c r="G57" s="20">
        <v>45886.0</v>
      </c>
      <c r="H57" s="21">
        <v>0.4375</v>
      </c>
      <c r="I57" s="22">
        <v>7583.3</v>
      </c>
      <c r="J57" s="23"/>
      <c r="K57" s="45"/>
      <c r="L57" s="21"/>
      <c r="M57" s="25">
        <f t="shared" si="15"/>
        <v>45883.65278</v>
      </c>
      <c r="N57" s="25">
        <f t="shared" si="16"/>
        <v>45886.4375</v>
      </c>
      <c r="O57" s="25">
        <f t="shared" si="17"/>
        <v>2.784722222</v>
      </c>
      <c r="P57" s="127">
        <f t="shared" si="18"/>
        <v>66.83333333</v>
      </c>
      <c r="Q57" s="12">
        <v>5.0</v>
      </c>
      <c r="R57" s="2"/>
    </row>
    <row r="58" ht="15.75" customHeight="1">
      <c r="A58" s="115">
        <v>39.0</v>
      </c>
      <c r="B58" s="126"/>
      <c r="C58" s="30" t="s">
        <v>330</v>
      </c>
      <c r="D58" s="19" t="s">
        <v>33</v>
      </c>
      <c r="E58" s="20">
        <v>45882.0</v>
      </c>
      <c r="F58" s="21">
        <v>0.43402777777777773</v>
      </c>
      <c r="G58" s="20">
        <v>45887.0</v>
      </c>
      <c r="H58" s="21">
        <v>0.46875</v>
      </c>
      <c r="I58" s="22">
        <v>8505.642</v>
      </c>
      <c r="J58" s="23"/>
      <c r="K58" s="45"/>
      <c r="L58" s="21"/>
      <c r="M58" s="25">
        <f t="shared" si="15"/>
        <v>45882.43403</v>
      </c>
      <c r="N58" s="25">
        <f t="shared" si="16"/>
        <v>45887.46875</v>
      </c>
      <c r="O58" s="25">
        <f t="shared" si="17"/>
        <v>5.034722222</v>
      </c>
      <c r="P58" s="127">
        <f t="shared" si="18"/>
        <v>120.8333333</v>
      </c>
      <c r="Q58" s="12">
        <v>5.0</v>
      </c>
      <c r="R58" s="2"/>
    </row>
    <row r="59" ht="15.75" customHeight="1">
      <c r="A59" s="115">
        <v>40.0</v>
      </c>
      <c r="B59" s="126"/>
      <c r="C59" s="30" t="s">
        <v>331</v>
      </c>
      <c r="D59" s="19" t="s">
        <v>33</v>
      </c>
      <c r="E59" s="20">
        <v>45887.0</v>
      </c>
      <c r="F59" s="21">
        <v>0.3819444444444444</v>
      </c>
      <c r="G59" s="20">
        <v>45890.0</v>
      </c>
      <c r="H59" s="21">
        <v>0.3923611111111111</v>
      </c>
      <c r="I59" s="22">
        <v>7154.98</v>
      </c>
      <c r="J59" s="23"/>
      <c r="K59" s="45"/>
      <c r="L59" s="21"/>
      <c r="M59" s="25">
        <f t="shared" si="15"/>
        <v>45887.38194</v>
      </c>
      <c r="N59" s="25">
        <f t="shared" si="16"/>
        <v>45890.39236</v>
      </c>
      <c r="O59" s="25">
        <f t="shared" si="17"/>
        <v>3.010416667</v>
      </c>
      <c r="P59" s="127">
        <f t="shared" si="18"/>
        <v>72.25</v>
      </c>
      <c r="Q59" s="12">
        <v>5.0</v>
      </c>
      <c r="R59" s="2"/>
    </row>
    <row r="60" ht="15.75" customHeight="1">
      <c r="A60" s="115">
        <v>41.0</v>
      </c>
      <c r="B60" s="126"/>
      <c r="C60" s="30" t="s">
        <v>332</v>
      </c>
      <c r="D60" s="19" t="s">
        <v>33</v>
      </c>
      <c r="E60" s="20">
        <v>45890.0</v>
      </c>
      <c r="F60" s="21">
        <v>0.576388888888889</v>
      </c>
      <c r="G60" s="20">
        <v>45894.0</v>
      </c>
      <c r="H60" s="21">
        <v>0.46875</v>
      </c>
      <c r="I60" s="22">
        <v>8853.88</v>
      </c>
      <c r="J60" s="23"/>
      <c r="K60" s="45"/>
      <c r="L60" s="21"/>
      <c r="M60" s="25">
        <f t="shared" si="15"/>
        <v>45890.57639</v>
      </c>
      <c r="N60" s="25">
        <f t="shared" si="16"/>
        <v>45894.46875</v>
      </c>
      <c r="O60" s="25">
        <f t="shared" si="17"/>
        <v>3.892361111</v>
      </c>
      <c r="P60" s="127">
        <f t="shared" si="18"/>
        <v>93.41666667</v>
      </c>
      <c r="Q60" s="12">
        <v>5.0</v>
      </c>
      <c r="R60" s="2"/>
    </row>
    <row r="61" ht="15.75" customHeight="1">
      <c r="A61" s="115">
        <v>42.0</v>
      </c>
      <c r="B61" s="126"/>
      <c r="C61" s="30"/>
      <c r="D61" s="19"/>
      <c r="E61" s="20"/>
      <c r="F61" s="21"/>
      <c r="G61" s="20"/>
      <c r="H61" s="21"/>
      <c r="I61" s="22"/>
      <c r="J61" s="23"/>
      <c r="K61" s="45"/>
      <c r="L61" s="21"/>
      <c r="M61" s="46"/>
      <c r="N61" s="46"/>
      <c r="O61" s="46"/>
      <c r="P61" s="128"/>
      <c r="Q61" s="12"/>
      <c r="R61" s="2"/>
    </row>
    <row r="62" ht="15.75" customHeight="1">
      <c r="A62" s="115">
        <v>43.0</v>
      </c>
      <c r="B62" s="126"/>
      <c r="C62" s="30"/>
      <c r="D62" s="19"/>
      <c r="E62" s="20"/>
      <c r="F62" s="21"/>
      <c r="G62" s="20"/>
      <c r="H62" s="21"/>
      <c r="I62" s="22"/>
      <c r="J62" s="29"/>
      <c r="K62" s="45"/>
      <c r="L62" s="21"/>
      <c r="M62" s="46"/>
      <c r="N62" s="46"/>
      <c r="O62" s="46"/>
      <c r="P62" s="128"/>
      <c r="Q62" s="12"/>
      <c r="R62" s="2"/>
    </row>
    <row r="63" ht="15.75" customHeight="1">
      <c r="A63" s="115">
        <v>44.0</v>
      </c>
      <c r="B63" s="126"/>
      <c r="C63" s="30"/>
      <c r="D63" s="19"/>
      <c r="E63" s="20"/>
      <c r="F63" s="21"/>
      <c r="G63" s="20"/>
      <c r="H63" s="21"/>
      <c r="I63" s="22"/>
      <c r="J63" s="23"/>
      <c r="K63" s="45"/>
      <c r="L63" s="50"/>
      <c r="M63" s="46"/>
      <c r="N63" s="46"/>
      <c r="O63" s="46"/>
      <c r="P63" s="128"/>
      <c r="Q63" s="12"/>
      <c r="R63" s="2"/>
    </row>
    <row r="64" ht="15.75" customHeight="1">
      <c r="A64" s="115">
        <v>45.0</v>
      </c>
      <c r="B64" s="126"/>
      <c r="C64" s="30"/>
      <c r="D64" s="19"/>
      <c r="E64" s="20"/>
      <c r="F64" s="21"/>
      <c r="G64" s="20"/>
      <c r="H64" s="21"/>
      <c r="I64" s="22"/>
      <c r="J64" s="111"/>
      <c r="K64" s="137"/>
      <c r="L64" s="50"/>
      <c r="M64" s="46"/>
      <c r="N64" s="46"/>
      <c r="O64" s="46"/>
      <c r="P64" s="128"/>
      <c r="Q64" s="12"/>
      <c r="R64" s="2"/>
    </row>
    <row r="65" ht="15.75" customHeight="1">
      <c r="A65" s="115">
        <v>46.0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29"/>
      <c r="B66" s="130"/>
      <c r="C66" s="141"/>
      <c r="D66" s="34"/>
      <c r="E66" s="35"/>
      <c r="F66" s="36"/>
      <c r="G66" s="35"/>
      <c r="H66" s="36"/>
      <c r="I66" s="131">
        <f t="shared" ref="I66:J66" si="19">SUM(I53:I65)</f>
        <v>57609.371</v>
      </c>
      <c r="J66" s="86">
        <f t="shared" si="19"/>
        <v>0</v>
      </c>
      <c r="K66" s="39">
        <f>+(P66)/(31*24)</f>
        <v>0.9153225806</v>
      </c>
      <c r="L66" s="40"/>
      <c r="M66" s="41"/>
      <c r="N66" s="41"/>
      <c r="O66" s="41"/>
      <c r="P66" s="42">
        <f>SUM(P53:P65)</f>
        <v>681</v>
      </c>
      <c r="Q66" s="12"/>
      <c r="R66" s="2"/>
    </row>
    <row r="67" ht="15.75" customHeight="1">
      <c r="A67" s="1"/>
      <c r="B67" s="12"/>
      <c r="C67" s="67"/>
      <c r="D67" s="12"/>
      <c r="E67" s="13"/>
      <c r="F67" s="14"/>
      <c r="G67" s="13"/>
      <c r="H67" s="14"/>
      <c r="I67" s="55"/>
      <c r="J67" s="56"/>
      <c r="K67" s="16"/>
      <c r="L67" s="14"/>
      <c r="M67" s="2"/>
      <c r="N67" s="2"/>
      <c r="O67" s="2"/>
      <c r="P67" s="2"/>
      <c r="Q67" s="12"/>
      <c r="R67" s="2"/>
    </row>
    <row r="68" ht="15.75" customHeight="1">
      <c r="A68" s="1"/>
      <c r="B68" s="12"/>
      <c r="C68" s="67"/>
      <c r="D68" s="12"/>
      <c r="E68" s="13"/>
      <c r="F68" s="14"/>
      <c r="G68" s="13"/>
      <c r="H68" s="14"/>
      <c r="I68" s="55"/>
      <c r="J68" s="56"/>
      <c r="K68" s="16"/>
      <c r="L68" s="14"/>
      <c r="M68" s="2"/>
      <c r="N68" s="2"/>
      <c r="O68" s="2"/>
      <c r="P68" s="2"/>
      <c r="Q68" s="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15">
        <v>47.0</v>
      </c>
      <c r="B71" s="116" t="s">
        <v>69</v>
      </c>
      <c r="C71" s="30" t="s">
        <v>333</v>
      </c>
      <c r="D71" s="27" t="s">
        <v>139</v>
      </c>
      <c r="E71" s="20">
        <v>45864.0</v>
      </c>
      <c r="F71" s="21">
        <v>0.9826388888888888</v>
      </c>
      <c r="G71" s="20">
        <v>45871.0</v>
      </c>
      <c r="H71" s="21">
        <v>0.04513888888888889</v>
      </c>
      <c r="I71" s="100">
        <v>26702.497</v>
      </c>
      <c r="J71" s="144"/>
      <c r="K71" s="145"/>
      <c r="L71" s="146"/>
      <c r="M71" s="124">
        <f t="shared" ref="M71:M78" si="20">INT(E71)+MOD(F71,1)</f>
        <v>45864.98264</v>
      </c>
      <c r="N71" s="124">
        <f t="shared" ref="N71:N78" si="21">INT(G71)+MOD(H71,1)</f>
        <v>45871.04514</v>
      </c>
      <c r="O71" s="124">
        <f t="shared" ref="O71:O78" si="22">N71-M71</f>
        <v>6.0625</v>
      </c>
      <c r="P71" s="125">
        <f t="shared" ref="P71:P78" si="23">O71*24</f>
        <v>145.5</v>
      </c>
      <c r="Q71" s="12">
        <v>6.0</v>
      </c>
      <c r="R71" s="12"/>
    </row>
    <row r="72" ht="15.75" customHeight="1">
      <c r="A72" s="115">
        <v>48.0</v>
      </c>
      <c r="B72" s="126"/>
      <c r="C72" s="30" t="s">
        <v>334</v>
      </c>
      <c r="D72" s="19" t="s">
        <v>33</v>
      </c>
      <c r="E72" s="20">
        <v>45864.0</v>
      </c>
      <c r="F72" s="21">
        <v>0.6006944444444444</v>
      </c>
      <c r="G72" s="20">
        <v>45868.0</v>
      </c>
      <c r="H72" s="21">
        <v>0.3576388888888889</v>
      </c>
      <c r="I72" s="22">
        <v>8497.531</v>
      </c>
      <c r="J72" s="74"/>
      <c r="K72" s="88"/>
      <c r="L72" s="46"/>
      <c r="M72" s="25">
        <f t="shared" si="20"/>
        <v>45864.60069</v>
      </c>
      <c r="N72" s="25">
        <f t="shared" si="21"/>
        <v>45868.35764</v>
      </c>
      <c r="O72" s="25">
        <f t="shared" si="22"/>
        <v>3.756944444</v>
      </c>
      <c r="P72" s="127">
        <f t="shared" si="23"/>
        <v>90.16666667</v>
      </c>
      <c r="Q72" s="12">
        <v>7.0</v>
      </c>
      <c r="R72" s="12"/>
    </row>
    <row r="73" ht="15.75" customHeight="1">
      <c r="A73" s="115">
        <v>49.0</v>
      </c>
      <c r="B73" s="126"/>
      <c r="C73" s="30" t="s">
        <v>232</v>
      </c>
      <c r="D73" s="27" t="s">
        <v>139</v>
      </c>
      <c r="E73" s="20">
        <v>45875.0</v>
      </c>
      <c r="F73" s="21">
        <v>0.6840277777777778</v>
      </c>
      <c r="G73" s="20">
        <v>45878.0</v>
      </c>
      <c r="H73" s="21">
        <v>0.6354166666666666</v>
      </c>
      <c r="I73" s="100">
        <v>27023.906</v>
      </c>
      <c r="J73" s="74"/>
      <c r="K73" s="88"/>
      <c r="L73" s="46"/>
      <c r="M73" s="25">
        <f t="shared" si="20"/>
        <v>45875.68403</v>
      </c>
      <c r="N73" s="25">
        <f t="shared" si="21"/>
        <v>45878.63542</v>
      </c>
      <c r="O73" s="25">
        <f t="shared" si="22"/>
        <v>2.951388889</v>
      </c>
      <c r="P73" s="127">
        <f t="shared" si="23"/>
        <v>70.83333333</v>
      </c>
      <c r="Q73" s="12">
        <v>6.0</v>
      </c>
      <c r="R73" s="12"/>
    </row>
    <row r="74" ht="15.75" customHeight="1">
      <c r="A74" s="115">
        <v>50.0</v>
      </c>
      <c r="B74" s="126"/>
      <c r="C74" s="30" t="s">
        <v>224</v>
      </c>
      <c r="D74" s="19" t="s">
        <v>33</v>
      </c>
      <c r="E74" s="20">
        <v>45871.0</v>
      </c>
      <c r="F74" s="21">
        <v>0.545138888888889</v>
      </c>
      <c r="G74" s="20">
        <v>45874.0</v>
      </c>
      <c r="H74" s="21">
        <v>0.3159722222222222</v>
      </c>
      <c r="I74" s="22">
        <v>8000.679</v>
      </c>
      <c r="J74" s="74"/>
      <c r="K74" s="88"/>
      <c r="L74" s="46"/>
      <c r="M74" s="25">
        <f t="shared" si="20"/>
        <v>45871.54514</v>
      </c>
      <c r="N74" s="25">
        <f t="shared" si="21"/>
        <v>45874.31597</v>
      </c>
      <c r="O74" s="25">
        <f t="shared" si="22"/>
        <v>2.770833333</v>
      </c>
      <c r="P74" s="127">
        <f t="shared" si="23"/>
        <v>66.5</v>
      </c>
      <c r="Q74" s="12">
        <v>7.0</v>
      </c>
      <c r="R74" s="12"/>
    </row>
    <row r="75" ht="15.75" customHeight="1">
      <c r="A75" s="115">
        <v>51.0</v>
      </c>
      <c r="B75" s="126"/>
      <c r="C75" s="30" t="s">
        <v>265</v>
      </c>
      <c r="D75" s="19" t="s">
        <v>33</v>
      </c>
      <c r="E75" s="20">
        <v>45874.0</v>
      </c>
      <c r="F75" s="21">
        <v>0.43402777777777773</v>
      </c>
      <c r="G75" s="20">
        <v>45877.0</v>
      </c>
      <c r="H75" s="21">
        <v>0.3333333333333333</v>
      </c>
      <c r="I75" s="22">
        <v>8196.737</v>
      </c>
      <c r="J75" s="74"/>
      <c r="K75" s="88"/>
      <c r="L75" s="46"/>
      <c r="M75" s="25">
        <f t="shared" si="20"/>
        <v>45874.43403</v>
      </c>
      <c r="N75" s="25">
        <f t="shared" si="21"/>
        <v>45877.33333</v>
      </c>
      <c r="O75" s="25">
        <f t="shared" si="22"/>
        <v>2.899305556</v>
      </c>
      <c r="P75" s="127">
        <f t="shared" si="23"/>
        <v>69.58333333</v>
      </c>
      <c r="Q75" s="12">
        <v>7.0</v>
      </c>
      <c r="R75" s="12"/>
    </row>
    <row r="76" ht="15.75" customHeight="1">
      <c r="A76" s="115">
        <v>52.0</v>
      </c>
      <c r="B76" s="126"/>
      <c r="C76" s="30" t="s">
        <v>335</v>
      </c>
      <c r="D76" s="19" t="s">
        <v>33</v>
      </c>
      <c r="E76" s="20">
        <v>45879.0</v>
      </c>
      <c r="F76" s="21">
        <v>0.5833333333333334</v>
      </c>
      <c r="G76" s="20">
        <v>45884.0</v>
      </c>
      <c r="H76" s="21">
        <v>0.6493055555555556</v>
      </c>
      <c r="I76" s="22">
        <v>8639.165</v>
      </c>
      <c r="J76" s="74"/>
      <c r="K76" s="88"/>
      <c r="L76" s="46"/>
      <c r="M76" s="25">
        <f t="shared" si="20"/>
        <v>45879.58333</v>
      </c>
      <c r="N76" s="25">
        <f t="shared" si="21"/>
        <v>45884.64931</v>
      </c>
      <c r="O76" s="25">
        <f t="shared" si="22"/>
        <v>5.065972222</v>
      </c>
      <c r="P76" s="127">
        <f t="shared" si="23"/>
        <v>121.5833333</v>
      </c>
      <c r="Q76" s="12">
        <v>7.0</v>
      </c>
      <c r="R76" s="12"/>
    </row>
    <row r="77" ht="15.75" customHeight="1">
      <c r="A77" s="115">
        <v>53.0</v>
      </c>
      <c r="B77" s="126"/>
      <c r="C77" s="30" t="s">
        <v>336</v>
      </c>
      <c r="D77" s="19" t="s">
        <v>74</v>
      </c>
      <c r="E77" s="20">
        <v>45890.0</v>
      </c>
      <c r="F77" s="21">
        <v>0.24583333333333335</v>
      </c>
      <c r="G77" s="20">
        <v>45894.0</v>
      </c>
      <c r="H77" s="21">
        <v>0.5833333333333334</v>
      </c>
      <c r="I77" s="22">
        <v>55400.0</v>
      </c>
      <c r="J77" s="74"/>
      <c r="K77" s="88"/>
      <c r="L77" s="46"/>
      <c r="M77" s="25">
        <f t="shared" si="20"/>
        <v>45890.24583</v>
      </c>
      <c r="N77" s="25">
        <f t="shared" si="21"/>
        <v>45894.58333</v>
      </c>
      <c r="O77" s="25">
        <f t="shared" si="22"/>
        <v>4.3375</v>
      </c>
      <c r="P77" s="127">
        <f t="shared" si="23"/>
        <v>104.1</v>
      </c>
      <c r="Q77" s="12">
        <v>6.0</v>
      </c>
      <c r="R77" s="12"/>
    </row>
    <row r="78" ht="15.75" customHeight="1">
      <c r="A78" s="115"/>
      <c r="B78" s="126"/>
      <c r="C78" s="30" t="s">
        <v>337</v>
      </c>
      <c r="D78" s="19" t="s">
        <v>33</v>
      </c>
      <c r="E78" s="20">
        <v>45884.0</v>
      </c>
      <c r="F78" s="21">
        <v>0.7118055555555555</v>
      </c>
      <c r="G78" s="20">
        <v>45889.0</v>
      </c>
      <c r="H78" s="21">
        <v>0.3888888888888889</v>
      </c>
      <c r="I78" s="22">
        <v>8298.098</v>
      </c>
      <c r="J78" s="74"/>
      <c r="K78" s="88"/>
      <c r="L78" s="46"/>
      <c r="M78" s="25">
        <f t="shared" si="20"/>
        <v>45884.71181</v>
      </c>
      <c r="N78" s="25">
        <f t="shared" si="21"/>
        <v>45889.38889</v>
      </c>
      <c r="O78" s="25">
        <f t="shared" si="22"/>
        <v>4.677083333</v>
      </c>
      <c r="P78" s="127">
        <f t="shared" si="23"/>
        <v>112.25</v>
      </c>
      <c r="Q78" s="12">
        <v>7.0</v>
      </c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99"/>
      <c r="L79" s="82"/>
      <c r="M79" s="46"/>
      <c r="N79" s="46"/>
      <c r="O79" s="46"/>
      <c r="P79" s="128"/>
      <c r="Q79" s="12"/>
      <c r="R79" s="12"/>
    </row>
    <row r="80" ht="15.75" customHeight="1">
      <c r="A80" s="115"/>
      <c r="B80" s="133"/>
      <c r="C80" s="30"/>
      <c r="D80" s="19"/>
      <c r="E80" s="20"/>
      <c r="F80" s="21"/>
      <c r="G80" s="20"/>
      <c r="H80" s="21"/>
      <c r="I80" s="22"/>
      <c r="J80" s="74"/>
      <c r="K80" s="49"/>
      <c r="L80" s="50"/>
      <c r="M80" s="46"/>
      <c r="N80" s="46"/>
      <c r="O80" s="46"/>
      <c r="P80" s="128"/>
      <c r="Q80" s="12"/>
      <c r="R80" s="12"/>
    </row>
    <row r="81" ht="15.75" customHeight="1">
      <c r="A81" s="147"/>
      <c r="B81" s="148"/>
      <c r="C81" s="91"/>
      <c r="D81" s="91"/>
      <c r="E81" s="91"/>
      <c r="F81" s="91"/>
      <c r="G81" s="91"/>
      <c r="H81" s="91"/>
      <c r="I81" s="92">
        <f t="shared" ref="I81:J81" si="24">SUM(I71:I80)</f>
        <v>150758.613</v>
      </c>
      <c r="J81" s="93">
        <f t="shared" si="24"/>
        <v>0</v>
      </c>
      <c r="K81" s="39">
        <f>+(P81)/(31*24)</f>
        <v>1.049081541</v>
      </c>
      <c r="L81" s="41"/>
      <c r="M81" s="41"/>
      <c r="N81" s="41"/>
      <c r="O81" s="41"/>
      <c r="P81" s="42">
        <f>SUM(P71:P80)</f>
        <v>780.5166667</v>
      </c>
      <c r="Q81" s="12"/>
      <c r="R81" s="1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94"/>
      <c r="J83" s="95"/>
      <c r="K83" s="3"/>
      <c r="L83" s="2"/>
      <c r="M83" s="2"/>
      <c r="N83" s="2"/>
      <c r="O83" s="2"/>
      <c r="P83" s="2"/>
      <c r="Q83" s="1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96" t="s">
        <v>80</v>
      </c>
      <c r="B85" s="96"/>
      <c r="C85" s="96" t="s">
        <v>81</v>
      </c>
      <c r="D85" s="96" t="s">
        <v>82</v>
      </c>
      <c r="E85" s="96" t="s">
        <v>18</v>
      </c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83</v>
      </c>
      <c r="B86" s="96"/>
      <c r="C86" s="96"/>
      <c r="D86" s="96" t="s">
        <v>84</v>
      </c>
      <c r="E86" s="96" t="s">
        <v>31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96"/>
      <c r="B87" s="96"/>
      <c r="C87" s="96"/>
      <c r="D87" s="96" t="s">
        <v>85</v>
      </c>
      <c r="E87" s="96" t="s">
        <v>41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86</v>
      </c>
      <c r="E88" s="96" t="s">
        <v>62</v>
      </c>
      <c r="F88" s="2"/>
      <c r="G88" s="2"/>
      <c r="H88" s="2"/>
      <c r="I88" s="2"/>
      <c r="J88" s="2"/>
      <c r="K88" s="3"/>
      <c r="L88" s="97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87</v>
      </c>
      <c r="E89" s="96" t="s">
        <v>69</v>
      </c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/>
      <c r="E90" s="96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0"/>
    <mergeCell ref="B33:B48"/>
    <mergeCell ref="B53:B65"/>
    <mergeCell ref="B71:B8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338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339</v>
      </c>
      <c r="D7" s="19" t="s">
        <v>277</v>
      </c>
      <c r="E7" s="20">
        <v>45894.0</v>
      </c>
      <c r="F7" s="21">
        <v>0.5625</v>
      </c>
      <c r="G7" s="20">
        <v>45901.0</v>
      </c>
      <c r="H7" s="21">
        <v>0.4583333333333333</v>
      </c>
      <c r="I7" s="22"/>
      <c r="J7" s="23">
        <v>4366.427</v>
      </c>
      <c r="K7" s="45"/>
      <c r="L7" s="21"/>
      <c r="M7" s="25">
        <f t="shared" ref="M7:M16" si="1">INT(E7)+MOD(F7,1)</f>
        <v>45894.5625</v>
      </c>
      <c r="N7" s="25">
        <f t="shared" ref="N7:N16" si="2">INT(G7)+MOD(H7,1)</f>
        <v>45901.45833</v>
      </c>
      <c r="O7" s="25">
        <f t="shared" ref="O7:O16" si="3">N7-M7</f>
        <v>6.895833333</v>
      </c>
      <c r="P7" s="25">
        <f t="shared" ref="P7:P16" si="4">O7*24</f>
        <v>165.5</v>
      </c>
      <c r="Q7" s="12">
        <v>1.0</v>
      </c>
      <c r="R7" s="2"/>
    </row>
    <row r="8">
      <c r="A8" s="5">
        <v>2.0</v>
      </c>
      <c r="B8" s="26"/>
      <c r="C8" s="30" t="s">
        <v>340</v>
      </c>
      <c r="D8" s="27" t="s">
        <v>30</v>
      </c>
      <c r="E8" s="20">
        <v>45901.0</v>
      </c>
      <c r="F8" s="21">
        <v>0.6833333333333332</v>
      </c>
      <c r="G8" s="20">
        <v>45902.0</v>
      </c>
      <c r="H8" s="21">
        <v>0.7541666666666668</v>
      </c>
      <c r="I8" s="28">
        <v>64.0</v>
      </c>
      <c r="J8" s="29">
        <v>158.0</v>
      </c>
      <c r="K8" s="45"/>
      <c r="L8" s="21"/>
      <c r="M8" s="25">
        <f t="shared" si="1"/>
        <v>45901.68333</v>
      </c>
      <c r="N8" s="25">
        <f t="shared" si="2"/>
        <v>45902.75417</v>
      </c>
      <c r="O8" s="25">
        <f t="shared" si="3"/>
        <v>1.070833333</v>
      </c>
      <c r="P8" s="25">
        <f t="shared" si="4"/>
        <v>25.7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45898.0</v>
      </c>
      <c r="F9" s="21">
        <v>0.545138888888889</v>
      </c>
      <c r="G9" s="20">
        <v>45899.0</v>
      </c>
      <c r="H9" s="21">
        <v>0.25</v>
      </c>
      <c r="I9" s="22">
        <v>1122.5</v>
      </c>
      <c r="J9" s="23"/>
      <c r="K9" s="45"/>
      <c r="L9" s="21"/>
      <c r="M9" s="25">
        <f t="shared" si="1"/>
        <v>45898.54514</v>
      </c>
      <c r="N9" s="25">
        <f t="shared" si="2"/>
        <v>45899.25</v>
      </c>
      <c r="O9" s="25">
        <f t="shared" si="3"/>
        <v>0.7048611111</v>
      </c>
      <c r="P9" s="25">
        <f t="shared" si="4"/>
        <v>16.91666667</v>
      </c>
      <c r="Q9" s="12">
        <v>1.0</v>
      </c>
      <c r="R9" s="2"/>
    </row>
    <row r="10">
      <c r="A10" s="5">
        <v>4.0</v>
      </c>
      <c r="B10" s="26"/>
      <c r="C10" s="30" t="s">
        <v>276</v>
      </c>
      <c r="D10" s="19" t="s">
        <v>277</v>
      </c>
      <c r="E10" s="20">
        <v>45905.0</v>
      </c>
      <c r="F10" s="21">
        <v>0.2881944444444445</v>
      </c>
      <c r="G10" s="20">
        <v>45905.0</v>
      </c>
      <c r="H10" s="21">
        <v>0.8229166666666666</v>
      </c>
      <c r="I10" s="22">
        <v>1113.88</v>
      </c>
      <c r="J10" s="23"/>
      <c r="K10" s="45"/>
      <c r="L10" s="21"/>
      <c r="M10" s="25">
        <f t="shared" si="1"/>
        <v>45905.28819</v>
      </c>
      <c r="N10" s="25">
        <f t="shared" si="2"/>
        <v>45905.82292</v>
      </c>
      <c r="O10" s="25">
        <f t="shared" si="3"/>
        <v>0.5347222222</v>
      </c>
      <c r="P10" s="25">
        <f t="shared" si="4"/>
        <v>12.83333333</v>
      </c>
      <c r="Q10" s="12">
        <v>1.0</v>
      </c>
      <c r="R10" s="2"/>
    </row>
    <row r="11">
      <c r="A11" s="5">
        <v>5.0</v>
      </c>
      <c r="B11" s="26"/>
      <c r="C11" s="30" t="s">
        <v>276</v>
      </c>
      <c r="D11" s="19" t="s">
        <v>277</v>
      </c>
      <c r="E11" s="20">
        <v>45913.0</v>
      </c>
      <c r="F11" s="21">
        <v>0.5069444444444444</v>
      </c>
      <c r="G11" s="20">
        <v>45913.0</v>
      </c>
      <c r="H11" s="21">
        <v>0.9965277777777778</v>
      </c>
      <c r="I11" s="22">
        <v>1117.012</v>
      </c>
      <c r="J11" s="23"/>
      <c r="K11" s="45"/>
      <c r="L11" s="21"/>
      <c r="M11" s="25">
        <f t="shared" si="1"/>
        <v>45913.50694</v>
      </c>
      <c r="N11" s="25">
        <f t="shared" si="2"/>
        <v>45913.99653</v>
      </c>
      <c r="O11" s="25">
        <f t="shared" si="3"/>
        <v>0.4895833333</v>
      </c>
      <c r="P11" s="25">
        <f t="shared" si="4"/>
        <v>11.75</v>
      </c>
      <c r="Q11" s="12">
        <v>1.0</v>
      </c>
      <c r="R11" s="2"/>
    </row>
    <row r="12">
      <c r="A12" s="5">
        <v>6.0</v>
      </c>
      <c r="B12" s="26"/>
      <c r="C12" s="30" t="s">
        <v>276</v>
      </c>
      <c r="D12" s="19" t="s">
        <v>277</v>
      </c>
      <c r="E12" s="20">
        <v>45918.0</v>
      </c>
      <c r="F12" s="21">
        <v>0.8055555555555555</v>
      </c>
      <c r="G12" s="20">
        <v>45919.0</v>
      </c>
      <c r="H12" s="21">
        <v>0.4583333333333333</v>
      </c>
      <c r="I12" s="22">
        <v>1159.51</v>
      </c>
      <c r="J12" s="23"/>
      <c r="K12" s="45"/>
      <c r="L12" s="21"/>
      <c r="M12" s="25">
        <f t="shared" si="1"/>
        <v>45918.80556</v>
      </c>
      <c r="N12" s="25">
        <f t="shared" si="2"/>
        <v>45919.45833</v>
      </c>
      <c r="O12" s="25">
        <f t="shared" si="3"/>
        <v>0.6527777778</v>
      </c>
      <c r="P12" s="25">
        <f t="shared" si="4"/>
        <v>15.66666667</v>
      </c>
      <c r="Q12" s="12">
        <v>1.0</v>
      </c>
      <c r="R12" s="2"/>
    </row>
    <row r="13">
      <c r="A13" s="5">
        <v>7.0</v>
      </c>
      <c r="B13" s="26"/>
      <c r="C13" s="30" t="s">
        <v>341</v>
      </c>
      <c r="D13" s="27" t="s">
        <v>30</v>
      </c>
      <c r="E13" s="20">
        <v>45925.0</v>
      </c>
      <c r="F13" s="21">
        <v>0.3958333333333333</v>
      </c>
      <c r="G13" s="20">
        <v>45925.0</v>
      </c>
      <c r="H13" s="21">
        <v>0.5868055555555556</v>
      </c>
      <c r="I13" s="28">
        <v>19.0</v>
      </c>
      <c r="J13" s="29">
        <v>10.0</v>
      </c>
      <c r="K13" s="45"/>
      <c r="L13" s="21"/>
      <c r="M13" s="25">
        <f t="shared" si="1"/>
        <v>45925.39583</v>
      </c>
      <c r="N13" s="25">
        <f t="shared" si="2"/>
        <v>45925.58681</v>
      </c>
      <c r="O13" s="25">
        <f t="shared" si="3"/>
        <v>0.1909722222</v>
      </c>
      <c r="P13" s="25">
        <f t="shared" si="4"/>
        <v>4.583333333</v>
      </c>
      <c r="Q13" s="12">
        <v>1.0</v>
      </c>
      <c r="R13" s="2"/>
    </row>
    <row r="14">
      <c r="A14" s="5">
        <v>8.0</v>
      </c>
      <c r="B14" s="26"/>
      <c r="C14" s="30" t="s">
        <v>276</v>
      </c>
      <c r="D14" s="19" t="s">
        <v>277</v>
      </c>
      <c r="E14" s="20">
        <v>45924.0</v>
      </c>
      <c r="F14" s="21">
        <v>0.6875</v>
      </c>
      <c r="G14" s="20">
        <v>45925.0</v>
      </c>
      <c r="H14" s="21">
        <v>0.1909722222222222</v>
      </c>
      <c r="I14" s="22">
        <v>1159.51</v>
      </c>
      <c r="J14" s="23"/>
      <c r="K14" s="45"/>
      <c r="L14" s="21"/>
      <c r="M14" s="25">
        <f t="shared" si="1"/>
        <v>45924.6875</v>
      </c>
      <c r="N14" s="25">
        <f t="shared" si="2"/>
        <v>45925.19097</v>
      </c>
      <c r="O14" s="25">
        <f t="shared" si="3"/>
        <v>0.5034722222</v>
      </c>
      <c r="P14" s="25">
        <f t="shared" si="4"/>
        <v>12.08333333</v>
      </c>
      <c r="Q14" s="12">
        <v>1.0</v>
      </c>
      <c r="R14" s="2"/>
    </row>
    <row r="15">
      <c r="A15" s="5">
        <v>9.0</v>
      </c>
      <c r="B15" s="26"/>
      <c r="C15" s="30"/>
      <c r="D15" s="19"/>
      <c r="E15" s="20"/>
      <c r="F15" s="21"/>
      <c r="G15" s="20"/>
      <c r="H15" s="21"/>
      <c r="I15" s="22"/>
      <c r="J15" s="23"/>
      <c r="K15" s="45"/>
      <c r="L15" s="21"/>
      <c r="M15" s="25">
        <f t="shared" si="1"/>
        <v>0</v>
      </c>
      <c r="N15" s="25">
        <f t="shared" si="2"/>
        <v>0</v>
      </c>
      <c r="O15" s="25">
        <f t="shared" si="3"/>
        <v>0</v>
      </c>
      <c r="P15" s="25">
        <f t="shared" si="4"/>
        <v>0</v>
      </c>
      <c r="Q15" s="12"/>
      <c r="R15" s="2"/>
    </row>
    <row r="16">
      <c r="A16" s="5">
        <v>10.0</v>
      </c>
      <c r="B16" s="26"/>
      <c r="C16" s="30"/>
      <c r="D16" s="19"/>
      <c r="E16" s="20"/>
      <c r="F16" s="21"/>
      <c r="G16" s="20"/>
      <c r="H16" s="21"/>
      <c r="I16" s="22"/>
      <c r="J16" s="23"/>
      <c r="K16" s="45"/>
      <c r="L16" s="21"/>
      <c r="M16" s="25">
        <f t="shared" si="1"/>
        <v>0</v>
      </c>
      <c r="N16" s="25">
        <f t="shared" si="2"/>
        <v>0</v>
      </c>
      <c r="O16" s="25">
        <f t="shared" si="3"/>
        <v>0</v>
      </c>
      <c r="P16" s="25">
        <f t="shared" si="4"/>
        <v>0</v>
      </c>
      <c r="Q16" s="12"/>
      <c r="R16" s="2"/>
    </row>
    <row r="17">
      <c r="A17" s="5">
        <v>11.0</v>
      </c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>
        <v>12.0</v>
      </c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5755.412</v>
      </c>
      <c r="J21" s="113">
        <f t="shared" si="5"/>
        <v>4534.427</v>
      </c>
      <c r="K21" s="39">
        <f>+(P21)/(31*24)</f>
        <v>0.3562275986</v>
      </c>
      <c r="L21" s="40"/>
      <c r="M21" s="41"/>
      <c r="N21" s="41"/>
      <c r="O21" s="41"/>
      <c r="P21" s="42">
        <f>SUM(P7:P20)</f>
        <v>265.0333333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13.0</v>
      </c>
      <c r="B23" s="116" t="s">
        <v>31</v>
      </c>
      <c r="C23" s="30" t="s">
        <v>342</v>
      </c>
      <c r="D23" s="19" t="s">
        <v>33</v>
      </c>
      <c r="E23" s="20">
        <v>45891.0</v>
      </c>
      <c r="F23" s="21">
        <v>0.3923611111111111</v>
      </c>
      <c r="G23" s="20">
        <v>45894.0</v>
      </c>
      <c r="H23" s="21">
        <v>0.4166666666666667</v>
      </c>
      <c r="I23" s="22">
        <v>7999.821</v>
      </c>
      <c r="J23" s="23"/>
      <c r="K23" s="45"/>
      <c r="L23" s="120"/>
      <c r="M23" s="124">
        <f t="shared" ref="M23:M29" si="6">INT(E23)+MOD(F23,1)</f>
        <v>45891.39236</v>
      </c>
      <c r="N23" s="124">
        <f t="shared" ref="N23:N29" si="7">INT(G23)+MOD(H23,1)</f>
        <v>45894.41667</v>
      </c>
      <c r="O23" s="124">
        <f t="shared" ref="O23:O29" si="8">N23-M23</f>
        <v>3.024305556</v>
      </c>
      <c r="P23" s="125">
        <f t="shared" ref="P23:P29" si="9">O23*24</f>
        <v>72.58333333</v>
      </c>
      <c r="Q23" s="12">
        <v>3.0</v>
      </c>
      <c r="R23" s="2"/>
    </row>
    <row r="24" ht="15.75" customHeight="1">
      <c r="A24" s="115">
        <v>14.0</v>
      </c>
      <c r="B24" s="126"/>
      <c r="C24" s="30" t="s">
        <v>240</v>
      </c>
      <c r="D24" s="19" t="s">
        <v>33</v>
      </c>
      <c r="E24" s="20">
        <v>45894.0</v>
      </c>
      <c r="F24" s="21">
        <v>0.6458333333333334</v>
      </c>
      <c r="G24" s="20">
        <v>45896.0</v>
      </c>
      <c r="H24" s="21">
        <v>0.4513888888888889</v>
      </c>
      <c r="I24" s="22">
        <v>7505.29</v>
      </c>
      <c r="J24" s="23"/>
      <c r="K24" s="45"/>
      <c r="L24" s="21"/>
      <c r="M24" s="124">
        <f t="shared" si="6"/>
        <v>45894.64583</v>
      </c>
      <c r="N24" s="124">
        <f t="shared" si="7"/>
        <v>45896.45139</v>
      </c>
      <c r="O24" s="124">
        <f t="shared" si="8"/>
        <v>1.805555556</v>
      </c>
      <c r="P24" s="125">
        <f t="shared" si="9"/>
        <v>43.33333333</v>
      </c>
      <c r="Q24" s="12">
        <v>3.0</v>
      </c>
      <c r="R24" s="2"/>
    </row>
    <row r="25" ht="15.75" customHeight="1">
      <c r="A25" s="115">
        <v>15.0</v>
      </c>
      <c r="B25" s="126"/>
      <c r="C25" s="30" t="s">
        <v>292</v>
      </c>
      <c r="D25" s="19" t="s">
        <v>33</v>
      </c>
      <c r="E25" s="20">
        <v>45901.0</v>
      </c>
      <c r="F25" s="21">
        <v>0.49652777777777773</v>
      </c>
      <c r="G25" s="20">
        <v>45904.0</v>
      </c>
      <c r="H25" s="21">
        <v>0.7465277777777778</v>
      </c>
      <c r="I25" s="22">
        <v>8297.841</v>
      </c>
      <c r="J25" s="23"/>
      <c r="K25" s="45"/>
      <c r="L25" s="21"/>
      <c r="M25" s="124">
        <f t="shared" si="6"/>
        <v>45901.49653</v>
      </c>
      <c r="N25" s="124">
        <f t="shared" si="7"/>
        <v>45904.74653</v>
      </c>
      <c r="O25" s="124">
        <f t="shared" si="8"/>
        <v>3.25</v>
      </c>
      <c r="P25" s="125">
        <f t="shared" si="9"/>
        <v>78</v>
      </c>
      <c r="Q25" s="12">
        <v>3.0</v>
      </c>
      <c r="R25" s="2"/>
    </row>
    <row r="26" ht="15.75" customHeight="1">
      <c r="A26" s="115">
        <v>16.0</v>
      </c>
      <c r="B26" s="126"/>
      <c r="C26" s="30" t="s">
        <v>343</v>
      </c>
      <c r="D26" s="19" t="s">
        <v>33</v>
      </c>
      <c r="E26" s="20">
        <v>45905.0</v>
      </c>
      <c r="F26" s="21">
        <v>0.3229166666666667</v>
      </c>
      <c r="G26" s="20">
        <v>45907.0</v>
      </c>
      <c r="H26" s="21">
        <v>0.7395833333333334</v>
      </c>
      <c r="I26" s="22">
        <v>7543.794</v>
      </c>
      <c r="J26" s="23"/>
      <c r="K26" s="45"/>
      <c r="L26" s="21"/>
      <c r="M26" s="124">
        <f t="shared" si="6"/>
        <v>45905.32292</v>
      </c>
      <c r="N26" s="124">
        <f t="shared" si="7"/>
        <v>45907.73958</v>
      </c>
      <c r="O26" s="124">
        <f t="shared" si="8"/>
        <v>2.416666667</v>
      </c>
      <c r="P26" s="125">
        <f t="shared" si="9"/>
        <v>58</v>
      </c>
      <c r="Q26" s="12">
        <v>3.0</v>
      </c>
      <c r="R26" s="2"/>
    </row>
    <row r="27" ht="15.75" customHeight="1">
      <c r="A27" s="115">
        <v>17.0</v>
      </c>
      <c r="B27" s="126"/>
      <c r="C27" s="30" t="s">
        <v>190</v>
      </c>
      <c r="D27" s="19" t="s">
        <v>33</v>
      </c>
      <c r="E27" s="20">
        <v>45907.0</v>
      </c>
      <c r="F27" s="21">
        <v>0.7013888888888888</v>
      </c>
      <c r="G27" s="20">
        <v>45914.0</v>
      </c>
      <c r="H27" s="21">
        <v>0.3680555555555556</v>
      </c>
      <c r="I27" s="22">
        <v>7515.768</v>
      </c>
      <c r="J27" s="23"/>
      <c r="K27" s="45"/>
      <c r="L27" s="21"/>
      <c r="M27" s="124">
        <f t="shared" si="6"/>
        <v>45907.70139</v>
      </c>
      <c r="N27" s="124">
        <f t="shared" si="7"/>
        <v>45914.36806</v>
      </c>
      <c r="O27" s="124">
        <f t="shared" si="8"/>
        <v>6.666666667</v>
      </c>
      <c r="P27" s="125">
        <f t="shared" si="9"/>
        <v>160</v>
      </c>
      <c r="Q27" s="12">
        <v>3.0</v>
      </c>
      <c r="R27" s="2"/>
    </row>
    <row r="28" ht="15.75" customHeight="1">
      <c r="A28" s="115">
        <v>18.0</v>
      </c>
      <c r="B28" s="126"/>
      <c r="C28" s="30" t="s">
        <v>164</v>
      </c>
      <c r="D28" s="19" t="s">
        <v>33</v>
      </c>
      <c r="E28" s="20">
        <v>45912.0</v>
      </c>
      <c r="F28" s="21">
        <v>0.4548611111111111</v>
      </c>
      <c r="G28" s="20">
        <v>45916.0</v>
      </c>
      <c r="H28" s="21">
        <v>0.5381944444444444</v>
      </c>
      <c r="I28" s="22">
        <v>8692.478</v>
      </c>
      <c r="J28" s="23"/>
      <c r="K28" s="45"/>
      <c r="L28" s="21"/>
      <c r="M28" s="124">
        <f t="shared" si="6"/>
        <v>45912.45486</v>
      </c>
      <c r="N28" s="124">
        <f t="shared" si="7"/>
        <v>45916.53819</v>
      </c>
      <c r="O28" s="124">
        <f t="shared" si="8"/>
        <v>4.083333333</v>
      </c>
      <c r="P28" s="125">
        <f t="shared" si="9"/>
        <v>98</v>
      </c>
      <c r="Q28" s="12">
        <v>3.0</v>
      </c>
      <c r="R28" s="2"/>
    </row>
    <row r="29" ht="15.75" customHeight="1">
      <c r="A29" s="115"/>
      <c r="B29" s="126"/>
      <c r="C29" s="30" t="s">
        <v>279</v>
      </c>
      <c r="D29" s="19" t="s">
        <v>33</v>
      </c>
      <c r="E29" s="20">
        <v>45916.0</v>
      </c>
      <c r="F29" s="21">
        <v>0.5034722222222222</v>
      </c>
      <c r="G29" s="20">
        <v>45920.0</v>
      </c>
      <c r="H29" s="21">
        <v>0.5972222222222222</v>
      </c>
      <c r="I29" s="22">
        <v>7504.354</v>
      </c>
      <c r="J29" s="23"/>
      <c r="K29" s="45"/>
      <c r="L29" s="21"/>
      <c r="M29" s="124">
        <f t="shared" si="6"/>
        <v>45916.50347</v>
      </c>
      <c r="N29" s="124">
        <f t="shared" si="7"/>
        <v>45920.59722</v>
      </c>
      <c r="O29" s="124">
        <f t="shared" si="8"/>
        <v>4.09375</v>
      </c>
      <c r="P29" s="125">
        <f t="shared" si="9"/>
        <v>98.25</v>
      </c>
      <c r="Q29" s="12">
        <v>3.0</v>
      </c>
      <c r="R29" s="2"/>
    </row>
    <row r="30" ht="15.75" customHeight="1">
      <c r="A30" s="115"/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46"/>
      <c r="N30" s="46"/>
      <c r="O30" s="46"/>
      <c r="P30" s="128"/>
      <c r="Q30" s="12"/>
      <c r="R30" s="2"/>
    </row>
    <row r="31" ht="15.75" customHeight="1">
      <c r="A31" s="129"/>
      <c r="B31" s="130"/>
      <c r="C31" s="33"/>
      <c r="D31" s="34"/>
      <c r="E31" s="35"/>
      <c r="F31" s="36"/>
      <c r="G31" s="35"/>
      <c r="H31" s="36"/>
      <c r="I31" s="131">
        <f t="shared" ref="I31:J31" si="10">SUM(I23:I30)</f>
        <v>55059.346</v>
      </c>
      <c r="J31" s="113">
        <f t="shared" si="10"/>
        <v>0</v>
      </c>
      <c r="K31" s="64">
        <f>+(P31)/(31*24)</f>
        <v>0.8174283154</v>
      </c>
      <c r="L31" s="40"/>
      <c r="M31" s="41"/>
      <c r="N31" s="41"/>
      <c r="O31" s="41"/>
      <c r="P31" s="42">
        <f>SUM(P23:P30)</f>
        <v>608.1666667</v>
      </c>
      <c r="Q31" s="2"/>
      <c r="R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  <c r="R32" s="2"/>
    </row>
    <row r="33" ht="15.75" customHeight="1">
      <c r="A33" s="115">
        <v>19.0</v>
      </c>
      <c r="B33" s="116" t="s">
        <v>41</v>
      </c>
      <c r="C33" s="30" t="s">
        <v>344</v>
      </c>
      <c r="D33" s="19" t="s">
        <v>33</v>
      </c>
      <c r="E33" s="20">
        <v>45890.0</v>
      </c>
      <c r="F33" s="21">
        <v>0.5277777777777778</v>
      </c>
      <c r="G33" s="20">
        <v>45892.0</v>
      </c>
      <c r="H33" s="21">
        <v>0.47222222222222227</v>
      </c>
      <c r="I33" s="22">
        <v>7825.472</v>
      </c>
      <c r="J33" s="23"/>
      <c r="K33" s="123"/>
      <c r="L33" s="120"/>
      <c r="M33" s="124">
        <f t="shared" ref="M33:M45" si="11">INT(E33)+MOD(F33,1)</f>
        <v>45890.52778</v>
      </c>
      <c r="N33" s="124">
        <f t="shared" ref="N33:N45" si="12">INT(G33)+MOD(H33,1)</f>
        <v>45892.47222</v>
      </c>
      <c r="O33" s="132">
        <f t="shared" ref="O33:O45" si="13">N33-M33</f>
        <v>1.944444444</v>
      </c>
      <c r="P33" s="125">
        <f t="shared" ref="P33:P45" si="14">O33*24</f>
        <v>46.66666667</v>
      </c>
      <c r="Q33" s="12">
        <v>4.0</v>
      </c>
      <c r="R33" s="2"/>
    </row>
    <row r="34" ht="15.75" customHeight="1">
      <c r="A34" s="115">
        <v>20.0</v>
      </c>
      <c r="B34" s="126"/>
      <c r="C34" s="30" t="s">
        <v>345</v>
      </c>
      <c r="D34" s="19" t="s">
        <v>33</v>
      </c>
      <c r="E34" s="20">
        <v>45898.0</v>
      </c>
      <c r="F34" s="21">
        <v>0.7847222222222222</v>
      </c>
      <c r="G34" s="20">
        <v>45901.0</v>
      </c>
      <c r="H34" s="21">
        <v>0.3576388888888889</v>
      </c>
      <c r="I34" s="22">
        <v>7506.46</v>
      </c>
      <c r="J34" s="23"/>
      <c r="K34" s="45"/>
      <c r="L34" s="21"/>
      <c r="M34" s="25">
        <f t="shared" si="11"/>
        <v>45898.78472</v>
      </c>
      <c r="N34" s="25">
        <f t="shared" si="12"/>
        <v>45901.35764</v>
      </c>
      <c r="O34" s="60">
        <f t="shared" si="13"/>
        <v>2.572916667</v>
      </c>
      <c r="P34" s="127">
        <f t="shared" si="14"/>
        <v>61.75</v>
      </c>
      <c r="Q34" s="12">
        <v>4.0</v>
      </c>
      <c r="R34" s="2"/>
    </row>
    <row r="35" ht="15.75" customHeight="1">
      <c r="A35" s="115">
        <v>21.0</v>
      </c>
      <c r="B35" s="126"/>
      <c r="C35" s="30" t="s">
        <v>346</v>
      </c>
      <c r="D35" s="19" t="s">
        <v>33</v>
      </c>
      <c r="E35" s="20">
        <v>45900.0</v>
      </c>
      <c r="F35" s="21">
        <v>0.5520833333333334</v>
      </c>
      <c r="G35" s="20">
        <v>45903.0</v>
      </c>
      <c r="H35" s="21">
        <v>0.4583333333333333</v>
      </c>
      <c r="I35" s="22">
        <v>8079.46</v>
      </c>
      <c r="J35" s="29"/>
      <c r="K35" s="45"/>
      <c r="L35" s="21"/>
      <c r="M35" s="25">
        <f t="shared" si="11"/>
        <v>45900.55208</v>
      </c>
      <c r="N35" s="25">
        <f t="shared" si="12"/>
        <v>45903.45833</v>
      </c>
      <c r="O35" s="60">
        <f t="shared" si="13"/>
        <v>2.90625</v>
      </c>
      <c r="P35" s="127">
        <f t="shared" si="14"/>
        <v>69.75</v>
      </c>
      <c r="Q35" s="12">
        <v>4.0</v>
      </c>
      <c r="R35" s="2"/>
    </row>
    <row r="36" ht="15.75" customHeight="1">
      <c r="A36" s="115">
        <v>22.0</v>
      </c>
      <c r="B36" s="126"/>
      <c r="C36" s="30" t="s">
        <v>248</v>
      </c>
      <c r="D36" s="19" t="s">
        <v>33</v>
      </c>
      <c r="E36" s="20">
        <v>45903.0</v>
      </c>
      <c r="F36" s="21">
        <v>0.4930555555555556</v>
      </c>
      <c r="G36" s="20">
        <v>45907.0</v>
      </c>
      <c r="H36" s="21">
        <v>0.3854166666666667</v>
      </c>
      <c r="I36" s="22">
        <v>7802.62</v>
      </c>
      <c r="J36" s="23"/>
      <c r="K36" s="45"/>
      <c r="L36" s="21"/>
      <c r="M36" s="25">
        <f t="shared" si="11"/>
        <v>45903.49306</v>
      </c>
      <c r="N36" s="25">
        <f t="shared" si="12"/>
        <v>45907.38542</v>
      </c>
      <c r="O36" s="60">
        <f t="shared" si="13"/>
        <v>3.892361111</v>
      </c>
      <c r="P36" s="127">
        <f t="shared" si="14"/>
        <v>93.41666667</v>
      </c>
      <c r="Q36" s="12">
        <v>4.0</v>
      </c>
      <c r="R36" s="2"/>
    </row>
    <row r="37" ht="15.75" customHeight="1">
      <c r="A37" s="115">
        <v>23.0</v>
      </c>
      <c r="B37" s="126"/>
      <c r="C37" s="30" t="s">
        <v>347</v>
      </c>
      <c r="D37" s="19" t="s">
        <v>33</v>
      </c>
      <c r="E37" s="20">
        <v>45907.0</v>
      </c>
      <c r="F37" s="21">
        <v>0.46527777777777773</v>
      </c>
      <c r="G37" s="20">
        <v>45911.0</v>
      </c>
      <c r="H37" s="21">
        <v>0.4166666666666667</v>
      </c>
      <c r="I37" s="22">
        <v>7586.76</v>
      </c>
      <c r="J37" s="23"/>
      <c r="K37" s="45"/>
      <c r="L37" s="21"/>
      <c r="M37" s="25">
        <f t="shared" si="11"/>
        <v>45907.46528</v>
      </c>
      <c r="N37" s="25">
        <f t="shared" si="12"/>
        <v>45911.41667</v>
      </c>
      <c r="O37" s="60">
        <f t="shared" si="13"/>
        <v>3.951388889</v>
      </c>
      <c r="P37" s="127">
        <f t="shared" si="14"/>
        <v>94.83333333</v>
      </c>
      <c r="Q37" s="12">
        <v>4.0</v>
      </c>
      <c r="R37" s="2"/>
    </row>
    <row r="38" ht="15.75" customHeight="1">
      <c r="A38" s="115">
        <v>24.0</v>
      </c>
      <c r="B38" s="126"/>
      <c r="C38" s="30" t="s">
        <v>348</v>
      </c>
      <c r="D38" s="19" t="s">
        <v>33</v>
      </c>
      <c r="E38" s="20">
        <v>45911.0</v>
      </c>
      <c r="F38" s="21">
        <v>0.4444444444444444</v>
      </c>
      <c r="G38" s="20">
        <v>45913.0</v>
      </c>
      <c r="H38" s="21">
        <v>0.65625</v>
      </c>
      <c r="I38" s="22">
        <v>7577.26</v>
      </c>
      <c r="J38" s="23"/>
      <c r="K38" s="45"/>
      <c r="L38" s="21"/>
      <c r="M38" s="25">
        <f t="shared" si="11"/>
        <v>45911.44444</v>
      </c>
      <c r="N38" s="25">
        <f t="shared" si="12"/>
        <v>45913.65625</v>
      </c>
      <c r="O38" s="60">
        <f t="shared" si="13"/>
        <v>2.211805556</v>
      </c>
      <c r="P38" s="127">
        <f t="shared" si="14"/>
        <v>53.08333333</v>
      </c>
      <c r="Q38" s="12">
        <v>4.0</v>
      </c>
      <c r="R38" s="2"/>
    </row>
    <row r="39" ht="15.75" customHeight="1">
      <c r="A39" s="115">
        <v>25.0</v>
      </c>
      <c r="B39" s="126"/>
      <c r="C39" s="30" t="s">
        <v>349</v>
      </c>
      <c r="D39" s="19" t="s">
        <v>33</v>
      </c>
      <c r="E39" s="20">
        <v>45908.0</v>
      </c>
      <c r="F39" s="21">
        <v>0.7569444444444445</v>
      </c>
      <c r="G39" s="20">
        <v>45913.0</v>
      </c>
      <c r="H39" s="21">
        <v>0.65625</v>
      </c>
      <c r="I39" s="22">
        <v>8172.26</v>
      </c>
      <c r="J39" s="23"/>
      <c r="K39" s="45"/>
      <c r="L39" s="21"/>
      <c r="M39" s="25">
        <f t="shared" si="11"/>
        <v>45908.75694</v>
      </c>
      <c r="N39" s="25">
        <f t="shared" si="12"/>
        <v>45913.65625</v>
      </c>
      <c r="O39" s="60">
        <f t="shared" si="13"/>
        <v>4.899305556</v>
      </c>
      <c r="P39" s="127">
        <f t="shared" si="14"/>
        <v>117.5833333</v>
      </c>
      <c r="Q39" s="12">
        <v>4.0</v>
      </c>
      <c r="R39" s="2"/>
    </row>
    <row r="40" ht="15.75" customHeight="1">
      <c r="A40" s="115">
        <v>26.0</v>
      </c>
      <c r="B40" s="126"/>
      <c r="C40" s="30" t="s">
        <v>323</v>
      </c>
      <c r="D40" s="19" t="s">
        <v>33</v>
      </c>
      <c r="E40" s="20">
        <v>45912.0</v>
      </c>
      <c r="F40" s="21">
        <v>0.59375</v>
      </c>
      <c r="G40" s="20">
        <v>45914.0</v>
      </c>
      <c r="H40" s="21">
        <v>0.4479166666666667</v>
      </c>
      <c r="I40" s="22">
        <v>7470.62</v>
      </c>
      <c r="J40" s="23"/>
      <c r="K40" s="45"/>
      <c r="L40" s="21"/>
      <c r="M40" s="25">
        <f t="shared" si="11"/>
        <v>45912.59375</v>
      </c>
      <c r="N40" s="25">
        <f t="shared" si="12"/>
        <v>45914.44792</v>
      </c>
      <c r="O40" s="60">
        <f t="shared" si="13"/>
        <v>1.854166667</v>
      </c>
      <c r="P40" s="127">
        <f t="shared" si="14"/>
        <v>44.5</v>
      </c>
      <c r="Q40" s="12">
        <v>4.0</v>
      </c>
      <c r="R40" s="2"/>
    </row>
    <row r="41" ht="15.75" customHeight="1">
      <c r="A41" s="115">
        <v>27.0</v>
      </c>
      <c r="B41" s="126"/>
      <c r="C41" s="30" t="s">
        <v>350</v>
      </c>
      <c r="D41" s="19" t="s">
        <v>33</v>
      </c>
      <c r="E41" s="20">
        <v>45917.0</v>
      </c>
      <c r="F41" s="21">
        <v>0.3645833333333333</v>
      </c>
      <c r="G41" s="20">
        <v>45919.0</v>
      </c>
      <c r="H41" s="21">
        <v>0.40625</v>
      </c>
      <c r="I41" s="22">
        <v>7393.52</v>
      </c>
      <c r="J41" s="23"/>
      <c r="K41" s="45"/>
      <c r="L41" s="21"/>
      <c r="M41" s="25">
        <f t="shared" si="11"/>
        <v>45917.36458</v>
      </c>
      <c r="N41" s="25">
        <f t="shared" si="12"/>
        <v>45919.40625</v>
      </c>
      <c r="O41" s="60">
        <f t="shared" si="13"/>
        <v>2.041666667</v>
      </c>
      <c r="P41" s="127">
        <f t="shared" si="14"/>
        <v>49</v>
      </c>
      <c r="Q41" s="12">
        <v>4.0</v>
      </c>
      <c r="R41" s="2"/>
    </row>
    <row r="42" ht="15.75" customHeight="1">
      <c r="A42" s="115">
        <v>28.0</v>
      </c>
      <c r="B42" s="126"/>
      <c r="C42" s="30" t="s">
        <v>351</v>
      </c>
      <c r="D42" s="19" t="s">
        <v>33</v>
      </c>
      <c r="E42" s="20">
        <v>45913.0</v>
      </c>
      <c r="F42" s="21">
        <v>0.7013888888888888</v>
      </c>
      <c r="G42" s="20">
        <v>45917.0</v>
      </c>
      <c r="H42" s="21">
        <v>0.375</v>
      </c>
      <c r="I42" s="22">
        <v>7493.979</v>
      </c>
      <c r="J42" s="23"/>
      <c r="K42" s="45"/>
      <c r="L42" s="21"/>
      <c r="M42" s="25">
        <f t="shared" si="11"/>
        <v>45913.70139</v>
      </c>
      <c r="N42" s="25">
        <f t="shared" si="12"/>
        <v>45917.375</v>
      </c>
      <c r="O42" s="60">
        <f t="shared" si="13"/>
        <v>3.673611111</v>
      </c>
      <c r="P42" s="127">
        <f t="shared" si="14"/>
        <v>88.16666667</v>
      </c>
      <c r="Q42" s="12">
        <v>4.0</v>
      </c>
      <c r="R42" s="2"/>
    </row>
    <row r="43" ht="15.75" customHeight="1">
      <c r="A43" s="115">
        <v>29.0</v>
      </c>
      <c r="B43" s="126"/>
      <c r="C43" s="30" t="s">
        <v>32</v>
      </c>
      <c r="D43" s="19" t="s">
        <v>33</v>
      </c>
      <c r="E43" s="20">
        <v>45918.0</v>
      </c>
      <c r="F43" s="21">
        <v>0.513888888888889</v>
      </c>
      <c r="G43" s="20">
        <v>45922.0</v>
      </c>
      <c r="H43" s="21">
        <v>0.4618055555555556</v>
      </c>
      <c r="I43" s="22">
        <v>8295.704</v>
      </c>
      <c r="J43" s="23"/>
      <c r="K43" s="45"/>
      <c r="L43" s="21"/>
      <c r="M43" s="25">
        <f t="shared" si="11"/>
        <v>45918.51389</v>
      </c>
      <c r="N43" s="25">
        <f t="shared" si="12"/>
        <v>45922.46181</v>
      </c>
      <c r="O43" s="60">
        <f t="shared" si="13"/>
        <v>3.947916667</v>
      </c>
      <c r="P43" s="127">
        <f t="shared" si="14"/>
        <v>94.75</v>
      </c>
      <c r="Q43" s="12">
        <v>4.0</v>
      </c>
      <c r="R43" s="2"/>
    </row>
    <row r="44" ht="15.75" customHeight="1">
      <c r="A44" s="115">
        <v>30.0</v>
      </c>
      <c r="B44" s="126"/>
      <c r="C44" s="30" t="s">
        <v>38</v>
      </c>
      <c r="D44" s="19" t="s">
        <v>33</v>
      </c>
      <c r="E44" s="20">
        <v>45922.0</v>
      </c>
      <c r="F44" s="21">
        <v>0.3611111111111111</v>
      </c>
      <c r="G44" s="20">
        <v>45924.0</v>
      </c>
      <c r="H44" s="21">
        <v>0.642361111111111</v>
      </c>
      <c r="I44" s="22">
        <v>8506.128</v>
      </c>
      <c r="J44" s="23"/>
      <c r="K44" s="45"/>
      <c r="L44" s="21"/>
      <c r="M44" s="25">
        <f t="shared" si="11"/>
        <v>45922.36111</v>
      </c>
      <c r="N44" s="25">
        <f t="shared" si="12"/>
        <v>45924.64236</v>
      </c>
      <c r="O44" s="60">
        <f t="shared" si="13"/>
        <v>2.28125</v>
      </c>
      <c r="P44" s="127">
        <f t="shared" si="14"/>
        <v>54.75</v>
      </c>
      <c r="Q44" s="12">
        <v>4.0</v>
      </c>
      <c r="R44" s="2"/>
    </row>
    <row r="45" ht="15.75" customHeight="1">
      <c r="A45" s="115">
        <v>31.0</v>
      </c>
      <c r="B45" s="126"/>
      <c r="C45" s="30" t="s">
        <v>188</v>
      </c>
      <c r="D45" s="19" t="s">
        <v>33</v>
      </c>
      <c r="E45" s="20">
        <v>45924.0</v>
      </c>
      <c r="F45" s="21">
        <v>0.4166666666666667</v>
      </c>
      <c r="G45" s="20">
        <v>45926.0</v>
      </c>
      <c r="H45" s="21">
        <v>0.3333333333333333</v>
      </c>
      <c r="I45" s="22">
        <v>7387.38</v>
      </c>
      <c r="J45" s="23"/>
      <c r="K45" s="45"/>
      <c r="L45" s="50"/>
      <c r="M45" s="25">
        <f t="shared" si="11"/>
        <v>45924.41667</v>
      </c>
      <c r="N45" s="25">
        <f t="shared" si="12"/>
        <v>45926.33333</v>
      </c>
      <c r="O45" s="60">
        <f t="shared" si="13"/>
        <v>1.916666667</v>
      </c>
      <c r="P45" s="127">
        <f t="shared" si="14"/>
        <v>46</v>
      </c>
      <c r="Q45" s="12">
        <v>4.0</v>
      </c>
      <c r="R45" s="2"/>
    </row>
    <row r="46" ht="15.75" customHeight="1">
      <c r="A46" s="115">
        <v>32.0</v>
      </c>
      <c r="B46" s="126"/>
      <c r="C46" s="30"/>
      <c r="D46" s="19"/>
      <c r="E46" s="20"/>
      <c r="F46" s="21"/>
      <c r="G46" s="20"/>
      <c r="H46" s="21"/>
      <c r="I46" s="22"/>
      <c r="J46" s="29"/>
      <c r="K46" s="45"/>
      <c r="L46" s="50"/>
      <c r="M46" s="46"/>
      <c r="N46" s="46"/>
      <c r="O46" s="61"/>
      <c r="P46" s="128"/>
      <c r="Q46" s="12"/>
      <c r="R46" s="2"/>
    </row>
    <row r="47" ht="15.75" customHeight="1">
      <c r="A47" s="115">
        <v>33.0</v>
      </c>
      <c r="B47" s="126"/>
      <c r="C47" s="67"/>
      <c r="D47" s="108"/>
      <c r="E47" s="104"/>
      <c r="F47" s="72"/>
      <c r="G47" s="104"/>
      <c r="H47" s="72"/>
      <c r="I47" s="109"/>
      <c r="J47" s="111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33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8.0" customHeight="1">
      <c r="A49" s="115"/>
      <c r="B49" s="134"/>
      <c r="C49" s="30"/>
      <c r="D49" s="19"/>
      <c r="E49" s="20"/>
      <c r="F49" s="21"/>
      <c r="G49" s="20"/>
      <c r="H49" s="21"/>
      <c r="I49" s="22"/>
      <c r="J49" s="29"/>
      <c r="K49" s="45"/>
      <c r="L49" s="21"/>
      <c r="M49" s="46"/>
      <c r="N49" s="46"/>
      <c r="O49" s="61"/>
      <c r="P49" s="128"/>
      <c r="Q49" s="12"/>
      <c r="R49" s="2"/>
    </row>
    <row r="50" ht="18.75" customHeight="1">
      <c r="A50" s="135"/>
      <c r="B50" s="134"/>
      <c r="C50" s="102"/>
      <c r="D50" s="108"/>
      <c r="E50" s="104"/>
      <c r="F50" s="72"/>
      <c r="G50" s="104"/>
      <c r="H50" s="72"/>
      <c r="I50" s="109"/>
      <c r="J50" s="136"/>
      <c r="K50" s="137"/>
      <c r="L50" s="69"/>
      <c r="M50" s="70"/>
      <c r="N50" s="70"/>
      <c r="O50" s="110"/>
      <c r="P50" s="138"/>
      <c r="Q50" s="12"/>
      <c r="R50" s="2"/>
    </row>
    <row r="51" ht="15.75" customHeight="1">
      <c r="A51" s="139"/>
      <c r="B51" s="140"/>
      <c r="C51" s="141"/>
      <c r="D51" s="34"/>
      <c r="E51" s="35"/>
      <c r="F51" s="36"/>
      <c r="G51" s="35"/>
      <c r="H51" s="36"/>
      <c r="I51" s="131">
        <f>SUM(I33:I50)</f>
        <v>101097.623</v>
      </c>
      <c r="J51" s="142">
        <f>SUM(J33:J48)</f>
        <v>0</v>
      </c>
      <c r="K51" s="64">
        <f>+(P51)/(31*24)</f>
        <v>1.228830645</v>
      </c>
      <c r="L51" s="40"/>
      <c r="M51" s="41"/>
      <c r="N51" s="41"/>
      <c r="O51" s="41"/>
      <c r="P51" s="42">
        <f>SUM(P33:P48)</f>
        <v>914.25</v>
      </c>
      <c r="Q51" s="12"/>
      <c r="R51" s="2"/>
    </row>
    <row r="52" ht="15.75" customHeight="1">
      <c r="A52" s="65"/>
      <c r="B52" s="66"/>
      <c r="C52" s="67"/>
      <c r="D52" s="12"/>
      <c r="E52" s="13"/>
      <c r="F52" s="14"/>
      <c r="G52" s="13"/>
      <c r="H52" s="14"/>
      <c r="I52" s="55"/>
      <c r="J52" s="56"/>
      <c r="K52" s="68"/>
      <c r="L52" s="69"/>
      <c r="M52" s="70"/>
      <c r="N52" s="70"/>
      <c r="O52" s="70"/>
      <c r="P52" s="71"/>
      <c r="Q52" s="12"/>
      <c r="R52" s="2"/>
    </row>
    <row r="53" ht="15.75" customHeight="1">
      <c r="A53" s="115">
        <v>34.0</v>
      </c>
      <c r="B53" s="116" t="s">
        <v>62</v>
      </c>
      <c r="C53" s="30" t="s">
        <v>352</v>
      </c>
      <c r="D53" s="19" t="s">
        <v>33</v>
      </c>
      <c r="E53" s="20">
        <v>45895.0</v>
      </c>
      <c r="F53" s="21">
        <v>0.5590277777777778</v>
      </c>
      <c r="G53" s="20">
        <v>45898.0</v>
      </c>
      <c r="H53" s="21">
        <v>0.7465277777777778</v>
      </c>
      <c r="I53" s="22">
        <v>7933.96</v>
      </c>
      <c r="J53" s="122"/>
      <c r="K53" s="123"/>
      <c r="L53" s="120"/>
      <c r="M53" s="124">
        <f t="shared" ref="M53:M61" si="15">INT(E53)+MOD(F53,1)</f>
        <v>45895.55903</v>
      </c>
      <c r="N53" s="124">
        <f t="shared" ref="N53:N61" si="16">INT(G53)+MOD(H53,1)</f>
        <v>45898.74653</v>
      </c>
      <c r="O53" s="124">
        <f t="shared" ref="O53:O61" si="17">N53-M53</f>
        <v>3.1875</v>
      </c>
      <c r="P53" s="125">
        <f t="shared" ref="P53:P61" si="18">O53*24</f>
        <v>76.5</v>
      </c>
      <c r="Q53" s="12">
        <v>5.0</v>
      </c>
      <c r="R53" s="2"/>
    </row>
    <row r="54" ht="15.75" customHeight="1">
      <c r="A54" s="115">
        <v>35.0</v>
      </c>
      <c r="B54" s="126"/>
      <c r="C54" s="30" t="s">
        <v>353</v>
      </c>
      <c r="D54" s="19" t="s">
        <v>33</v>
      </c>
      <c r="E54" s="20">
        <v>45895.0</v>
      </c>
      <c r="F54" s="21">
        <v>0.59375</v>
      </c>
      <c r="G54" s="20">
        <v>45899.0</v>
      </c>
      <c r="H54" s="21">
        <v>0.71875</v>
      </c>
      <c r="I54" s="22">
        <v>7844.6</v>
      </c>
      <c r="J54" s="23"/>
      <c r="K54" s="45"/>
      <c r="L54" s="21"/>
      <c r="M54" s="25">
        <f t="shared" si="15"/>
        <v>45895.59375</v>
      </c>
      <c r="N54" s="25">
        <f t="shared" si="16"/>
        <v>45899.71875</v>
      </c>
      <c r="O54" s="25">
        <f t="shared" si="17"/>
        <v>4.125</v>
      </c>
      <c r="P54" s="127">
        <f t="shared" si="18"/>
        <v>99</v>
      </c>
      <c r="Q54" s="12">
        <v>5.0</v>
      </c>
      <c r="R54" s="2"/>
    </row>
    <row r="55" ht="15.75" customHeight="1">
      <c r="A55" s="115">
        <v>36.0</v>
      </c>
      <c r="B55" s="126"/>
      <c r="C55" s="30" t="s">
        <v>354</v>
      </c>
      <c r="D55" s="19" t="s">
        <v>33</v>
      </c>
      <c r="E55" s="20">
        <v>45899.0</v>
      </c>
      <c r="F55" s="21">
        <v>0.7847222222222222</v>
      </c>
      <c r="G55" s="20">
        <v>45902.0</v>
      </c>
      <c r="H55" s="21">
        <v>0.44097222222222227</v>
      </c>
      <c r="I55" s="22">
        <v>7682.38</v>
      </c>
      <c r="J55" s="23"/>
      <c r="K55" s="45"/>
      <c r="L55" s="21"/>
      <c r="M55" s="25">
        <f t="shared" si="15"/>
        <v>45899.78472</v>
      </c>
      <c r="N55" s="25">
        <f t="shared" si="16"/>
        <v>45902.44097</v>
      </c>
      <c r="O55" s="25">
        <f t="shared" si="17"/>
        <v>2.65625</v>
      </c>
      <c r="P55" s="127">
        <f t="shared" si="18"/>
        <v>63.75</v>
      </c>
      <c r="Q55" s="12">
        <v>5.0</v>
      </c>
      <c r="R55" s="2"/>
    </row>
    <row r="56" ht="15.75" customHeight="1">
      <c r="A56" s="115">
        <v>37.0</v>
      </c>
      <c r="B56" s="126"/>
      <c r="C56" s="30" t="s">
        <v>355</v>
      </c>
      <c r="D56" s="19" t="s">
        <v>33</v>
      </c>
      <c r="E56" s="20">
        <v>45896.0</v>
      </c>
      <c r="F56" s="21">
        <v>0.7743055555555555</v>
      </c>
      <c r="G56" s="20">
        <v>45900.0</v>
      </c>
      <c r="H56" s="21">
        <v>0.40277777777777773</v>
      </c>
      <c r="I56" s="22">
        <v>7023.08</v>
      </c>
      <c r="J56" s="23"/>
      <c r="K56" s="45"/>
      <c r="L56" s="21"/>
      <c r="M56" s="25">
        <f t="shared" si="15"/>
        <v>45896.77431</v>
      </c>
      <c r="N56" s="25">
        <f t="shared" si="16"/>
        <v>45900.40278</v>
      </c>
      <c r="O56" s="25">
        <f t="shared" si="17"/>
        <v>3.628472222</v>
      </c>
      <c r="P56" s="127">
        <f t="shared" si="18"/>
        <v>87.08333333</v>
      </c>
      <c r="Q56" s="12">
        <v>5.0</v>
      </c>
      <c r="R56" s="2"/>
    </row>
    <row r="57" ht="15.75" customHeight="1">
      <c r="A57" s="115">
        <v>38.0</v>
      </c>
      <c r="B57" s="126"/>
      <c r="C57" s="30" t="s">
        <v>356</v>
      </c>
      <c r="D57" s="19" t="s">
        <v>33</v>
      </c>
      <c r="E57" s="20">
        <v>45901.0</v>
      </c>
      <c r="F57" s="21">
        <v>0.5381944444444444</v>
      </c>
      <c r="G57" s="20">
        <v>45905.0</v>
      </c>
      <c r="H57" s="21">
        <v>0.3819444444444444</v>
      </c>
      <c r="I57" s="22">
        <v>7371.0</v>
      </c>
      <c r="J57" s="23"/>
      <c r="K57" s="45"/>
      <c r="L57" s="21"/>
      <c r="M57" s="25">
        <f t="shared" si="15"/>
        <v>45901.53819</v>
      </c>
      <c r="N57" s="25">
        <f t="shared" si="16"/>
        <v>45905.38194</v>
      </c>
      <c r="O57" s="25">
        <f t="shared" si="17"/>
        <v>3.84375</v>
      </c>
      <c r="P57" s="127">
        <f t="shared" si="18"/>
        <v>92.25</v>
      </c>
      <c r="Q57" s="12">
        <v>5.0</v>
      </c>
      <c r="R57" s="2"/>
    </row>
    <row r="58" ht="15.75" customHeight="1">
      <c r="A58" s="115">
        <v>39.0</v>
      </c>
      <c r="B58" s="126"/>
      <c r="C58" s="30" t="s">
        <v>357</v>
      </c>
      <c r="D58" s="19" t="s">
        <v>33</v>
      </c>
      <c r="E58" s="20">
        <v>45902.0</v>
      </c>
      <c r="F58" s="21">
        <v>0.517361111111111</v>
      </c>
      <c r="G58" s="20">
        <v>45904.0</v>
      </c>
      <c r="H58" s="21">
        <v>0.6944444444444445</v>
      </c>
      <c r="I58" s="22">
        <v>3914.54</v>
      </c>
      <c r="J58" s="23"/>
      <c r="K58" s="45"/>
      <c r="L58" s="21"/>
      <c r="M58" s="25">
        <f t="shared" si="15"/>
        <v>45902.51736</v>
      </c>
      <c r="N58" s="25">
        <f t="shared" si="16"/>
        <v>45904.69444</v>
      </c>
      <c r="O58" s="25">
        <f t="shared" si="17"/>
        <v>2.177083333</v>
      </c>
      <c r="P58" s="127">
        <f t="shared" si="18"/>
        <v>52.25</v>
      </c>
      <c r="Q58" s="12">
        <v>5.0</v>
      </c>
      <c r="R58" s="2"/>
    </row>
    <row r="59" ht="15.75" customHeight="1">
      <c r="A59" s="115">
        <v>40.0</v>
      </c>
      <c r="B59" s="126"/>
      <c r="C59" s="30" t="s">
        <v>358</v>
      </c>
      <c r="D59" s="19" t="s">
        <v>33</v>
      </c>
      <c r="E59" s="20">
        <v>45905.0</v>
      </c>
      <c r="F59" s="21">
        <v>0.3506944444444444</v>
      </c>
      <c r="G59" s="20">
        <v>45907.0</v>
      </c>
      <c r="H59" s="21">
        <v>0.40972222222222227</v>
      </c>
      <c r="I59" s="22">
        <v>7854.78</v>
      </c>
      <c r="J59" s="23"/>
      <c r="K59" s="45"/>
      <c r="L59" s="21"/>
      <c r="M59" s="25">
        <f t="shared" si="15"/>
        <v>45905.35069</v>
      </c>
      <c r="N59" s="25">
        <f t="shared" si="16"/>
        <v>45907.40972</v>
      </c>
      <c r="O59" s="25">
        <f t="shared" si="17"/>
        <v>2.059027778</v>
      </c>
      <c r="P59" s="127">
        <f t="shared" si="18"/>
        <v>49.41666667</v>
      </c>
      <c r="Q59" s="12">
        <v>5.0</v>
      </c>
      <c r="R59" s="2"/>
    </row>
    <row r="60" ht="15.75" customHeight="1">
      <c r="A60" s="115">
        <v>41.0</v>
      </c>
      <c r="B60" s="126"/>
      <c r="C60" s="30" t="s">
        <v>359</v>
      </c>
      <c r="D60" s="19" t="s">
        <v>33</v>
      </c>
      <c r="E60" s="20">
        <v>45905.0</v>
      </c>
      <c r="F60" s="21">
        <v>0.4131944444444444</v>
      </c>
      <c r="G60" s="20">
        <v>45908.0</v>
      </c>
      <c r="H60" s="21">
        <v>0.7083333333333334</v>
      </c>
      <c r="I60" s="22">
        <v>7356.55</v>
      </c>
      <c r="J60" s="23"/>
      <c r="K60" s="45"/>
      <c r="L60" s="21"/>
      <c r="M60" s="25">
        <f t="shared" si="15"/>
        <v>45905.41319</v>
      </c>
      <c r="N60" s="25">
        <f t="shared" si="16"/>
        <v>45908.70833</v>
      </c>
      <c r="O60" s="25">
        <f t="shared" si="17"/>
        <v>3.295138889</v>
      </c>
      <c r="P60" s="127">
        <f t="shared" si="18"/>
        <v>79.08333333</v>
      </c>
      <c r="Q60" s="12">
        <v>5.0</v>
      </c>
      <c r="R60" s="2"/>
    </row>
    <row r="61" ht="15.75" customHeight="1">
      <c r="A61" s="115">
        <v>42.0</v>
      </c>
      <c r="B61" s="126"/>
      <c r="C61" s="30" t="s">
        <v>360</v>
      </c>
      <c r="D61" s="19" t="s">
        <v>33</v>
      </c>
      <c r="E61" s="20">
        <v>45908.0</v>
      </c>
      <c r="F61" s="21">
        <v>0.49652777777777773</v>
      </c>
      <c r="G61" s="20">
        <v>45912.0</v>
      </c>
      <c r="H61" s="21">
        <v>0.3645833333333333</v>
      </c>
      <c r="I61" s="22">
        <v>7261.26</v>
      </c>
      <c r="J61" s="23"/>
      <c r="K61" s="45"/>
      <c r="L61" s="21"/>
      <c r="M61" s="25">
        <f t="shared" si="15"/>
        <v>45908.49653</v>
      </c>
      <c r="N61" s="25">
        <f t="shared" si="16"/>
        <v>45912.36458</v>
      </c>
      <c r="O61" s="25">
        <f t="shared" si="17"/>
        <v>3.868055556</v>
      </c>
      <c r="P61" s="127">
        <f t="shared" si="18"/>
        <v>92.83333333</v>
      </c>
      <c r="Q61" s="12">
        <v>5.0</v>
      </c>
      <c r="R61" s="2"/>
    </row>
    <row r="62" ht="15.75" customHeight="1">
      <c r="A62" s="115">
        <v>43.0</v>
      </c>
      <c r="B62" s="126"/>
      <c r="C62" s="30"/>
      <c r="D62" s="19"/>
      <c r="E62" s="20"/>
      <c r="F62" s="21"/>
      <c r="G62" s="20"/>
      <c r="H62" s="21"/>
      <c r="I62" s="22"/>
      <c r="J62" s="29"/>
      <c r="K62" s="45"/>
      <c r="L62" s="21"/>
      <c r="M62" s="46"/>
      <c r="N62" s="46"/>
      <c r="O62" s="46"/>
      <c r="P62" s="128"/>
      <c r="Q62" s="12"/>
      <c r="R62" s="2"/>
    </row>
    <row r="63" ht="15.75" customHeight="1">
      <c r="A63" s="115">
        <v>44.0</v>
      </c>
      <c r="B63" s="126"/>
      <c r="C63" s="30"/>
      <c r="D63" s="19"/>
      <c r="E63" s="20"/>
      <c r="F63" s="21"/>
      <c r="G63" s="20"/>
      <c r="H63" s="21"/>
      <c r="I63" s="22"/>
      <c r="J63" s="23"/>
      <c r="K63" s="45"/>
      <c r="L63" s="50"/>
      <c r="M63" s="46"/>
      <c r="N63" s="46"/>
      <c r="O63" s="46"/>
      <c r="P63" s="128"/>
      <c r="Q63" s="12"/>
      <c r="R63" s="2"/>
    </row>
    <row r="64" ht="15.75" customHeight="1">
      <c r="A64" s="115">
        <v>45.0</v>
      </c>
      <c r="B64" s="126"/>
      <c r="C64" s="30"/>
      <c r="D64" s="19"/>
      <c r="E64" s="20"/>
      <c r="F64" s="21"/>
      <c r="G64" s="20"/>
      <c r="H64" s="21"/>
      <c r="I64" s="22"/>
      <c r="J64" s="111"/>
      <c r="K64" s="137"/>
      <c r="L64" s="50"/>
      <c r="M64" s="46"/>
      <c r="N64" s="46"/>
      <c r="O64" s="46"/>
      <c r="P64" s="128"/>
      <c r="Q64" s="12"/>
      <c r="R64" s="2"/>
    </row>
    <row r="65" ht="15.75" customHeight="1">
      <c r="A65" s="115">
        <v>46.0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29"/>
      <c r="B66" s="130"/>
      <c r="C66" s="141"/>
      <c r="D66" s="34"/>
      <c r="E66" s="35"/>
      <c r="F66" s="36"/>
      <c r="G66" s="35"/>
      <c r="H66" s="36"/>
      <c r="I66" s="131">
        <f t="shared" ref="I66:J66" si="19">SUM(I53:I65)</f>
        <v>64242.15</v>
      </c>
      <c r="J66" s="86">
        <f t="shared" si="19"/>
        <v>0</v>
      </c>
      <c r="K66" s="39">
        <f>+(P66)/(31*24)</f>
        <v>0.9303315412</v>
      </c>
      <c r="L66" s="40"/>
      <c r="M66" s="41"/>
      <c r="N66" s="41"/>
      <c r="O66" s="41"/>
      <c r="P66" s="42">
        <f>SUM(P53:P65)</f>
        <v>692.1666667</v>
      </c>
      <c r="Q66" s="12"/>
      <c r="R66" s="2"/>
    </row>
    <row r="67" ht="15.75" customHeight="1">
      <c r="A67" s="1"/>
      <c r="B67" s="12"/>
      <c r="C67" s="67"/>
      <c r="D67" s="12"/>
      <c r="E67" s="13"/>
      <c r="F67" s="14"/>
      <c r="G67" s="13"/>
      <c r="H67" s="14"/>
      <c r="I67" s="55"/>
      <c r="J67" s="56"/>
      <c r="K67" s="16"/>
      <c r="L67" s="14"/>
      <c r="M67" s="2"/>
      <c r="N67" s="2"/>
      <c r="O67" s="2"/>
      <c r="P67" s="2"/>
      <c r="Q67" s="12"/>
      <c r="R67" s="2"/>
    </row>
    <row r="68" ht="15.75" customHeight="1">
      <c r="A68" s="1"/>
      <c r="B68" s="12"/>
      <c r="C68" s="67"/>
      <c r="D68" s="12"/>
      <c r="E68" s="13"/>
      <c r="F68" s="14"/>
      <c r="G68" s="13"/>
      <c r="H68" s="14"/>
      <c r="I68" s="55"/>
      <c r="J68" s="56"/>
      <c r="K68" s="16"/>
      <c r="L68" s="14"/>
      <c r="M68" s="2"/>
      <c r="N68" s="2"/>
      <c r="O68" s="2"/>
      <c r="P68" s="2"/>
      <c r="Q68" s="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15">
        <v>47.0</v>
      </c>
      <c r="B71" s="116" t="s">
        <v>69</v>
      </c>
      <c r="C71" s="30" t="s">
        <v>361</v>
      </c>
      <c r="D71" s="19" t="s">
        <v>148</v>
      </c>
      <c r="E71" s="20">
        <v>45900.0</v>
      </c>
      <c r="F71" s="21">
        <v>0.3923611111111111</v>
      </c>
      <c r="G71" s="20">
        <v>45904.0</v>
      </c>
      <c r="H71" s="21">
        <v>0.37847222222222227</v>
      </c>
      <c r="I71" s="22">
        <v>32976.2</v>
      </c>
      <c r="J71" s="144"/>
      <c r="K71" s="145"/>
      <c r="L71" s="146"/>
      <c r="M71" s="124">
        <f t="shared" ref="M71:M73" si="20">INT(E71)+MOD(F71,1)</f>
        <v>45900.39236</v>
      </c>
      <c r="N71" s="124">
        <f t="shared" ref="N71:N73" si="21">INT(G71)+MOD(H71,1)</f>
        <v>45904.37847</v>
      </c>
      <c r="O71" s="124">
        <f t="shared" ref="O71:O73" si="22">N71-M71</f>
        <v>3.986111111</v>
      </c>
      <c r="P71" s="125">
        <f t="shared" ref="P71:P73" si="23">O71*24</f>
        <v>95.66666667</v>
      </c>
      <c r="Q71" s="12">
        <v>6.0</v>
      </c>
      <c r="R71" s="12"/>
    </row>
    <row r="72" ht="15.75" customHeight="1">
      <c r="A72" s="115">
        <v>48.0</v>
      </c>
      <c r="B72" s="126"/>
      <c r="C72" s="30" t="s">
        <v>362</v>
      </c>
      <c r="D72" s="19" t="s">
        <v>363</v>
      </c>
      <c r="E72" s="20">
        <v>45908.0</v>
      </c>
      <c r="F72" s="21">
        <v>0.9409722222222222</v>
      </c>
      <c r="G72" s="20">
        <v>45917.0</v>
      </c>
      <c r="H72" s="21">
        <v>0.04513888888888889</v>
      </c>
      <c r="I72" s="22">
        <v>24334.52</v>
      </c>
      <c r="J72" s="74"/>
      <c r="K72" s="88"/>
      <c r="L72" s="46"/>
      <c r="M72" s="25">
        <f t="shared" si="20"/>
        <v>45908.94097</v>
      </c>
      <c r="N72" s="25">
        <f t="shared" si="21"/>
        <v>45917.04514</v>
      </c>
      <c r="O72" s="25">
        <f t="shared" si="22"/>
        <v>8.104166667</v>
      </c>
      <c r="P72" s="127">
        <f t="shared" si="23"/>
        <v>194.5</v>
      </c>
      <c r="Q72" s="12">
        <v>6.0</v>
      </c>
      <c r="R72" s="12"/>
    </row>
    <row r="73" ht="15.75" customHeight="1">
      <c r="A73" s="115">
        <v>49.0</v>
      </c>
      <c r="B73" s="126"/>
      <c r="C73" s="30" t="s">
        <v>364</v>
      </c>
      <c r="D73" s="19" t="s">
        <v>363</v>
      </c>
      <c r="E73" s="20">
        <v>45918.0</v>
      </c>
      <c r="F73" s="21">
        <v>0.45416666666666666</v>
      </c>
      <c r="G73" s="20">
        <v>45923.0</v>
      </c>
      <c r="H73" s="21">
        <v>0.78125</v>
      </c>
      <c r="I73" s="22">
        <v>41182.24</v>
      </c>
      <c r="J73" s="74"/>
      <c r="K73" s="88"/>
      <c r="L73" s="46"/>
      <c r="M73" s="25">
        <f t="shared" si="20"/>
        <v>45918.45417</v>
      </c>
      <c r="N73" s="25">
        <f t="shared" si="21"/>
        <v>45923.78125</v>
      </c>
      <c r="O73" s="25">
        <f t="shared" si="22"/>
        <v>5.327083333</v>
      </c>
      <c r="P73" s="127">
        <f t="shared" si="23"/>
        <v>127.85</v>
      </c>
      <c r="Q73" s="12">
        <v>6.0</v>
      </c>
      <c r="R73" s="12"/>
    </row>
    <row r="74" ht="15.75" customHeight="1">
      <c r="A74" s="115">
        <v>50.0</v>
      </c>
      <c r="B74" s="126"/>
      <c r="C74" s="30"/>
      <c r="D74" s="19"/>
      <c r="E74" s="20"/>
      <c r="F74" s="21"/>
      <c r="G74" s="20"/>
      <c r="H74" s="21"/>
      <c r="I74" s="22"/>
      <c r="J74" s="74"/>
      <c r="K74" s="88"/>
      <c r="L74" s="46"/>
      <c r="M74" s="46"/>
      <c r="N74" s="46"/>
      <c r="O74" s="46"/>
      <c r="P74" s="128"/>
      <c r="Q74" s="12"/>
      <c r="R74" s="12"/>
    </row>
    <row r="75" ht="15.75" customHeight="1">
      <c r="A75" s="115">
        <v>51.0</v>
      </c>
      <c r="B75" s="126"/>
      <c r="C75" s="30"/>
      <c r="D75" s="19"/>
      <c r="E75" s="20"/>
      <c r="F75" s="21"/>
      <c r="G75" s="20"/>
      <c r="H75" s="21"/>
      <c r="I75" s="22"/>
      <c r="J75" s="74"/>
      <c r="K75" s="88"/>
      <c r="L75" s="46"/>
      <c r="M75" s="46"/>
      <c r="N75" s="46"/>
      <c r="O75" s="46"/>
      <c r="P75" s="128"/>
      <c r="Q75" s="12"/>
      <c r="R75" s="12"/>
    </row>
    <row r="76" ht="15.75" customHeight="1">
      <c r="A76" s="115">
        <v>52.0</v>
      </c>
      <c r="B76" s="126"/>
      <c r="C76" s="30"/>
      <c r="D76" s="19"/>
      <c r="E76" s="20"/>
      <c r="F76" s="21"/>
      <c r="G76" s="20"/>
      <c r="H76" s="21"/>
      <c r="I76" s="22"/>
      <c r="J76" s="74"/>
      <c r="K76" s="88"/>
      <c r="L76" s="46"/>
      <c r="M76" s="46"/>
      <c r="N76" s="46"/>
      <c r="O76" s="46"/>
      <c r="P76" s="128"/>
      <c r="Q76" s="12"/>
      <c r="R76" s="12"/>
    </row>
    <row r="77" ht="15.75" customHeight="1">
      <c r="A77" s="115">
        <v>53.0</v>
      </c>
      <c r="B77" s="126"/>
      <c r="C77" s="30"/>
      <c r="D77" s="19"/>
      <c r="E77" s="20"/>
      <c r="F77" s="21"/>
      <c r="G77" s="20"/>
      <c r="H77" s="21"/>
      <c r="I77" s="22"/>
      <c r="J77" s="74"/>
      <c r="K77" s="88"/>
      <c r="L77" s="46"/>
      <c r="M77" s="46"/>
      <c r="N77" s="46"/>
      <c r="O77" s="46"/>
      <c r="P77" s="128"/>
      <c r="Q77" s="12"/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88"/>
      <c r="L78" s="46"/>
      <c r="M78" s="46"/>
      <c r="N78" s="46"/>
      <c r="O78" s="46"/>
      <c r="P78" s="128"/>
      <c r="Q78" s="12"/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99"/>
      <c r="L79" s="82"/>
      <c r="M79" s="46"/>
      <c r="N79" s="46"/>
      <c r="O79" s="46"/>
      <c r="P79" s="128"/>
      <c r="Q79" s="12"/>
      <c r="R79" s="12"/>
    </row>
    <row r="80" ht="15.75" customHeight="1">
      <c r="A80" s="115"/>
      <c r="B80" s="133"/>
      <c r="C80" s="30"/>
      <c r="D80" s="19"/>
      <c r="E80" s="20"/>
      <c r="F80" s="21"/>
      <c r="G80" s="20"/>
      <c r="H80" s="21"/>
      <c r="I80" s="22"/>
      <c r="J80" s="74"/>
      <c r="K80" s="49"/>
      <c r="L80" s="50"/>
      <c r="M80" s="46"/>
      <c r="N80" s="46"/>
      <c r="O80" s="46"/>
      <c r="P80" s="128"/>
      <c r="Q80" s="12"/>
      <c r="R80" s="12"/>
    </row>
    <row r="81" ht="15.75" customHeight="1">
      <c r="A81" s="147"/>
      <c r="B81" s="148"/>
      <c r="C81" s="91"/>
      <c r="D81" s="91"/>
      <c r="E81" s="91"/>
      <c r="F81" s="91"/>
      <c r="G81" s="91"/>
      <c r="H81" s="91"/>
      <c r="I81" s="92">
        <f t="shared" ref="I81:J81" si="24">SUM(I71:I80)</f>
        <v>98492.96</v>
      </c>
      <c r="J81" s="93">
        <f t="shared" si="24"/>
        <v>0</v>
      </c>
      <c r="K81" s="39">
        <f>+(P81)/(31*24)</f>
        <v>0.5618503584</v>
      </c>
      <c r="L81" s="41"/>
      <c r="M81" s="41"/>
      <c r="N81" s="41"/>
      <c r="O81" s="41"/>
      <c r="P81" s="42">
        <f>SUM(P71:P80)</f>
        <v>418.0166667</v>
      </c>
      <c r="Q81" s="12"/>
      <c r="R81" s="1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94"/>
      <c r="J83" s="95"/>
      <c r="K83" s="3"/>
      <c r="L83" s="2"/>
      <c r="M83" s="2"/>
      <c r="N83" s="2"/>
      <c r="O83" s="2"/>
      <c r="P83" s="2"/>
      <c r="Q83" s="1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96" t="s">
        <v>80</v>
      </c>
      <c r="B85" s="96"/>
      <c r="C85" s="96" t="s">
        <v>81</v>
      </c>
      <c r="D85" s="96" t="s">
        <v>82</v>
      </c>
      <c r="E85" s="96" t="s">
        <v>18</v>
      </c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83</v>
      </c>
      <c r="B86" s="96"/>
      <c r="C86" s="96"/>
      <c r="D86" s="96" t="s">
        <v>84</v>
      </c>
      <c r="E86" s="96" t="s">
        <v>31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96"/>
      <c r="B87" s="96"/>
      <c r="C87" s="96"/>
      <c r="D87" s="96" t="s">
        <v>85</v>
      </c>
      <c r="E87" s="96" t="s">
        <v>41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86</v>
      </c>
      <c r="E88" s="96" t="s">
        <v>62</v>
      </c>
      <c r="F88" s="2"/>
      <c r="G88" s="2"/>
      <c r="H88" s="2"/>
      <c r="I88" s="2"/>
      <c r="J88" s="2"/>
      <c r="K88" s="3"/>
      <c r="L88" s="97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87</v>
      </c>
      <c r="E89" s="96" t="s">
        <v>69</v>
      </c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/>
      <c r="E90" s="96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0"/>
    <mergeCell ref="B33:B48"/>
    <mergeCell ref="B53:B65"/>
    <mergeCell ref="B71:B8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365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276</v>
      </c>
      <c r="D7" s="19" t="s">
        <v>277</v>
      </c>
      <c r="E7" s="20">
        <v>45931.0</v>
      </c>
      <c r="F7" s="21">
        <v>0.65625</v>
      </c>
      <c r="G7" s="20">
        <v>45932.0</v>
      </c>
      <c r="H7" s="21">
        <v>0.5034722222222222</v>
      </c>
      <c r="I7" s="22">
        <v>1135.928</v>
      </c>
      <c r="J7" s="23"/>
      <c r="K7" s="45"/>
      <c r="L7" s="21"/>
      <c r="M7" s="25">
        <f t="shared" ref="M7:M11" si="1">INT(E7)+MOD(F7,1)</f>
        <v>45931.65625</v>
      </c>
      <c r="N7" s="25">
        <f t="shared" ref="N7:N11" si="2">INT(G7)+MOD(H7,1)</f>
        <v>45932.50347</v>
      </c>
      <c r="O7" s="25">
        <f t="shared" ref="O7:O11" si="3">N7-M7</f>
        <v>0.8472222222</v>
      </c>
      <c r="P7" s="25">
        <f t="shared" ref="P7:P11" si="4">O7*24</f>
        <v>20.33333333</v>
      </c>
      <c r="Q7" s="12">
        <v>1.0</v>
      </c>
      <c r="R7" s="2"/>
    </row>
    <row r="8">
      <c r="A8" s="5">
        <v>2.0</v>
      </c>
      <c r="B8" s="26"/>
      <c r="C8" s="30" t="s">
        <v>366</v>
      </c>
      <c r="D8" s="19" t="s">
        <v>25</v>
      </c>
      <c r="E8" s="20">
        <v>45935.0</v>
      </c>
      <c r="F8" s="21">
        <v>0.7291666666666666</v>
      </c>
      <c r="G8" s="20">
        <v>45936.0</v>
      </c>
      <c r="H8" s="21">
        <v>0.7569444444444445</v>
      </c>
      <c r="I8" s="22">
        <v>2994.205</v>
      </c>
      <c r="J8" s="29"/>
      <c r="K8" s="45"/>
      <c r="L8" s="21"/>
      <c r="M8" s="25">
        <f t="shared" si="1"/>
        <v>45935.72917</v>
      </c>
      <c r="N8" s="25">
        <f t="shared" si="2"/>
        <v>45936.75694</v>
      </c>
      <c r="O8" s="25">
        <f t="shared" si="3"/>
        <v>1.027777778</v>
      </c>
      <c r="P8" s="25">
        <f t="shared" si="4"/>
        <v>24.66666667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45940.0</v>
      </c>
      <c r="F9" s="21">
        <v>0.3854166666666667</v>
      </c>
      <c r="G9" s="20">
        <v>45941.0</v>
      </c>
      <c r="H9" s="21">
        <v>0.21805555555555556</v>
      </c>
      <c r="I9" s="22">
        <v>1148.754</v>
      </c>
      <c r="J9" s="23"/>
      <c r="K9" s="45"/>
      <c r="L9" s="21"/>
      <c r="M9" s="25">
        <f t="shared" si="1"/>
        <v>45940.38542</v>
      </c>
      <c r="N9" s="25">
        <f t="shared" si="2"/>
        <v>45941.21806</v>
      </c>
      <c r="O9" s="25">
        <f t="shared" si="3"/>
        <v>0.8326388889</v>
      </c>
      <c r="P9" s="25">
        <f t="shared" si="4"/>
        <v>19.98333333</v>
      </c>
      <c r="Q9" s="12">
        <v>1.0</v>
      </c>
      <c r="R9" s="2"/>
    </row>
    <row r="10">
      <c r="A10" s="5">
        <v>4.0</v>
      </c>
      <c r="B10" s="26"/>
      <c r="C10" s="30" t="s">
        <v>276</v>
      </c>
      <c r="D10" s="19" t="s">
        <v>277</v>
      </c>
      <c r="E10" s="20">
        <v>45949.0</v>
      </c>
      <c r="F10" s="21">
        <v>0.2777777777777778</v>
      </c>
      <c r="G10" s="20">
        <v>45949.0</v>
      </c>
      <c r="H10" s="21">
        <v>0.7916666666666666</v>
      </c>
      <c r="I10" s="22">
        <v>1150.89</v>
      </c>
      <c r="J10" s="23"/>
      <c r="K10" s="45"/>
      <c r="L10" s="21"/>
      <c r="M10" s="25">
        <f t="shared" si="1"/>
        <v>45949.27778</v>
      </c>
      <c r="N10" s="25">
        <f t="shared" si="2"/>
        <v>45949.79167</v>
      </c>
      <c r="O10" s="25">
        <f t="shared" si="3"/>
        <v>0.5138888889</v>
      </c>
      <c r="P10" s="25">
        <f t="shared" si="4"/>
        <v>12.33333333</v>
      </c>
      <c r="Q10" s="12">
        <v>1.0</v>
      </c>
      <c r="R10" s="2"/>
    </row>
    <row r="11">
      <c r="A11" s="5">
        <v>5.0</v>
      </c>
      <c r="B11" s="26"/>
      <c r="C11" s="30" t="s">
        <v>367</v>
      </c>
      <c r="D11" s="19" t="s">
        <v>25</v>
      </c>
      <c r="E11" s="20">
        <v>45953.0</v>
      </c>
      <c r="F11" s="21">
        <v>0.1840277777777778</v>
      </c>
      <c r="G11" s="20">
        <v>45954.0</v>
      </c>
      <c r="H11" s="21">
        <v>0.7340277777777778</v>
      </c>
      <c r="I11" s="22">
        <v>4391.0</v>
      </c>
      <c r="J11" s="23"/>
      <c r="K11" s="45"/>
      <c r="L11" s="21"/>
      <c r="M11" s="25">
        <f t="shared" si="1"/>
        <v>45953.18403</v>
      </c>
      <c r="N11" s="25">
        <f t="shared" si="2"/>
        <v>45954.73403</v>
      </c>
      <c r="O11" s="25">
        <f t="shared" si="3"/>
        <v>1.55</v>
      </c>
      <c r="P11" s="25">
        <f t="shared" si="4"/>
        <v>37.2</v>
      </c>
      <c r="Q11" s="12">
        <v>1.0</v>
      </c>
      <c r="R11" s="2"/>
    </row>
    <row r="12">
      <c r="A12" s="5">
        <v>6.0</v>
      </c>
      <c r="B12" s="26"/>
      <c r="C12" s="30"/>
      <c r="D12" s="19"/>
      <c r="E12" s="20"/>
      <c r="F12" s="21"/>
      <c r="G12" s="20"/>
      <c r="H12" s="21"/>
      <c r="I12" s="22"/>
      <c r="J12" s="23"/>
      <c r="K12" s="45"/>
      <c r="L12" s="21"/>
      <c r="M12" s="46"/>
      <c r="N12" s="46"/>
      <c r="O12" s="46"/>
      <c r="P12" s="46"/>
      <c r="Q12" s="12"/>
      <c r="R12" s="2"/>
    </row>
    <row r="13">
      <c r="A13" s="5">
        <v>7.0</v>
      </c>
      <c r="B13" s="26"/>
      <c r="C13" s="30"/>
      <c r="D13" s="27"/>
      <c r="E13" s="20"/>
      <c r="F13" s="21"/>
      <c r="G13" s="20"/>
      <c r="H13" s="21"/>
      <c r="I13" s="28"/>
      <c r="J13" s="29"/>
      <c r="K13" s="45"/>
      <c r="L13" s="21"/>
      <c r="M13" s="46"/>
      <c r="N13" s="46"/>
      <c r="O13" s="46"/>
      <c r="P13" s="46"/>
      <c r="Q13" s="12"/>
      <c r="R13" s="2"/>
    </row>
    <row r="14">
      <c r="A14" s="5">
        <v>8.0</v>
      </c>
      <c r="B14" s="26"/>
      <c r="C14" s="30"/>
      <c r="D14" s="19"/>
      <c r="E14" s="20"/>
      <c r="F14" s="21"/>
      <c r="G14" s="20"/>
      <c r="H14" s="21"/>
      <c r="I14" s="22"/>
      <c r="J14" s="23"/>
      <c r="K14" s="45"/>
      <c r="L14" s="21"/>
      <c r="M14" s="46"/>
      <c r="N14" s="46"/>
      <c r="O14" s="46"/>
      <c r="P14" s="46"/>
      <c r="Q14" s="12"/>
      <c r="R14" s="2"/>
    </row>
    <row r="15">
      <c r="A15" s="5">
        <v>9.0</v>
      </c>
      <c r="B15" s="26"/>
      <c r="C15" s="30"/>
      <c r="D15" s="19"/>
      <c r="E15" s="20"/>
      <c r="F15" s="21"/>
      <c r="G15" s="20"/>
      <c r="H15" s="21"/>
      <c r="I15" s="22"/>
      <c r="J15" s="23"/>
      <c r="K15" s="45"/>
      <c r="L15" s="21"/>
      <c r="M15" s="46"/>
      <c r="N15" s="46"/>
      <c r="O15" s="46"/>
      <c r="P15" s="46"/>
      <c r="Q15" s="12"/>
      <c r="R15" s="2"/>
    </row>
    <row r="16">
      <c r="A16" s="5">
        <v>10.0</v>
      </c>
      <c r="B16" s="26"/>
      <c r="C16" s="30"/>
      <c r="D16" s="19"/>
      <c r="E16" s="20"/>
      <c r="F16" s="21"/>
      <c r="G16" s="20"/>
      <c r="H16" s="21"/>
      <c r="I16" s="22"/>
      <c r="J16" s="23"/>
      <c r="K16" s="45"/>
      <c r="L16" s="21"/>
      <c r="M16" s="46"/>
      <c r="N16" s="46"/>
      <c r="O16" s="46"/>
      <c r="P16" s="46"/>
      <c r="Q16" s="12"/>
      <c r="R16" s="2"/>
    </row>
    <row r="17">
      <c r="A17" s="5">
        <v>11.0</v>
      </c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>
        <v>12.0</v>
      </c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10820.777</v>
      </c>
      <c r="J21" s="113">
        <f t="shared" si="5"/>
        <v>0</v>
      </c>
      <c r="K21" s="39">
        <f>+(P21)/(31*24)</f>
        <v>0.1539202509</v>
      </c>
      <c r="L21" s="40"/>
      <c r="M21" s="41"/>
      <c r="N21" s="41"/>
      <c r="O21" s="41"/>
      <c r="P21" s="42">
        <f>SUM(P7:P20)</f>
        <v>114.5166667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13.0</v>
      </c>
      <c r="B23" s="116" t="s">
        <v>31</v>
      </c>
      <c r="C23" s="30" t="s">
        <v>342</v>
      </c>
      <c r="D23" s="19" t="s">
        <v>33</v>
      </c>
      <c r="E23" s="20">
        <v>45931.0</v>
      </c>
      <c r="F23" s="21">
        <v>0.3506944444444444</v>
      </c>
      <c r="G23" s="20">
        <v>45938.0</v>
      </c>
      <c r="H23" s="21">
        <v>0.5868055555555556</v>
      </c>
      <c r="I23" s="22">
        <v>7992.439</v>
      </c>
      <c r="J23" s="23"/>
      <c r="K23" s="45"/>
      <c r="L23" s="120"/>
      <c r="M23" s="124">
        <f t="shared" ref="M23:M29" si="6">INT(E23)+MOD(F23,1)</f>
        <v>45931.35069</v>
      </c>
      <c r="N23" s="124">
        <f t="shared" ref="N23:N29" si="7">INT(G23)+MOD(H23,1)</f>
        <v>45938.58681</v>
      </c>
      <c r="O23" s="124">
        <f t="shared" ref="O23:O29" si="8">N23-M23</f>
        <v>7.236111111</v>
      </c>
      <c r="P23" s="125">
        <f t="shared" ref="P23:P29" si="9">O23*24</f>
        <v>173.6666667</v>
      </c>
      <c r="Q23" s="12">
        <v>3.0</v>
      </c>
      <c r="R23" s="2"/>
    </row>
    <row r="24" ht="15.75" customHeight="1">
      <c r="A24" s="115">
        <v>14.0</v>
      </c>
      <c r="B24" s="126"/>
      <c r="C24" s="30" t="s">
        <v>368</v>
      </c>
      <c r="D24" s="19" t="s">
        <v>33</v>
      </c>
      <c r="E24" s="20">
        <v>45938.0</v>
      </c>
      <c r="F24" s="21">
        <v>0.7083333333333334</v>
      </c>
      <c r="G24" s="20">
        <v>45941.0</v>
      </c>
      <c r="H24" s="21">
        <v>0.43402777777777773</v>
      </c>
      <c r="I24" s="22">
        <v>7626.28</v>
      </c>
      <c r="J24" s="23"/>
      <c r="K24" s="45"/>
      <c r="L24" s="21"/>
      <c r="M24" s="124">
        <f t="shared" si="6"/>
        <v>45938.70833</v>
      </c>
      <c r="N24" s="124">
        <f t="shared" si="7"/>
        <v>45941.43403</v>
      </c>
      <c r="O24" s="124">
        <f t="shared" si="8"/>
        <v>2.725694444</v>
      </c>
      <c r="P24" s="125">
        <f t="shared" si="9"/>
        <v>65.41666667</v>
      </c>
      <c r="Q24" s="12">
        <v>3.0</v>
      </c>
      <c r="R24" s="2"/>
    </row>
    <row r="25" ht="15.75" customHeight="1">
      <c r="A25" s="115">
        <v>15.0</v>
      </c>
      <c r="B25" s="126"/>
      <c r="C25" s="30" t="s">
        <v>216</v>
      </c>
      <c r="D25" s="19" t="s">
        <v>33</v>
      </c>
      <c r="E25" s="20">
        <v>45941.0</v>
      </c>
      <c r="F25" s="21">
        <v>0.4583333333333333</v>
      </c>
      <c r="G25" s="20">
        <v>45944.0</v>
      </c>
      <c r="H25" s="21">
        <v>0.3923611111111111</v>
      </c>
      <c r="I25" s="22">
        <v>8087.82</v>
      </c>
      <c r="J25" s="23"/>
      <c r="K25" s="45"/>
      <c r="L25" s="21"/>
      <c r="M25" s="124">
        <f t="shared" si="6"/>
        <v>45941.45833</v>
      </c>
      <c r="N25" s="124">
        <f t="shared" si="7"/>
        <v>45944.39236</v>
      </c>
      <c r="O25" s="124">
        <f t="shared" si="8"/>
        <v>2.934027778</v>
      </c>
      <c r="P25" s="125">
        <f t="shared" si="9"/>
        <v>70.41666667</v>
      </c>
      <c r="Q25" s="12">
        <v>3.0</v>
      </c>
      <c r="R25" s="2"/>
    </row>
    <row r="26" ht="15.75" customHeight="1">
      <c r="A26" s="115">
        <v>16.0</v>
      </c>
      <c r="B26" s="126"/>
      <c r="C26" s="30" t="s">
        <v>226</v>
      </c>
      <c r="D26" s="19" t="s">
        <v>33</v>
      </c>
      <c r="E26" s="20">
        <v>45945.0</v>
      </c>
      <c r="F26" s="21">
        <v>0.40972222222222227</v>
      </c>
      <c r="G26" s="20">
        <v>45947.0</v>
      </c>
      <c r="H26" s="21">
        <v>0.7291666666666666</v>
      </c>
      <c r="I26" s="22">
        <v>8210.058</v>
      </c>
      <c r="J26" s="23"/>
      <c r="K26" s="45"/>
      <c r="L26" s="21"/>
      <c r="M26" s="124">
        <f t="shared" si="6"/>
        <v>45945.40972</v>
      </c>
      <c r="N26" s="124">
        <f t="shared" si="7"/>
        <v>45947.72917</v>
      </c>
      <c r="O26" s="124">
        <f t="shared" si="8"/>
        <v>2.319444444</v>
      </c>
      <c r="P26" s="125">
        <f t="shared" si="9"/>
        <v>55.66666667</v>
      </c>
      <c r="Q26" s="12">
        <v>3.0</v>
      </c>
      <c r="R26" s="2"/>
    </row>
    <row r="27" ht="15.75" customHeight="1">
      <c r="A27" s="115">
        <v>17.0</v>
      </c>
      <c r="B27" s="126"/>
      <c r="C27" s="30" t="s">
        <v>123</v>
      </c>
      <c r="D27" s="19" t="s">
        <v>33</v>
      </c>
      <c r="E27" s="20">
        <v>45948.0</v>
      </c>
      <c r="F27" s="21">
        <v>0.4166666666666667</v>
      </c>
      <c r="G27" s="20">
        <v>45952.0</v>
      </c>
      <c r="H27" s="21">
        <v>0.34722222222222227</v>
      </c>
      <c r="I27" s="22">
        <v>8614.256</v>
      </c>
      <c r="J27" s="23"/>
      <c r="K27" s="45"/>
      <c r="L27" s="21"/>
      <c r="M27" s="124">
        <f t="shared" si="6"/>
        <v>45948.41667</v>
      </c>
      <c r="N27" s="124">
        <f t="shared" si="7"/>
        <v>45952.34722</v>
      </c>
      <c r="O27" s="124">
        <f t="shared" si="8"/>
        <v>3.930555556</v>
      </c>
      <c r="P27" s="125">
        <f t="shared" si="9"/>
        <v>94.33333333</v>
      </c>
      <c r="Q27" s="12">
        <v>3.0</v>
      </c>
      <c r="R27" s="2"/>
    </row>
    <row r="28" ht="15.75" customHeight="1">
      <c r="A28" s="115">
        <v>18.0</v>
      </c>
      <c r="B28" s="126"/>
      <c r="C28" s="30" t="s">
        <v>369</v>
      </c>
      <c r="D28" s="19" t="s">
        <v>33</v>
      </c>
      <c r="E28" s="20">
        <v>45953.0</v>
      </c>
      <c r="F28" s="21">
        <v>0.4513888888888889</v>
      </c>
      <c r="G28" s="20">
        <v>45957.0</v>
      </c>
      <c r="H28" s="21">
        <v>0.2881944444444445</v>
      </c>
      <c r="I28" s="22">
        <v>7994.055</v>
      </c>
      <c r="J28" s="23"/>
      <c r="K28" s="45"/>
      <c r="L28" s="21"/>
      <c r="M28" s="124">
        <f t="shared" si="6"/>
        <v>45953.45139</v>
      </c>
      <c r="N28" s="124">
        <f t="shared" si="7"/>
        <v>45957.28819</v>
      </c>
      <c r="O28" s="124">
        <f t="shared" si="8"/>
        <v>3.836805556</v>
      </c>
      <c r="P28" s="125">
        <f t="shared" si="9"/>
        <v>92.08333333</v>
      </c>
      <c r="Q28" s="12">
        <v>3.0</v>
      </c>
      <c r="R28" s="2"/>
    </row>
    <row r="29" ht="15.75" customHeight="1">
      <c r="A29" s="115"/>
      <c r="B29" s="126"/>
      <c r="C29" s="30"/>
      <c r="D29" s="19"/>
      <c r="E29" s="20"/>
      <c r="F29" s="21"/>
      <c r="G29" s="20"/>
      <c r="H29" s="21"/>
      <c r="I29" s="22"/>
      <c r="J29" s="23"/>
      <c r="K29" s="45"/>
      <c r="L29" s="21"/>
      <c r="M29" s="124">
        <f t="shared" si="6"/>
        <v>0</v>
      </c>
      <c r="N29" s="124">
        <f t="shared" si="7"/>
        <v>0</v>
      </c>
      <c r="O29" s="124">
        <f t="shared" si="8"/>
        <v>0</v>
      </c>
      <c r="P29" s="125">
        <f t="shared" si="9"/>
        <v>0</v>
      </c>
      <c r="Q29" s="12"/>
      <c r="R29" s="2"/>
    </row>
    <row r="30" ht="15.75" customHeight="1">
      <c r="A30" s="115"/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46"/>
      <c r="N30" s="46"/>
      <c r="O30" s="46"/>
      <c r="P30" s="128"/>
      <c r="Q30" s="12"/>
      <c r="R30" s="2"/>
    </row>
    <row r="31" ht="15.75" customHeight="1">
      <c r="A31" s="129"/>
      <c r="B31" s="130"/>
      <c r="C31" s="33"/>
      <c r="D31" s="34"/>
      <c r="E31" s="35"/>
      <c r="F31" s="36"/>
      <c r="G31" s="35"/>
      <c r="H31" s="36"/>
      <c r="I31" s="131">
        <f t="shared" ref="I31:J31" si="10">SUM(I23:I30)</f>
        <v>48524.908</v>
      </c>
      <c r="J31" s="113">
        <f t="shared" si="10"/>
        <v>0</v>
      </c>
      <c r="K31" s="64">
        <f>+(P31)/(31*24)</f>
        <v>0.741375448</v>
      </c>
      <c r="L31" s="40"/>
      <c r="M31" s="41"/>
      <c r="N31" s="41"/>
      <c r="O31" s="41"/>
      <c r="P31" s="42">
        <f>SUM(P23:P30)</f>
        <v>551.5833333</v>
      </c>
      <c r="Q31" s="2"/>
      <c r="R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  <c r="R32" s="2"/>
    </row>
    <row r="33" ht="15.75" customHeight="1">
      <c r="A33" s="115">
        <v>19.0</v>
      </c>
      <c r="B33" s="116" t="s">
        <v>41</v>
      </c>
      <c r="C33" s="30" t="s">
        <v>370</v>
      </c>
      <c r="D33" s="19" t="s">
        <v>33</v>
      </c>
      <c r="E33" s="20">
        <v>45926.0</v>
      </c>
      <c r="F33" s="21">
        <v>0.46875</v>
      </c>
      <c r="G33" s="20">
        <v>45928.0</v>
      </c>
      <c r="H33" s="21">
        <v>0.3888888888888889</v>
      </c>
      <c r="I33" s="22">
        <v>7491.68</v>
      </c>
      <c r="J33" s="23"/>
      <c r="K33" s="123"/>
      <c r="L33" s="120"/>
      <c r="M33" s="124">
        <f t="shared" ref="M33:M43" si="11">INT(E33)+MOD(F33,1)</f>
        <v>45926.46875</v>
      </c>
      <c r="N33" s="124">
        <f t="shared" ref="N33:N43" si="12">INT(G33)+MOD(H33,1)</f>
        <v>45928.38889</v>
      </c>
      <c r="O33" s="132">
        <f t="shared" ref="O33:O43" si="13">N33-M33</f>
        <v>1.920138889</v>
      </c>
      <c r="P33" s="125">
        <f t="shared" ref="P33:P43" si="14">O33*24</f>
        <v>46.08333333</v>
      </c>
      <c r="Q33" s="12">
        <v>4.0</v>
      </c>
      <c r="R33" s="2"/>
    </row>
    <row r="34" ht="15.75" customHeight="1">
      <c r="A34" s="115">
        <v>20.0</v>
      </c>
      <c r="B34" s="126"/>
      <c r="C34" s="30" t="s">
        <v>371</v>
      </c>
      <c r="D34" s="19" t="s">
        <v>33</v>
      </c>
      <c r="E34" s="20">
        <v>45925.0</v>
      </c>
      <c r="F34" s="21">
        <v>0.3854166666666667</v>
      </c>
      <c r="G34" s="20">
        <v>45929.0</v>
      </c>
      <c r="H34" s="21">
        <v>0.6840277777777778</v>
      </c>
      <c r="I34" s="22">
        <v>7519.826</v>
      </c>
      <c r="J34" s="23"/>
      <c r="K34" s="45"/>
      <c r="L34" s="21"/>
      <c r="M34" s="25">
        <f t="shared" si="11"/>
        <v>45925.38542</v>
      </c>
      <c r="N34" s="25">
        <f t="shared" si="12"/>
        <v>45929.68403</v>
      </c>
      <c r="O34" s="60">
        <f t="shared" si="13"/>
        <v>4.298611111</v>
      </c>
      <c r="P34" s="127">
        <f t="shared" si="14"/>
        <v>103.1666667</v>
      </c>
      <c r="Q34" s="150">
        <v>4.0</v>
      </c>
      <c r="R34" s="2"/>
    </row>
    <row r="35" ht="15.75" customHeight="1">
      <c r="A35" s="115">
        <v>21.0</v>
      </c>
      <c r="B35" s="126"/>
      <c r="C35" s="30" t="s">
        <v>321</v>
      </c>
      <c r="D35" s="19" t="s">
        <v>33</v>
      </c>
      <c r="E35" s="20">
        <v>45931.0</v>
      </c>
      <c r="F35" s="21">
        <v>0.6180555555555556</v>
      </c>
      <c r="G35" s="20">
        <v>45934.0</v>
      </c>
      <c r="H35" s="21">
        <v>0.4513888888888889</v>
      </c>
      <c r="I35" s="22">
        <v>7758.4</v>
      </c>
      <c r="J35" s="29"/>
      <c r="K35" s="45"/>
      <c r="L35" s="21"/>
      <c r="M35" s="25">
        <f t="shared" si="11"/>
        <v>45931.61806</v>
      </c>
      <c r="N35" s="25">
        <f t="shared" si="12"/>
        <v>45934.45139</v>
      </c>
      <c r="O35" s="60">
        <f t="shared" si="13"/>
        <v>2.833333333</v>
      </c>
      <c r="P35" s="127">
        <f t="shared" si="14"/>
        <v>68</v>
      </c>
      <c r="Q35" s="12">
        <v>4.0</v>
      </c>
      <c r="R35" s="2"/>
    </row>
    <row r="36" ht="15.75" customHeight="1">
      <c r="A36" s="115">
        <v>22.0</v>
      </c>
      <c r="B36" s="126"/>
      <c r="C36" s="30" t="s">
        <v>372</v>
      </c>
      <c r="D36" s="19" t="s">
        <v>33</v>
      </c>
      <c r="E36" s="20">
        <v>45934.0</v>
      </c>
      <c r="F36" s="21">
        <v>0.4895833333333333</v>
      </c>
      <c r="G36" s="20">
        <v>45937.0</v>
      </c>
      <c r="H36" s="21">
        <v>0.34722222222222227</v>
      </c>
      <c r="I36" s="22">
        <v>7770.42</v>
      </c>
      <c r="J36" s="23"/>
      <c r="K36" s="45"/>
      <c r="L36" s="21"/>
      <c r="M36" s="25">
        <f t="shared" si="11"/>
        <v>45934.48958</v>
      </c>
      <c r="N36" s="25">
        <f t="shared" si="12"/>
        <v>45937.34722</v>
      </c>
      <c r="O36" s="60">
        <f t="shared" si="13"/>
        <v>2.857638889</v>
      </c>
      <c r="P36" s="127">
        <f t="shared" si="14"/>
        <v>68.58333333</v>
      </c>
      <c r="Q36" s="12">
        <v>4.0</v>
      </c>
      <c r="R36" s="2"/>
    </row>
    <row r="37" ht="15.75" customHeight="1">
      <c r="A37" s="115">
        <v>23.0</v>
      </c>
      <c r="B37" s="126"/>
      <c r="C37" s="30" t="s">
        <v>162</v>
      </c>
      <c r="D37" s="19" t="s">
        <v>33</v>
      </c>
      <c r="E37" s="20">
        <v>45932.0</v>
      </c>
      <c r="F37" s="21">
        <v>0.3576388888888889</v>
      </c>
      <c r="G37" s="20">
        <v>45935.0</v>
      </c>
      <c r="H37" s="21">
        <v>0.3576388888888889</v>
      </c>
      <c r="I37" s="22">
        <v>7570.9</v>
      </c>
      <c r="J37" s="23"/>
      <c r="K37" s="45"/>
      <c r="L37" s="21"/>
      <c r="M37" s="25">
        <f t="shared" si="11"/>
        <v>45932.35764</v>
      </c>
      <c r="N37" s="25">
        <f t="shared" si="12"/>
        <v>45935.35764</v>
      </c>
      <c r="O37" s="60">
        <f t="shared" si="13"/>
        <v>3</v>
      </c>
      <c r="P37" s="127">
        <f t="shared" si="14"/>
        <v>72</v>
      </c>
      <c r="Q37" s="12">
        <v>4.0</v>
      </c>
      <c r="R37" s="2"/>
    </row>
    <row r="38" ht="15.75" customHeight="1">
      <c r="A38" s="115">
        <v>24.0</v>
      </c>
      <c r="B38" s="126"/>
      <c r="C38" s="30" t="s">
        <v>373</v>
      </c>
      <c r="D38" s="19" t="s">
        <v>319</v>
      </c>
      <c r="E38" s="20">
        <v>45937.0</v>
      </c>
      <c r="F38" s="21">
        <v>0.4513888888888889</v>
      </c>
      <c r="G38" s="20">
        <v>45939.0</v>
      </c>
      <c r="H38" s="21">
        <v>0.49652777777777773</v>
      </c>
      <c r="I38" s="22">
        <v>4030.58</v>
      </c>
      <c r="J38" s="23"/>
      <c r="K38" s="45"/>
      <c r="L38" s="21"/>
      <c r="M38" s="25">
        <f t="shared" si="11"/>
        <v>45937.45139</v>
      </c>
      <c r="N38" s="25">
        <f t="shared" si="12"/>
        <v>45939.49653</v>
      </c>
      <c r="O38" s="60">
        <f t="shared" si="13"/>
        <v>2.045138889</v>
      </c>
      <c r="P38" s="127">
        <f t="shared" si="14"/>
        <v>49.08333333</v>
      </c>
      <c r="Q38" s="12">
        <v>4.0</v>
      </c>
      <c r="R38" s="2"/>
    </row>
    <row r="39" ht="15.75" customHeight="1">
      <c r="A39" s="115">
        <v>25.0</v>
      </c>
      <c r="B39" s="126"/>
      <c r="C39" s="30" t="s">
        <v>334</v>
      </c>
      <c r="D39" s="19" t="s">
        <v>33</v>
      </c>
      <c r="E39" s="20">
        <v>45939.0</v>
      </c>
      <c r="F39" s="21">
        <v>0.5416666666666666</v>
      </c>
      <c r="G39" s="20">
        <v>45944.0</v>
      </c>
      <c r="H39" s="21">
        <v>0.5243055555555556</v>
      </c>
      <c r="I39" s="22">
        <v>8593.997</v>
      </c>
      <c r="J39" s="23"/>
      <c r="K39" s="45"/>
      <c r="L39" s="21"/>
      <c r="M39" s="25">
        <f t="shared" si="11"/>
        <v>45939.54167</v>
      </c>
      <c r="N39" s="25">
        <f t="shared" si="12"/>
        <v>45944.52431</v>
      </c>
      <c r="O39" s="60">
        <f t="shared" si="13"/>
        <v>4.982638889</v>
      </c>
      <c r="P39" s="127">
        <f t="shared" si="14"/>
        <v>119.5833333</v>
      </c>
      <c r="Q39" s="12">
        <v>4.0</v>
      </c>
      <c r="R39" s="2"/>
    </row>
    <row r="40" ht="15.75" customHeight="1">
      <c r="A40" s="115">
        <v>26.0</v>
      </c>
      <c r="B40" s="126"/>
      <c r="C40" s="30" t="s">
        <v>374</v>
      </c>
      <c r="D40" s="19" t="s">
        <v>33</v>
      </c>
      <c r="E40" s="20">
        <v>45945.0</v>
      </c>
      <c r="F40" s="21">
        <v>0.6215277777777778</v>
      </c>
      <c r="G40" s="20">
        <v>45947.0</v>
      </c>
      <c r="H40" s="21">
        <v>0.7083333333333334</v>
      </c>
      <c r="I40" s="22">
        <v>8281.12</v>
      </c>
      <c r="J40" s="23"/>
      <c r="K40" s="45"/>
      <c r="L40" s="21"/>
      <c r="M40" s="25">
        <f t="shared" si="11"/>
        <v>45945.62153</v>
      </c>
      <c r="N40" s="25">
        <f t="shared" si="12"/>
        <v>45947.70833</v>
      </c>
      <c r="O40" s="60">
        <f t="shared" si="13"/>
        <v>2.086805556</v>
      </c>
      <c r="P40" s="127">
        <f t="shared" si="14"/>
        <v>50.08333333</v>
      </c>
      <c r="Q40" s="12">
        <v>4.0</v>
      </c>
      <c r="R40" s="2"/>
    </row>
    <row r="41" ht="15.75" customHeight="1">
      <c r="A41" s="115">
        <v>27.0</v>
      </c>
      <c r="B41" s="126"/>
      <c r="C41" s="30" t="s">
        <v>375</v>
      </c>
      <c r="D41" s="19" t="s">
        <v>33</v>
      </c>
      <c r="E41" s="20">
        <v>45947.0</v>
      </c>
      <c r="F41" s="21">
        <v>0.7916666666666666</v>
      </c>
      <c r="G41" s="20">
        <v>45950.0</v>
      </c>
      <c r="H41" s="21">
        <v>0.4131944444444444</v>
      </c>
      <c r="I41" s="22">
        <v>7447.82</v>
      </c>
      <c r="J41" s="23"/>
      <c r="K41" s="45"/>
      <c r="L41" s="21"/>
      <c r="M41" s="25">
        <f t="shared" si="11"/>
        <v>45947.79167</v>
      </c>
      <c r="N41" s="25">
        <f t="shared" si="12"/>
        <v>45950.41319</v>
      </c>
      <c r="O41" s="60">
        <f t="shared" si="13"/>
        <v>2.621527778</v>
      </c>
      <c r="P41" s="127">
        <f t="shared" si="14"/>
        <v>62.91666667</v>
      </c>
      <c r="Q41" s="12">
        <v>4.0</v>
      </c>
      <c r="R41" s="2"/>
    </row>
    <row r="42" ht="15.75" customHeight="1">
      <c r="A42" s="115">
        <v>28.0</v>
      </c>
      <c r="B42" s="126"/>
      <c r="C42" s="30" t="s">
        <v>124</v>
      </c>
      <c r="D42" s="19" t="s">
        <v>33</v>
      </c>
      <c r="E42" s="20">
        <v>45949.0</v>
      </c>
      <c r="F42" s="21">
        <v>0.4166666666666667</v>
      </c>
      <c r="G42" s="20">
        <v>45952.0</v>
      </c>
      <c r="H42" s="21">
        <v>0.3333333333333333</v>
      </c>
      <c r="I42" s="22">
        <v>7326.86</v>
      </c>
      <c r="J42" s="23"/>
      <c r="K42" s="45"/>
      <c r="L42" s="21"/>
      <c r="M42" s="25">
        <f t="shared" si="11"/>
        <v>45949.41667</v>
      </c>
      <c r="N42" s="25">
        <f t="shared" si="12"/>
        <v>45952.33333</v>
      </c>
      <c r="O42" s="60">
        <f t="shared" si="13"/>
        <v>2.916666667</v>
      </c>
      <c r="P42" s="127">
        <f t="shared" si="14"/>
        <v>70</v>
      </c>
      <c r="Q42" s="12">
        <v>4.0</v>
      </c>
      <c r="R42" s="2"/>
    </row>
    <row r="43" ht="15.75" customHeight="1">
      <c r="A43" s="115">
        <v>29.0</v>
      </c>
      <c r="B43" s="126"/>
      <c r="C43" s="30" t="s">
        <v>376</v>
      </c>
      <c r="D43" s="19" t="s">
        <v>33</v>
      </c>
      <c r="E43" s="20">
        <v>45952.0</v>
      </c>
      <c r="F43" s="21">
        <v>0.4236111111111111</v>
      </c>
      <c r="G43" s="20">
        <v>45954.0</v>
      </c>
      <c r="H43" s="21">
        <v>0.44097222222222227</v>
      </c>
      <c r="I43" s="22">
        <v>9884.36</v>
      </c>
      <c r="J43" s="23"/>
      <c r="K43" s="45"/>
      <c r="L43" s="21"/>
      <c r="M43" s="25">
        <f t="shared" si="11"/>
        <v>45952.42361</v>
      </c>
      <c r="N43" s="25">
        <f t="shared" si="12"/>
        <v>45954.44097</v>
      </c>
      <c r="O43" s="60">
        <f t="shared" si="13"/>
        <v>2.017361111</v>
      </c>
      <c r="P43" s="127">
        <f t="shared" si="14"/>
        <v>48.41666667</v>
      </c>
      <c r="Q43" s="12">
        <v>4.0</v>
      </c>
      <c r="R43" s="2"/>
    </row>
    <row r="44" ht="15.75" customHeight="1">
      <c r="A44" s="115">
        <v>30.0</v>
      </c>
      <c r="B44" s="126"/>
      <c r="C44" s="30"/>
      <c r="D44" s="19"/>
      <c r="E44" s="20"/>
      <c r="F44" s="21"/>
      <c r="G44" s="20"/>
      <c r="H44" s="21"/>
      <c r="I44" s="22"/>
      <c r="J44" s="23"/>
      <c r="K44" s="45"/>
      <c r="L44" s="21"/>
      <c r="M44" s="46"/>
      <c r="N44" s="46"/>
      <c r="O44" s="61"/>
      <c r="P44" s="128"/>
      <c r="Q44" s="12"/>
      <c r="R44" s="2"/>
    </row>
    <row r="45" ht="15.75" customHeight="1">
      <c r="A45" s="115">
        <v>31.0</v>
      </c>
      <c r="B45" s="126"/>
      <c r="C45" s="30"/>
      <c r="D45" s="19"/>
      <c r="E45" s="20"/>
      <c r="F45" s="21"/>
      <c r="G45" s="20"/>
      <c r="H45" s="21"/>
      <c r="I45" s="22"/>
      <c r="J45" s="23"/>
      <c r="K45" s="45"/>
      <c r="L45" s="50"/>
      <c r="M45" s="46"/>
      <c r="N45" s="46"/>
      <c r="O45" s="61"/>
      <c r="P45" s="128"/>
      <c r="Q45" s="12"/>
      <c r="R45" s="2"/>
    </row>
    <row r="46" ht="15.75" customHeight="1">
      <c r="A46" s="115">
        <v>32.0</v>
      </c>
      <c r="B46" s="126"/>
      <c r="C46" s="30"/>
      <c r="D46" s="19"/>
      <c r="E46" s="20"/>
      <c r="F46" s="21"/>
      <c r="G46" s="20"/>
      <c r="H46" s="21"/>
      <c r="I46" s="22"/>
      <c r="J46" s="29"/>
      <c r="K46" s="45"/>
      <c r="L46" s="50"/>
      <c r="M46" s="46"/>
      <c r="N46" s="46"/>
      <c r="O46" s="61"/>
      <c r="P46" s="128"/>
      <c r="Q46" s="12"/>
      <c r="R46" s="2"/>
    </row>
    <row r="47" ht="15.75" customHeight="1">
      <c r="A47" s="115">
        <v>33.0</v>
      </c>
      <c r="B47" s="126"/>
      <c r="C47" s="67"/>
      <c r="D47" s="108"/>
      <c r="E47" s="104"/>
      <c r="F47" s="72"/>
      <c r="G47" s="104"/>
      <c r="H47" s="72"/>
      <c r="I47" s="109"/>
      <c r="J47" s="111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33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8.0" customHeight="1">
      <c r="A49" s="115"/>
      <c r="B49" s="134"/>
      <c r="C49" s="30"/>
      <c r="D49" s="19"/>
      <c r="E49" s="20"/>
      <c r="F49" s="21"/>
      <c r="G49" s="20"/>
      <c r="H49" s="21"/>
      <c r="I49" s="22"/>
      <c r="J49" s="29"/>
      <c r="K49" s="45"/>
      <c r="L49" s="21"/>
      <c r="M49" s="46"/>
      <c r="N49" s="46"/>
      <c r="O49" s="61"/>
      <c r="P49" s="128"/>
      <c r="Q49" s="12"/>
      <c r="R49" s="2"/>
    </row>
    <row r="50" ht="18.75" customHeight="1">
      <c r="A50" s="135"/>
      <c r="B50" s="134"/>
      <c r="C50" s="102"/>
      <c r="D50" s="108"/>
      <c r="E50" s="104"/>
      <c r="F50" s="72"/>
      <c r="G50" s="104"/>
      <c r="H50" s="72"/>
      <c r="I50" s="109"/>
      <c r="J50" s="136"/>
      <c r="K50" s="137"/>
      <c r="L50" s="69"/>
      <c r="M50" s="70"/>
      <c r="N50" s="70"/>
      <c r="O50" s="110"/>
      <c r="P50" s="138"/>
      <c r="Q50" s="12"/>
      <c r="R50" s="2"/>
    </row>
    <row r="51" ht="15.75" customHeight="1">
      <c r="A51" s="139"/>
      <c r="B51" s="140"/>
      <c r="C51" s="141"/>
      <c r="D51" s="34"/>
      <c r="E51" s="35"/>
      <c r="F51" s="36"/>
      <c r="G51" s="35"/>
      <c r="H51" s="36"/>
      <c r="I51" s="131">
        <f>SUM(I33:I50)</f>
        <v>83675.963</v>
      </c>
      <c r="J51" s="142">
        <f>SUM(J33:J48)</f>
        <v>0</v>
      </c>
      <c r="K51" s="64">
        <f>+(P51)/(31*24)</f>
        <v>1.018705197</v>
      </c>
      <c r="L51" s="40"/>
      <c r="M51" s="41"/>
      <c r="N51" s="41"/>
      <c r="O51" s="41"/>
      <c r="P51" s="42">
        <f>SUM(P33:P48)</f>
        <v>757.9166667</v>
      </c>
      <c r="Q51" s="12"/>
      <c r="R51" s="2"/>
    </row>
    <row r="52" ht="15.75" customHeight="1">
      <c r="A52" s="65"/>
      <c r="B52" s="66"/>
      <c r="C52" s="67"/>
      <c r="D52" s="12"/>
      <c r="E52" s="13"/>
      <c r="F52" s="14"/>
      <c r="G52" s="13"/>
      <c r="H52" s="14"/>
      <c r="I52" s="55"/>
      <c r="J52" s="56"/>
      <c r="K52" s="68"/>
      <c r="L52" s="69"/>
      <c r="M52" s="70"/>
      <c r="N52" s="70"/>
      <c r="O52" s="70"/>
      <c r="P52" s="71"/>
      <c r="Q52" s="12"/>
      <c r="R52" s="2"/>
    </row>
    <row r="53" ht="15.75" customHeight="1">
      <c r="A53" s="115">
        <v>34.0</v>
      </c>
      <c r="B53" s="116" t="s">
        <v>62</v>
      </c>
      <c r="C53" s="30" t="s">
        <v>377</v>
      </c>
      <c r="D53" s="19" t="s">
        <v>33</v>
      </c>
      <c r="E53" s="20">
        <v>45923.0</v>
      </c>
      <c r="F53" s="21">
        <v>0.40138888888888885</v>
      </c>
      <c r="G53" s="20">
        <v>45927.0</v>
      </c>
      <c r="H53" s="21">
        <v>0.43402777777777773</v>
      </c>
      <c r="I53" s="22">
        <v>8496.049</v>
      </c>
      <c r="J53" s="23"/>
      <c r="K53" s="123"/>
      <c r="L53" s="120"/>
      <c r="M53" s="124">
        <f t="shared" ref="M53:M62" si="15">INT(E53)+MOD(F53,1)</f>
        <v>45923.40139</v>
      </c>
      <c r="N53" s="124">
        <f t="shared" ref="N53:N62" si="16">INT(G53)+MOD(H53,1)</f>
        <v>45927.43403</v>
      </c>
      <c r="O53" s="124">
        <f t="shared" ref="O53:O62" si="17">N53-M53</f>
        <v>4.032638889</v>
      </c>
      <c r="P53" s="125">
        <f t="shared" ref="P53:P62" si="18">O53*24</f>
        <v>96.78333333</v>
      </c>
      <c r="Q53" s="12">
        <v>5.0</v>
      </c>
      <c r="R53" s="2"/>
    </row>
    <row r="54" ht="15.75" customHeight="1">
      <c r="A54" s="115">
        <v>35.0</v>
      </c>
      <c r="B54" s="126"/>
      <c r="C54" s="30" t="s">
        <v>174</v>
      </c>
      <c r="D54" s="19" t="s">
        <v>33</v>
      </c>
      <c r="E54" s="20">
        <v>45924.0</v>
      </c>
      <c r="F54" s="21">
        <v>0.5555555555555556</v>
      </c>
      <c r="G54" s="20">
        <v>45928.0</v>
      </c>
      <c r="H54" s="21">
        <v>0.4270833333333333</v>
      </c>
      <c r="I54" s="22">
        <v>8512.783</v>
      </c>
      <c r="J54" s="23"/>
      <c r="K54" s="45"/>
      <c r="L54" s="21"/>
      <c r="M54" s="25">
        <f t="shared" si="15"/>
        <v>45924.55556</v>
      </c>
      <c r="N54" s="25">
        <f t="shared" si="16"/>
        <v>45928.42708</v>
      </c>
      <c r="O54" s="25">
        <f t="shared" si="17"/>
        <v>3.871527778</v>
      </c>
      <c r="P54" s="127">
        <f t="shared" si="18"/>
        <v>92.91666667</v>
      </c>
      <c r="Q54" s="12">
        <v>5.0</v>
      </c>
      <c r="R54" s="2"/>
    </row>
    <row r="55" ht="15.75" customHeight="1">
      <c r="A55" s="115">
        <v>36.0</v>
      </c>
      <c r="B55" s="126"/>
      <c r="C55" s="30" t="s">
        <v>378</v>
      </c>
      <c r="D55" s="19" t="s">
        <v>33</v>
      </c>
      <c r="E55" s="20">
        <v>45932.0</v>
      </c>
      <c r="F55" s="21">
        <v>0.3958333333333333</v>
      </c>
      <c r="G55" s="20">
        <v>45940.0</v>
      </c>
      <c r="H55" s="21">
        <v>0.5</v>
      </c>
      <c r="I55" s="22">
        <v>8729.481</v>
      </c>
      <c r="J55" s="23"/>
      <c r="K55" s="45"/>
      <c r="L55" s="21"/>
      <c r="M55" s="25">
        <f t="shared" si="15"/>
        <v>45932.39583</v>
      </c>
      <c r="N55" s="25">
        <f t="shared" si="16"/>
        <v>45940.5</v>
      </c>
      <c r="O55" s="25">
        <f t="shared" si="17"/>
        <v>8.104166667</v>
      </c>
      <c r="P55" s="127">
        <f t="shared" si="18"/>
        <v>194.5</v>
      </c>
      <c r="Q55" s="12">
        <v>5.0</v>
      </c>
      <c r="R55" s="2"/>
    </row>
    <row r="56" ht="15.75" customHeight="1">
      <c r="A56" s="115">
        <v>37.0</v>
      </c>
      <c r="B56" s="126"/>
      <c r="C56" s="30" t="s">
        <v>120</v>
      </c>
      <c r="D56" s="19" t="s">
        <v>33</v>
      </c>
      <c r="E56" s="20">
        <v>45940.0</v>
      </c>
      <c r="F56" s="21">
        <v>0.5833333333333334</v>
      </c>
      <c r="G56" s="20">
        <v>45943.0</v>
      </c>
      <c r="H56" s="21">
        <v>0.3194444444444445</v>
      </c>
      <c r="I56" s="22">
        <v>8045.62</v>
      </c>
      <c r="J56" s="23"/>
      <c r="K56" s="45"/>
      <c r="L56" s="21"/>
      <c r="M56" s="25">
        <f t="shared" si="15"/>
        <v>45940.58333</v>
      </c>
      <c r="N56" s="25">
        <f t="shared" si="16"/>
        <v>45943.31944</v>
      </c>
      <c r="O56" s="25">
        <f t="shared" si="17"/>
        <v>2.736111111</v>
      </c>
      <c r="P56" s="127">
        <f t="shared" si="18"/>
        <v>65.66666667</v>
      </c>
      <c r="Q56" s="12">
        <v>5.0</v>
      </c>
      <c r="R56" s="2"/>
    </row>
    <row r="57" ht="15.75" customHeight="1">
      <c r="A57" s="115">
        <v>38.0</v>
      </c>
      <c r="B57" s="126"/>
      <c r="C57" s="30" t="s">
        <v>146</v>
      </c>
      <c r="D57" s="19" t="s">
        <v>33</v>
      </c>
      <c r="E57" s="20">
        <v>45935.0</v>
      </c>
      <c r="F57" s="21">
        <v>0.4270833333333333</v>
      </c>
      <c r="G57" s="20">
        <v>45942.0</v>
      </c>
      <c r="H57" s="21">
        <v>0.34722222222222227</v>
      </c>
      <c r="I57" s="22">
        <v>7994.808</v>
      </c>
      <c r="J57" s="23"/>
      <c r="K57" s="45"/>
      <c r="L57" s="21"/>
      <c r="M57" s="25">
        <f t="shared" si="15"/>
        <v>45935.42708</v>
      </c>
      <c r="N57" s="25">
        <f t="shared" si="16"/>
        <v>45942.34722</v>
      </c>
      <c r="O57" s="25">
        <f t="shared" si="17"/>
        <v>6.920138889</v>
      </c>
      <c r="P57" s="127">
        <f t="shared" si="18"/>
        <v>166.0833333</v>
      </c>
      <c r="Q57" s="12">
        <v>5.0</v>
      </c>
      <c r="R57" s="2"/>
    </row>
    <row r="58" ht="15.75" customHeight="1">
      <c r="A58" s="115">
        <v>39.0</v>
      </c>
      <c r="B58" s="126"/>
      <c r="C58" s="30" t="s">
        <v>322</v>
      </c>
      <c r="D58" s="19" t="s">
        <v>33</v>
      </c>
      <c r="E58" s="20">
        <v>45942.0</v>
      </c>
      <c r="F58" s="21">
        <v>0.4583333333333333</v>
      </c>
      <c r="G58" s="20">
        <v>45945.0</v>
      </c>
      <c r="H58" s="21">
        <v>0.638888888888889</v>
      </c>
      <c r="I58" s="22">
        <v>8031.011</v>
      </c>
      <c r="J58" s="23"/>
      <c r="K58" s="45"/>
      <c r="L58" s="21"/>
      <c r="M58" s="25">
        <f t="shared" si="15"/>
        <v>45942.45833</v>
      </c>
      <c r="N58" s="25">
        <f t="shared" si="16"/>
        <v>45945.63889</v>
      </c>
      <c r="O58" s="25">
        <f t="shared" si="17"/>
        <v>3.180555556</v>
      </c>
      <c r="P58" s="127">
        <f t="shared" si="18"/>
        <v>76.33333333</v>
      </c>
      <c r="Q58" s="12">
        <v>5.0</v>
      </c>
      <c r="R58" s="2"/>
    </row>
    <row r="59" ht="15.75" customHeight="1">
      <c r="A59" s="115">
        <v>40.0</v>
      </c>
      <c r="B59" s="126"/>
      <c r="C59" s="30" t="s">
        <v>379</v>
      </c>
      <c r="D59" s="19" t="s">
        <v>33</v>
      </c>
      <c r="E59" s="20">
        <v>45946.0</v>
      </c>
      <c r="F59" s="21">
        <v>0.37152777777777773</v>
      </c>
      <c r="G59" s="20">
        <v>45949.0</v>
      </c>
      <c r="H59" s="21">
        <v>0.3888888888888889</v>
      </c>
      <c r="I59" s="22">
        <v>7396.58</v>
      </c>
      <c r="J59" s="23"/>
      <c r="K59" s="45"/>
      <c r="L59" s="21"/>
      <c r="M59" s="25">
        <f t="shared" si="15"/>
        <v>45946.37153</v>
      </c>
      <c r="N59" s="25">
        <f t="shared" si="16"/>
        <v>45949.38889</v>
      </c>
      <c r="O59" s="25">
        <f t="shared" si="17"/>
        <v>3.017361111</v>
      </c>
      <c r="P59" s="127">
        <f t="shared" si="18"/>
        <v>72.41666667</v>
      </c>
      <c r="Q59" s="12">
        <v>5.0</v>
      </c>
      <c r="R59" s="2"/>
    </row>
    <row r="60" ht="15.75" customHeight="1">
      <c r="A60" s="115">
        <v>41.0</v>
      </c>
      <c r="B60" s="126"/>
      <c r="C60" s="30" t="s">
        <v>380</v>
      </c>
      <c r="D60" s="19" t="s">
        <v>33</v>
      </c>
      <c r="E60" s="20">
        <v>45945.0</v>
      </c>
      <c r="F60" s="21">
        <v>0.6736111111111112</v>
      </c>
      <c r="G60" s="20">
        <v>45949.0</v>
      </c>
      <c r="H60" s="21">
        <v>0.40277777777777773</v>
      </c>
      <c r="I60" s="22">
        <v>7996.988</v>
      </c>
      <c r="J60" s="23"/>
      <c r="K60" s="45"/>
      <c r="L60" s="21"/>
      <c r="M60" s="25">
        <f t="shared" si="15"/>
        <v>45945.67361</v>
      </c>
      <c r="N60" s="25">
        <f t="shared" si="16"/>
        <v>45949.40278</v>
      </c>
      <c r="O60" s="25">
        <f t="shared" si="17"/>
        <v>3.729166667</v>
      </c>
      <c r="P60" s="127">
        <f t="shared" si="18"/>
        <v>89.5</v>
      </c>
      <c r="Q60" s="12">
        <v>5.0</v>
      </c>
      <c r="R60" s="2"/>
    </row>
    <row r="61" ht="15.75" customHeight="1">
      <c r="A61" s="115">
        <v>42.0</v>
      </c>
      <c r="B61" s="126"/>
      <c r="C61" s="30" t="s">
        <v>381</v>
      </c>
      <c r="D61" s="19" t="s">
        <v>33</v>
      </c>
      <c r="E61" s="20">
        <v>45950.0</v>
      </c>
      <c r="F61" s="21">
        <v>0.4583333333333333</v>
      </c>
      <c r="G61" s="20">
        <v>45952.0</v>
      </c>
      <c r="H61" s="21">
        <v>0.78125</v>
      </c>
      <c r="I61" s="22">
        <v>7852.68</v>
      </c>
      <c r="J61" s="23"/>
      <c r="K61" s="45"/>
      <c r="L61" s="21"/>
      <c r="M61" s="25">
        <f t="shared" si="15"/>
        <v>45950.45833</v>
      </c>
      <c r="N61" s="25">
        <f t="shared" si="16"/>
        <v>45952.78125</v>
      </c>
      <c r="O61" s="25">
        <f t="shared" si="17"/>
        <v>2.322916667</v>
      </c>
      <c r="P61" s="127">
        <f t="shared" si="18"/>
        <v>55.75</v>
      </c>
      <c r="Q61" s="12">
        <v>5.0</v>
      </c>
      <c r="R61" s="2"/>
    </row>
    <row r="62" ht="15.75" customHeight="1">
      <c r="A62" s="115">
        <v>43.0</v>
      </c>
      <c r="B62" s="126"/>
      <c r="C62" s="30" t="s">
        <v>382</v>
      </c>
      <c r="D62" s="19" t="s">
        <v>33</v>
      </c>
      <c r="E62" s="20">
        <v>45949.0</v>
      </c>
      <c r="F62" s="21">
        <v>0.4583333333333333</v>
      </c>
      <c r="G62" s="20">
        <v>45954.0</v>
      </c>
      <c r="H62" s="21">
        <v>0.34375</v>
      </c>
      <c r="I62" s="22">
        <v>7520.148</v>
      </c>
      <c r="J62" s="29"/>
      <c r="K62" s="45"/>
      <c r="L62" s="21"/>
      <c r="M62" s="25">
        <f t="shared" si="15"/>
        <v>45949.45833</v>
      </c>
      <c r="N62" s="25">
        <f t="shared" si="16"/>
        <v>45954.34375</v>
      </c>
      <c r="O62" s="25">
        <f t="shared" si="17"/>
        <v>4.885416667</v>
      </c>
      <c r="P62" s="127">
        <f t="shared" si="18"/>
        <v>117.25</v>
      </c>
      <c r="Q62" s="12">
        <v>5.0</v>
      </c>
      <c r="R62" s="2"/>
    </row>
    <row r="63" ht="15.75" customHeight="1">
      <c r="A63" s="115">
        <v>44.0</v>
      </c>
      <c r="B63" s="126"/>
      <c r="C63" s="30"/>
      <c r="D63" s="19"/>
      <c r="E63" s="20"/>
      <c r="F63" s="21"/>
      <c r="G63" s="20"/>
      <c r="H63" s="21"/>
      <c r="I63" s="22"/>
      <c r="J63" s="23"/>
      <c r="K63" s="45"/>
      <c r="L63" s="50"/>
      <c r="M63" s="46"/>
      <c r="N63" s="46"/>
      <c r="O63" s="46"/>
      <c r="P63" s="128"/>
      <c r="Q63" s="12"/>
      <c r="R63" s="2"/>
    </row>
    <row r="64" ht="15.75" customHeight="1">
      <c r="A64" s="115">
        <v>45.0</v>
      </c>
      <c r="B64" s="126"/>
      <c r="C64" s="30"/>
      <c r="D64" s="19"/>
      <c r="E64" s="20"/>
      <c r="F64" s="21"/>
      <c r="G64" s="20"/>
      <c r="H64" s="21"/>
      <c r="I64" s="22"/>
      <c r="J64" s="111"/>
      <c r="K64" s="137"/>
      <c r="L64" s="50"/>
      <c r="M64" s="46"/>
      <c r="N64" s="46"/>
      <c r="O64" s="46"/>
      <c r="P64" s="128"/>
      <c r="Q64" s="12"/>
      <c r="R64" s="2"/>
    </row>
    <row r="65" ht="15.75" customHeight="1">
      <c r="A65" s="115">
        <v>46.0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29"/>
      <c r="B66" s="130"/>
      <c r="C66" s="141"/>
      <c r="D66" s="34"/>
      <c r="E66" s="35"/>
      <c r="F66" s="36"/>
      <c r="G66" s="35"/>
      <c r="H66" s="36"/>
      <c r="I66" s="131">
        <f t="shared" ref="I66:J66" si="19">SUM(I53:I65)</f>
        <v>80576.148</v>
      </c>
      <c r="J66" s="86">
        <f t="shared" si="19"/>
        <v>0</v>
      </c>
      <c r="K66" s="39">
        <f>+(P66)/(31*24)</f>
        <v>1.380645161</v>
      </c>
      <c r="L66" s="40"/>
      <c r="M66" s="41"/>
      <c r="N66" s="41"/>
      <c r="O66" s="41"/>
      <c r="P66" s="42">
        <f>SUM(P53:P65)</f>
        <v>1027.2</v>
      </c>
      <c r="Q66" s="12"/>
      <c r="R66" s="2"/>
    </row>
    <row r="67" ht="15.75" customHeight="1">
      <c r="A67" s="1"/>
      <c r="B67" s="12"/>
      <c r="C67" s="67"/>
      <c r="D67" s="12"/>
      <c r="E67" s="13"/>
      <c r="F67" s="14"/>
      <c r="G67" s="13"/>
      <c r="H67" s="14"/>
      <c r="I67" s="55"/>
      <c r="J67" s="56"/>
      <c r="K67" s="16"/>
      <c r="L67" s="14"/>
      <c r="M67" s="2"/>
      <c r="N67" s="2"/>
      <c r="O67" s="2"/>
      <c r="P67" s="2"/>
      <c r="Q67" s="12"/>
      <c r="R67" s="2"/>
    </row>
    <row r="68" ht="15.75" customHeight="1">
      <c r="A68" s="1"/>
      <c r="B68" s="12"/>
      <c r="C68" s="67"/>
      <c r="D68" s="12"/>
      <c r="E68" s="13"/>
      <c r="F68" s="14"/>
      <c r="G68" s="13"/>
      <c r="H68" s="14"/>
      <c r="I68" s="55"/>
      <c r="J68" s="56"/>
      <c r="K68" s="16"/>
      <c r="L68" s="14"/>
      <c r="M68" s="2"/>
      <c r="N68" s="2"/>
      <c r="O68" s="2"/>
      <c r="P68" s="2"/>
      <c r="Q68" s="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15">
        <v>47.0</v>
      </c>
      <c r="B71" s="116" t="s">
        <v>69</v>
      </c>
      <c r="C71" s="30" t="s">
        <v>383</v>
      </c>
      <c r="D71" s="19" t="s">
        <v>143</v>
      </c>
      <c r="E71" s="20">
        <v>45927.0</v>
      </c>
      <c r="F71" s="21">
        <v>0.14583333333333334</v>
      </c>
      <c r="G71" s="20">
        <v>45932.0</v>
      </c>
      <c r="H71" s="21">
        <v>0.10069444444444443</v>
      </c>
      <c r="I71" s="22">
        <v>51366.35</v>
      </c>
      <c r="J71" s="144"/>
      <c r="K71" s="145"/>
      <c r="L71" s="146"/>
      <c r="M71" s="124">
        <f t="shared" ref="M71:M73" si="20">INT(E71)+MOD(F71,1)</f>
        <v>45927.14583</v>
      </c>
      <c r="N71" s="124">
        <f t="shared" ref="N71:N73" si="21">INT(G71)+MOD(H71,1)</f>
        <v>45932.10069</v>
      </c>
      <c r="O71" s="124">
        <f t="shared" ref="O71:O73" si="22">N71-M71</f>
        <v>4.954861111</v>
      </c>
      <c r="P71" s="125">
        <f t="shared" ref="P71:P73" si="23">O71*24</f>
        <v>118.9166667</v>
      </c>
      <c r="Q71" s="12">
        <v>6.0</v>
      </c>
      <c r="R71" s="12"/>
    </row>
    <row r="72" ht="15.75" customHeight="1">
      <c r="A72" s="115">
        <v>48.0</v>
      </c>
      <c r="B72" s="126"/>
      <c r="C72" s="30" t="s">
        <v>384</v>
      </c>
      <c r="D72" s="19" t="s">
        <v>74</v>
      </c>
      <c r="E72" s="20">
        <v>45933.0</v>
      </c>
      <c r="F72" s="21">
        <v>0.5819444444444445</v>
      </c>
      <c r="G72" s="20">
        <v>45939.0</v>
      </c>
      <c r="H72" s="21">
        <v>0.8923611111111112</v>
      </c>
      <c r="I72" s="22">
        <v>62527.72</v>
      </c>
      <c r="J72" s="74"/>
      <c r="K72" s="88"/>
      <c r="L72" s="46"/>
      <c r="M72" s="25">
        <f t="shared" si="20"/>
        <v>45933.58194</v>
      </c>
      <c r="N72" s="25">
        <f t="shared" si="21"/>
        <v>45939.89236</v>
      </c>
      <c r="O72" s="25">
        <f t="shared" si="22"/>
        <v>6.310416667</v>
      </c>
      <c r="P72" s="127">
        <f t="shared" si="23"/>
        <v>151.45</v>
      </c>
      <c r="Q72" s="12">
        <v>6.0</v>
      </c>
      <c r="R72" s="12"/>
    </row>
    <row r="73" ht="15.75" customHeight="1">
      <c r="A73" s="115">
        <v>49.0</v>
      </c>
      <c r="B73" s="126"/>
      <c r="C73" s="30" t="s">
        <v>385</v>
      </c>
      <c r="D73" s="19" t="s">
        <v>139</v>
      </c>
      <c r="E73" s="20">
        <v>45948.0</v>
      </c>
      <c r="F73" s="21">
        <v>0.5277777777777778</v>
      </c>
      <c r="G73" s="20">
        <v>45954.0</v>
      </c>
      <c r="H73" s="21">
        <v>0.47222222222222227</v>
      </c>
      <c r="I73" s="22">
        <v>47243.22</v>
      </c>
      <c r="J73" s="74"/>
      <c r="K73" s="88"/>
      <c r="L73" s="46"/>
      <c r="M73" s="25">
        <f t="shared" si="20"/>
        <v>45948.52778</v>
      </c>
      <c r="N73" s="25">
        <f t="shared" si="21"/>
        <v>45954.47222</v>
      </c>
      <c r="O73" s="25">
        <f t="shared" si="22"/>
        <v>5.944444444</v>
      </c>
      <c r="P73" s="127">
        <f t="shared" si="23"/>
        <v>142.6666667</v>
      </c>
      <c r="Q73" s="12">
        <v>6.0</v>
      </c>
      <c r="R73" s="12"/>
    </row>
    <row r="74" ht="15.75" customHeight="1">
      <c r="A74" s="115">
        <v>50.0</v>
      </c>
      <c r="B74" s="126"/>
      <c r="C74" s="30"/>
      <c r="D74" s="19"/>
      <c r="E74" s="20"/>
      <c r="F74" s="21"/>
      <c r="G74" s="20"/>
      <c r="H74" s="21"/>
      <c r="I74" s="22"/>
      <c r="J74" s="74"/>
      <c r="K74" s="88"/>
      <c r="L74" s="46"/>
      <c r="M74" s="46"/>
      <c r="N74" s="46"/>
      <c r="O74" s="46"/>
      <c r="P74" s="128"/>
      <c r="Q74" s="12"/>
      <c r="R74" s="12"/>
    </row>
    <row r="75" ht="15.75" customHeight="1">
      <c r="A75" s="115">
        <v>51.0</v>
      </c>
      <c r="B75" s="126"/>
      <c r="C75" s="30"/>
      <c r="D75" s="19"/>
      <c r="E75" s="20"/>
      <c r="F75" s="21"/>
      <c r="G75" s="20"/>
      <c r="H75" s="21"/>
      <c r="I75" s="22"/>
      <c r="J75" s="74"/>
      <c r="K75" s="88"/>
      <c r="L75" s="46"/>
      <c r="M75" s="46"/>
      <c r="N75" s="46"/>
      <c r="O75" s="46"/>
      <c r="P75" s="128"/>
      <c r="Q75" s="12"/>
      <c r="R75" s="12"/>
    </row>
    <row r="76" ht="15.75" customHeight="1">
      <c r="A76" s="115">
        <v>52.0</v>
      </c>
      <c r="B76" s="126"/>
      <c r="C76" s="30"/>
      <c r="D76" s="19"/>
      <c r="E76" s="20"/>
      <c r="F76" s="21"/>
      <c r="G76" s="20"/>
      <c r="H76" s="21"/>
      <c r="I76" s="22"/>
      <c r="J76" s="74"/>
      <c r="K76" s="88"/>
      <c r="L76" s="46"/>
      <c r="M76" s="46"/>
      <c r="N76" s="46"/>
      <c r="O76" s="46"/>
      <c r="P76" s="128"/>
      <c r="Q76" s="12"/>
      <c r="R76" s="12"/>
    </row>
    <row r="77" ht="15.75" customHeight="1">
      <c r="A77" s="115">
        <v>53.0</v>
      </c>
      <c r="B77" s="126"/>
      <c r="C77" s="30"/>
      <c r="D77" s="19"/>
      <c r="E77" s="20"/>
      <c r="F77" s="21"/>
      <c r="G77" s="20"/>
      <c r="H77" s="21"/>
      <c r="I77" s="22"/>
      <c r="J77" s="74"/>
      <c r="K77" s="88"/>
      <c r="L77" s="46"/>
      <c r="M77" s="46"/>
      <c r="N77" s="46"/>
      <c r="O77" s="46"/>
      <c r="P77" s="128"/>
      <c r="Q77" s="12"/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88"/>
      <c r="L78" s="46"/>
      <c r="M78" s="46"/>
      <c r="N78" s="46"/>
      <c r="O78" s="46"/>
      <c r="P78" s="128"/>
      <c r="Q78" s="12"/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99"/>
      <c r="L79" s="82"/>
      <c r="M79" s="46"/>
      <c r="N79" s="46"/>
      <c r="O79" s="46"/>
      <c r="P79" s="128"/>
      <c r="Q79" s="12"/>
      <c r="R79" s="12"/>
    </row>
    <row r="80" ht="15.75" customHeight="1">
      <c r="A80" s="115"/>
      <c r="B80" s="133"/>
      <c r="C80" s="30"/>
      <c r="D80" s="19"/>
      <c r="E80" s="20"/>
      <c r="F80" s="21"/>
      <c r="G80" s="20"/>
      <c r="H80" s="21"/>
      <c r="I80" s="22"/>
      <c r="J80" s="74"/>
      <c r="K80" s="49"/>
      <c r="L80" s="50"/>
      <c r="M80" s="46"/>
      <c r="N80" s="46"/>
      <c r="O80" s="46"/>
      <c r="P80" s="128"/>
      <c r="Q80" s="12"/>
      <c r="R80" s="12"/>
    </row>
    <row r="81" ht="15.75" customHeight="1">
      <c r="A81" s="147"/>
      <c r="B81" s="148"/>
      <c r="C81" s="91"/>
      <c r="D81" s="91"/>
      <c r="E81" s="91"/>
      <c r="F81" s="91"/>
      <c r="G81" s="91"/>
      <c r="H81" s="91"/>
      <c r="I81" s="92">
        <f t="shared" ref="I81:J81" si="24">SUM(I71:I80)</f>
        <v>161137.29</v>
      </c>
      <c r="J81" s="93">
        <f t="shared" si="24"/>
        <v>0</v>
      </c>
      <c r="K81" s="39">
        <f>+(P81)/(31*24)</f>
        <v>0.5551523297</v>
      </c>
      <c r="L81" s="41"/>
      <c r="M81" s="41"/>
      <c r="N81" s="41"/>
      <c r="O81" s="41"/>
      <c r="P81" s="42">
        <f>SUM(P71:P80)</f>
        <v>413.0333333</v>
      </c>
      <c r="Q81" s="12"/>
      <c r="R81" s="1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2"/>
      <c r="N82" s="2"/>
      <c r="O82" s="2"/>
      <c r="P82" s="2"/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94"/>
      <c r="J83" s="95"/>
      <c r="K83" s="3"/>
      <c r="L83" s="2"/>
      <c r="M83" s="2"/>
      <c r="N83" s="2"/>
      <c r="O83" s="2"/>
      <c r="P83" s="2"/>
      <c r="Q83" s="12"/>
      <c r="R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96" t="s">
        <v>80</v>
      </c>
      <c r="B85" s="96"/>
      <c r="C85" s="96" t="s">
        <v>81</v>
      </c>
      <c r="D85" s="96" t="s">
        <v>82</v>
      </c>
      <c r="E85" s="96" t="s">
        <v>18</v>
      </c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83</v>
      </c>
      <c r="B86" s="96"/>
      <c r="C86" s="96"/>
      <c r="D86" s="96" t="s">
        <v>84</v>
      </c>
      <c r="E86" s="96" t="s">
        <v>31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96"/>
      <c r="B87" s="96"/>
      <c r="C87" s="96"/>
      <c r="D87" s="96" t="s">
        <v>85</v>
      </c>
      <c r="E87" s="96" t="s">
        <v>41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86</v>
      </c>
      <c r="E88" s="96" t="s">
        <v>62</v>
      </c>
      <c r="F88" s="2"/>
      <c r="G88" s="2"/>
      <c r="H88" s="2"/>
      <c r="I88" s="2"/>
      <c r="J88" s="2"/>
      <c r="K88" s="3"/>
      <c r="L88" s="97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87</v>
      </c>
      <c r="E89" s="96" t="s">
        <v>69</v>
      </c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/>
      <c r="E90" s="96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0"/>
    <mergeCell ref="B33:B48"/>
    <mergeCell ref="B53:B65"/>
    <mergeCell ref="B71:B8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386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387</v>
      </c>
      <c r="D7" s="19" t="s">
        <v>25</v>
      </c>
      <c r="E7" s="20">
        <v>45960.0</v>
      </c>
      <c r="F7" s="21">
        <v>0.2041666666666667</v>
      </c>
      <c r="G7" s="20">
        <v>45961.0</v>
      </c>
      <c r="H7" s="21">
        <v>0.05416666666666667</v>
      </c>
      <c r="I7" s="22">
        <v>3969.451</v>
      </c>
      <c r="J7" s="23"/>
      <c r="K7" s="45"/>
      <c r="L7" s="21"/>
      <c r="M7" s="25">
        <f t="shared" ref="M7:M12" si="1">INT(E7)+MOD(F7,1)</f>
        <v>45960.20417</v>
      </c>
      <c r="N7" s="25">
        <f t="shared" ref="N7:N12" si="2">INT(G7)+MOD(H7,1)</f>
        <v>45961.05417</v>
      </c>
      <c r="O7" s="25">
        <f t="shared" ref="O7:O12" si="3">N7-M7</f>
        <v>0.85</v>
      </c>
      <c r="P7" s="25">
        <f t="shared" ref="P7:P12" si="4">O7*24</f>
        <v>20.4</v>
      </c>
      <c r="Q7" s="12">
        <v>1.0</v>
      </c>
      <c r="R7" s="2"/>
    </row>
    <row r="8">
      <c r="A8" s="5">
        <v>2.0</v>
      </c>
      <c r="B8" s="26"/>
      <c r="C8" s="30" t="s">
        <v>388</v>
      </c>
      <c r="D8" s="19" t="s">
        <v>184</v>
      </c>
      <c r="E8" s="20">
        <v>45961.0</v>
      </c>
      <c r="F8" s="21">
        <v>0.6458333333333334</v>
      </c>
      <c r="G8" s="20">
        <v>45966.0</v>
      </c>
      <c r="H8" s="21">
        <v>0.6576388888888889</v>
      </c>
      <c r="I8" s="22"/>
      <c r="J8" s="23">
        <v>3540.657</v>
      </c>
      <c r="K8" s="45"/>
      <c r="L8" s="21"/>
      <c r="M8" s="25">
        <f t="shared" si="1"/>
        <v>45961.64583</v>
      </c>
      <c r="N8" s="25">
        <f t="shared" si="2"/>
        <v>45966.65764</v>
      </c>
      <c r="O8" s="25">
        <f t="shared" si="3"/>
        <v>5.011805556</v>
      </c>
      <c r="P8" s="25">
        <f t="shared" si="4"/>
        <v>120.2833333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45971.0</v>
      </c>
      <c r="F9" s="21">
        <v>0.4166666666666667</v>
      </c>
      <c r="G9" s="20">
        <v>45971.0</v>
      </c>
      <c r="H9" s="21">
        <v>0.8958333333333334</v>
      </c>
      <c r="I9" s="22">
        <v>1114.19</v>
      </c>
      <c r="J9" s="23"/>
      <c r="K9" s="45"/>
      <c r="L9" s="21"/>
      <c r="M9" s="25">
        <f t="shared" si="1"/>
        <v>45971.41667</v>
      </c>
      <c r="N9" s="25">
        <f t="shared" si="2"/>
        <v>45971.89583</v>
      </c>
      <c r="O9" s="25">
        <f t="shared" si="3"/>
        <v>0.4791666667</v>
      </c>
      <c r="P9" s="25">
        <f t="shared" si="4"/>
        <v>11.5</v>
      </c>
      <c r="Q9" s="12">
        <v>1.0</v>
      </c>
      <c r="R9" s="2"/>
    </row>
    <row r="10">
      <c r="A10" s="5">
        <v>4.0</v>
      </c>
      <c r="B10" s="26"/>
      <c r="C10" s="30" t="s">
        <v>276</v>
      </c>
      <c r="D10" s="19" t="s">
        <v>277</v>
      </c>
      <c r="E10" s="20">
        <v>45979.0</v>
      </c>
      <c r="F10" s="21">
        <v>0.3145833333333333</v>
      </c>
      <c r="G10" s="20">
        <v>45979.0</v>
      </c>
      <c r="H10" s="21">
        <v>0.938888888888889</v>
      </c>
      <c r="I10" s="22">
        <v>1170.77</v>
      </c>
      <c r="J10" s="23"/>
      <c r="K10" s="45"/>
      <c r="L10" s="21"/>
      <c r="M10" s="25">
        <f t="shared" si="1"/>
        <v>45979.31458</v>
      </c>
      <c r="N10" s="25">
        <f t="shared" si="2"/>
        <v>45979.93889</v>
      </c>
      <c r="O10" s="25">
        <f t="shared" si="3"/>
        <v>0.6243055556</v>
      </c>
      <c r="P10" s="25">
        <f t="shared" si="4"/>
        <v>14.98333333</v>
      </c>
      <c r="Q10" s="12">
        <v>1.0</v>
      </c>
      <c r="R10" s="2"/>
    </row>
    <row r="11">
      <c r="A11" s="5">
        <v>5.0</v>
      </c>
      <c r="B11" s="26"/>
      <c r="C11" s="30" t="s">
        <v>186</v>
      </c>
      <c r="D11" s="19" t="s">
        <v>389</v>
      </c>
      <c r="E11" s="20">
        <v>45986.0</v>
      </c>
      <c r="F11" s="21">
        <v>0.7604166666666666</v>
      </c>
      <c r="G11" s="20">
        <v>45987.0</v>
      </c>
      <c r="H11" s="21">
        <v>0.9583333333333334</v>
      </c>
      <c r="I11" s="22">
        <v>3624.092</v>
      </c>
      <c r="J11" s="23"/>
      <c r="K11" s="45"/>
      <c r="L11" s="21"/>
      <c r="M11" s="25">
        <f t="shared" si="1"/>
        <v>45986.76042</v>
      </c>
      <c r="N11" s="25">
        <f t="shared" si="2"/>
        <v>45987.95833</v>
      </c>
      <c r="O11" s="25">
        <f t="shared" si="3"/>
        <v>1.197916667</v>
      </c>
      <c r="P11" s="25">
        <f t="shared" si="4"/>
        <v>28.75</v>
      </c>
      <c r="Q11" s="12">
        <v>1.0</v>
      </c>
      <c r="R11" s="2"/>
    </row>
    <row r="12">
      <c r="A12" s="5">
        <v>6.0</v>
      </c>
      <c r="B12" s="26"/>
      <c r="C12" s="30" t="s">
        <v>276</v>
      </c>
      <c r="D12" s="19" t="s">
        <v>277</v>
      </c>
      <c r="E12" s="20">
        <v>45988.0</v>
      </c>
      <c r="F12" s="21">
        <v>0.6222222222222222</v>
      </c>
      <c r="G12" s="20">
        <v>45989.0</v>
      </c>
      <c r="H12" s="21">
        <v>0.4166666666666667</v>
      </c>
      <c r="I12" s="22">
        <v>1175.64</v>
      </c>
      <c r="J12" s="23"/>
      <c r="K12" s="45"/>
      <c r="L12" s="21"/>
      <c r="M12" s="25">
        <f t="shared" si="1"/>
        <v>45988.62222</v>
      </c>
      <c r="N12" s="25">
        <f t="shared" si="2"/>
        <v>45989.41667</v>
      </c>
      <c r="O12" s="25">
        <f t="shared" si="3"/>
        <v>0.7944444444</v>
      </c>
      <c r="P12" s="25">
        <f t="shared" si="4"/>
        <v>19.06666667</v>
      </c>
      <c r="Q12" s="12">
        <v>1.0</v>
      </c>
      <c r="R12" s="2"/>
    </row>
    <row r="13">
      <c r="A13" s="5">
        <v>7.0</v>
      </c>
      <c r="B13" s="26"/>
      <c r="C13" s="30"/>
      <c r="D13" s="27"/>
      <c r="E13" s="20"/>
      <c r="F13" s="21"/>
      <c r="G13" s="20"/>
      <c r="H13" s="21"/>
      <c r="I13" s="28"/>
      <c r="J13" s="29"/>
      <c r="K13" s="45"/>
      <c r="L13" s="21"/>
      <c r="M13" s="46"/>
      <c r="N13" s="46"/>
      <c r="O13" s="46"/>
      <c r="P13" s="46"/>
      <c r="Q13" s="12"/>
      <c r="R13" s="2"/>
    </row>
    <row r="14">
      <c r="A14" s="5">
        <v>8.0</v>
      </c>
      <c r="B14" s="26"/>
      <c r="C14" s="30"/>
      <c r="D14" s="19"/>
      <c r="E14" s="20"/>
      <c r="F14" s="21"/>
      <c r="G14" s="20"/>
      <c r="H14" s="21"/>
      <c r="I14" s="22"/>
      <c r="J14" s="23"/>
      <c r="K14" s="45"/>
      <c r="L14" s="21"/>
      <c r="M14" s="46"/>
      <c r="N14" s="46"/>
      <c r="O14" s="46"/>
      <c r="P14" s="46"/>
      <c r="Q14" s="12"/>
      <c r="R14" s="2"/>
    </row>
    <row r="15">
      <c r="A15" s="5">
        <v>9.0</v>
      </c>
      <c r="B15" s="26"/>
      <c r="C15" s="30"/>
      <c r="D15" s="19"/>
      <c r="E15" s="20"/>
      <c r="F15" s="21"/>
      <c r="G15" s="20"/>
      <c r="H15" s="21"/>
      <c r="I15" s="22"/>
      <c r="J15" s="23"/>
      <c r="K15" s="45"/>
      <c r="L15" s="21"/>
      <c r="M15" s="46"/>
      <c r="N15" s="46"/>
      <c r="O15" s="46"/>
      <c r="P15" s="46"/>
      <c r="Q15" s="12"/>
      <c r="R15" s="2"/>
    </row>
    <row r="16">
      <c r="A16" s="5">
        <v>10.0</v>
      </c>
      <c r="B16" s="26"/>
      <c r="C16" s="30"/>
      <c r="D16" s="19"/>
      <c r="E16" s="20"/>
      <c r="F16" s="21"/>
      <c r="G16" s="20"/>
      <c r="H16" s="21"/>
      <c r="I16" s="22"/>
      <c r="J16" s="23"/>
      <c r="K16" s="45"/>
      <c r="L16" s="21"/>
      <c r="M16" s="46"/>
      <c r="N16" s="46"/>
      <c r="O16" s="46"/>
      <c r="P16" s="46"/>
      <c r="Q16" s="12"/>
      <c r="R16" s="2"/>
    </row>
    <row r="17">
      <c r="A17" s="5">
        <v>11.0</v>
      </c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>
        <v>12.0</v>
      </c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11054.143</v>
      </c>
      <c r="J21" s="113">
        <f t="shared" si="5"/>
        <v>3540.657</v>
      </c>
      <c r="K21" s="39">
        <f>+(P21)/(31*24)</f>
        <v>0.2889560932</v>
      </c>
      <c r="L21" s="40"/>
      <c r="M21" s="41"/>
      <c r="N21" s="41"/>
      <c r="O21" s="41"/>
      <c r="P21" s="42">
        <f>SUM(P7:P20)</f>
        <v>214.9833333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13.0</v>
      </c>
      <c r="B23" s="116" t="s">
        <v>31</v>
      </c>
      <c r="C23" s="30" t="s">
        <v>390</v>
      </c>
      <c r="D23" s="19" t="s">
        <v>33</v>
      </c>
      <c r="E23" s="20">
        <v>45960.0</v>
      </c>
      <c r="F23" s="21">
        <v>0.642361111111111</v>
      </c>
      <c r="G23" s="20">
        <v>45962.0</v>
      </c>
      <c r="H23" s="21">
        <v>0.3819444444444444</v>
      </c>
      <c r="I23" s="22">
        <v>7481.16</v>
      </c>
      <c r="J23" s="23"/>
      <c r="K23" s="45"/>
      <c r="L23" s="120"/>
      <c r="M23" s="124">
        <f t="shared" ref="M23:M29" si="6">INT(E23)+MOD(F23,1)</f>
        <v>45960.64236</v>
      </c>
      <c r="N23" s="124">
        <f t="shared" ref="N23:N29" si="7">INT(G23)+MOD(H23,1)</f>
        <v>45962.38194</v>
      </c>
      <c r="O23" s="124">
        <f t="shared" ref="O23:O29" si="8">N23-M23</f>
        <v>1.739583333</v>
      </c>
      <c r="P23" s="125">
        <f t="shared" ref="P23:P29" si="9">O23*24</f>
        <v>41.75</v>
      </c>
      <c r="Q23" s="12">
        <v>3.0</v>
      </c>
      <c r="R23" s="2"/>
    </row>
    <row r="24" ht="15.75" customHeight="1">
      <c r="A24" s="115">
        <v>14.0</v>
      </c>
      <c r="B24" s="126"/>
      <c r="C24" s="30" t="s">
        <v>391</v>
      </c>
      <c r="D24" s="19" t="s">
        <v>33</v>
      </c>
      <c r="E24" s="20">
        <v>45961.0</v>
      </c>
      <c r="F24" s="21">
        <v>0.7256944444444445</v>
      </c>
      <c r="G24" s="20">
        <v>45965.0</v>
      </c>
      <c r="H24" s="21">
        <v>0.4791666666666667</v>
      </c>
      <c r="I24" s="22">
        <v>8374.6</v>
      </c>
      <c r="J24" s="23"/>
      <c r="K24" s="45"/>
      <c r="L24" s="21"/>
      <c r="M24" s="124">
        <f t="shared" si="6"/>
        <v>45961.72569</v>
      </c>
      <c r="N24" s="124">
        <f t="shared" si="7"/>
        <v>45965.47917</v>
      </c>
      <c r="O24" s="124">
        <f t="shared" si="8"/>
        <v>3.753472222</v>
      </c>
      <c r="P24" s="125">
        <f t="shared" si="9"/>
        <v>90.08333333</v>
      </c>
      <c r="Q24" s="12">
        <v>3.0</v>
      </c>
      <c r="R24" s="2"/>
    </row>
    <row r="25" ht="15.75" customHeight="1">
      <c r="A25" s="115">
        <v>15.0</v>
      </c>
      <c r="B25" s="126"/>
      <c r="C25" s="30" t="s">
        <v>392</v>
      </c>
      <c r="D25" s="19" t="s">
        <v>33</v>
      </c>
      <c r="E25" s="20">
        <v>45958.0</v>
      </c>
      <c r="F25" s="21">
        <v>0.6770833333333334</v>
      </c>
      <c r="G25" s="20">
        <v>45960.0</v>
      </c>
      <c r="H25" s="21">
        <v>0.611111111111111</v>
      </c>
      <c r="I25" s="22">
        <v>8508.36</v>
      </c>
      <c r="J25" s="23"/>
      <c r="K25" s="45"/>
      <c r="L25" s="21"/>
      <c r="M25" s="124">
        <f t="shared" si="6"/>
        <v>45958.67708</v>
      </c>
      <c r="N25" s="124">
        <f t="shared" si="7"/>
        <v>45960.61111</v>
      </c>
      <c r="O25" s="124">
        <f t="shared" si="8"/>
        <v>1.934027778</v>
      </c>
      <c r="P25" s="125">
        <f t="shared" si="9"/>
        <v>46.41666667</v>
      </c>
      <c r="Q25" s="12">
        <v>3.0</v>
      </c>
      <c r="R25" s="2"/>
    </row>
    <row r="26" ht="15.75" customHeight="1">
      <c r="A26" s="115">
        <v>16.0</v>
      </c>
      <c r="B26" s="126"/>
      <c r="C26" s="30" t="s">
        <v>393</v>
      </c>
      <c r="D26" s="19" t="s">
        <v>33</v>
      </c>
      <c r="E26" s="20">
        <v>45965.0</v>
      </c>
      <c r="F26" s="21">
        <v>0.5277777777777778</v>
      </c>
      <c r="G26" s="20">
        <v>45967.0</v>
      </c>
      <c r="H26" s="21">
        <v>0.4479166666666667</v>
      </c>
      <c r="I26" s="22">
        <v>7579.98</v>
      </c>
      <c r="J26" s="23"/>
      <c r="K26" s="45"/>
      <c r="L26" s="21"/>
      <c r="M26" s="124">
        <f t="shared" si="6"/>
        <v>45965.52778</v>
      </c>
      <c r="N26" s="124">
        <f t="shared" si="7"/>
        <v>45967.44792</v>
      </c>
      <c r="O26" s="124">
        <f t="shared" si="8"/>
        <v>1.920138889</v>
      </c>
      <c r="P26" s="125">
        <f t="shared" si="9"/>
        <v>46.08333333</v>
      </c>
      <c r="Q26" s="12">
        <v>3.0</v>
      </c>
      <c r="R26" s="2"/>
    </row>
    <row r="27" ht="15.75" customHeight="1">
      <c r="A27" s="115">
        <v>17.0</v>
      </c>
      <c r="B27" s="126"/>
      <c r="C27" s="30" t="s">
        <v>394</v>
      </c>
      <c r="D27" s="19" t="s">
        <v>33</v>
      </c>
      <c r="E27" s="20">
        <v>45970.0</v>
      </c>
      <c r="F27" s="21">
        <v>0.43402777777777773</v>
      </c>
      <c r="G27" s="20">
        <v>45974.0</v>
      </c>
      <c r="H27" s="21">
        <v>0.375</v>
      </c>
      <c r="I27" s="22">
        <v>7993.4</v>
      </c>
      <c r="J27" s="23"/>
      <c r="K27" s="45"/>
      <c r="L27" s="21"/>
      <c r="M27" s="124">
        <f t="shared" si="6"/>
        <v>45970.43403</v>
      </c>
      <c r="N27" s="124">
        <f t="shared" si="7"/>
        <v>45974.375</v>
      </c>
      <c r="O27" s="124">
        <f t="shared" si="8"/>
        <v>3.940972222</v>
      </c>
      <c r="P27" s="125">
        <f t="shared" si="9"/>
        <v>94.58333333</v>
      </c>
      <c r="Q27" s="12">
        <v>3.0</v>
      </c>
      <c r="R27" s="2"/>
    </row>
    <row r="28" ht="15.75" customHeight="1">
      <c r="A28" s="115">
        <v>18.0</v>
      </c>
      <c r="B28" s="126"/>
      <c r="C28" s="30" t="s">
        <v>56</v>
      </c>
      <c r="D28" s="19" t="s">
        <v>33</v>
      </c>
      <c r="E28" s="20">
        <v>45967.0</v>
      </c>
      <c r="F28" s="21">
        <v>0.5625</v>
      </c>
      <c r="G28" s="20">
        <v>45970.0</v>
      </c>
      <c r="H28" s="21">
        <v>0.375</v>
      </c>
      <c r="I28" s="22">
        <v>7393.72</v>
      </c>
      <c r="J28" s="23"/>
      <c r="K28" s="45"/>
      <c r="L28" s="21"/>
      <c r="M28" s="124">
        <f t="shared" si="6"/>
        <v>45967.5625</v>
      </c>
      <c r="N28" s="124">
        <f t="shared" si="7"/>
        <v>45970.375</v>
      </c>
      <c r="O28" s="124">
        <f t="shared" si="8"/>
        <v>2.8125</v>
      </c>
      <c r="P28" s="125">
        <f t="shared" si="9"/>
        <v>67.5</v>
      </c>
      <c r="Q28" s="12">
        <v>3.0</v>
      </c>
      <c r="R28" s="2"/>
    </row>
    <row r="29" ht="15.75" customHeight="1">
      <c r="A29" s="115"/>
      <c r="B29" s="126"/>
      <c r="C29" s="30" t="s">
        <v>395</v>
      </c>
      <c r="D29" s="19" t="s">
        <v>33</v>
      </c>
      <c r="E29" s="20">
        <v>45974.0</v>
      </c>
      <c r="F29" s="21">
        <v>0.4201388888888889</v>
      </c>
      <c r="G29" s="20">
        <v>45977.0</v>
      </c>
      <c r="H29" s="21">
        <v>0.3576388888888889</v>
      </c>
      <c r="I29" s="22">
        <v>8589.42</v>
      </c>
      <c r="J29" s="23"/>
      <c r="K29" s="45"/>
      <c r="L29" s="21"/>
      <c r="M29" s="124">
        <f t="shared" si="6"/>
        <v>45974.42014</v>
      </c>
      <c r="N29" s="124">
        <f t="shared" si="7"/>
        <v>45977.35764</v>
      </c>
      <c r="O29" s="124">
        <f t="shared" si="8"/>
        <v>2.9375</v>
      </c>
      <c r="P29" s="125">
        <f t="shared" si="9"/>
        <v>70.5</v>
      </c>
      <c r="Q29" s="12">
        <v>3.0</v>
      </c>
      <c r="R29" s="2"/>
    </row>
    <row r="30" ht="15.75" customHeight="1">
      <c r="A30" s="115"/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46"/>
      <c r="N30" s="46"/>
      <c r="O30" s="46"/>
      <c r="P30" s="128"/>
      <c r="Q30" s="12"/>
      <c r="R30" s="2"/>
    </row>
    <row r="31" ht="15.75" customHeight="1">
      <c r="A31" s="129"/>
      <c r="B31" s="130"/>
      <c r="C31" s="33"/>
      <c r="D31" s="34"/>
      <c r="E31" s="35"/>
      <c r="F31" s="36"/>
      <c r="G31" s="35"/>
      <c r="H31" s="36"/>
      <c r="I31" s="131">
        <f t="shared" ref="I31:J31" si="10">SUM(I23:I30)</f>
        <v>55920.64</v>
      </c>
      <c r="J31" s="113">
        <f t="shared" si="10"/>
        <v>0</v>
      </c>
      <c r="K31" s="64">
        <f>+(P31)/(31*24)</f>
        <v>0.6141353047</v>
      </c>
      <c r="L31" s="40"/>
      <c r="M31" s="41"/>
      <c r="N31" s="41"/>
      <c r="O31" s="41"/>
      <c r="P31" s="42">
        <f>SUM(P23:P30)</f>
        <v>456.9166667</v>
      </c>
      <c r="Q31" s="2"/>
      <c r="R31" s="2"/>
    </row>
    <row r="32" ht="15.75" customHeight="1">
      <c r="A32" s="1"/>
      <c r="B32" s="12"/>
      <c r="C32" s="43"/>
      <c r="D32" s="12"/>
      <c r="E32" s="13"/>
      <c r="F32" s="14"/>
      <c r="G32" s="13"/>
      <c r="H32" s="14"/>
      <c r="I32" s="55"/>
      <c r="J32" s="56"/>
      <c r="K32" s="16"/>
      <c r="L32" s="14"/>
      <c r="M32" s="2"/>
      <c r="N32" s="2"/>
      <c r="O32" s="2"/>
      <c r="P32" s="2"/>
      <c r="Q32" s="2"/>
      <c r="R32" s="2"/>
    </row>
    <row r="33" ht="15.75" customHeight="1">
      <c r="A33" s="115">
        <v>19.0</v>
      </c>
      <c r="B33" s="116" t="s">
        <v>41</v>
      </c>
      <c r="C33" s="30" t="s">
        <v>396</v>
      </c>
      <c r="D33" s="19" t="s">
        <v>33</v>
      </c>
      <c r="E33" s="20">
        <v>45957.0</v>
      </c>
      <c r="F33" s="21">
        <v>0.34375</v>
      </c>
      <c r="G33" s="20">
        <v>45959.0</v>
      </c>
      <c r="H33" s="21">
        <v>0.3333333333333333</v>
      </c>
      <c r="I33" s="22">
        <v>7110.02</v>
      </c>
      <c r="J33" s="23"/>
      <c r="K33" s="45"/>
      <c r="L33" s="120"/>
      <c r="M33" s="124">
        <f t="shared" ref="M33:M43" si="11">INT(E33)+MOD(F33,1)</f>
        <v>45957.34375</v>
      </c>
      <c r="N33" s="124">
        <f t="shared" ref="N33:N43" si="12">INT(G33)+MOD(H33,1)</f>
        <v>45959.33333</v>
      </c>
      <c r="O33" s="132">
        <f t="shared" ref="O33:O43" si="13">N33-M33</f>
        <v>1.989583333</v>
      </c>
      <c r="P33" s="125">
        <f t="shared" ref="P33:P43" si="14">O33*24</f>
        <v>47.75</v>
      </c>
      <c r="Q33" s="12">
        <v>4.0</v>
      </c>
      <c r="R33" s="2"/>
    </row>
    <row r="34" ht="15.75" customHeight="1">
      <c r="A34" s="115">
        <v>20.0</v>
      </c>
      <c r="B34" s="126"/>
      <c r="C34" s="30" t="s">
        <v>205</v>
      </c>
      <c r="D34" s="19" t="s">
        <v>33</v>
      </c>
      <c r="E34" s="20">
        <v>45956.0</v>
      </c>
      <c r="F34" s="21">
        <v>0.6770833333333334</v>
      </c>
      <c r="G34" s="20">
        <v>45961.0</v>
      </c>
      <c r="H34" s="21">
        <v>0.5902777777777778</v>
      </c>
      <c r="I34" s="22">
        <v>7994.836</v>
      </c>
      <c r="J34" s="23"/>
      <c r="K34" s="45"/>
      <c r="L34" s="21"/>
      <c r="M34" s="25">
        <f t="shared" si="11"/>
        <v>45956.67708</v>
      </c>
      <c r="N34" s="25">
        <f t="shared" si="12"/>
        <v>45961.59028</v>
      </c>
      <c r="O34" s="60">
        <f t="shared" si="13"/>
        <v>4.913194444</v>
      </c>
      <c r="P34" s="127">
        <f t="shared" si="14"/>
        <v>117.9166667</v>
      </c>
      <c r="Q34" s="12">
        <v>4.0</v>
      </c>
      <c r="R34" s="2"/>
    </row>
    <row r="35" ht="15.75" customHeight="1">
      <c r="A35" s="115">
        <v>21.0</v>
      </c>
      <c r="B35" s="126"/>
      <c r="C35" s="30" t="s">
        <v>65</v>
      </c>
      <c r="D35" s="19" t="s">
        <v>33</v>
      </c>
      <c r="E35" s="20">
        <v>45961.0</v>
      </c>
      <c r="F35" s="21">
        <v>0.7256944444444445</v>
      </c>
      <c r="G35" s="20">
        <v>45963.0</v>
      </c>
      <c r="H35" s="21">
        <v>0.40972222222222227</v>
      </c>
      <c r="I35" s="22">
        <v>7182.56</v>
      </c>
      <c r="J35" s="29"/>
      <c r="K35" s="45"/>
      <c r="L35" s="21"/>
      <c r="M35" s="25">
        <f t="shared" si="11"/>
        <v>45961.72569</v>
      </c>
      <c r="N35" s="25">
        <f t="shared" si="12"/>
        <v>45963.40972</v>
      </c>
      <c r="O35" s="60">
        <f t="shared" si="13"/>
        <v>1.684027778</v>
      </c>
      <c r="P35" s="127">
        <f t="shared" si="14"/>
        <v>40.41666667</v>
      </c>
      <c r="Q35" s="12">
        <v>4.0</v>
      </c>
      <c r="R35" s="2"/>
    </row>
    <row r="36" ht="15.75" customHeight="1">
      <c r="A36" s="115">
        <v>22.0</v>
      </c>
      <c r="B36" s="126"/>
      <c r="C36" s="30" t="s">
        <v>157</v>
      </c>
      <c r="D36" s="19" t="s">
        <v>33</v>
      </c>
      <c r="E36" s="20">
        <v>45965.0</v>
      </c>
      <c r="F36" s="21">
        <v>0.7777777777777778</v>
      </c>
      <c r="G36" s="20">
        <v>45968.0</v>
      </c>
      <c r="H36" s="21">
        <v>0.7256944444444445</v>
      </c>
      <c r="I36" s="22">
        <v>7149.12</v>
      </c>
      <c r="J36" s="23"/>
      <c r="K36" s="45"/>
      <c r="L36" s="21"/>
      <c r="M36" s="25">
        <f t="shared" si="11"/>
        <v>45965.77778</v>
      </c>
      <c r="N36" s="25">
        <f t="shared" si="12"/>
        <v>45968.72569</v>
      </c>
      <c r="O36" s="60">
        <f t="shared" si="13"/>
        <v>2.947916667</v>
      </c>
      <c r="P36" s="127">
        <f t="shared" si="14"/>
        <v>70.75</v>
      </c>
      <c r="Q36" s="12">
        <v>4.0</v>
      </c>
      <c r="R36" s="2"/>
    </row>
    <row r="37" ht="15.75" customHeight="1">
      <c r="A37" s="115">
        <v>23.0</v>
      </c>
      <c r="B37" s="126"/>
      <c r="C37" s="52" t="s">
        <v>397</v>
      </c>
      <c r="D37" s="19" t="s">
        <v>33</v>
      </c>
      <c r="E37" s="20">
        <v>45963.0</v>
      </c>
      <c r="F37" s="21">
        <v>0.5555555555555556</v>
      </c>
      <c r="G37" s="20">
        <v>45965.0</v>
      </c>
      <c r="H37" s="21">
        <v>0.75</v>
      </c>
      <c r="I37" s="22">
        <v>7822.08</v>
      </c>
      <c r="J37" s="23"/>
      <c r="K37" s="45"/>
      <c r="L37" s="21"/>
      <c r="M37" s="25">
        <f t="shared" si="11"/>
        <v>45963.55556</v>
      </c>
      <c r="N37" s="25">
        <f t="shared" si="12"/>
        <v>45965.75</v>
      </c>
      <c r="O37" s="60">
        <f t="shared" si="13"/>
        <v>2.194444444</v>
      </c>
      <c r="P37" s="127">
        <f t="shared" si="14"/>
        <v>52.66666667</v>
      </c>
      <c r="Q37" s="12">
        <v>4.0</v>
      </c>
      <c r="R37" s="2"/>
    </row>
    <row r="38" ht="15.75" customHeight="1">
      <c r="A38" s="115">
        <v>24.0</v>
      </c>
      <c r="B38" s="126"/>
      <c r="C38" s="30" t="s">
        <v>398</v>
      </c>
      <c r="D38" s="19" t="s">
        <v>33</v>
      </c>
      <c r="E38" s="20">
        <v>45968.0</v>
      </c>
      <c r="F38" s="21">
        <v>0.7638888888888888</v>
      </c>
      <c r="G38" s="20">
        <v>45972.0</v>
      </c>
      <c r="H38" s="21">
        <v>0.46527777777777773</v>
      </c>
      <c r="I38" s="22">
        <v>8766.18</v>
      </c>
      <c r="J38" s="23"/>
      <c r="K38" s="45"/>
      <c r="L38" s="21"/>
      <c r="M38" s="25">
        <f t="shared" si="11"/>
        <v>45968.76389</v>
      </c>
      <c r="N38" s="25">
        <f t="shared" si="12"/>
        <v>45972.46528</v>
      </c>
      <c r="O38" s="60">
        <f t="shared" si="13"/>
        <v>3.701388889</v>
      </c>
      <c r="P38" s="127">
        <f t="shared" si="14"/>
        <v>88.83333333</v>
      </c>
      <c r="Q38" s="12">
        <v>4.0</v>
      </c>
      <c r="R38" s="2"/>
    </row>
    <row r="39" ht="15.75" customHeight="1">
      <c r="A39" s="115">
        <v>25.0</v>
      </c>
      <c r="B39" s="126"/>
      <c r="C39" s="30" t="s">
        <v>399</v>
      </c>
      <c r="D39" s="19" t="s">
        <v>33</v>
      </c>
      <c r="E39" s="20">
        <v>45972.0</v>
      </c>
      <c r="F39" s="21">
        <v>0.49652777777777773</v>
      </c>
      <c r="G39" s="20">
        <v>45975.0</v>
      </c>
      <c r="H39" s="21">
        <v>0.37847222222222227</v>
      </c>
      <c r="I39" s="22">
        <v>7408.1</v>
      </c>
      <c r="J39" s="23"/>
      <c r="K39" s="45"/>
      <c r="L39" s="21"/>
      <c r="M39" s="25">
        <f t="shared" si="11"/>
        <v>45972.49653</v>
      </c>
      <c r="N39" s="25">
        <f t="shared" si="12"/>
        <v>45975.37847</v>
      </c>
      <c r="O39" s="60">
        <f t="shared" si="13"/>
        <v>2.881944444</v>
      </c>
      <c r="P39" s="127">
        <f t="shared" si="14"/>
        <v>69.16666667</v>
      </c>
      <c r="Q39" s="12">
        <v>4.0</v>
      </c>
      <c r="R39" s="2"/>
    </row>
    <row r="40" ht="15.75" customHeight="1">
      <c r="A40" s="115">
        <v>26.0</v>
      </c>
      <c r="B40" s="126"/>
      <c r="C40" s="30" t="s">
        <v>400</v>
      </c>
      <c r="D40" s="19" t="s">
        <v>33</v>
      </c>
      <c r="E40" s="20">
        <v>45975.0</v>
      </c>
      <c r="F40" s="21">
        <v>0.4284722222222222</v>
      </c>
      <c r="G40" s="20">
        <v>45978.0</v>
      </c>
      <c r="H40" s="21">
        <v>0.3888888888888889</v>
      </c>
      <c r="I40" s="22">
        <v>8150.22</v>
      </c>
      <c r="J40" s="23"/>
      <c r="K40" s="45"/>
      <c r="L40" s="21"/>
      <c r="M40" s="25">
        <f t="shared" si="11"/>
        <v>45975.42847</v>
      </c>
      <c r="N40" s="25">
        <f t="shared" si="12"/>
        <v>45978.38889</v>
      </c>
      <c r="O40" s="60">
        <f t="shared" si="13"/>
        <v>2.960416667</v>
      </c>
      <c r="P40" s="127">
        <f t="shared" si="14"/>
        <v>71.05</v>
      </c>
      <c r="Q40" s="12">
        <v>4.0</v>
      </c>
      <c r="R40" s="2"/>
    </row>
    <row r="41" ht="15.75" customHeight="1">
      <c r="A41" s="115">
        <v>27.0</v>
      </c>
      <c r="B41" s="126"/>
      <c r="C41" s="30" t="s">
        <v>379</v>
      </c>
      <c r="D41" s="19" t="s">
        <v>33</v>
      </c>
      <c r="E41" s="20">
        <v>45977.0</v>
      </c>
      <c r="F41" s="21">
        <v>0.40972222222222227</v>
      </c>
      <c r="G41" s="20">
        <v>45979.0</v>
      </c>
      <c r="H41" s="21">
        <v>0.3923611111111111</v>
      </c>
      <c r="I41" s="22">
        <v>7267.58</v>
      </c>
      <c r="J41" s="23"/>
      <c r="K41" s="45"/>
      <c r="L41" s="21"/>
      <c r="M41" s="25">
        <f t="shared" si="11"/>
        <v>45977.40972</v>
      </c>
      <c r="N41" s="25">
        <f t="shared" si="12"/>
        <v>45979.39236</v>
      </c>
      <c r="O41" s="60">
        <f t="shared" si="13"/>
        <v>1.982638889</v>
      </c>
      <c r="P41" s="127">
        <f t="shared" si="14"/>
        <v>47.58333333</v>
      </c>
      <c r="Q41" s="12">
        <v>4.0</v>
      </c>
      <c r="R41" s="2"/>
    </row>
    <row r="42" ht="15.75" customHeight="1">
      <c r="A42" s="115">
        <v>28.0</v>
      </c>
      <c r="B42" s="126"/>
      <c r="C42" s="30" t="s">
        <v>401</v>
      </c>
      <c r="D42" s="19" t="s">
        <v>33</v>
      </c>
      <c r="E42" s="20">
        <v>45979.0</v>
      </c>
      <c r="F42" s="21">
        <v>0.4618055555555556</v>
      </c>
      <c r="G42" s="20">
        <v>45981.0</v>
      </c>
      <c r="H42" s="21">
        <v>0.4791666666666667</v>
      </c>
      <c r="I42" s="22">
        <v>7811.9</v>
      </c>
      <c r="J42" s="23"/>
      <c r="K42" s="45"/>
      <c r="L42" s="21"/>
      <c r="M42" s="25">
        <f t="shared" si="11"/>
        <v>45979.46181</v>
      </c>
      <c r="N42" s="25">
        <f t="shared" si="12"/>
        <v>45981.47917</v>
      </c>
      <c r="O42" s="60">
        <f t="shared" si="13"/>
        <v>2.017361111</v>
      </c>
      <c r="P42" s="127">
        <f t="shared" si="14"/>
        <v>48.41666667</v>
      </c>
      <c r="Q42" s="12">
        <v>4.0</v>
      </c>
      <c r="R42" s="2"/>
    </row>
    <row r="43" ht="15.75" customHeight="1">
      <c r="A43" s="115">
        <v>29.0</v>
      </c>
      <c r="B43" s="126"/>
      <c r="C43" s="30" t="s">
        <v>402</v>
      </c>
      <c r="D43" s="19" t="s">
        <v>33</v>
      </c>
      <c r="E43" s="20">
        <v>45981.0</v>
      </c>
      <c r="F43" s="21">
        <v>0.517361111111111</v>
      </c>
      <c r="G43" s="20">
        <v>45983.0</v>
      </c>
      <c r="H43" s="21">
        <v>0.71875</v>
      </c>
      <c r="I43" s="22">
        <v>6598.16</v>
      </c>
      <c r="J43" s="23"/>
      <c r="K43" s="45"/>
      <c r="L43" s="21"/>
      <c r="M43" s="25">
        <f t="shared" si="11"/>
        <v>45981.51736</v>
      </c>
      <c r="N43" s="25">
        <f t="shared" si="12"/>
        <v>45983.71875</v>
      </c>
      <c r="O43" s="60">
        <f t="shared" si="13"/>
        <v>2.201388889</v>
      </c>
      <c r="P43" s="127">
        <f t="shared" si="14"/>
        <v>52.83333333</v>
      </c>
      <c r="Q43" s="12">
        <v>4.0</v>
      </c>
      <c r="R43" s="2"/>
    </row>
    <row r="44" ht="15.75" customHeight="1">
      <c r="A44" s="115">
        <v>30.0</v>
      </c>
      <c r="B44" s="126"/>
      <c r="C44" s="30"/>
      <c r="D44" s="19"/>
      <c r="E44" s="20"/>
      <c r="F44" s="21"/>
      <c r="G44" s="20"/>
      <c r="H44" s="21"/>
      <c r="I44" s="22"/>
      <c r="J44" s="23"/>
      <c r="K44" s="45"/>
      <c r="L44" s="21"/>
      <c r="M44" s="46"/>
      <c r="N44" s="46"/>
      <c r="O44" s="61"/>
      <c r="P44" s="128"/>
      <c r="Q44" s="12"/>
      <c r="R44" s="2"/>
    </row>
    <row r="45" ht="15.75" customHeight="1">
      <c r="A45" s="115">
        <v>31.0</v>
      </c>
      <c r="B45" s="126"/>
      <c r="C45" s="30"/>
      <c r="D45" s="19"/>
      <c r="E45" s="20"/>
      <c r="F45" s="21"/>
      <c r="G45" s="20"/>
      <c r="H45" s="21"/>
      <c r="I45" s="22"/>
      <c r="J45" s="23"/>
      <c r="K45" s="45"/>
      <c r="L45" s="50"/>
      <c r="M45" s="46"/>
      <c r="N45" s="46"/>
      <c r="O45" s="61"/>
      <c r="P45" s="128"/>
      <c r="Q45" s="12"/>
      <c r="R45" s="2"/>
    </row>
    <row r="46" ht="15.75" customHeight="1">
      <c r="A46" s="115">
        <v>32.0</v>
      </c>
      <c r="B46" s="126"/>
      <c r="C46" s="30"/>
      <c r="D46" s="19"/>
      <c r="E46" s="20"/>
      <c r="F46" s="21"/>
      <c r="G46" s="20"/>
      <c r="H46" s="21"/>
      <c r="I46" s="22"/>
      <c r="J46" s="29"/>
      <c r="K46" s="45"/>
      <c r="L46" s="50"/>
      <c r="M46" s="46"/>
      <c r="N46" s="46"/>
      <c r="O46" s="61"/>
      <c r="P46" s="128"/>
      <c r="Q46" s="12"/>
      <c r="R46" s="2"/>
    </row>
    <row r="47" ht="15.75" customHeight="1">
      <c r="A47" s="115">
        <v>33.0</v>
      </c>
      <c r="B47" s="126"/>
      <c r="C47" s="67"/>
      <c r="D47" s="108"/>
      <c r="E47" s="104"/>
      <c r="F47" s="72"/>
      <c r="G47" s="104"/>
      <c r="H47" s="72"/>
      <c r="I47" s="109"/>
      <c r="J47" s="111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33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8.0" customHeight="1">
      <c r="A49" s="115"/>
      <c r="B49" s="134"/>
      <c r="C49" s="30"/>
      <c r="D49" s="19"/>
      <c r="E49" s="20"/>
      <c r="F49" s="21"/>
      <c r="G49" s="20"/>
      <c r="H49" s="21"/>
      <c r="I49" s="22"/>
      <c r="J49" s="29"/>
      <c r="K49" s="45"/>
      <c r="L49" s="21"/>
      <c r="M49" s="46"/>
      <c r="N49" s="46"/>
      <c r="O49" s="61"/>
      <c r="P49" s="128"/>
      <c r="Q49" s="12"/>
      <c r="R49" s="2"/>
    </row>
    <row r="50" ht="18.75" customHeight="1">
      <c r="A50" s="135"/>
      <c r="B50" s="134"/>
      <c r="C50" s="102"/>
      <c r="D50" s="108"/>
      <c r="E50" s="104"/>
      <c r="F50" s="72"/>
      <c r="G50" s="104"/>
      <c r="H50" s="72"/>
      <c r="I50" s="109"/>
      <c r="J50" s="136"/>
      <c r="K50" s="137"/>
      <c r="L50" s="69"/>
      <c r="M50" s="70"/>
      <c r="N50" s="70"/>
      <c r="O50" s="110"/>
      <c r="P50" s="138"/>
      <c r="Q50" s="12"/>
      <c r="R50" s="2"/>
    </row>
    <row r="51" ht="15.75" customHeight="1">
      <c r="A51" s="139"/>
      <c r="B51" s="140"/>
      <c r="C51" s="141"/>
      <c r="D51" s="34"/>
      <c r="E51" s="35"/>
      <c r="F51" s="36"/>
      <c r="G51" s="35"/>
      <c r="H51" s="36"/>
      <c r="I51" s="131">
        <f>SUM(I33:I50)</f>
        <v>83260.756</v>
      </c>
      <c r="J51" s="142">
        <f>SUM(J33:J48)</f>
        <v>0</v>
      </c>
      <c r="K51" s="64">
        <f>+(P51)/(31*24)</f>
        <v>0.9507840502</v>
      </c>
      <c r="L51" s="40"/>
      <c r="M51" s="41"/>
      <c r="N51" s="41"/>
      <c r="O51" s="41"/>
      <c r="P51" s="42">
        <f>SUM(P33:P48)</f>
        <v>707.3833333</v>
      </c>
      <c r="Q51" s="12"/>
      <c r="R51" s="2"/>
    </row>
    <row r="52" ht="15.75" customHeight="1">
      <c r="A52" s="65"/>
      <c r="B52" s="66"/>
      <c r="C52" s="67"/>
      <c r="D52" s="12"/>
      <c r="E52" s="13"/>
      <c r="F52" s="14"/>
      <c r="G52" s="13"/>
      <c r="H52" s="14"/>
      <c r="I52" s="55"/>
      <c r="J52" s="56"/>
      <c r="K52" s="68"/>
      <c r="L52" s="69"/>
      <c r="M52" s="70"/>
      <c r="N52" s="70"/>
      <c r="O52" s="70"/>
      <c r="P52" s="71"/>
      <c r="Q52" s="12"/>
      <c r="R52" s="2"/>
    </row>
    <row r="53" ht="15.75" customHeight="1">
      <c r="A53" s="115">
        <v>34.0</v>
      </c>
      <c r="B53" s="116" t="s">
        <v>62</v>
      </c>
      <c r="C53" s="30" t="s">
        <v>403</v>
      </c>
      <c r="D53" s="19" t="s">
        <v>33</v>
      </c>
      <c r="E53" s="20">
        <v>45954.0</v>
      </c>
      <c r="F53" s="21">
        <v>0.3854166666666667</v>
      </c>
      <c r="G53" s="20">
        <v>45958.0</v>
      </c>
      <c r="H53" s="21">
        <v>0.3680555555555556</v>
      </c>
      <c r="I53" s="22">
        <v>8493.456</v>
      </c>
      <c r="J53" s="23"/>
      <c r="K53" s="123"/>
      <c r="L53" s="120"/>
      <c r="M53" s="124">
        <f t="shared" ref="M53:M62" si="15">INT(E53)+MOD(F53,1)</f>
        <v>45954.38542</v>
      </c>
      <c r="N53" s="124">
        <f t="shared" ref="N53:N62" si="16">INT(G53)+MOD(H53,1)</f>
        <v>45958.36806</v>
      </c>
      <c r="O53" s="124">
        <f t="shared" ref="O53:O62" si="17">N53-M53</f>
        <v>3.982638889</v>
      </c>
      <c r="P53" s="125">
        <f t="shared" ref="P53:P62" si="18">O53*24</f>
        <v>95.58333333</v>
      </c>
      <c r="Q53" s="12">
        <v>5.0</v>
      </c>
      <c r="R53" s="2"/>
    </row>
    <row r="54" ht="15.75" customHeight="1">
      <c r="A54" s="115">
        <v>35.0</v>
      </c>
      <c r="B54" s="126"/>
      <c r="C54" s="30" t="s">
        <v>404</v>
      </c>
      <c r="D54" s="19" t="s">
        <v>238</v>
      </c>
      <c r="E54" s="20">
        <v>45962.0</v>
      </c>
      <c r="F54" s="21">
        <v>0.425</v>
      </c>
      <c r="G54" s="20">
        <v>45970.0</v>
      </c>
      <c r="H54" s="21">
        <v>0.875</v>
      </c>
      <c r="I54" s="22"/>
      <c r="J54" s="23">
        <v>9680.685</v>
      </c>
      <c r="K54" s="45"/>
      <c r="L54" s="21"/>
      <c r="M54" s="25">
        <f t="shared" si="15"/>
        <v>45962.425</v>
      </c>
      <c r="N54" s="25">
        <f t="shared" si="16"/>
        <v>45970.875</v>
      </c>
      <c r="O54" s="25">
        <f t="shared" si="17"/>
        <v>8.45</v>
      </c>
      <c r="P54" s="127">
        <f t="shared" si="18"/>
        <v>202.8</v>
      </c>
      <c r="Q54" s="12">
        <v>5.0</v>
      </c>
      <c r="R54" s="2"/>
    </row>
    <row r="55" ht="15.75" customHeight="1">
      <c r="A55" s="115">
        <v>36.0</v>
      </c>
      <c r="B55" s="126"/>
      <c r="C55" s="30" t="s">
        <v>405</v>
      </c>
      <c r="D55" s="19" t="s">
        <v>319</v>
      </c>
      <c r="E55" s="20">
        <v>45959.0</v>
      </c>
      <c r="F55" s="21">
        <v>0.46527777777777773</v>
      </c>
      <c r="G55" s="20">
        <v>45962.0</v>
      </c>
      <c r="H55" s="21">
        <v>0.2986111111111111</v>
      </c>
      <c r="I55" s="22">
        <v>3693.08</v>
      </c>
      <c r="J55" s="23"/>
      <c r="K55" s="45"/>
      <c r="L55" s="21"/>
      <c r="M55" s="25">
        <f t="shared" si="15"/>
        <v>45959.46528</v>
      </c>
      <c r="N55" s="25">
        <f t="shared" si="16"/>
        <v>45962.29861</v>
      </c>
      <c r="O55" s="25">
        <f t="shared" si="17"/>
        <v>2.833333333</v>
      </c>
      <c r="P55" s="127">
        <f t="shared" si="18"/>
        <v>68</v>
      </c>
      <c r="Q55" s="12">
        <v>5.0</v>
      </c>
      <c r="R55" s="2"/>
    </row>
    <row r="56" ht="15.75" customHeight="1">
      <c r="A56" s="115">
        <v>37.0</v>
      </c>
      <c r="B56" s="126"/>
      <c r="C56" s="30" t="s">
        <v>406</v>
      </c>
      <c r="D56" s="19" t="s">
        <v>33</v>
      </c>
      <c r="E56" s="20">
        <v>45971.0</v>
      </c>
      <c r="F56" s="21">
        <v>0.576388888888889</v>
      </c>
      <c r="G56" s="20">
        <v>45975.0</v>
      </c>
      <c r="H56" s="21">
        <v>0.6944444444444445</v>
      </c>
      <c r="I56" s="22">
        <v>8516.972</v>
      </c>
      <c r="J56" s="23"/>
      <c r="K56" s="45"/>
      <c r="L56" s="21"/>
      <c r="M56" s="25">
        <f t="shared" si="15"/>
        <v>45971.57639</v>
      </c>
      <c r="N56" s="25">
        <f t="shared" si="16"/>
        <v>45975.69444</v>
      </c>
      <c r="O56" s="25">
        <f t="shared" si="17"/>
        <v>4.118055556</v>
      </c>
      <c r="P56" s="127">
        <f t="shared" si="18"/>
        <v>98.83333333</v>
      </c>
      <c r="Q56" s="12">
        <v>5.0</v>
      </c>
      <c r="R56" s="2"/>
    </row>
    <row r="57" ht="15.75" customHeight="1">
      <c r="A57" s="115">
        <v>38.0</v>
      </c>
      <c r="B57" s="126"/>
      <c r="C57" s="30" t="s">
        <v>289</v>
      </c>
      <c r="D57" s="19" t="s">
        <v>33</v>
      </c>
      <c r="E57" s="20">
        <v>45971.0</v>
      </c>
      <c r="F57" s="21">
        <v>0.6909722222222222</v>
      </c>
      <c r="G57" s="20">
        <v>45979.0</v>
      </c>
      <c r="H57" s="21">
        <v>0.375</v>
      </c>
      <c r="I57" s="22">
        <v>8311.664</v>
      </c>
      <c r="J57" s="23"/>
      <c r="K57" s="45"/>
      <c r="L57" s="21"/>
      <c r="M57" s="25">
        <f t="shared" si="15"/>
        <v>45971.69097</v>
      </c>
      <c r="N57" s="25">
        <f t="shared" si="16"/>
        <v>45979.375</v>
      </c>
      <c r="O57" s="25">
        <f t="shared" si="17"/>
        <v>7.684027778</v>
      </c>
      <c r="P57" s="127">
        <f t="shared" si="18"/>
        <v>184.4166667</v>
      </c>
      <c r="Q57" s="12">
        <v>5.0</v>
      </c>
      <c r="R57" s="2"/>
    </row>
    <row r="58" ht="15.75" customHeight="1">
      <c r="A58" s="115">
        <v>39.0</v>
      </c>
      <c r="B58" s="126"/>
      <c r="C58" s="30" t="s">
        <v>407</v>
      </c>
      <c r="D58" s="19" t="s">
        <v>33</v>
      </c>
      <c r="E58" s="20">
        <v>45980.0</v>
      </c>
      <c r="F58" s="21">
        <v>0.42569444444444443</v>
      </c>
      <c r="G58" s="20">
        <v>45983.0</v>
      </c>
      <c r="H58" s="21">
        <v>0.3958333333333333</v>
      </c>
      <c r="I58" s="22">
        <v>7475.8</v>
      </c>
      <c r="J58" s="23"/>
      <c r="K58" s="45"/>
      <c r="L58" s="21"/>
      <c r="M58" s="25">
        <f t="shared" si="15"/>
        <v>45980.42569</v>
      </c>
      <c r="N58" s="25">
        <f t="shared" si="16"/>
        <v>45983.39583</v>
      </c>
      <c r="O58" s="25">
        <f t="shared" si="17"/>
        <v>2.970138889</v>
      </c>
      <c r="P58" s="127">
        <f t="shared" si="18"/>
        <v>71.28333333</v>
      </c>
      <c r="Q58" s="12">
        <v>5.0</v>
      </c>
      <c r="R58" s="2"/>
    </row>
    <row r="59" ht="15.75" customHeight="1">
      <c r="A59" s="115">
        <v>40.0</v>
      </c>
      <c r="B59" s="126"/>
      <c r="C59" s="30"/>
      <c r="D59" s="19"/>
      <c r="E59" s="20"/>
      <c r="F59" s="21"/>
      <c r="G59" s="20"/>
      <c r="H59" s="21"/>
      <c r="I59" s="22"/>
      <c r="J59" s="23"/>
      <c r="K59" s="45"/>
      <c r="L59" s="21"/>
      <c r="M59" s="25">
        <f t="shared" si="15"/>
        <v>0</v>
      </c>
      <c r="N59" s="25">
        <f t="shared" si="16"/>
        <v>0</v>
      </c>
      <c r="O59" s="25">
        <f t="shared" si="17"/>
        <v>0</v>
      </c>
      <c r="P59" s="127">
        <f t="shared" si="18"/>
        <v>0</v>
      </c>
      <c r="Q59" s="12"/>
      <c r="R59" s="2"/>
    </row>
    <row r="60" ht="15.75" customHeight="1">
      <c r="A60" s="115">
        <v>41.0</v>
      </c>
      <c r="B60" s="126"/>
      <c r="C60" s="30"/>
      <c r="D60" s="19"/>
      <c r="E60" s="20"/>
      <c r="F60" s="21"/>
      <c r="G60" s="20"/>
      <c r="H60" s="21"/>
      <c r="I60" s="22"/>
      <c r="J60" s="23"/>
      <c r="K60" s="45"/>
      <c r="L60" s="21"/>
      <c r="M60" s="25">
        <f t="shared" si="15"/>
        <v>0</v>
      </c>
      <c r="N60" s="25">
        <f t="shared" si="16"/>
        <v>0</v>
      </c>
      <c r="O60" s="25">
        <f t="shared" si="17"/>
        <v>0</v>
      </c>
      <c r="P60" s="127">
        <f t="shared" si="18"/>
        <v>0</v>
      </c>
      <c r="Q60" s="12"/>
      <c r="R60" s="2"/>
    </row>
    <row r="61" ht="15.75" customHeight="1">
      <c r="A61" s="115">
        <v>42.0</v>
      </c>
      <c r="B61" s="126"/>
      <c r="C61" s="30"/>
      <c r="D61" s="19"/>
      <c r="E61" s="20"/>
      <c r="F61" s="21"/>
      <c r="G61" s="20"/>
      <c r="H61" s="21"/>
      <c r="I61" s="22"/>
      <c r="J61" s="23"/>
      <c r="K61" s="45"/>
      <c r="L61" s="21"/>
      <c r="M61" s="25">
        <f t="shared" si="15"/>
        <v>0</v>
      </c>
      <c r="N61" s="25">
        <f t="shared" si="16"/>
        <v>0</v>
      </c>
      <c r="O61" s="25">
        <f t="shared" si="17"/>
        <v>0</v>
      </c>
      <c r="P61" s="127">
        <f t="shared" si="18"/>
        <v>0</v>
      </c>
      <c r="Q61" s="12"/>
      <c r="R61" s="2"/>
    </row>
    <row r="62" ht="15.75" customHeight="1">
      <c r="A62" s="115">
        <v>43.0</v>
      </c>
      <c r="B62" s="126"/>
      <c r="C62" s="30"/>
      <c r="D62" s="19"/>
      <c r="E62" s="20"/>
      <c r="F62" s="21"/>
      <c r="G62" s="20"/>
      <c r="H62" s="21"/>
      <c r="I62" s="22"/>
      <c r="J62" s="29"/>
      <c r="K62" s="45"/>
      <c r="L62" s="21"/>
      <c r="M62" s="25">
        <f t="shared" si="15"/>
        <v>0</v>
      </c>
      <c r="N62" s="25">
        <f t="shared" si="16"/>
        <v>0</v>
      </c>
      <c r="O62" s="25">
        <f t="shared" si="17"/>
        <v>0</v>
      </c>
      <c r="P62" s="127">
        <f t="shared" si="18"/>
        <v>0</v>
      </c>
      <c r="Q62" s="12"/>
      <c r="R62" s="2"/>
    </row>
    <row r="63" ht="15.75" customHeight="1">
      <c r="A63" s="115">
        <v>44.0</v>
      </c>
      <c r="B63" s="126"/>
      <c r="C63" s="30"/>
      <c r="D63" s="19"/>
      <c r="E63" s="20"/>
      <c r="F63" s="21"/>
      <c r="G63" s="20"/>
      <c r="H63" s="21"/>
      <c r="I63" s="22"/>
      <c r="J63" s="23"/>
      <c r="K63" s="45"/>
      <c r="L63" s="50"/>
      <c r="M63" s="46"/>
      <c r="N63" s="46"/>
      <c r="O63" s="46"/>
      <c r="P63" s="128"/>
      <c r="Q63" s="12"/>
      <c r="R63" s="2"/>
    </row>
    <row r="64" ht="15.75" customHeight="1">
      <c r="A64" s="115">
        <v>45.0</v>
      </c>
      <c r="B64" s="126"/>
      <c r="C64" s="30"/>
      <c r="D64" s="19"/>
      <c r="E64" s="20"/>
      <c r="F64" s="21"/>
      <c r="G64" s="20"/>
      <c r="H64" s="21"/>
      <c r="I64" s="22"/>
      <c r="J64" s="111"/>
      <c r="K64" s="137"/>
      <c r="L64" s="50"/>
      <c r="M64" s="46"/>
      <c r="N64" s="46"/>
      <c r="O64" s="46"/>
      <c r="P64" s="128"/>
      <c r="Q64" s="12"/>
      <c r="R64" s="2"/>
    </row>
    <row r="65" ht="15.75" customHeight="1">
      <c r="A65" s="115">
        <v>46.0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29"/>
      <c r="B66" s="130"/>
      <c r="C66" s="141"/>
      <c r="D66" s="34"/>
      <c r="E66" s="35"/>
      <c r="F66" s="36"/>
      <c r="G66" s="35"/>
      <c r="H66" s="36"/>
      <c r="I66" s="131">
        <f t="shared" ref="I66:J66" si="19">SUM(I53:I65)</f>
        <v>36490.972</v>
      </c>
      <c r="J66" s="86">
        <f t="shared" si="19"/>
        <v>9680.685</v>
      </c>
      <c r="K66" s="39">
        <f>+(P66)/(31*24)</f>
        <v>0.9689740143</v>
      </c>
      <c r="L66" s="40"/>
      <c r="M66" s="41"/>
      <c r="N66" s="41"/>
      <c r="O66" s="41"/>
      <c r="P66" s="42">
        <f>SUM(P53:P65)</f>
        <v>720.9166667</v>
      </c>
      <c r="Q66" s="12"/>
      <c r="R66" s="2"/>
    </row>
    <row r="67" ht="15.75" customHeight="1">
      <c r="A67" s="1"/>
      <c r="B67" s="12"/>
      <c r="C67" s="67"/>
      <c r="D67" s="12"/>
      <c r="E67" s="13"/>
      <c r="F67" s="14"/>
      <c r="G67" s="13"/>
      <c r="H67" s="14"/>
      <c r="I67" s="55"/>
      <c r="J67" s="56"/>
      <c r="K67" s="16"/>
      <c r="L67" s="14"/>
      <c r="M67" s="2"/>
      <c r="N67" s="2"/>
      <c r="O67" s="2"/>
      <c r="P67" s="2"/>
      <c r="Q67" s="12"/>
      <c r="R67" s="2"/>
    </row>
    <row r="68" ht="15.75" customHeight="1">
      <c r="A68" s="1"/>
      <c r="B68" s="12"/>
      <c r="C68" s="67"/>
      <c r="D68" s="12"/>
      <c r="E68" s="13"/>
      <c r="F68" s="14"/>
      <c r="G68" s="13"/>
      <c r="H68" s="14"/>
      <c r="I68" s="55"/>
      <c r="J68" s="56"/>
      <c r="K68" s="16"/>
      <c r="L68" s="14"/>
      <c r="M68" s="2"/>
      <c r="N68" s="2"/>
      <c r="O68" s="2"/>
      <c r="P68" s="2"/>
      <c r="Q68" s="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15">
        <v>47.0</v>
      </c>
      <c r="B71" s="116" t="s">
        <v>69</v>
      </c>
      <c r="C71" s="30" t="s">
        <v>408</v>
      </c>
      <c r="D71" s="19" t="s">
        <v>363</v>
      </c>
      <c r="E71" s="20">
        <v>45958.0</v>
      </c>
      <c r="F71" s="21">
        <v>0.5854166666666667</v>
      </c>
      <c r="G71" s="20">
        <v>45963.0</v>
      </c>
      <c r="H71" s="21">
        <v>0.33055555555555555</v>
      </c>
      <c r="I71" s="22">
        <v>46541.54</v>
      </c>
      <c r="J71" s="144"/>
      <c r="K71" s="145"/>
      <c r="L71" s="146"/>
      <c r="M71" s="124">
        <f t="shared" ref="M71:M77" si="20">INT(E71)+MOD(F71,1)</f>
        <v>45958.58542</v>
      </c>
      <c r="N71" s="124">
        <f t="shared" ref="N71:N77" si="21">INT(G71)+MOD(H71,1)</f>
        <v>45963.33056</v>
      </c>
      <c r="O71" s="124">
        <f t="shared" ref="O71:O77" si="22">N71-M71</f>
        <v>4.745138889</v>
      </c>
      <c r="P71" s="125">
        <f t="shared" ref="P71:P77" si="23">O71*24</f>
        <v>113.8833333</v>
      </c>
      <c r="Q71" s="12">
        <v>6.0</v>
      </c>
      <c r="R71" s="12"/>
    </row>
    <row r="72" ht="15.75" customHeight="1">
      <c r="A72" s="115">
        <v>48.0</v>
      </c>
      <c r="B72" s="126"/>
      <c r="C72" s="52" t="s">
        <v>409</v>
      </c>
      <c r="D72" s="19" t="s">
        <v>143</v>
      </c>
      <c r="E72" s="20">
        <v>45967.0</v>
      </c>
      <c r="F72" s="21">
        <v>0.05416666666666667</v>
      </c>
      <c r="G72" s="20">
        <v>45973.0</v>
      </c>
      <c r="H72" s="21">
        <v>0.9791666666666666</v>
      </c>
      <c r="I72" s="22">
        <v>49934.54</v>
      </c>
      <c r="J72" s="74"/>
      <c r="K72" s="88"/>
      <c r="L72" s="46"/>
      <c r="M72" s="25">
        <f t="shared" si="20"/>
        <v>45967.05417</v>
      </c>
      <c r="N72" s="25">
        <f t="shared" si="21"/>
        <v>45973.97917</v>
      </c>
      <c r="O72" s="25">
        <f t="shared" si="22"/>
        <v>6.925</v>
      </c>
      <c r="P72" s="127">
        <f t="shared" si="23"/>
        <v>166.2</v>
      </c>
      <c r="Q72" s="12">
        <v>6.0</v>
      </c>
      <c r="R72" s="12"/>
    </row>
    <row r="73" ht="15.75" customHeight="1">
      <c r="A73" s="115">
        <v>49.0</v>
      </c>
      <c r="B73" s="126"/>
      <c r="C73" s="52" t="s">
        <v>410</v>
      </c>
      <c r="D73" s="27" t="s">
        <v>148</v>
      </c>
      <c r="E73" s="20">
        <v>45963.0</v>
      </c>
      <c r="F73" s="21">
        <v>0.3833333333333333</v>
      </c>
      <c r="G73" s="20">
        <v>45966.0</v>
      </c>
      <c r="H73" s="21">
        <v>0.6041666666666666</v>
      </c>
      <c r="I73" s="74">
        <v>19598.74</v>
      </c>
      <c r="J73" s="74"/>
      <c r="K73" s="88"/>
      <c r="L73" s="46"/>
      <c r="M73" s="25">
        <f t="shared" si="20"/>
        <v>45963.38333</v>
      </c>
      <c r="N73" s="25">
        <f t="shared" si="21"/>
        <v>45966.60417</v>
      </c>
      <c r="O73" s="25">
        <f t="shared" si="22"/>
        <v>3.220833333</v>
      </c>
      <c r="P73" s="127">
        <f t="shared" si="23"/>
        <v>77.3</v>
      </c>
      <c r="Q73" s="12">
        <v>6.0</v>
      </c>
      <c r="R73" s="12"/>
    </row>
    <row r="74" ht="15.75" customHeight="1">
      <c r="A74" s="115">
        <v>52.0</v>
      </c>
      <c r="B74" s="126"/>
      <c r="C74" s="30" t="s">
        <v>281</v>
      </c>
      <c r="D74" s="19" t="s">
        <v>33</v>
      </c>
      <c r="E74" s="20">
        <v>45964.0</v>
      </c>
      <c r="F74" s="21">
        <v>0.3541666666666667</v>
      </c>
      <c r="G74" s="20">
        <v>45966.0</v>
      </c>
      <c r="H74" s="21">
        <v>0.6909722222222222</v>
      </c>
      <c r="I74" s="22">
        <v>7499.855</v>
      </c>
      <c r="J74" s="74"/>
      <c r="K74" s="88"/>
      <c r="L74" s="46"/>
      <c r="M74" s="25">
        <f t="shared" si="20"/>
        <v>45964.35417</v>
      </c>
      <c r="N74" s="25">
        <f t="shared" si="21"/>
        <v>45966.69097</v>
      </c>
      <c r="O74" s="25">
        <f t="shared" si="22"/>
        <v>2.336805556</v>
      </c>
      <c r="P74" s="127">
        <f t="shared" si="23"/>
        <v>56.08333333</v>
      </c>
      <c r="Q74" s="12">
        <v>7.0</v>
      </c>
      <c r="R74" s="12"/>
    </row>
    <row r="75" ht="15.75" customHeight="1">
      <c r="A75" s="115"/>
      <c r="B75" s="126"/>
      <c r="C75" s="30" t="s">
        <v>411</v>
      </c>
      <c r="D75" s="19" t="s">
        <v>33</v>
      </c>
      <c r="E75" s="20">
        <v>45966.0</v>
      </c>
      <c r="F75" s="21">
        <v>0.7291666666666666</v>
      </c>
      <c r="G75" s="20">
        <v>45971.0</v>
      </c>
      <c r="H75" s="21">
        <v>0.6006944444444444</v>
      </c>
      <c r="I75" s="22">
        <v>7297.249</v>
      </c>
      <c r="J75" s="74"/>
      <c r="K75" s="88"/>
      <c r="L75" s="46"/>
      <c r="M75" s="25">
        <f t="shared" si="20"/>
        <v>45966.72917</v>
      </c>
      <c r="N75" s="25">
        <f t="shared" si="21"/>
        <v>45971.60069</v>
      </c>
      <c r="O75" s="25">
        <f t="shared" si="22"/>
        <v>4.871527778</v>
      </c>
      <c r="P75" s="127">
        <f t="shared" si="23"/>
        <v>116.9166667</v>
      </c>
      <c r="Q75" s="12">
        <v>7.0</v>
      </c>
      <c r="R75" s="12"/>
    </row>
    <row r="76" ht="15.75" customHeight="1">
      <c r="A76" s="115"/>
      <c r="B76" s="126"/>
      <c r="C76" s="30" t="s">
        <v>412</v>
      </c>
      <c r="D76" s="19" t="s">
        <v>413</v>
      </c>
      <c r="E76" s="20">
        <v>45974.0</v>
      </c>
      <c r="F76" s="21">
        <v>0.052083333333333336</v>
      </c>
      <c r="G76" s="20">
        <v>45977.0</v>
      </c>
      <c r="H76" s="21">
        <v>0.638888888888889</v>
      </c>
      <c r="I76" s="22">
        <v>15480.8</v>
      </c>
      <c r="J76" s="74"/>
      <c r="K76" s="88"/>
      <c r="L76" s="46"/>
      <c r="M76" s="25">
        <f t="shared" si="20"/>
        <v>45974.05208</v>
      </c>
      <c r="N76" s="25">
        <f t="shared" si="21"/>
        <v>45977.63889</v>
      </c>
      <c r="O76" s="25">
        <f t="shared" si="22"/>
        <v>3.586805556</v>
      </c>
      <c r="P76" s="127">
        <f t="shared" si="23"/>
        <v>86.08333333</v>
      </c>
      <c r="Q76" s="12">
        <v>6.0</v>
      </c>
      <c r="R76" s="12"/>
    </row>
    <row r="77" ht="15.75" customHeight="1">
      <c r="A77" s="115"/>
      <c r="B77" s="126"/>
      <c r="C77" s="30" t="s">
        <v>414</v>
      </c>
      <c r="D77" s="19" t="s">
        <v>415</v>
      </c>
      <c r="E77" s="20">
        <v>45982.0</v>
      </c>
      <c r="F77" s="21">
        <v>0.4236111111111111</v>
      </c>
      <c r="G77" s="20">
        <v>45982.0</v>
      </c>
      <c r="H77" s="21">
        <v>0.6458333333333334</v>
      </c>
      <c r="I77" s="22">
        <v>60.0</v>
      </c>
      <c r="J77" s="74"/>
      <c r="K77" s="88"/>
      <c r="L77" s="46"/>
      <c r="M77" s="25">
        <f t="shared" si="20"/>
        <v>45982.42361</v>
      </c>
      <c r="N77" s="25">
        <f t="shared" si="21"/>
        <v>45982.64583</v>
      </c>
      <c r="O77" s="25">
        <f t="shared" si="22"/>
        <v>0.2222222222</v>
      </c>
      <c r="P77" s="127">
        <f t="shared" si="23"/>
        <v>5.333333333</v>
      </c>
      <c r="Q77" s="12">
        <v>6.0</v>
      </c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99"/>
      <c r="L78" s="82"/>
      <c r="M78" s="46"/>
      <c r="N78" s="46"/>
      <c r="O78" s="46"/>
      <c r="P78" s="128"/>
      <c r="Q78" s="12"/>
      <c r="R78" s="12"/>
    </row>
    <row r="79" ht="15.75" customHeight="1">
      <c r="A79" s="115"/>
      <c r="B79" s="133"/>
      <c r="C79" s="30"/>
      <c r="D79" s="19"/>
      <c r="E79" s="20"/>
      <c r="F79" s="21"/>
      <c r="G79" s="20"/>
      <c r="H79" s="21"/>
      <c r="I79" s="22"/>
      <c r="J79" s="74"/>
      <c r="K79" s="49"/>
      <c r="L79" s="50"/>
      <c r="M79" s="46"/>
      <c r="N79" s="46"/>
      <c r="O79" s="46"/>
      <c r="P79" s="128"/>
      <c r="Q79" s="12"/>
      <c r="R79" s="12"/>
    </row>
    <row r="80" ht="15.75" customHeight="1">
      <c r="A80" s="147"/>
      <c r="B80" s="148"/>
      <c r="C80" s="91"/>
      <c r="D80" s="91"/>
      <c r="E80" s="91"/>
      <c r="F80" s="91"/>
      <c r="G80" s="91"/>
      <c r="H80" s="91"/>
      <c r="I80" s="92">
        <f t="shared" ref="I80:J80" si="24">SUM(I71:I79)</f>
        <v>146412.724</v>
      </c>
      <c r="J80" s="93">
        <f t="shared" si="24"/>
        <v>0</v>
      </c>
      <c r="K80" s="39">
        <f>+(P80)/(31*24)</f>
        <v>0.8357526882</v>
      </c>
      <c r="L80" s="41"/>
      <c r="M80" s="41"/>
      <c r="N80" s="41"/>
      <c r="O80" s="41"/>
      <c r="P80" s="42">
        <f>SUM(P71:P79)</f>
        <v>621.8</v>
      </c>
      <c r="Q80" s="12"/>
      <c r="R80" s="1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2"/>
      <c r="N81" s="2"/>
      <c r="O81" s="2"/>
      <c r="P81" s="2"/>
      <c r="Q81" s="12"/>
      <c r="R81" s="1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94"/>
      <c r="J82" s="95"/>
      <c r="K82" s="3"/>
      <c r="L82" s="2"/>
      <c r="M82" s="2"/>
      <c r="N82" s="2"/>
      <c r="O82" s="2"/>
      <c r="P82" s="2"/>
      <c r="Q82" s="12"/>
      <c r="R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12"/>
      <c r="R83" s="2"/>
    </row>
    <row r="84" ht="15.75" customHeight="1">
      <c r="A84" s="96" t="s">
        <v>80</v>
      </c>
      <c r="B84" s="96"/>
      <c r="C84" s="96" t="s">
        <v>81</v>
      </c>
      <c r="D84" s="96" t="s">
        <v>82</v>
      </c>
      <c r="E84" s="96" t="s">
        <v>18</v>
      </c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96" t="s">
        <v>83</v>
      </c>
      <c r="B85" s="96"/>
      <c r="C85" s="96"/>
      <c r="D85" s="96" t="s">
        <v>84</v>
      </c>
      <c r="E85" s="96" t="s">
        <v>31</v>
      </c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</row>
    <row r="86" ht="15.75" customHeight="1">
      <c r="A86" s="96"/>
      <c r="B86" s="96"/>
      <c r="C86" s="96"/>
      <c r="D86" s="96" t="s">
        <v>85</v>
      </c>
      <c r="E86" s="96" t="s">
        <v>41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</row>
    <row r="87" ht="15.75" customHeight="1">
      <c r="A87" s="96"/>
      <c r="B87" s="96"/>
      <c r="C87" s="96"/>
      <c r="D87" s="96" t="s">
        <v>86</v>
      </c>
      <c r="E87" s="96" t="s">
        <v>62</v>
      </c>
      <c r="F87" s="2"/>
      <c r="G87" s="2"/>
      <c r="H87" s="2"/>
      <c r="I87" s="2"/>
      <c r="J87" s="2"/>
      <c r="K87" s="3"/>
      <c r="L87" s="97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87</v>
      </c>
      <c r="E88" s="96" t="s">
        <v>69</v>
      </c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/>
      <c r="E89" s="96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0"/>
    <mergeCell ref="B33:B48"/>
    <mergeCell ref="B53:B65"/>
    <mergeCell ref="B71:B7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416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417</v>
      </c>
      <c r="D7" s="19" t="s">
        <v>148</v>
      </c>
      <c r="E7" s="20">
        <v>45988.0</v>
      </c>
      <c r="F7" s="21">
        <v>0.024999999999999998</v>
      </c>
      <c r="G7" s="20">
        <v>45992.0</v>
      </c>
      <c r="H7" s="21">
        <v>0.061111111111111116</v>
      </c>
      <c r="I7" s="22">
        <v>16988.42</v>
      </c>
      <c r="J7" s="23"/>
      <c r="K7" s="45"/>
      <c r="L7" s="21"/>
      <c r="M7" s="25">
        <f t="shared" ref="M7:M15" si="1">INT(E7)+MOD(F7,1)</f>
        <v>45988.025</v>
      </c>
      <c r="N7" s="25">
        <f t="shared" ref="N7:N15" si="2">INT(G7)+MOD(H7,1)</f>
        <v>45992.06111</v>
      </c>
      <c r="O7" s="25">
        <f t="shared" ref="O7:O15" si="3">N7-M7</f>
        <v>4.036111111</v>
      </c>
      <c r="P7" s="25">
        <f t="shared" ref="P7:P15" si="4">O7*24</f>
        <v>96.86666667</v>
      </c>
      <c r="Q7" s="12">
        <v>2.0</v>
      </c>
      <c r="R7" s="2"/>
    </row>
    <row r="8">
      <c r="A8" s="5">
        <v>2.0</v>
      </c>
      <c r="B8" s="26"/>
      <c r="C8" s="30" t="s">
        <v>417</v>
      </c>
      <c r="D8" s="19" t="s">
        <v>148</v>
      </c>
      <c r="E8" s="20">
        <v>45988.0</v>
      </c>
      <c r="F8" s="21">
        <v>0.041666666666666664</v>
      </c>
      <c r="G8" s="20">
        <v>45992.0</v>
      </c>
      <c r="H8" s="21">
        <v>0.061111111111111116</v>
      </c>
      <c r="I8" s="22">
        <v>7996.32</v>
      </c>
      <c r="J8" s="23"/>
      <c r="K8" s="45"/>
      <c r="L8" s="21"/>
      <c r="M8" s="25">
        <f t="shared" si="1"/>
        <v>45988.04167</v>
      </c>
      <c r="N8" s="25">
        <f t="shared" si="2"/>
        <v>45992.06111</v>
      </c>
      <c r="O8" s="25">
        <f t="shared" si="3"/>
        <v>4.019444444</v>
      </c>
      <c r="P8" s="25">
        <f t="shared" si="4"/>
        <v>96.46666667</v>
      </c>
      <c r="Q8" s="12">
        <v>2.0</v>
      </c>
      <c r="R8" s="2"/>
    </row>
    <row r="9">
      <c r="A9" s="5">
        <v>3.0</v>
      </c>
      <c r="B9" s="26"/>
      <c r="C9" s="30" t="s">
        <v>418</v>
      </c>
      <c r="D9" s="19" t="s">
        <v>389</v>
      </c>
      <c r="E9" s="20">
        <v>45992.0</v>
      </c>
      <c r="F9" s="21">
        <v>0.2534722222222222</v>
      </c>
      <c r="G9" s="20">
        <v>45993.0</v>
      </c>
      <c r="H9" s="21">
        <v>0.3090277777777778</v>
      </c>
      <c r="I9" s="22">
        <v>3006.72</v>
      </c>
      <c r="J9" s="23"/>
      <c r="K9" s="45"/>
      <c r="L9" s="21"/>
      <c r="M9" s="25">
        <f t="shared" si="1"/>
        <v>45992.25347</v>
      </c>
      <c r="N9" s="25">
        <f t="shared" si="2"/>
        <v>45993.30903</v>
      </c>
      <c r="O9" s="25">
        <f t="shared" si="3"/>
        <v>1.055555556</v>
      </c>
      <c r="P9" s="25">
        <f t="shared" si="4"/>
        <v>25.33333333</v>
      </c>
      <c r="Q9" s="12">
        <v>1.0</v>
      </c>
      <c r="R9" s="2"/>
    </row>
    <row r="10">
      <c r="A10" s="5">
        <v>4.0</v>
      </c>
      <c r="B10" s="26"/>
      <c r="C10" s="30" t="s">
        <v>276</v>
      </c>
      <c r="D10" s="19" t="s">
        <v>277</v>
      </c>
      <c r="E10" s="20">
        <v>45993.0</v>
      </c>
      <c r="F10" s="21">
        <v>0.8368055555555555</v>
      </c>
      <c r="G10" s="20">
        <v>45994.0</v>
      </c>
      <c r="H10" s="21">
        <v>0.6041666666666666</v>
      </c>
      <c r="I10" s="22">
        <v>1175.64</v>
      </c>
      <c r="J10" s="23"/>
      <c r="K10" s="45"/>
      <c r="L10" s="21"/>
      <c r="M10" s="25">
        <f t="shared" si="1"/>
        <v>45993.83681</v>
      </c>
      <c r="N10" s="25">
        <f t="shared" si="2"/>
        <v>45994.60417</v>
      </c>
      <c r="O10" s="25">
        <f t="shared" si="3"/>
        <v>0.7673611111</v>
      </c>
      <c r="P10" s="25">
        <f t="shared" si="4"/>
        <v>18.41666667</v>
      </c>
      <c r="Q10" s="12">
        <v>1.0</v>
      </c>
      <c r="R10" s="2"/>
    </row>
    <row r="11">
      <c r="A11" s="5">
        <v>5.0</v>
      </c>
      <c r="B11" s="26"/>
      <c r="C11" s="30" t="s">
        <v>419</v>
      </c>
      <c r="D11" s="19" t="s">
        <v>238</v>
      </c>
      <c r="E11" s="20">
        <v>45995.0</v>
      </c>
      <c r="F11" s="21">
        <v>0.9791666666666666</v>
      </c>
      <c r="G11" s="20">
        <v>45999.0</v>
      </c>
      <c r="H11" s="21">
        <v>0.9756944444444445</v>
      </c>
      <c r="I11" s="22"/>
      <c r="J11" s="23">
        <v>4459.905</v>
      </c>
      <c r="K11" s="45"/>
      <c r="L11" s="21"/>
      <c r="M11" s="25">
        <f t="shared" si="1"/>
        <v>45995.97917</v>
      </c>
      <c r="N11" s="25">
        <f t="shared" si="2"/>
        <v>45999.97569</v>
      </c>
      <c r="O11" s="25">
        <f t="shared" si="3"/>
        <v>3.996527778</v>
      </c>
      <c r="P11" s="25">
        <f t="shared" si="4"/>
        <v>95.91666667</v>
      </c>
      <c r="Q11" s="12">
        <v>1.0</v>
      </c>
      <c r="R11" s="2"/>
    </row>
    <row r="12">
      <c r="A12" s="5">
        <v>6.0</v>
      </c>
      <c r="B12" s="26"/>
      <c r="C12" s="30" t="s">
        <v>419</v>
      </c>
      <c r="D12" s="19" t="s">
        <v>420</v>
      </c>
      <c r="E12" s="20">
        <v>45995.0</v>
      </c>
      <c r="F12" s="21">
        <v>0.9791666666666666</v>
      </c>
      <c r="G12" s="20">
        <v>45999.0</v>
      </c>
      <c r="H12" s="21">
        <v>0.9756944444444445</v>
      </c>
      <c r="I12" s="22"/>
      <c r="J12" s="23">
        <v>768.144</v>
      </c>
      <c r="K12" s="45"/>
      <c r="L12" s="21"/>
      <c r="M12" s="25">
        <f t="shared" si="1"/>
        <v>45995.97917</v>
      </c>
      <c r="N12" s="25">
        <f t="shared" si="2"/>
        <v>45999.97569</v>
      </c>
      <c r="O12" s="25">
        <f t="shared" si="3"/>
        <v>3.996527778</v>
      </c>
      <c r="P12" s="25">
        <f t="shared" si="4"/>
        <v>95.91666667</v>
      </c>
      <c r="Q12" s="12">
        <v>1.0</v>
      </c>
      <c r="R12" s="2"/>
    </row>
    <row r="13">
      <c r="A13" s="5">
        <v>7.0</v>
      </c>
      <c r="B13" s="26"/>
      <c r="C13" s="30" t="s">
        <v>276</v>
      </c>
      <c r="D13" s="19" t="s">
        <v>277</v>
      </c>
      <c r="E13" s="20">
        <v>46003.0</v>
      </c>
      <c r="F13" s="21">
        <v>0.6944444444444445</v>
      </c>
      <c r="G13" s="20">
        <v>46004.0</v>
      </c>
      <c r="H13" s="21">
        <v>0.37777777777777777</v>
      </c>
      <c r="I13" s="22">
        <v>1204.694</v>
      </c>
      <c r="J13" s="23"/>
      <c r="K13" s="45"/>
      <c r="L13" s="21"/>
      <c r="M13" s="25">
        <f t="shared" si="1"/>
        <v>46003.69444</v>
      </c>
      <c r="N13" s="25">
        <f t="shared" si="2"/>
        <v>46004.37778</v>
      </c>
      <c r="O13" s="25">
        <f t="shared" si="3"/>
        <v>0.6833333333</v>
      </c>
      <c r="P13" s="25">
        <f t="shared" si="4"/>
        <v>16.4</v>
      </c>
      <c r="Q13" s="12">
        <v>1.0</v>
      </c>
      <c r="R13" s="2"/>
    </row>
    <row r="14">
      <c r="A14" s="5">
        <v>8.0</v>
      </c>
      <c r="B14" s="26"/>
      <c r="C14" s="30" t="s">
        <v>421</v>
      </c>
      <c r="D14" s="19" t="s">
        <v>139</v>
      </c>
      <c r="E14" s="20">
        <v>46010.0</v>
      </c>
      <c r="F14" s="21">
        <v>0.9402777777777778</v>
      </c>
      <c r="G14" s="20">
        <v>46013.0</v>
      </c>
      <c r="H14" s="21">
        <v>0.11805555555555557</v>
      </c>
      <c r="I14" s="22"/>
      <c r="J14" s="23"/>
      <c r="K14" s="45"/>
      <c r="L14" s="21"/>
      <c r="M14" s="25">
        <f t="shared" si="1"/>
        <v>46010.94028</v>
      </c>
      <c r="N14" s="25">
        <f t="shared" si="2"/>
        <v>46013.11806</v>
      </c>
      <c r="O14" s="25">
        <f t="shared" si="3"/>
        <v>2.177777778</v>
      </c>
      <c r="P14" s="25">
        <f t="shared" si="4"/>
        <v>52.26666667</v>
      </c>
      <c r="Q14" s="12">
        <v>1.0</v>
      </c>
      <c r="R14" s="2" t="s">
        <v>422</v>
      </c>
    </row>
    <row r="15">
      <c r="A15" s="5">
        <v>9.0</v>
      </c>
      <c r="B15" s="26"/>
      <c r="C15" s="30" t="s">
        <v>423</v>
      </c>
      <c r="D15" s="19" t="s">
        <v>424</v>
      </c>
      <c r="E15" s="20">
        <v>46007.0</v>
      </c>
      <c r="F15" s="21">
        <v>0.4791666666666667</v>
      </c>
      <c r="G15" s="20">
        <v>46010.0</v>
      </c>
      <c r="H15" s="21">
        <v>0.8715277777777778</v>
      </c>
      <c r="I15" s="22">
        <v>22502.53</v>
      </c>
      <c r="J15" s="23"/>
      <c r="K15" s="45"/>
      <c r="L15" s="21"/>
      <c r="M15" s="25">
        <f t="shared" si="1"/>
        <v>46007.47917</v>
      </c>
      <c r="N15" s="25">
        <f t="shared" si="2"/>
        <v>46010.87153</v>
      </c>
      <c r="O15" s="25">
        <f t="shared" si="3"/>
        <v>3.392361111</v>
      </c>
      <c r="P15" s="25">
        <f t="shared" si="4"/>
        <v>81.41666667</v>
      </c>
      <c r="Q15" s="12">
        <v>1.0</v>
      </c>
      <c r="R15" s="2"/>
    </row>
    <row r="16">
      <c r="A16" s="5"/>
      <c r="B16" s="26"/>
      <c r="C16" s="30"/>
      <c r="D16" s="19"/>
      <c r="E16" s="20"/>
      <c r="F16" s="21"/>
      <c r="G16" s="20"/>
      <c r="H16" s="21"/>
      <c r="I16" s="22"/>
      <c r="J16" s="23"/>
      <c r="K16" s="45"/>
      <c r="L16" s="21"/>
      <c r="M16" s="46"/>
      <c r="N16" s="46"/>
      <c r="O16" s="46"/>
      <c r="P16" s="46"/>
      <c r="Q16" s="12"/>
      <c r="R16" s="2"/>
    </row>
    <row r="17">
      <c r="A17" s="5"/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/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52874.324</v>
      </c>
      <c r="J21" s="113">
        <f t="shared" si="5"/>
        <v>5228.049</v>
      </c>
      <c r="K21" s="39">
        <f>+(P21)/(31*24)</f>
        <v>0.7782258065</v>
      </c>
      <c r="L21" s="40"/>
      <c r="M21" s="41"/>
      <c r="N21" s="41"/>
      <c r="O21" s="41"/>
      <c r="P21" s="42">
        <f>SUM(P7:P20)</f>
        <v>579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1.0</v>
      </c>
      <c r="B23" s="116" t="s">
        <v>31</v>
      </c>
      <c r="C23" s="30" t="s">
        <v>324</v>
      </c>
      <c r="D23" s="19" t="s">
        <v>33</v>
      </c>
      <c r="E23" s="20">
        <v>45985.0</v>
      </c>
      <c r="F23" s="21">
        <v>0.43402777777777773</v>
      </c>
      <c r="G23" s="20">
        <v>45987.0</v>
      </c>
      <c r="H23" s="21">
        <v>0.34375</v>
      </c>
      <c r="I23" s="22">
        <v>7188.02</v>
      </c>
      <c r="J23" s="23"/>
      <c r="K23" s="45"/>
      <c r="L23" s="120"/>
      <c r="M23" s="124">
        <f t="shared" ref="M23:M31" si="6">INT(E23)+MOD(F23,1)</f>
        <v>45985.43403</v>
      </c>
      <c r="N23" s="124">
        <f t="shared" ref="N23:N31" si="7">INT(G23)+MOD(H23,1)</f>
        <v>45987.34375</v>
      </c>
      <c r="O23" s="124">
        <f t="shared" ref="O23:O31" si="8">N23-M23</f>
        <v>1.909722222</v>
      </c>
      <c r="P23" s="125">
        <f t="shared" ref="P23:P31" si="9">O23*24</f>
        <v>45.83333333</v>
      </c>
      <c r="Q23" s="12">
        <v>3.0</v>
      </c>
      <c r="R23" s="2"/>
    </row>
    <row r="24" ht="15.75" customHeight="1">
      <c r="A24" s="115">
        <v>2.0</v>
      </c>
      <c r="B24" s="126"/>
      <c r="C24" s="30" t="s">
        <v>425</v>
      </c>
      <c r="D24" s="19" t="s">
        <v>33</v>
      </c>
      <c r="E24" s="20">
        <v>45978.0</v>
      </c>
      <c r="F24" s="21">
        <v>0.7951388888888888</v>
      </c>
      <c r="G24" s="20">
        <v>45983.0</v>
      </c>
      <c r="H24" s="21">
        <v>0.3506944444444444</v>
      </c>
      <c r="I24" s="22">
        <v>7794.902</v>
      </c>
      <c r="J24" s="23"/>
      <c r="K24" s="45"/>
      <c r="L24" s="21"/>
      <c r="M24" s="124">
        <f t="shared" si="6"/>
        <v>45978.79514</v>
      </c>
      <c r="N24" s="124">
        <f t="shared" si="7"/>
        <v>45983.35069</v>
      </c>
      <c r="O24" s="124">
        <f t="shared" si="8"/>
        <v>4.555555556</v>
      </c>
      <c r="P24" s="125">
        <f t="shared" si="9"/>
        <v>109.3333333</v>
      </c>
      <c r="Q24" s="12">
        <v>3.0</v>
      </c>
      <c r="R24" s="2"/>
    </row>
    <row r="25" ht="15.75" customHeight="1">
      <c r="A25" s="115">
        <v>3.0</v>
      </c>
      <c r="B25" s="126"/>
      <c r="C25" s="30" t="s">
        <v>391</v>
      </c>
      <c r="D25" s="19" t="s">
        <v>33</v>
      </c>
      <c r="E25" s="20">
        <v>45986.0</v>
      </c>
      <c r="F25" s="21">
        <v>0.3958333333333333</v>
      </c>
      <c r="G25" s="20">
        <v>45988.0</v>
      </c>
      <c r="H25" s="21">
        <v>0.6631944444444444</v>
      </c>
      <c r="I25" s="22">
        <v>8530.36</v>
      </c>
      <c r="J25" s="23"/>
      <c r="K25" s="45"/>
      <c r="L25" s="21"/>
      <c r="M25" s="124">
        <f t="shared" si="6"/>
        <v>45986.39583</v>
      </c>
      <c r="N25" s="124">
        <f t="shared" si="7"/>
        <v>45988.66319</v>
      </c>
      <c r="O25" s="124">
        <f t="shared" si="8"/>
        <v>2.267361111</v>
      </c>
      <c r="P25" s="125">
        <f t="shared" si="9"/>
        <v>54.41666667</v>
      </c>
      <c r="Q25" s="12">
        <v>3.0</v>
      </c>
      <c r="R25" s="2"/>
    </row>
    <row r="26" ht="15.75" customHeight="1">
      <c r="A26" s="115">
        <v>4.0</v>
      </c>
      <c r="B26" s="126"/>
      <c r="C26" s="30" t="s">
        <v>331</v>
      </c>
      <c r="D26" s="19" t="s">
        <v>33</v>
      </c>
      <c r="E26" s="20">
        <v>45983.0</v>
      </c>
      <c r="F26" s="21">
        <v>0.3854166666666667</v>
      </c>
      <c r="G26" s="20">
        <v>45986.0</v>
      </c>
      <c r="H26" s="21">
        <v>0.3541666666666667</v>
      </c>
      <c r="I26" s="22">
        <v>7493.616</v>
      </c>
      <c r="J26" s="23"/>
      <c r="K26" s="45"/>
      <c r="L26" s="21"/>
      <c r="M26" s="124">
        <f t="shared" si="6"/>
        <v>45983.38542</v>
      </c>
      <c r="N26" s="124">
        <f t="shared" si="7"/>
        <v>45986.35417</v>
      </c>
      <c r="O26" s="124">
        <f t="shared" si="8"/>
        <v>2.96875</v>
      </c>
      <c r="P26" s="125">
        <f t="shared" si="9"/>
        <v>71.25</v>
      </c>
      <c r="Q26" s="12">
        <v>3.0</v>
      </c>
      <c r="R26" s="2"/>
    </row>
    <row r="27" ht="15.75" customHeight="1">
      <c r="A27" s="115">
        <v>5.0</v>
      </c>
      <c r="B27" s="126"/>
      <c r="C27" s="30" t="s">
        <v>426</v>
      </c>
      <c r="D27" s="19" t="s">
        <v>33</v>
      </c>
      <c r="E27" s="20">
        <v>45988.0</v>
      </c>
      <c r="F27" s="21">
        <v>0.7013888888888888</v>
      </c>
      <c r="G27" s="20">
        <v>45992.0</v>
      </c>
      <c r="H27" s="21">
        <v>0.6631944444444444</v>
      </c>
      <c r="I27" s="22">
        <v>8798.536</v>
      </c>
      <c r="J27" s="23"/>
      <c r="K27" s="45"/>
      <c r="L27" s="21"/>
      <c r="M27" s="124">
        <f t="shared" si="6"/>
        <v>45988.70139</v>
      </c>
      <c r="N27" s="124">
        <f t="shared" si="7"/>
        <v>45992.66319</v>
      </c>
      <c r="O27" s="124">
        <f t="shared" si="8"/>
        <v>3.961805556</v>
      </c>
      <c r="P27" s="125">
        <f t="shared" si="9"/>
        <v>95.08333333</v>
      </c>
      <c r="Q27" s="12">
        <v>3.0</v>
      </c>
      <c r="R27" s="2"/>
    </row>
    <row r="28" ht="15.75" customHeight="1">
      <c r="A28" s="115">
        <v>6.0</v>
      </c>
      <c r="B28" s="126"/>
      <c r="C28" s="30" t="s">
        <v>427</v>
      </c>
      <c r="D28" s="19" t="s">
        <v>33</v>
      </c>
      <c r="E28" s="20">
        <v>45994.0</v>
      </c>
      <c r="F28" s="21">
        <v>0.37152777777777773</v>
      </c>
      <c r="G28" s="20">
        <v>46000.0</v>
      </c>
      <c r="H28" s="21">
        <v>0.3298611111111111</v>
      </c>
      <c r="I28" s="22">
        <v>8694.879</v>
      </c>
      <c r="J28" s="23"/>
      <c r="K28" s="45"/>
      <c r="L28" s="21"/>
      <c r="M28" s="124">
        <f t="shared" si="6"/>
        <v>45994.37153</v>
      </c>
      <c r="N28" s="124">
        <f t="shared" si="7"/>
        <v>46000.32986</v>
      </c>
      <c r="O28" s="124">
        <f t="shared" si="8"/>
        <v>5.958333333</v>
      </c>
      <c r="P28" s="125">
        <f t="shared" si="9"/>
        <v>143</v>
      </c>
      <c r="Q28" s="12">
        <v>3.0</v>
      </c>
      <c r="R28" s="2"/>
    </row>
    <row r="29" ht="15.75" customHeight="1">
      <c r="A29" s="115">
        <v>7.0</v>
      </c>
      <c r="B29" s="126"/>
      <c r="C29" s="30" t="s">
        <v>205</v>
      </c>
      <c r="D29" s="19" t="s">
        <v>33</v>
      </c>
      <c r="E29" s="20">
        <v>46000.0</v>
      </c>
      <c r="F29" s="21">
        <v>0.3923611111111111</v>
      </c>
      <c r="G29" s="20">
        <v>46004.0</v>
      </c>
      <c r="H29" s="21">
        <v>0.3333333333333333</v>
      </c>
      <c r="I29" s="22">
        <v>7993.748</v>
      </c>
      <c r="J29" s="23"/>
      <c r="K29" s="45"/>
      <c r="L29" s="21"/>
      <c r="M29" s="124">
        <f t="shared" si="6"/>
        <v>46000.39236</v>
      </c>
      <c r="N29" s="124">
        <f t="shared" si="7"/>
        <v>46004.33333</v>
      </c>
      <c r="O29" s="124">
        <f t="shared" si="8"/>
        <v>3.940972222</v>
      </c>
      <c r="P29" s="125">
        <f t="shared" si="9"/>
        <v>94.58333333</v>
      </c>
      <c r="Q29" s="12">
        <v>3.0</v>
      </c>
      <c r="R29" s="2"/>
    </row>
    <row r="30" ht="15.75" customHeight="1">
      <c r="A30" s="115">
        <v>8.0</v>
      </c>
      <c r="B30" s="126"/>
      <c r="C30" s="30" t="s">
        <v>392</v>
      </c>
      <c r="D30" s="19" t="s">
        <v>33</v>
      </c>
      <c r="E30" s="20">
        <v>46004.0</v>
      </c>
      <c r="F30" s="21">
        <v>0.4166666666666667</v>
      </c>
      <c r="G30" s="20">
        <v>46009.0</v>
      </c>
      <c r="H30" s="21">
        <v>0.4826388888888889</v>
      </c>
      <c r="I30" s="22">
        <v>8693.946</v>
      </c>
      <c r="J30" s="23"/>
      <c r="K30" s="45"/>
      <c r="L30" s="21"/>
      <c r="M30" s="124">
        <f t="shared" si="6"/>
        <v>46004.41667</v>
      </c>
      <c r="N30" s="124">
        <f t="shared" si="7"/>
        <v>46009.48264</v>
      </c>
      <c r="O30" s="124">
        <f t="shared" si="8"/>
        <v>5.065972222</v>
      </c>
      <c r="P30" s="125">
        <f t="shared" si="9"/>
        <v>121.5833333</v>
      </c>
      <c r="Q30" s="12">
        <v>3.0</v>
      </c>
      <c r="R30" s="2"/>
    </row>
    <row r="31" ht="15.75" customHeight="1">
      <c r="A31" s="115">
        <v>9.0</v>
      </c>
      <c r="B31" s="126"/>
      <c r="C31" s="30" t="s">
        <v>276</v>
      </c>
      <c r="D31" s="19" t="s">
        <v>277</v>
      </c>
      <c r="E31" s="20">
        <v>46012.0</v>
      </c>
      <c r="F31" s="21">
        <v>0.611111111111111</v>
      </c>
      <c r="G31" s="20">
        <v>46013.0</v>
      </c>
      <c r="H31" s="21">
        <v>0.5666666666666667</v>
      </c>
      <c r="I31" s="22">
        <v>1204.694</v>
      </c>
      <c r="J31" s="23"/>
      <c r="K31" s="45"/>
      <c r="L31" s="21"/>
      <c r="M31" s="124">
        <f t="shared" si="6"/>
        <v>46012.61111</v>
      </c>
      <c r="N31" s="124">
        <f t="shared" si="7"/>
        <v>46013.56667</v>
      </c>
      <c r="O31" s="124">
        <f t="shared" si="8"/>
        <v>0.9555555556</v>
      </c>
      <c r="P31" s="125">
        <f t="shared" si="9"/>
        <v>22.93333333</v>
      </c>
      <c r="Q31" s="12">
        <v>3.0</v>
      </c>
      <c r="R31" s="2"/>
    </row>
    <row r="32" ht="15.75" customHeight="1">
      <c r="A32" s="115"/>
      <c r="B32" s="126"/>
      <c r="C32" s="30"/>
      <c r="D32" s="19"/>
      <c r="E32" s="20"/>
      <c r="F32" s="21"/>
      <c r="G32" s="20"/>
      <c r="H32" s="21"/>
      <c r="I32" s="22"/>
      <c r="J32" s="23"/>
      <c r="K32" s="45"/>
      <c r="L32" s="21"/>
      <c r="M32" s="46"/>
      <c r="N32" s="46"/>
      <c r="O32" s="46"/>
      <c r="P32" s="128"/>
      <c r="Q32" s="12"/>
      <c r="R32" s="2"/>
    </row>
    <row r="33" ht="15.75" customHeight="1">
      <c r="A33" s="129"/>
      <c r="B33" s="130"/>
      <c r="C33" s="33"/>
      <c r="D33" s="34"/>
      <c r="E33" s="35"/>
      <c r="F33" s="36"/>
      <c r="G33" s="35"/>
      <c r="H33" s="36"/>
      <c r="I33" s="131">
        <f t="shared" ref="I33:J33" si="10">SUM(I23:I32)</f>
        <v>66392.701</v>
      </c>
      <c r="J33" s="113">
        <f t="shared" si="10"/>
        <v>0</v>
      </c>
      <c r="K33" s="64">
        <f>+(P33)/(31*24)</f>
        <v>1.018839606</v>
      </c>
      <c r="L33" s="40"/>
      <c r="M33" s="41"/>
      <c r="N33" s="41"/>
      <c r="O33" s="41"/>
      <c r="P33" s="42">
        <f>SUM(P23:P32)</f>
        <v>758.0166667</v>
      </c>
      <c r="Q33" s="2"/>
      <c r="R33" s="2"/>
    </row>
    <row r="34" ht="15.75" customHeight="1">
      <c r="A34" s="1"/>
      <c r="B34" s="12"/>
      <c r="C34" s="43"/>
      <c r="D34" s="12"/>
      <c r="E34" s="13"/>
      <c r="F34" s="14"/>
      <c r="G34" s="13"/>
      <c r="H34" s="14"/>
      <c r="I34" s="55"/>
      <c r="J34" s="56"/>
      <c r="K34" s="16"/>
      <c r="L34" s="14"/>
      <c r="M34" s="2"/>
      <c r="N34" s="2"/>
      <c r="O34" s="2"/>
      <c r="P34" s="2"/>
      <c r="Q34" s="2"/>
      <c r="R34" s="2"/>
    </row>
    <row r="35" ht="15.75" customHeight="1">
      <c r="A35" s="115">
        <v>1.0</v>
      </c>
      <c r="B35" s="116" t="s">
        <v>41</v>
      </c>
      <c r="C35" s="30" t="s">
        <v>428</v>
      </c>
      <c r="D35" s="19" t="s">
        <v>33</v>
      </c>
      <c r="E35" s="20">
        <v>45979.0</v>
      </c>
      <c r="F35" s="21">
        <v>0.5659722222222222</v>
      </c>
      <c r="G35" s="20">
        <v>45984.0</v>
      </c>
      <c r="H35" s="21">
        <v>0.4479166666666667</v>
      </c>
      <c r="I35" s="22">
        <v>8320.011</v>
      </c>
      <c r="J35" s="23"/>
      <c r="K35" s="45"/>
      <c r="L35" s="120"/>
      <c r="M35" s="124">
        <f t="shared" ref="M35:M45" si="11">INT(E35)+MOD(F35,1)</f>
        <v>45979.56597</v>
      </c>
      <c r="N35" s="124">
        <f t="shared" ref="N35:N45" si="12">INT(G35)+MOD(H35,1)</f>
        <v>45984.44792</v>
      </c>
      <c r="O35" s="132">
        <f t="shared" ref="O35:O45" si="13">N35-M35</f>
        <v>4.881944444</v>
      </c>
      <c r="P35" s="125">
        <f t="shared" ref="P35:P45" si="14">O35*24</f>
        <v>117.1666667</v>
      </c>
      <c r="Q35" s="12">
        <v>4.0</v>
      </c>
      <c r="R35" s="2"/>
    </row>
    <row r="36" ht="15.75" customHeight="1">
      <c r="A36" s="115">
        <v>2.0</v>
      </c>
      <c r="B36" s="126"/>
      <c r="C36" s="30" t="s">
        <v>61</v>
      </c>
      <c r="D36" s="19" t="s">
        <v>33</v>
      </c>
      <c r="E36" s="20">
        <v>45983.0</v>
      </c>
      <c r="F36" s="21">
        <v>0.75</v>
      </c>
      <c r="G36" s="20">
        <v>45987.0</v>
      </c>
      <c r="H36" s="21">
        <v>0.3645833333333333</v>
      </c>
      <c r="I36" s="22">
        <v>7493.731</v>
      </c>
      <c r="J36" s="23"/>
      <c r="K36" s="45"/>
      <c r="L36" s="21"/>
      <c r="M36" s="25">
        <f t="shared" si="11"/>
        <v>45983.75</v>
      </c>
      <c r="N36" s="25">
        <f t="shared" si="12"/>
        <v>45987.36458</v>
      </c>
      <c r="O36" s="60">
        <f t="shared" si="13"/>
        <v>3.614583333</v>
      </c>
      <c r="P36" s="127">
        <f t="shared" si="14"/>
        <v>86.75</v>
      </c>
      <c r="Q36" s="12">
        <v>4.0</v>
      </c>
      <c r="R36" s="2"/>
    </row>
    <row r="37" ht="15.75" customHeight="1">
      <c r="A37" s="115">
        <v>3.0</v>
      </c>
      <c r="B37" s="126"/>
      <c r="C37" s="30" t="s">
        <v>429</v>
      </c>
      <c r="D37" s="19" t="s">
        <v>33</v>
      </c>
      <c r="E37" s="20">
        <v>45988.0</v>
      </c>
      <c r="F37" s="21">
        <v>0.3645833333333333</v>
      </c>
      <c r="G37" s="20">
        <v>45991.0</v>
      </c>
      <c r="H37" s="21">
        <v>0.5208333333333334</v>
      </c>
      <c r="I37" s="22">
        <v>8738.496</v>
      </c>
      <c r="J37" s="29"/>
      <c r="K37" s="45"/>
      <c r="L37" s="21"/>
      <c r="M37" s="25">
        <f t="shared" si="11"/>
        <v>45988.36458</v>
      </c>
      <c r="N37" s="25">
        <f t="shared" si="12"/>
        <v>45991.52083</v>
      </c>
      <c r="O37" s="60">
        <f t="shared" si="13"/>
        <v>3.15625</v>
      </c>
      <c r="P37" s="127">
        <f t="shared" si="14"/>
        <v>75.75</v>
      </c>
      <c r="Q37" s="12">
        <v>4.0</v>
      </c>
      <c r="R37" s="2"/>
    </row>
    <row r="38" ht="15.75" customHeight="1">
      <c r="A38" s="115">
        <v>4.0</v>
      </c>
      <c r="B38" s="126"/>
      <c r="C38" s="30" t="s">
        <v>430</v>
      </c>
      <c r="D38" s="19" t="s">
        <v>33</v>
      </c>
      <c r="E38" s="20">
        <v>45992.0</v>
      </c>
      <c r="F38" s="21">
        <v>0.3958333333333333</v>
      </c>
      <c r="G38" s="20">
        <v>45995.0</v>
      </c>
      <c r="H38" s="21">
        <v>0.545138888888889</v>
      </c>
      <c r="I38" s="22">
        <v>7571.3</v>
      </c>
      <c r="J38" s="23"/>
      <c r="K38" s="45"/>
      <c r="L38" s="21"/>
      <c r="M38" s="25">
        <f t="shared" si="11"/>
        <v>45992.39583</v>
      </c>
      <c r="N38" s="25">
        <f t="shared" si="12"/>
        <v>45995.54514</v>
      </c>
      <c r="O38" s="60">
        <f t="shared" si="13"/>
        <v>3.149305556</v>
      </c>
      <c r="P38" s="127">
        <f t="shared" si="14"/>
        <v>75.58333333</v>
      </c>
      <c r="Q38" s="12">
        <v>4.0</v>
      </c>
      <c r="R38" s="2"/>
    </row>
    <row r="39" ht="15.75" customHeight="1">
      <c r="A39" s="115">
        <v>5.0</v>
      </c>
      <c r="B39" s="126"/>
      <c r="C39" s="30" t="s">
        <v>431</v>
      </c>
      <c r="D39" s="19" t="s">
        <v>33</v>
      </c>
      <c r="E39" s="20">
        <v>45993.0</v>
      </c>
      <c r="F39" s="21">
        <v>0.5729166666666666</v>
      </c>
      <c r="G39" s="20">
        <v>45998.0</v>
      </c>
      <c r="H39" s="21">
        <v>0.5034722222222222</v>
      </c>
      <c r="I39" s="22">
        <v>8438.1</v>
      </c>
      <c r="J39" s="23"/>
      <c r="K39" s="45"/>
      <c r="L39" s="21"/>
      <c r="M39" s="25">
        <f t="shared" si="11"/>
        <v>45993.57292</v>
      </c>
      <c r="N39" s="25">
        <f t="shared" si="12"/>
        <v>45998.50347</v>
      </c>
      <c r="O39" s="60">
        <f t="shared" si="13"/>
        <v>4.930555556</v>
      </c>
      <c r="P39" s="127">
        <f t="shared" si="14"/>
        <v>118.3333333</v>
      </c>
      <c r="Q39" s="12">
        <v>4.0</v>
      </c>
      <c r="R39" s="2"/>
    </row>
    <row r="40" ht="15.75" customHeight="1">
      <c r="A40" s="115">
        <v>6.0</v>
      </c>
      <c r="B40" s="126"/>
      <c r="C40" s="30" t="s">
        <v>432</v>
      </c>
      <c r="D40" s="19" t="s">
        <v>33</v>
      </c>
      <c r="E40" s="20">
        <v>45998.0</v>
      </c>
      <c r="F40" s="21">
        <v>0.5381944444444444</v>
      </c>
      <c r="G40" s="20">
        <v>46001.0</v>
      </c>
      <c r="H40" s="21">
        <v>0.6284722222222222</v>
      </c>
      <c r="I40" s="22">
        <v>7725.72</v>
      </c>
      <c r="J40" s="23"/>
      <c r="K40" s="45"/>
      <c r="L40" s="21"/>
      <c r="M40" s="25">
        <f t="shared" si="11"/>
        <v>45998.53819</v>
      </c>
      <c r="N40" s="25">
        <f t="shared" si="12"/>
        <v>46001.62847</v>
      </c>
      <c r="O40" s="60">
        <f t="shared" si="13"/>
        <v>3.090277778</v>
      </c>
      <c r="P40" s="127">
        <f t="shared" si="14"/>
        <v>74.16666667</v>
      </c>
      <c r="Q40" s="12">
        <v>4.0</v>
      </c>
      <c r="R40" s="2"/>
    </row>
    <row r="41" ht="15.75" customHeight="1">
      <c r="A41" s="115">
        <v>7.0</v>
      </c>
      <c r="B41" s="126"/>
      <c r="C41" s="30" t="s">
        <v>433</v>
      </c>
      <c r="D41" s="19" t="s">
        <v>33</v>
      </c>
      <c r="E41" s="20">
        <v>45995.0</v>
      </c>
      <c r="F41" s="21">
        <v>0.5902777777777778</v>
      </c>
      <c r="G41" s="20">
        <v>45998.0</v>
      </c>
      <c r="H41" s="21">
        <v>0.3368055555555556</v>
      </c>
      <c r="I41" s="22">
        <v>7530.36</v>
      </c>
      <c r="J41" s="23"/>
      <c r="K41" s="45"/>
      <c r="L41" s="21"/>
      <c r="M41" s="25">
        <f t="shared" si="11"/>
        <v>45995.59028</v>
      </c>
      <c r="N41" s="25">
        <f t="shared" si="12"/>
        <v>45998.33681</v>
      </c>
      <c r="O41" s="60">
        <f t="shared" si="13"/>
        <v>2.746527778</v>
      </c>
      <c r="P41" s="127">
        <f t="shared" si="14"/>
        <v>65.91666667</v>
      </c>
      <c r="Q41" s="12">
        <v>4.0</v>
      </c>
      <c r="R41" s="2"/>
    </row>
    <row r="42" ht="15.75" customHeight="1">
      <c r="A42" s="115">
        <v>8.0</v>
      </c>
      <c r="B42" s="126"/>
      <c r="C42" s="30" t="s">
        <v>50</v>
      </c>
      <c r="D42" s="19" t="s">
        <v>33</v>
      </c>
      <c r="E42" s="20">
        <v>45998.0</v>
      </c>
      <c r="F42" s="21">
        <v>0.3854166666666667</v>
      </c>
      <c r="G42" s="20">
        <v>46004.0</v>
      </c>
      <c r="H42" s="21">
        <v>0.3506944444444444</v>
      </c>
      <c r="I42" s="22">
        <v>7363.201</v>
      </c>
      <c r="J42" s="23"/>
      <c r="K42" s="45"/>
      <c r="L42" s="21"/>
      <c r="M42" s="25">
        <f t="shared" si="11"/>
        <v>45998.38542</v>
      </c>
      <c r="N42" s="25">
        <f t="shared" si="12"/>
        <v>46004.35069</v>
      </c>
      <c r="O42" s="60">
        <f t="shared" si="13"/>
        <v>5.965277778</v>
      </c>
      <c r="P42" s="127">
        <f t="shared" si="14"/>
        <v>143.1666667</v>
      </c>
      <c r="Q42" s="12">
        <v>4.0</v>
      </c>
      <c r="R42" s="2"/>
    </row>
    <row r="43" ht="15.75" customHeight="1">
      <c r="A43" s="115">
        <v>9.0</v>
      </c>
      <c r="B43" s="126"/>
      <c r="C43" s="30" t="s">
        <v>304</v>
      </c>
      <c r="D43" s="19" t="s">
        <v>33</v>
      </c>
      <c r="E43" s="20">
        <v>46006.0</v>
      </c>
      <c r="F43" s="21">
        <v>0.40277777777777773</v>
      </c>
      <c r="G43" s="20">
        <v>46008.0</v>
      </c>
      <c r="H43" s="21">
        <v>0.3263888888888889</v>
      </c>
      <c r="I43" s="22">
        <v>8433.18</v>
      </c>
      <c r="J43" s="23"/>
      <c r="K43" s="45"/>
      <c r="L43" s="21"/>
      <c r="M43" s="25">
        <f t="shared" si="11"/>
        <v>46006.40278</v>
      </c>
      <c r="N43" s="25">
        <f t="shared" si="12"/>
        <v>46008.32639</v>
      </c>
      <c r="O43" s="60">
        <f t="shared" si="13"/>
        <v>1.923611111</v>
      </c>
      <c r="P43" s="127">
        <f t="shared" si="14"/>
        <v>46.16666667</v>
      </c>
      <c r="Q43" s="12">
        <v>4.0</v>
      </c>
      <c r="R43" s="2"/>
    </row>
    <row r="44" ht="15.75" customHeight="1">
      <c r="A44" s="115">
        <v>10.0</v>
      </c>
      <c r="B44" s="126"/>
      <c r="C44" s="30" t="s">
        <v>434</v>
      </c>
      <c r="D44" s="19" t="s">
        <v>33</v>
      </c>
      <c r="E44" s="20">
        <v>46008.0</v>
      </c>
      <c r="F44" s="21">
        <v>0.5555555555555556</v>
      </c>
      <c r="G44" s="20">
        <v>46011.0</v>
      </c>
      <c r="H44" s="21">
        <v>0.545138888888889</v>
      </c>
      <c r="I44" s="22">
        <v>7795.92</v>
      </c>
      <c r="J44" s="23"/>
      <c r="K44" s="45"/>
      <c r="L44" s="21"/>
      <c r="M44" s="25">
        <f t="shared" si="11"/>
        <v>46008.55556</v>
      </c>
      <c r="N44" s="25">
        <f t="shared" si="12"/>
        <v>46011.54514</v>
      </c>
      <c r="O44" s="60">
        <f t="shared" si="13"/>
        <v>2.989583333</v>
      </c>
      <c r="P44" s="127">
        <f t="shared" si="14"/>
        <v>71.75</v>
      </c>
      <c r="Q44" s="12">
        <v>4.0</v>
      </c>
      <c r="R44" s="2"/>
    </row>
    <row r="45" ht="15.75" customHeight="1">
      <c r="A45" s="115">
        <v>11.0</v>
      </c>
      <c r="B45" s="126"/>
      <c r="C45" s="30" t="s">
        <v>115</v>
      </c>
      <c r="D45" s="19" t="s">
        <v>33</v>
      </c>
      <c r="E45" s="20">
        <v>46012.0</v>
      </c>
      <c r="F45" s="21">
        <v>0.3888888888888889</v>
      </c>
      <c r="G45" s="20">
        <v>46014.0</v>
      </c>
      <c r="H45" s="21">
        <v>0.7013888888888888</v>
      </c>
      <c r="I45" s="22">
        <v>7252.12</v>
      </c>
      <c r="J45" s="23"/>
      <c r="K45" s="45"/>
      <c r="L45" s="21"/>
      <c r="M45" s="25">
        <f t="shared" si="11"/>
        <v>46012.38889</v>
      </c>
      <c r="N45" s="25">
        <f t="shared" si="12"/>
        <v>46014.70139</v>
      </c>
      <c r="O45" s="60">
        <f t="shared" si="13"/>
        <v>2.3125</v>
      </c>
      <c r="P45" s="127">
        <f t="shared" si="14"/>
        <v>55.5</v>
      </c>
      <c r="Q45" s="12">
        <v>4.0</v>
      </c>
      <c r="R45" s="2"/>
    </row>
    <row r="46" ht="15.75" customHeight="1">
      <c r="A46" s="115"/>
      <c r="B46" s="126"/>
      <c r="C46" s="30"/>
      <c r="D46" s="19"/>
      <c r="E46" s="20"/>
      <c r="F46" s="21"/>
      <c r="G46" s="20"/>
      <c r="H46" s="21"/>
      <c r="I46" s="22"/>
      <c r="J46" s="23"/>
      <c r="K46" s="45"/>
      <c r="L46" s="21"/>
      <c r="M46" s="46"/>
      <c r="N46" s="46"/>
      <c r="O46" s="61"/>
      <c r="P46" s="128"/>
      <c r="Q46" s="12"/>
      <c r="R46" s="2"/>
    </row>
    <row r="47" ht="15.75" customHeight="1">
      <c r="A47" s="115"/>
      <c r="B47" s="126"/>
      <c r="C47" s="30"/>
      <c r="D47" s="19"/>
      <c r="E47" s="20"/>
      <c r="F47" s="21"/>
      <c r="G47" s="20"/>
      <c r="H47" s="21"/>
      <c r="I47" s="22"/>
      <c r="J47" s="23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26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5.75" customHeight="1">
      <c r="A49" s="115"/>
      <c r="B49" s="126"/>
      <c r="C49" s="67"/>
      <c r="D49" s="108"/>
      <c r="E49" s="104"/>
      <c r="F49" s="72"/>
      <c r="G49" s="104"/>
      <c r="H49" s="72"/>
      <c r="I49" s="109"/>
      <c r="J49" s="111"/>
      <c r="K49" s="45"/>
      <c r="L49" s="50"/>
      <c r="M49" s="46"/>
      <c r="N49" s="46"/>
      <c r="O49" s="61"/>
      <c r="P49" s="128"/>
      <c r="Q49" s="12"/>
      <c r="R49" s="2"/>
    </row>
    <row r="50" ht="15.75" customHeight="1">
      <c r="A50" s="115"/>
      <c r="B50" s="133"/>
      <c r="C50" s="30"/>
      <c r="D50" s="19"/>
      <c r="E50" s="20"/>
      <c r="F50" s="21"/>
      <c r="G50" s="20"/>
      <c r="H50" s="21"/>
      <c r="I50" s="22"/>
      <c r="J50" s="29"/>
      <c r="K50" s="45"/>
      <c r="L50" s="50"/>
      <c r="M50" s="46"/>
      <c r="N50" s="46"/>
      <c r="O50" s="61"/>
      <c r="P50" s="128"/>
      <c r="Q50" s="12"/>
      <c r="R50" s="2"/>
    </row>
    <row r="51" ht="18.0" customHeight="1">
      <c r="A51" s="115"/>
      <c r="B51" s="134"/>
      <c r="C51" s="30"/>
      <c r="D51" s="19"/>
      <c r="E51" s="20"/>
      <c r="F51" s="21"/>
      <c r="G51" s="20"/>
      <c r="H51" s="21"/>
      <c r="I51" s="22"/>
      <c r="J51" s="29"/>
      <c r="K51" s="45"/>
      <c r="L51" s="21"/>
      <c r="M51" s="46"/>
      <c r="N51" s="46"/>
      <c r="O51" s="61"/>
      <c r="P51" s="128"/>
      <c r="Q51" s="12"/>
      <c r="R51" s="2"/>
    </row>
    <row r="52" ht="18.75" customHeight="1">
      <c r="A52" s="135"/>
      <c r="B52" s="134"/>
      <c r="C52" s="102"/>
      <c r="D52" s="108"/>
      <c r="E52" s="104"/>
      <c r="F52" s="72"/>
      <c r="G52" s="104"/>
      <c r="H52" s="72"/>
      <c r="I52" s="109"/>
      <c r="J52" s="136"/>
      <c r="K52" s="137"/>
      <c r="L52" s="69"/>
      <c r="M52" s="70"/>
      <c r="N52" s="70"/>
      <c r="O52" s="110"/>
      <c r="P52" s="138"/>
      <c r="Q52" s="12"/>
      <c r="R52" s="2"/>
    </row>
    <row r="53" ht="15.75" customHeight="1">
      <c r="A53" s="139"/>
      <c r="B53" s="140"/>
      <c r="C53" s="141"/>
      <c r="D53" s="34"/>
      <c r="E53" s="35"/>
      <c r="F53" s="36"/>
      <c r="G53" s="35"/>
      <c r="H53" s="36"/>
      <c r="I53" s="131">
        <f>SUM(I35:I52)</f>
        <v>86662.139</v>
      </c>
      <c r="J53" s="142">
        <f>SUM(J35:J50)</f>
        <v>0</v>
      </c>
      <c r="K53" s="64">
        <f>+(P53)/(31*24)</f>
        <v>1.250336022</v>
      </c>
      <c r="L53" s="40"/>
      <c r="M53" s="41"/>
      <c r="N53" s="41"/>
      <c r="O53" s="41"/>
      <c r="P53" s="42">
        <f>SUM(P35:P50)</f>
        <v>930.25</v>
      </c>
      <c r="Q53" s="12"/>
      <c r="R53" s="2"/>
    </row>
    <row r="54" ht="15.75" customHeight="1">
      <c r="A54" s="65"/>
      <c r="B54" s="66"/>
      <c r="C54" s="67"/>
      <c r="D54" s="12"/>
      <c r="E54" s="13"/>
      <c r="F54" s="14"/>
      <c r="G54" s="13"/>
      <c r="H54" s="14"/>
      <c r="I54" s="55"/>
      <c r="J54" s="56"/>
      <c r="K54" s="68"/>
      <c r="L54" s="69"/>
      <c r="M54" s="70"/>
      <c r="N54" s="70"/>
      <c r="O54" s="70"/>
      <c r="P54" s="71"/>
      <c r="Q54" s="12"/>
      <c r="R54" s="2"/>
    </row>
    <row r="55" ht="15.75" customHeight="1">
      <c r="A55" s="115">
        <v>1.0</v>
      </c>
      <c r="B55" s="116" t="s">
        <v>62</v>
      </c>
      <c r="C55" s="30" t="s">
        <v>392</v>
      </c>
      <c r="D55" s="19" t="s">
        <v>33</v>
      </c>
      <c r="E55" s="20">
        <v>45983.0</v>
      </c>
      <c r="F55" s="21">
        <v>0.4270833333333333</v>
      </c>
      <c r="G55" s="20">
        <v>45985.0</v>
      </c>
      <c r="H55" s="21">
        <v>0.3888888888888889</v>
      </c>
      <c r="I55" s="22">
        <v>8515.5</v>
      </c>
      <c r="J55" s="23"/>
      <c r="K55" s="123"/>
      <c r="L55" s="120"/>
      <c r="M55" s="124">
        <f t="shared" ref="M55:M65" si="15">INT(E55)+MOD(F55,1)</f>
        <v>45983.42708</v>
      </c>
      <c r="N55" s="124">
        <f t="shared" ref="N55:N65" si="16">INT(G55)+MOD(H55,1)</f>
        <v>45985.38889</v>
      </c>
      <c r="O55" s="124">
        <f t="shared" ref="O55:O65" si="17">N55-M55</f>
        <v>1.961805556</v>
      </c>
      <c r="P55" s="125">
        <f t="shared" ref="P55:P65" si="18">O55*24</f>
        <v>47.08333333</v>
      </c>
      <c r="Q55" s="12">
        <v>5.0</v>
      </c>
      <c r="R55" s="2"/>
    </row>
    <row r="56" ht="15.75" customHeight="1">
      <c r="A56" s="115">
        <v>2.0</v>
      </c>
      <c r="B56" s="126"/>
      <c r="C56" s="30" t="s">
        <v>172</v>
      </c>
      <c r="D56" s="19" t="s">
        <v>33</v>
      </c>
      <c r="E56" s="20">
        <v>45984.0</v>
      </c>
      <c r="F56" s="21">
        <v>0.5659722222222222</v>
      </c>
      <c r="G56" s="20">
        <v>45988.0</v>
      </c>
      <c r="H56" s="21">
        <v>0.3298611111111111</v>
      </c>
      <c r="I56" s="22">
        <v>7696.743</v>
      </c>
      <c r="J56" s="23"/>
      <c r="K56" s="45"/>
      <c r="L56" s="21"/>
      <c r="M56" s="25">
        <f t="shared" si="15"/>
        <v>45984.56597</v>
      </c>
      <c r="N56" s="25">
        <f t="shared" si="16"/>
        <v>45988.32986</v>
      </c>
      <c r="O56" s="25">
        <f t="shared" si="17"/>
        <v>3.763888889</v>
      </c>
      <c r="P56" s="127">
        <f t="shared" si="18"/>
        <v>90.33333333</v>
      </c>
      <c r="Q56" s="12">
        <v>5.0</v>
      </c>
      <c r="R56" s="2"/>
    </row>
    <row r="57" ht="15.75" customHeight="1">
      <c r="A57" s="115">
        <v>3.0</v>
      </c>
      <c r="B57" s="126"/>
      <c r="C57" s="30" t="s">
        <v>348</v>
      </c>
      <c r="D57" s="19" t="s">
        <v>33</v>
      </c>
      <c r="E57" s="20">
        <v>45987.0</v>
      </c>
      <c r="F57" s="21">
        <v>0.4444444444444444</v>
      </c>
      <c r="G57" s="20">
        <v>45990.0</v>
      </c>
      <c r="H57" s="21">
        <v>0.2708333333333333</v>
      </c>
      <c r="I57" s="22">
        <v>7528.664</v>
      </c>
      <c r="J57" s="23"/>
      <c r="K57" s="45"/>
      <c r="L57" s="21"/>
      <c r="M57" s="25">
        <f t="shared" si="15"/>
        <v>45987.44444</v>
      </c>
      <c r="N57" s="25">
        <f t="shared" si="16"/>
        <v>45990.27083</v>
      </c>
      <c r="O57" s="25">
        <f t="shared" si="17"/>
        <v>2.826388889</v>
      </c>
      <c r="P57" s="127">
        <f t="shared" si="18"/>
        <v>67.83333333</v>
      </c>
      <c r="Q57" s="12">
        <v>5.0</v>
      </c>
      <c r="R57" s="2"/>
    </row>
    <row r="58" ht="15.75" customHeight="1">
      <c r="A58" s="115">
        <v>4.0</v>
      </c>
      <c r="B58" s="126"/>
      <c r="C58" s="30" t="s">
        <v>279</v>
      </c>
      <c r="D58" s="19" t="s">
        <v>33</v>
      </c>
      <c r="E58" s="20">
        <v>45987.0</v>
      </c>
      <c r="F58" s="21">
        <v>0.4930555555555556</v>
      </c>
      <c r="G58" s="20">
        <v>45991.0</v>
      </c>
      <c r="H58" s="21">
        <v>0.3055555555555555</v>
      </c>
      <c r="I58" s="22">
        <v>7425.543</v>
      </c>
      <c r="J58" s="23"/>
      <c r="K58" s="45"/>
      <c r="L58" s="21"/>
      <c r="M58" s="25">
        <f t="shared" si="15"/>
        <v>45987.49306</v>
      </c>
      <c r="N58" s="25">
        <f t="shared" si="16"/>
        <v>45991.30556</v>
      </c>
      <c r="O58" s="25">
        <f t="shared" si="17"/>
        <v>3.8125</v>
      </c>
      <c r="P58" s="127">
        <f t="shared" si="18"/>
        <v>91.5</v>
      </c>
      <c r="Q58" s="12">
        <v>5.0</v>
      </c>
      <c r="R58" s="2"/>
    </row>
    <row r="59" ht="15.75" customHeight="1">
      <c r="A59" s="115">
        <v>5.0</v>
      </c>
      <c r="B59" s="126"/>
      <c r="C59" s="30" t="s">
        <v>435</v>
      </c>
      <c r="D59" s="19" t="s">
        <v>148</v>
      </c>
      <c r="E59" s="20">
        <v>45993.0</v>
      </c>
      <c r="F59" s="21">
        <v>0.41250000000000003</v>
      </c>
      <c r="G59" s="20">
        <v>45997.0</v>
      </c>
      <c r="H59" s="21">
        <v>0.6875</v>
      </c>
      <c r="I59" s="22">
        <v>9933.38</v>
      </c>
      <c r="J59" s="23"/>
      <c r="K59" s="45"/>
      <c r="L59" s="21"/>
      <c r="M59" s="25">
        <f t="shared" si="15"/>
        <v>45993.4125</v>
      </c>
      <c r="N59" s="25">
        <f t="shared" si="16"/>
        <v>45997.6875</v>
      </c>
      <c r="O59" s="25">
        <f t="shared" si="17"/>
        <v>4.275</v>
      </c>
      <c r="P59" s="127">
        <f t="shared" si="18"/>
        <v>102.6</v>
      </c>
      <c r="Q59" s="12">
        <v>5.0</v>
      </c>
      <c r="R59" s="2"/>
    </row>
    <row r="60" ht="15.75" customHeight="1">
      <c r="A60" s="115">
        <v>6.0</v>
      </c>
      <c r="B60" s="126"/>
      <c r="C60" s="30" t="s">
        <v>436</v>
      </c>
      <c r="D60" s="19" t="s">
        <v>33</v>
      </c>
      <c r="E60" s="20">
        <v>45998.0</v>
      </c>
      <c r="F60" s="21">
        <v>0.4201388888888889</v>
      </c>
      <c r="G60" s="20">
        <v>46000.0</v>
      </c>
      <c r="H60" s="21">
        <v>0.43402777777777773</v>
      </c>
      <c r="I60" s="22">
        <v>7429.78</v>
      </c>
      <c r="J60" s="23"/>
      <c r="K60" s="45"/>
      <c r="L60" s="21"/>
      <c r="M60" s="25">
        <f t="shared" si="15"/>
        <v>45998.42014</v>
      </c>
      <c r="N60" s="25">
        <f t="shared" si="16"/>
        <v>46000.43403</v>
      </c>
      <c r="O60" s="25">
        <f t="shared" si="17"/>
        <v>2.013888889</v>
      </c>
      <c r="P60" s="127">
        <f t="shared" si="18"/>
        <v>48.33333333</v>
      </c>
      <c r="Q60" s="12">
        <v>5.0</v>
      </c>
      <c r="R60" s="2"/>
    </row>
    <row r="61" ht="15.75" customHeight="1">
      <c r="A61" s="115">
        <v>7.0</v>
      </c>
      <c r="B61" s="126"/>
      <c r="C61" s="30" t="s">
        <v>437</v>
      </c>
      <c r="D61" s="19" t="s">
        <v>33</v>
      </c>
      <c r="E61" s="20">
        <v>46000.0</v>
      </c>
      <c r="F61" s="21">
        <v>0.46319444444444446</v>
      </c>
      <c r="G61" s="20">
        <v>46002.0</v>
      </c>
      <c r="H61" s="21">
        <v>0.4770833333333333</v>
      </c>
      <c r="I61" s="22">
        <v>7622.66</v>
      </c>
      <c r="J61" s="23"/>
      <c r="K61" s="45"/>
      <c r="L61" s="21"/>
      <c r="M61" s="25">
        <f t="shared" si="15"/>
        <v>46000.46319</v>
      </c>
      <c r="N61" s="25">
        <f t="shared" si="16"/>
        <v>46002.47708</v>
      </c>
      <c r="O61" s="25">
        <f t="shared" si="17"/>
        <v>2.013888889</v>
      </c>
      <c r="P61" s="127">
        <f t="shared" si="18"/>
        <v>48.33333333</v>
      </c>
      <c r="Q61" s="12">
        <v>5.0</v>
      </c>
      <c r="R61" s="2"/>
    </row>
    <row r="62" ht="15.75" customHeight="1">
      <c r="A62" s="115">
        <v>8.0</v>
      </c>
      <c r="B62" s="126"/>
      <c r="C62" s="30" t="s">
        <v>438</v>
      </c>
      <c r="D62" s="19" t="s">
        <v>319</v>
      </c>
      <c r="E62" s="20">
        <v>46001.0</v>
      </c>
      <c r="F62" s="21">
        <v>0.6770833333333334</v>
      </c>
      <c r="G62" s="20">
        <v>46003.0</v>
      </c>
      <c r="H62" s="21">
        <v>0.6284722222222222</v>
      </c>
      <c r="I62" s="22">
        <v>3845.74</v>
      </c>
      <c r="J62" s="23"/>
      <c r="K62" s="45"/>
      <c r="L62" s="21"/>
      <c r="M62" s="25">
        <f t="shared" si="15"/>
        <v>46001.67708</v>
      </c>
      <c r="N62" s="25">
        <f t="shared" si="16"/>
        <v>46003.62847</v>
      </c>
      <c r="O62" s="25">
        <f t="shared" si="17"/>
        <v>1.951388889</v>
      </c>
      <c r="P62" s="127">
        <f t="shared" si="18"/>
        <v>46.83333333</v>
      </c>
      <c r="Q62" s="12">
        <v>5.0</v>
      </c>
      <c r="R62" s="2"/>
    </row>
    <row r="63" ht="15.75" customHeight="1">
      <c r="A63" s="115">
        <v>9.0</v>
      </c>
      <c r="B63" s="126"/>
      <c r="C63" s="30" t="s">
        <v>403</v>
      </c>
      <c r="D63" s="19" t="s">
        <v>33</v>
      </c>
      <c r="E63" s="20">
        <v>46003.0</v>
      </c>
      <c r="F63" s="21">
        <v>0.3888888888888889</v>
      </c>
      <c r="G63" s="20">
        <v>46007.0</v>
      </c>
      <c r="H63" s="21">
        <v>0.5243055555555556</v>
      </c>
      <c r="I63" s="22">
        <v>8500.739</v>
      </c>
      <c r="J63" s="23"/>
      <c r="K63" s="45"/>
      <c r="L63" s="21"/>
      <c r="M63" s="25">
        <f t="shared" si="15"/>
        <v>46003.38889</v>
      </c>
      <c r="N63" s="25">
        <f t="shared" si="16"/>
        <v>46007.52431</v>
      </c>
      <c r="O63" s="25">
        <f t="shared" si="17"/>
        <v>4.135416667</v>
      </c>
      <c r="P63" s="127">
        <f t="shared" si="18"/>
        <v>99.25</v>
      </c>
      <c r="Q63" s="12">
        <v>5.0</v>
      </c>
      <c r="R63" s="2"/>
    </row>
    <row r="64" ht="15.75" customHeight="1">
      <c r="A64" s="115">
        <v>10.0</v>
      </c>
      <c r="B64" s="126"/>
      <c r="C64" s="30" t="s">
        <v>439</v>
      </c>
      <c r="D64" s="19" t="s">
        <v>33</v>
      </c>
      <c r="E64" s="20">
        <v>46008.0</v>
      </c>
      <c r="F64" s="21">
        <v>0.5868055555555556</v>
      </c>
      <c r="G64" s="20">
        <v>46012.0</v>
      </c>
      <c r="H64" s="21">
        <v>0.4479166666666667</v>
      </c>
      <c r="I64" s="22">
        <v>8846.02</v>
      </c>
      <c r="J64" s="29"/>
      <c r="K64" s="45"/>
      <c r="L64" s="21"/>
      <c r="M64" s="25">
        <f t="shared" si="15"/>
        <v>46008.58681</v>
      </c>
      <c r="N64" s="25">
        <f t="shared" si="16"/>
        <v>46012.44792</v>
      </c>
      <c r="O64" s="25">
        <f t="shared" si="17"/>
        <v>3.861111111</v>
      </c>
      <c r="P64" s="127">
        <f t="shared" si="18"/>
        <v>92.66666667</v>
      </c>
      <c r="Q64" s="12">
        <v>5.0</v>
      </c>
      <c r="R64" s="2"/>
    </row>
    <row r="65" ht="15.75" customHeight="1">
      <c r="A65" s="115">
        <v>11.0</v>
      </c>
      <c r="B65" s="126"/>
      <c r="C65" s="30" t="s">
        <v>440</v>
      </c>
      <c r="D65" s="19" t="s">
        <v>33</v>
      </c>
      <c r="E65" s="20">
        <v>46010.0</v>
      </c>
      <c r="F65" s="21">
        <v>0.5833333333333334</v>
      </c>
      <c r="G65" s="20">
        <v>46013.0</v>
      </c>
      <c r="H65" s="21">
        <v>0.34722222222222227</v>
      </c>
      <c r="I65" s="22">
        <v>7523.107</v>
      </c>
      <c r="J65" s="23"/>
      <c r="K65" s="45"/>
      <c r="L65" s="50"/>
      <c r="M65" s="25">
        <f t="shared" si="15"/>
        <v>46010.58333</v>
      </c>
      <c r="N65" s="25">
        <f t="shared" si="16"/>
        <v>46013.34722</v>
      </c>
      <c r="O65" s="25">
        <f t="shared" si="17"/>
        <v>2.763888889</v>
      </c>
      <c r="P65" s="127">
        <f t="shared" si="18"/>
        <v>66.33333333</v>
      </c>
      <c r="Q65" s="12">
        <v>5.0</v>
      </c>
      <c r="R65" s="2"/>
    </row>
    <row r="66" ht="15.75" customHeight="1">
      <c r="A66" s="115"/>
      <c r="B66" s="126"/>
      <c r="C66" s="30"/>
      <c r="D66" s="19"/>
      <c r="E66" s="20"/>
      <c r="F66" s="21"/>
      <c r="G66" s="20"/>
      <c r="H66" s="21"/>
      <c r="I66" s="22"/>
      <c r="J66" s="111"/>
      <c r="K66" s="137"/>
      <c r="L66" s="50"/>
      <c r="M66" s="46"/>
      <c r="N66" s="46"/>
      <c r="O66" s="46"/>
      <c r="P66" s="128"/>
      <c r="Q66" s="12"/>
      <c r="R66" s="2"/>
    </row>
    <row r="67" ht="15.75" customHeight="1">
      <c r="A67" s="115"/>
      <c r="B67" s="126"/>
      <c r="C67" s="30"/>
      <c r="D67" s="19"/>
      <c r="E67" s="20"/>
      <c r="F67" s="21"/>
      <c r="G67" s="20"/>
      <c r="H67" s="21"/>
      <c r="I67" s="22"/>
      <c r="J67" s="23"/>
      <c r="K67" s="45"/>
      <c r="L67" s="50"/>
      <c r="M67" s="46"/>
      <c r="N67" s="46"/>
      <c r="O67" s="46"/>
      <c r="P67" s="128"/>
      <c r="Q67" s="12"/>
      <c r="R67" s="2"/>
    </row>
    <row r="68" ht="15.75" customHeight="1">
      <c r="A68" s="129"/>
      <c r="B68" s="130"/>
      <c r="C68" s="141"/>
      <c r="D68" s="34"/>
      <c r="E68" s="35"/>
      <c r="F68" s="36"/>
      <c r="G68" s="35"/>
      <c r="H68" s="36"/>
      <c r="I68" s="131">
        <f t="shared" ref="I68:J68" si="19">SUM(I55:I67)</f>
        <v>84867.876</v>
      </c>
      <c r="J68" s="86">
        <f t="shared" si="19"/>
        <v>0</v>
      </c>
      <c r="K68" s="39">
        <f>+(P68)/(31*24)</f>
        <v>1.076747312</v>
      </c>
      <c r="L68" s="40"/>
      <c r="M68" s="41"/>
      <c r="N68" s="41"/>
      <c r="O68" s="41"/>
      <c r="P68" s="42">
        <f>SUM(P55:P67)</f>
        <v>801.1</v>
      </c>
      <c r="Q68" s="1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1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"/>
      <c r="B71" s="12"/>
      <c r="C71" s="67"/>
      <c r="D71" s="12"/>
      <c r="E71" s="13"/>
      <c r="F71" s="14"/>
      <c r="G71" s="13"/>
      <c r="H71" s="14"/>
      <c r="I71" s="55"/>
      <c r="J71" s="56"/>
      <c r="K71" s="16"/>
      <c r="L71" s="14"/>
      <c r="M71" s="2"/>
      <c r="N71" s="2"/>
      <c r="O71" s="2"/>
      <c r="P71" s="2"/>
      <c r="Q71" s="2"/>
      <c r="R71" s="2"/>
    </row>
    <row r="72" ht="15.75" customHeight="1">
      <c r="A72" s="1"/>
      <c r="B72" s="12"/>
      <c r="C72" s="67"/>
      <c r="D72" s="12"/>
      <c r="E72" s="13"/>
      <c r="F72" s="14"/>
      <c r="G72" s="13"/>
      <c r="H72" s="14"/>
      <c r="I72" s="55"/>
      <c r="J72" s="56"/>
      <c r="K72" s="16"/>
      <c r="L72" s="14"/>
      <c r="M72" s="2"/>
      <c r="N72" s="2"/>
      <c r="O72" s="2"/>
      <c r="P72" s="2"/>
      <c r="Q72" s="2"/>
      <c r="R72" s="2"/>
    </row>
    <row r="73" ht="15.75" customHeight="1">
      <c r="A73" s="115">
        <v>1.0</v>
      </c>
      <c r="B73" s="116" t="s">
        <v>69</v>
      </c>
      <c r="C73" s="30" t="s">
        <v>441</v>
      </c>
      <c r="D73" s="19" t="s">
        <v>74</v>
      </c>
      <c r="E73" s="20">
        <v>45989.0</v>
      </c>
      <c r="F73" s="21">
        <v>0.9916666666666667</v>
      </c>
      <c r="G73" s="20">
        <v>45994.0</v>
      </c>
      <c r="H73" s="21">
        <v>0.9826388888888888</v>
      </c>
      <c r="I73" s="22">
        <v>55442.4</v>
      </c>
      <c r="J73" s="74"/>
      <c r="K73" s="88"/>
      <c r="L73" s="146"/>
      <c r="M73" s="124">
        <f t="shared" ref="M73:M79" si="20">INT(E73)+MOD(F73,1)</f>
        <v>45989.99167</v>
      </c>
      <c r="N73" s="124">
        <f t="shared" ref="N73:N79" si="21">INT(G73)+MOD(H73,1)</f>
        <v>45994.98264</v>
      </c>
      <c r="O73" s="124">
        <f t="shared" ref="O73:O79" si="22">N73-M73</f>
        <v>4.990972222</v>
      </c>
      <c r="P73" s="125">
        <f t="shared" ref="P73:P79" si="23">O73*24</f>
        <v>119.7833333</v>
      </c>
      <c r="Q73" s="12">
        <v>6.0</v>
      </c>
      <c r="R73" s="12"/>
    </row>
    <row r="74" ht="15.75" customHeight="1">
      <c r="A74" s="115">
        <v>2.0</v>
      </c>
      <c r="B74" s="126"/>
      <c r="C74" s="30" t="s">
        <v>442</v>
      </c>
      <c r="D74" s="19" t="s">
        <v>148</v>
      </c>
      <c r="E74" s="20">
        <v>46000.0</v>
      </c>
      <c r="F74" s="21">
        <v>0.7256944444444445</v>
      </c>
      <c r="G74" s="20">
        <v>46001.0</v>
      </c>
      <c r="H74" s="21">
        <v>0.9472222222222223</v>
      </c>
      <c r="I74" s="22">
        <v>10073.86</v>
      </c>
      <c r="J74" s="74"/>
      <c r="K74" s="88"/>
      <c r="L74" s="46"/>
      <c r="M74" s="25">
        <f t="shared" si="20"/>
        <v>46000.72569</v>
      </c>
      <c r="N74" s="25">
        <f t="shared" si="21"/>
        <v>46001.94722</v>
      </c>
      <c r="O74" s="25">
        <f t="shared" si="22"/>
        <v>1.221527778</v>
      </c>
      <c r="P74" s="127">
        <f t="shared" si="23"/>
        <v>29.31666667</v>
      </c>
      <c r="Q74" s="12">
        <v>6.0</v>
      </c>
      <c r="R74" s="12"/>
    </row>
    <row r="75" ht="15.75" customHeight="1">
      <c r="A75" s="115">
        <v>3.0</v>
      </c>
      <c r="B75" s="126"/>
      <c r="C75" s="30" t="s">
        <v>443</v>
      </c>
      <c r="D75" s="19" t="s">
        <v>148</v>
      </c>
      <c r="E75" s="20">
        <v>46002.0</v>
      </c>
      <c r="F75" s="21">
        <v>0.09027777777777778</v>
      </c>
      <c r="G75" s="20">
        <v>46006.0</v>
      </c>
      <c r="H75" s="21">
        <v>0.3055555555555555</v>
      </c>
      <c r="I75" s="22">
        <v>27440.38</v>
      </c>
      <c r="J75" s="74"/>
      <c r="K75" s="88"/>
      <c r="L75" s="46"/>
      <c r="M75" s="25">
        <f t="shared" si="20"/>
        <v>46002.09028</v>
      </c>
      <c r="N75" s="25">
        <f t="shared" si="21"/>
        <v>46006.30556</v>
      </c>
      <c r="O75" s="25">
        <f t="shared" si="22"/>
        <v>4.215277778</v>
      </c>
      <c r="P75" s="127">
        <f t="shared" si="23"/>
        <v>101.1666667</v>
      </c>
      <c r="Q75" s="12">
        <v>6.0</v>
      </c>
      <c r="R75" s="12"/>
    </row>
    <row r="76" ht="15.75" customHeight="1">
      <c r="A76" s="115">
        <v>4.0</v>
      </c>
      <c r="B76" s="126"/>
      <c r="C76" s="30" t="s">
        <v>421</v>
      </c>
      <c r="D76" s="19" t="s">
        <v>139</v>
      </c>
      <c r="E76" s="20">
        <v>46007.0</v>
      </c>
      <c r="F76" s="21">
        <v>0.32916666666666666</v>
      </c>
      <c r="G76" s="20">
        <v>46010.0</v>
      </c>
      <c r="H76" s="21">
        <v>0.9118055555555555</v>
      </c>
      <c r="I76" s="22">
        <v>40995.92</v>
      </c>
      <c r="J76" s="74"/>
      <c r="K76" s="88"/>
      <c r="L76" s="46"/>
      <c r="M76" s="25">
        <f t="shared" si="20"/>
        <v>46007.32917</v>
      </c>
      <c r="N76" s="25">
        <f t="shared" si="21"/>
        <v>46010.91181</v>
      </c>
      <c r="O76" s="25">
        <f t="shared" si="22"/>
        <v>3.582638889</v>
      </c>
      <c r="P76" s="127">
        <f t="shared" si="23"/>
        <v>85.98333333</v>
      </c>
      <c r="Q76" s="12">
        <v>6.0</v>
      </c>
      <c r="R76" s="12"/>
    </row>
    <row r="77" ht="15.75" customHeight="1">
      <c r="A77" s="115"/>
      <c r="B77" s="126"/>
      <c r="C77" s="30"/>
      <c r="D77" s="19"/>
      <c r="E77" s="20"/>
      <c r="F77" s="21"/>
      <c r="G77" s="20"/>
      <c r="H77" s="21"/>
      <c r="I77" s="22"/>
      <c r="J77" s="74"/>
      <c r="K77" s="88"/>
      <c r="L77" s="46"/>
      <c r="M77" s="25">
        <f t="shared" si="20"/>
        <v>0</v>
      </c>
      <c r="N77" s="25">
        <f t="shared" si="21"/>
        <v>0</v>
      </c>
      <c r="O77" s="25">
        <f t="shared" si="22"/>
        <v>0</v>
      </c>
      <c r="P77" s="127">
        <f t="shared" si="23"/>
        <v>0</v>
      </c>
      <c r="Q77" s="12"/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88"/>
      <c r="L78" s="46"/>
      <c r="M78" s="25">
        <f t="shared" si="20"/>
        <v>0</v>
      </c>
      <c r="N78" s="25">
        <f t="shared" si="21"/>
        <v>0</v>
      </c>
      <c r="O78" s="25">
        <f t="shared" si="22"/>
        <v>0</v>
      </c>
      <c r="P78" s="127">
        <f t="shared" si="23"/>
        <v>0</v>
      </c>
      <c r="Q78" s="12"/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88"/>
      <c r="L79" s="46"/>
      <c r="M79" s="25">
        <f t="shared" si="20"/>
        <v>0</v>
      </c>
      <c r="N79" s="25">
        <f t="shared" si="21"/>
        <v>0</v>
      </c>
      <c r="O79" s="25">
        <f t="shared" si="22"/>
        <v>0</v>
      </c>
      <c r="P79" s="127">
        <f t="shared" si="23"/>
        <v>0</v>
      </c>
      <c r="Q79" s="12"/>
      <c r="R79" s="12"/>
    </row>
    <row r="80" ht="15.75" customHeight="1">
      <c r="A80" s="115"/>
      <c r="B80" s="126"/>
      <c r="C80" s="30"/>
      <c r="D80" s="19"/>
      <c r="E80" s="20"/>
      <c r="F80" s="21"/>
      <c r="G80" s="20"/>
      <c r="H80" s="21"/>
      <c r="I80" s="22"/>
      <c r="J80" s="74"/>
      <c r="K80" s="88"/>
      <c r="L80" s="82"/>
      <c r="M80" s="46"/>
      <c r="N80" s="46"/>
      <c r="O80" s="46"/>
      <c r="P80" s="128"/>
      <c r="Q80" s="12"/>
      <c r="R80" s="12"/>
    </row>
    <row r="81" ht="15.75" customHeight="1">
      <c r="A81" s="115"/>
      <c r="B81" s="133"/>
      <c r="C81" s="30"/>
      <c r="D81" s="19"/>
      <c r="E81" s="20"/>
      <c r="F81" s="21"/>
      <c r="G81" s="20"/>
      <c r="H81" s="21"/>
      <c r="I81" s="22"/>
      <c r="J81" s="74"/>
      <c r="K81" s="45"/>
      <c r="L81" s="50"/>
      <c r="M81" s="46"/>
      <c r="N81" s="46"/>
      <c r="O81" s="46"/>
      <c r="P81" s="128"/>
      <c r="Q81" s="12"/>
      <c r="R81" s="12"/>
    </row>
    <row r="82" ht="15.75" customHeight="1">
      <c r="A82" s="147"/>
      <c r="B82" s="148"/>
      <c r="C82" s="91"/>
      <c r="D82" s="91"/>
      <c r="E82" s="91"/>
      <c r="F82" s="91"/>
      <c r="G82" s="91"/>
      <c r="H82" s="91"/>
      <c r="I82" s="92">
        <f t="shared" ref="I82:J82" si="24">SUM(I73:I81)</f>
        <v>133952.56</v>
      </c>
      <c r="J82" s="93">
        <f t="shared" si="24"/>
        <v>0</v>
      </c>
      <c r="K82" s="64">
        <f>+(P82)/(31*24)</f>
        <v>0.4519489247</v>
      </c>
      <c r="L82" s="41"/>
      <c r="M82" s="41"/>
      <c r="N82" s="41"/>
      <c r="O82" s="41"/>
      <c r="P82" s="42">
        <f>SUM(P73:P81)</f>
        <v>336.25</v>
      </c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12"/>
      <c r="R83" s="1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94"/>
      <c r="J84" s="95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80</v>
      </c>
      <c r="B86" s="96"/>
      <c r="C86" s="96" t="s">
        <v>81</v>
      </c>
      <c r="D86" s="96" t="s">
        <v>82</v>
      </c>
      <c r="E86" s="96" t="s">
        <v>18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12"/>
      <c r="R86" s="2"/>
    </row>
    <row r="87" ht="15.75" customHeight="1">
      <c r="A87" s="96" t="s">
        <v>83</v>
      </c>
      <c r="B87" s="96"/>
      <c r="C87" s="96"/>
      <c r="D87" s="96" t="s">
        <v>84</v>
      </c>
      <c r="E87" s="96" t="s">
        <v>31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85</v>
      </c>
      <c r="E88" s="96" t="s">
        <v>41</v>
      </c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86</v>
      </c>
      <c r="E89" s="96" t="s">
        <v>62</v>
      </c>
      <c r="F89" s="2"/>
      <c r="G89" s="2"/>
      <c r="H89" s="2"/>
      <c r="I89" s="2"/>
      <c r="J89" s="2"/>
      <c r="K89" s="3"/>
      <c r="L89" s="97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 t="s">
        <v>87</v>
      </c>
      <c r="E90" s="96" t="s">
        <v>69</v>
      </c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96"/>
      <c r="B91" s="96"/>
      <c r="C91" s="96"/>
      <c r="D91" s="96"/>
      <c r="E91" s="96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2"/>
    <mergeCell ref="B35:B50"/>
    <mergeCell ref="B55:B67"/>
    <mergeCell ref="B73:B8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444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445</v>
      </c>
      <c r="D7" s="19" t="s">
        <v>143</v>
      </c>
      <c r="E7" s="20">
        <v>46015.0</v>
      </c>
      <c r="F7" s="21">
        <v>0.25833333333333336</v>
      </c>
      <c r="G7" s="20">
        <v>46022.0</v>
      </c>
      <c r="H7" s="21">
        <v>0.7416666666666667</v>
      </c>
      <c r="I7" s="22"/>
      <c r="J7" s="23"/>
      <c r="K7" s="45"/>
      <c r="L7" s="21"/>
      <c r="M7" s="25">
        <f t="shared" ref="M7:M15" si="1">INT(E7)+MOD(F7,1)</f>
        <v>46015.25833</v>
      </c>
      <c r="N7" s="25">
        <f t="shared" ref="N7:N15" si="2">INT(G7)+MOD(H7,1)</f>
        <v>46022.74167</v>
      </c>
      <c r="O7" s="25">
        <f t="shared" ref="O7:O15" si="3">N7-M7</f>
        <v>7.483333333</v>
      </c>
      <c r="P7" s="25">
        <f t="shared" ref="P7:P15" si="4">O7*24</f>
        <v>179.6</v>
      </c>
      <c r="Q7" s="12">
        <v>1.0</v>
      </c>
      <c r="R7" s="2"/>
    </row>
    <row r="8">
      <c r="A8" s="5">
        <v>2.0</v>
      </c>
      <c r="B8" s="26"/>
      <c r="C8" s="30" t="s">
        <v>446</v>
      </c>
      <c r="D8" s="19" t="s">
        <v>148</v>
      </c>
      <c r="E8" s="20">
        <v>46027.0</v>
      </c>
      <c r="F8" s="21">
        <v>0.34027777777777773</v>
      </c>
      <c r="G8" s="20">
        <v>46029.0</v>
      </c>
      <c r="H8" s="21">
        <v>0.638888888888889</v>
      </c>
      <c r="I8" s="22"/>
      <c r="J8" s="23"/>
      <c r="K8" s="45"/>
      <c r="L8" s="21"/>
      <c r="M8" s="25">
        <f t="shared" si="1"/>
        <v>46027.34028</v>
      </c>
      <c r="N8" s="25">
        <f t="shared" si="2"/>
        <v>46029.63889</v>
      </c>
      <c r="O8" s="25">
        <f t="shared" si="3"/>
        <v>2.298611111</v>
      </c>
      <c r="P8" s="25">
        <f t="shared" si="4"/>
        <v>55.16666667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46024.0</v>
      </c>
      <c r="F9" s="21">
        <v>0.5680555555555555</v>
      </c>
      <c r="G9" s="20">
        <v>46025.0</v>
      </c>
      <c r="H9" s="21">
        <v>0.8416666666666667</v>
      </c>
      <c r="I9" s="22">
        <v>1179.45</v>
      </c>
      <c r="J9" s="23"/>
      <c r="K9" s="45"/>
      <c r="L9" s="21"/>
      <c r="M9" s="25">
        <f t="shared" si="1"/>
        <v>46024.56806</v>
      </c>
      <c r="N9" s="25">
        <f t="shared" si="2"/>
        <v>46025.84167</v>
      </c>
      <c r="O9" s="25">
        <f t="shared" si="3"/>
        <v>1.273611111</v>
      </c>
      <c r="P9" s="25">
        <f t="shared" si="4"/>
        <v>30.56666667</v>
      </c>
      <c r="Q9" s="12">
        <v>1.0</v>
      </c>
      <c r="R9" s="2"/>
    </row>
    <row r="10">
      <c r="A10" s="5">
        <v>4.0</v>
      </c>
      <c r="B10" s="26"/>
      <c r="C10" s="30" t="s">
        <v>276</v>
      </c>
      <c r="D10" s="19" t="s">
        <v>277</v>
      </c>
      <c r="E10" s="20">
        <v>46034.0</v>
      </c>
      <c r="F10" s="21">
        <v>0.3597222222222222</v>
      </c>
      <c r="G10" s="20">
        <v>46035.0</v>
      </c>
      <c r="H10" s="21">
        <v>0.84375</v>
      </c>
      <c r="I10" s="22">
        <v>1185.9</v>
      </c>
      <c r="J10" s="23"/>
      <c r="K10" s="45"/>
      <c r="L10" s="21"/>
      <c r="M10" s="25">
        <f t="shared" si="1"/>
        <v>46034.35972</v>
      </c>
      <c r="N10" s="25">
        <f t="shared" si="2"/>
        <v>46035.84375</v>
      </c>
      <c r="O10" s="25">
        <f t="shared" si="3"/>
        <v>1.484027778</v>
      </c>
      <c r="P10" s="25">
        <f t="shared" si="4"/>
        <v>35.61666667</v>
      </c>
      <c r="Q10" s="12">
        <v>1.0</v>
      </c>
      <c r="R10" s="2"/>
    </row>
    <row r="11">
      <c r="A11" s="5">
        <v>5.0</v>
      </c>
      <c r="B11" s="26"/>
      <c r="C11" s="30" t="s">
        <v>447</v>
      </c>
      <c r="D11" s="19" t="s">
        <v>148</v>
      </c>
      <c r="E11" s="20">
        <v>46042.0</v>
      </c>
      <c r="F11" s="21">
        <v>0.3090277777777778</v>
      </c>
      <c r="G11" s="20">
        <v>46046.0</v>
      </c>
      <c r="H11" s="21">
        <v>0.5694444444444444</v>
      </c>
      <c r="I11" s="22">
        <v>9994.88</v>
      </c>
      <c r="J11" s="23"/>
      <c r="K11" s="45"/>
      <c r="L11" s="21"/>
      <c r="M11" s="25">
        <f t="shared" si="1"/>
        <v>46042.30903</v>
      </c>
      <c r="N11" s="25">
        <f t="shared" si="2"/>
        <v>46046.56944</v>
      </c>
      <c r="O11" s="25">
        <f t="shared" si="3"/>
        <v>4.260416667</v>
      </c>
      <c r="P11" s="25">
        <f t="shared" si="4"/>
        <v>102.25</v>
      </c>
      <c r="Q11" s="12">
        <v>1.0</v>
      </c>
      <c r="R11" s="2"/>
    </row>
    <row r="12">
      <c r="A12" s="5">
        <v>6.0</v>
      </c>
      <c r="B12" s="26"/>
      <c r="C12" s="30" t="s">
        <v>447</v>
      </c>
      <c r="D12" s="19" t="s">
        <v>148</v>
      </c>
      <c r="E12" s="20">
        <v>46042.0</v>
      </c>
      <c r="F12" s="21">
        <v>0.3090277777777778</v>
      </c>
      <c r="G12" s="20">
        <v>46046.0</v>
      </c>
      <c r="H12" s="21">
        <v>0.5694444444444444</v>
      </c>
      <c r="I12" s="22">
        <v>13002.68</v>
      </c>
      <c r="J12" s="23"/>
      <c r="K12" s="45"/>
      <c r="L12" s="21"/>
      <c r="M12" s="25">
        <f t="shared" si="1"/>
        <v>46042.30903</v>
      </c>
      <c r="N12" s="25">
        <f t="shared" si="2"/>
        <v>46046.56944</v>
      </c>
      <c r="O12" s="25">
        <f t="shared" si="3"/>
        <v>4.260416667</v>
      </c>
      <c r="P12" s="25">
        <f t="shared" si="4"/>
        <v>102.25</v>
      </c>
      <c r="Q12" s="12">
        <v>1.0</v>
      </c>
      <c r="R12" s="2"/>
    </row>
    <row r="13">
      <c r="A13" s="5">
        <v>7.0</v>
      </c>
      <c r="B13" s="26"/>
      <c r="C13" s="30" t="s">
        <v>276</v>
      </c>
      <c r="D13" s="19" t="s">
        <v>277</v>
      </c>
      <c r="E13" s="20">
        <v>46040.0</v>
      </c>
      <c r="F13" s="21">
        <v>0.7673611111111112</v>
      </c>
      <c r="G13" s="20">
        <v>46041.0</v>
      </c>
      <c r="H13" s="21">
        <v>0.7430555555555555</v>
      </c>
      <c r="I13" s="22">
        <v>1170.65</v>
      </c>
      <c r="J13" s="23"/>
      <c r="K13" s="45"/>
      <c r="L13" s="21"/>
      <c r="M13" s="25">
        <f t="shared" si="1"/>
        <v>46040.76736</v>
      </c>
      <c r="N13" s="25">
        <f t="shared" si="2"/>
        <v>46041.74306</v>
      </c>
      <c r="O13" s="25">
        <f t="shared" si="3"/>
        <v>0.9756944444</v>
      </c>
      <c r="P13" s="25">
        <f t="shared" si="4"/>
        <v>23.41666667</v>
      </c>
      <c r="Q13" s="12">
        <v>1.0</v>
      </c>
      <c r="R13" s="2"/>
    </row>
    <row r="14">
      <c r="A14" s="5">
        <v>8.0</v>
      </c>
      <c r="B14" s="26"/>
      <c r="C14" s="30"/>
      <c r="D14" s="19"/>
      <c r="E14" s="20"/>
      <c r="F14" s="21"/>
      <c r="G14" s="20"/>
      <c r="H14" s="21"/>
      <c r="I14" s="22"/>
      <c r="J14" s="23"/>
      <c r="K14" s="45"/>
      <c r="L14" s="21"/>
      <c r="M14" s="25">
        <f t="shared" si="1"/>
        <v>0</v>
      </c>
      <c r="N14" s="25">
        <f t="shared" si="2"/>
        <v>0</v>
      </c>
      <c r="O14" s="25">
        <f t="shared" si="3"/>
        <v>0</v>
      </c>
      <c r="P14" s="25">
        <f t="shared" si="4"/>
        <v>0</v>
      </c>
      <c r="Q14" s="12"/>
      <c r="R14" s="2"/>
    </row>
    <row r="15">
      <c r="A15" s="5">
        <v>9.0</v>
      </c>
      <c r="B15" s="26"/>
      <c r="C15" s="30"/>
      <c r="D15" s="19"/>
      <c r="E15" s="20"/>
      <c r="F15" s="21"/>
      <c r="G15" s="20"/>
      <c r="H15" s="21"/>
      <c r="I15" s="22"/>
      <c r="J15" s="23"/>
      <c r="K15" s="45"/>
      <c r="L15" s="21"/>
      <c r="M15" s="25">
        <f t="shared" si="1"/>
        <v>0</v>
      </c>
      <c r="N15" s="25">
        <f t="shared" si="2"/>
        <v>0</v>
      </c>
      <c r="O15" s="25">
        <f t="shared" si="3"/>
        <v>0</v>
      </c>
      <c r="P15" s="25">
        <f t="shared" si="4"/>
        <v>0</v>
      </c>
      <c r="Q15" s="12"/>
      <c r="R15" s="2"/>
    </row>
    <row r="16">
      <c r="A16" s="5"/>
      <c r="B16" s="26"/>
      <c r="C16" s="30"/>
      <c r="D16" s="19"/>
      <c r="E16" s="20"/>
      <c r="F16" s="21"/>
      <c r="G16" s="20"/>
      <c r="H16" s="21"/>
      <c r="I16" s="22"/>
      <c r="J16" s="23"/>
      <c r="K16" s="45"/>
      <c r="L16" s="21"/>
      <c r="M16" s="46"/>
      <c r="N16" s="46"/>
      <c r="O16" s="46"/>
      <c r="P16" s="46"/>
      <c r="Q16" s="12"/>
      <c r="R16" s="2"/>
    </row>
    <row r="17">
      <c r="A17" s="5"/>
      <c r="B17" s="26"/>
      <c r="C17" s="30"/>
      <c r="D17" s="19"/>
      <c r="E17" s="20"/>
      <c r="F17" s="21"/>
      <c r="G17" s="20"/>
      <c r="H17" s="21"/>
      <c r="I17" s="22"/>
      <c r="J17" s="23"/>
      <c r="K17" s="24"/>
      <c r="L17" s="21"/>
      <c r="M17" s="46"/>
      <c r="N17" s="46"/>
      <c r="O17" s="46"/>
      <c r="P17" s="46"/>
      <c r="Q17" s="12"/>
      <c r="R17" s="2"/>
    </row>
    <row r="18">
      <c r="A18" s="5"/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26533.56</v>
      </c>
      <c r="J21" s="113">
        <f t="shared" si="5"/>
        <v>0</v>
      </c>
      <c r="K21" s="39">
        <f>+(P21)/(31*24)</f>
        <v>0.7108422939</v>
      </c>
      <c r="L21" s="40"/>
      <c r="M21" s="41"/>
      <c r="N21" s="41"/>
      <c r="O21" s="41"/>
      <c r="P21" s="42">
        <f>SUM(P7:P20)</f>
        <v>528.8666667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1.0</v>
      </c>
      <c r="B23" s="116" t="s">
        <v>31</v>
      </c>
      <c r="C23" s="30" t="s">
        <v>289</v>
      </c>
      <c r="D23" s="19" t="s">
        <v>33</v>
      </c>
      <c r="E23" s="20">
        <v>46015.0</v>
      </c>
      <c r="F23" s="21">
        <v>0.4236111111111111</v>
      </c>
      <c r="G23" s="20">
        <v>46021.0</v>
      </c>
      <c r="H23" s="21">
        <v>0.6875</v>
      </c>
      <c r="I23" s="22">
        <v>8419.187</v>
      </c>
      <c r="J23" s="23"/>
      <c r="K23" s="45"/>
      <c r="L23" s="120"/>
      <c r="M23" s="124">
        <f t="shared" ref="M23:M31" si="6">INT(E23)+MOD(F23,1)</f>
        <v>46015.42361</v>
      </c>
      <c r="N23" s="124">
        <f t="shared" ref="N23:N31" si="7">INT(G23)+MOD(H23,1)</f>
        <v>46021.6875</v>
      </c>
      <c r="O23" s="124">
        <f t="shared" ref="O23:O31" si="8">N23-M23</f>
        <v>6.263888889</v>
      </c>
      <c r="P23" s="125">
        <f t="shared" ref="P23:P31" si="9">O23*24</f>
        <v>150.3333333</v>
      </c>
      <c r="Q23" s="12">
        <v>3.0</v>
      </c>
      <c r="R23" s="2"/>
    </row>
    <row r="24" ht="15.75" customHeight="1">
      <c r="A24" s="115">
        <v>2.0</v>
      </c>
      <c r="B24" s="126"/>
      <c r="C24" s="30" t="s">
        <v>448</v>
      </c>
      <c r="D24" s="19" t="s">
        <v>33</v>
      </c>
      <c r="E24" s="20">
        <v>46024.0</v>
      </c>
      <c r="F24" s="21">
        <v>0.4236111111111111</v>
      </c>
      <c r="G24" s="20">
        <v>46026.0</v>
      </c>
      <c r="H24" s="21">
        <v>0.6180555555555556</v>
      </c>
      <c r="I24" s="22">
        <v>8878.2</v>
      </c>
      <c r="J24" s="23"/>
      <c r="K24" s="45"/>
      <c r="L24" s="21"/>
      <c r="M24" s="124">
        <f t="shared" si="6"/>
        <v>46024.42361</v>
      </c>
      <c r="N24" s="124">
        <f t="shared" si="7"/>
        <v>46026.61806</v>
      </c>
      <c r="O24" s="124">
        <f t="shared" si="8"/>
        <v>2.194444444</v>
      </c>
      <c r="P24" s="125">
        <f t="shared" si="9"/>
        <v>52.66666667</v>
      </c>
      <c r="Q24" s="12">
        <v>3.0</v>
      </c>
      <c r="R24" s="2"/>
    </row>
    <row r="25" ht="15.75" customHeight="1">
      <c r="A25" s="115">
        <v>3.0</v>
      </c>
      <c r="B25" s="126"/>
      <c r="C25" s="30" t="s">
        <v>196</v>
      </c>
      <c r="D25" s="19" t="s">
        <v>33</v>
      </c>
      <c r="E25" s="20">
        <v>46026.0</v>
      </c>
      <c r="F25" s="21">
        <v>0.65625</v>
      </c>
      <c r="G25" s="20">
        <v>46028.0</v>
      </c>
      <c r="H25" s="21">
        <v>0.8263888888888888</v>
      </c>
      <c r="I25" s="22">
        <v>7589.6</v>
      </c>
      <c r="J25" s="23"/>
      <c r="K25" s="45"/>
      <c r="L25" s="21"/>
      <c r="M25" s="124">
        <f t="shared" si="6"/>
        <v>46026.65625</v>
      </c>
      <c r="N25" s="124">
        <f t="shared" si="7"/>
        <v>46028.82639</v>
      </c>
      <c r="O25" s="124">
        <f t="shared" si="8"/>
        <v>2.170138889</v>
      </c>
      <c r="P25" s="125">
        <f t="shared" si="9"/>
        <v>52.08333333</v>
      </c>
      <c r="Q25" s="12">
        <v>3.0</v>
      </c>
      <c r="R25" s="2"/>
    </row>
    <row r="26" ht="15.75" customHeight="1">
      <c r="A26" s="115">
        <v>4.0</v>
      </c>
      <c r="B26" s="126"/>
      <c r="C26" s="30" t="s">
        <v>449</v>
      </c>
      <c r="D26" s="19" t="s">
        <v>33</v>
      </c>
      <c r="E26" s="20">
        <v>46033.0</v>
      </c>
      <c r="F26" s="21">
        <v>0.3993055555555556</v>
      </c>
      <c r="G26" s="20">
        <v>46036.0</v>
      </c>
      <c r="H26" s="21">
        <v>0.6145833333333334</v>
      </c>
      <c r="I26" s="22">
        <v>7348.08</v>
      </c>
      <c r="J26" s="23"/>
      <c r="K26" s="45"/>
      <c r="L26" s="21"/>
      <c r="M26" s="124">
        <f t="shared" si="6"/>
        <v>46033.39931</v>
      </c>
      <c r="N26" s="124">
        <f t="shared" si="7"/>
        <v>46036.61458</v>
      </c>
      <c r="O26" s="124">
        <f t="shared" si="8"/>
        <v>3.215277778</v>
      </c>
      <c r="P26" s="125">
        <f t="shared" si="9"/>
        <v>77.16666667</v>
      </c>
      <c r="Q26" s="12">
        <v>3.0</v>
      </c>
      <c r="R26" s="2"/>
    </row>
    <row r="27" ht="15.75" customHeight="1">
      <c r="A27" s="115">
        <v>5.0</v>
      </c>
      <c r="B27" s="126"/>
      <c r="C27" s="30"/>
      <c r="D27" s="19"/>
      <c r="E27" s="20"/>
      <c r="F27" s="21"/>
      <c r="G27" s="20"/>
      <c r="H27" s="21"/>
      <c r="I27" s="22"/>
      <c r="J27" s="23"/>
      <c r="K27" s="45"/>
      <c r="L27" s="21"/>
      <c r="M27" s="124">
        <f t="shared" si="6"/>
        <v>0</v>
      </c>
      <c r="N27" s="124">
        <f t="shared" si="7"/>
        <v>0</v>
      </c>
      <c r="O27" s="124">
        <f t="shared" si="8"/>
        <v>0</v>
      </c>
      <c r="P27" s="125">
        <f t="shared" si="9"/>
        <v>0</v>
      </c>
      <c r="Q27" s="12">
        <v>3.0</v>
      </c>
      <c r="R27" s="2"/>
    </row>
    <row r="28" ht="15.75" customHeight="1">
      <c r="A28" s="115">
        <v>6.0</v>
      </c>
      <c r="B28" s="126"/>
      <c r="C28" s="30"/>
      <c r="D28" s="19"/>
      <c r="E28" s="20"/>
      <c r="F28" s="21"/>
      <c r="G28" s="20"/>
      <c r="H28" s="21"/>
      <c r="I28" s="22"/>
      <c r="J28" s="23"/>
      <c r="K28" s="45"/>
      <c r="L28" s="21"/>
      <c r="M28" s="124">
        <f t="shared" si="6"/>
        <v>0</v>
      </c>
      <c r="N28" s="124">
        <f t="shared" si="7"/>
        <v>0</v>
      </c>
      <c r="O28" s="124">
        <f t="shared" si="8"/>
        <v>0</v>
      </c>
      <c r="P28" s="125">
        <f t="shared" si="9"/>
        <v>0</v>
      </c>
      <c r="Q28" s="12">
        <v>3.0</v>
      </c>
      <c r="R28" s="2"/>
    </row>
    <row r="29" ht="15.75" customHeight="1">
      <c r="A29" s="115">
        <v>7.0</v>
      </c>
      <c r="B29" s="126"/>
      <c r="C29" s="30"/>
      <c r="D29" s="19"/>
      <c r="E29" s="20"/>
      <c r="F29" s="21"/>
      <c r="G29" s="20"/>
      <c r="H29" s="21"/>
      <c r="I29" s="22"/>
      <c r="J29" s="23"/>
      <c r="K29" s="45"/>
      <c r="L29" s="21"/>
      <c r="M29" s="124">
        <f t="shared" si="6"/>
        <v>0</v>
      </c>
      <c r="N29" s="124">
        <f t="shared" si="7"/>
        <v>0</v>
      </c>
      <c r="O29" s="124">
        <f t="shared" si="8"/>
        <v>0</v>
      </c>
      <c r="P29" s="125">
        <f t="shared" si="9"/>
        <v>0</v>
      </c>
      <c r="Q29" s="12">
        <v>3.0</v>
      </c>
      <c r="R29" s="2"/>
    </row>
    <row r="30" ht="15.75" customHeight="1">
      <c r="A30" s="115">
        <v>8.0</v>
      </c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124">
        <f t="shared" si="6"/>
        <v>0</v>
      </c>
      <c r="N30" s="124">
        <f t="shared" si="7"/>
        <v>0</v>
      </c>
      <c r="O30" s="124">
        <f t="shared" si="8"/>
        <v>0</v>
      </c>
      <c r="P30" s="125">
        <f t="shared" si="9"/>
        <v>0</v>
      </c>
      <c r="Q30" s="12">
        <v>3.0</v>
      </c>
      <c r="R30" s="2"/>
    </row>
    <row r="31" ht="15.75" customHeight="1">
      <c r="A31" s="115">
        <v>9.0</v>
      </c>
      <c r="B31" s="126"/>
      <c r="C31" s="30"/>
      <c r="D31" s="19"/>
      <c r="E31" s="20"/>
      <c r="F31" s="21"/>
      <c r="G31" s="20"/>
      <c r="H31" s="21"/>
      <c r="I31" s="22"/>
      <c r="J31" s="23"/>
      <c r="K31" s="45"/>
      <c r="L31" s="21"/>
      <c r="M31" s="124">
        <f t="shared" si="6"/>
        <v>0</v>
      </c>
      <c r="N31" s="124">
        <f t="shared" si="7"/>
        <v>0</v>
      </c>
      <c r="O31" s="124">
        <f t="shared" si="8"/>
        <v>0</v>
      </c>
      <c r="P31" s="125">
        <f t="shared" si="9"/>
        <v>0</v>
      </c>
      <c r="Q31" s="12">
        <v>3.0</v>
      </c>
      <c r="R31" s="2"/>
    </row>
    <row r="32" ht="15.75" customHeight="1">
      <c r="A32" s="115"/>
      <c r="B32" s="126"/>
      <c r="C32" s="30"/>
      <c r="D32" s="19"/>
      <c r="E32" s="20"/>
      <c r="F32" s="21"/>
      <c r="G32" s="20"/>
      <c r="H32" s="21"/>
      <c r="I32" s="22"/>
      <c r="J32" s="23"/>
      <c r="K32" s="45"/>
      <c r="L32" s="21"/>
      <c r="M32" s="46"/>
      <c r="N32" s="46"/>
      <c r="O32" s="46"/>
      <c r="P32" s="128"/>
      <c r="Q32" s="12"/>
      <c r="R32" s="2"/>
    </row>
    <row r="33" ht="15.75" customHeight="1">
      <c r="A33" s="129"/>
      <c r="B33" s="130"/>
      <c r="C33" s="33"/>
      <c r="D33" s="34"/>
      <c r="E33" s="35"/>
      <c r="F33" s="36"/>
      <c r="G33" s="35"/>
      <c r="H33" s="36"/>
      <c r="I33" s="131">
        <f t="shared" ref="I33:J33" si="10">SUM(I23:I32)</f>
        <v>32235.067</v>
      </c>
      <c r="J33" s="113">
        <f t="shared" si="10"/>
        <v>0</v>
      </c>
      <c r="K33" s="64">
        <f>+(P33)/(31*24)</f>
        <v>0.4465725806</v>
      </c>
      <c r="L33" s="40"/>
      <c r="M33" s="41"/>
      <c r="N33" s="41"/>
      <c r="O33" s="41"/>
      <c r="P33" s="42">
        <f>SUM(P23:P32)</f>
        <v>332.25</v>
      </c>
      <c r="Q33" s="2"/>
      <c r="R33" s="2"/>
    </row>
    <row r="34" ht="15.75" customHeight="1">
      <c r="A34" s="1"/>
      <c r="B34" s="12"/>
      <c r="C34" s="43"/>
      <c r="D34" s="12"/>
      <c r="E34" s="13"/>
      <c r="F34" s="14"/>
      <c r="G34" s="13"/>
      <c r="H34" s="14"/>
      <c r="I34" s="55"/>
      <c r="J34" s="56"/>
      <c r="K34" s="16"/>
      <c r="L34" s="14"/>
      <c r="M34" s="2"/>
      <c r="N34" s="2"/>
      <c r="O34" s="2"/>
      <c r="P34" s="2"/>
      <c r="Q34" s="2"/>
      <c r="R34" s="2"/>
    </row>
    <row r="35" ht="15.75" customHeight="1">
      <c r="A35" s="115">
        <v>1.0</v>
      </c>
      <c r="B35" s="116" t="s">
        <v>41</v>
      </c>
      <c r="C35" s="30" t="s">
        <v>54</v>
      </c>
      <c r="D35" s="19" t="s">
        <v>33</v>
      </c>
      <c r="E35" s="20">
        <v>46012.0</v>
      </c>
      <c r="F35" s="21">
        <v>0.5208333333333334</v>
      </c>
      <c r="G35" s="20">
        <v>46016.0</v>
      </c>
      <c r="H35" s="21">
        <v>0.375</v>
      </c>
      <c r="I35" s="22">
        <v>8491.367</v>
      </c>
      <c r="J35" s="23"/>
      <c r="K35" s="45"/>
      <c r="L35" s="120"/>
      <c r="M35" s="124">
        <f t="shared" ref="M35:M45" si="11">INT(E35)+MOD(F35,1)</f>
        <v>46012.52083</v>
      </c>
      <c r="N35" s="124">
        <f t="shared" ref="N35:N45" si="12">INT(G35)+MOD(H35,1)</f>
        <v>46016.375</v>
      </c>
      <c r="O35" s="132">
        <f t="shared" ref="O35:O45" si="13">N35-M35</f>
        <v>3.854166667</v>
      </c>
      <c r="P35" s="125">
        <f t="shared" ref="P35:P45" si="14">O35*24</f>
        <v>92.5</v>
      </c>
      <c r="Q35" s="12">
        <v>4.0</v>
      </c>
      <c r="R35" s="2"/>
    </row>
    <row r="36" ht="15.75" customHeight="1">
      <c r="A36" s="115">
        <v>2.0</v>
      </c>
      <c r="B36" s="126"/>
      <c r="C36" s="30" t="s">
        <v>450</v>
      </c>
      <c r="D36" s="19" t="s">
        <v>33</v>
      </c>
      <c r="E36" s="20">
        <v>46026.0</v>
      </c>
      <c r="F36" s="21">
        <v>0.7083333333333334</v>
      </c>
      <c r="G36" s="20">
        <v>46031.0</v>
      </c>
      <c r="H36" s="21">
        <v>0.4479166666666667</v>
      </c>
      <c r="I36" s="22">
        <v>8727.3</v>
      </c>
      <c r="J36" s="23"/>
      <c r="K36" s="45"/>
      <c r="L36" s="21"/>
      <c r="M36" s="25">
        <f t="shared" si="11"/>
        <v>46026.70833</v>
      </c>
      <c r="N36" s="25">
        <f t="shared" si="12"/>
        <v>46031.44792</v>
      </c>
      <c r="O36" s="60">
        <f t="shared" si="13"/>
        <v>4.739583333</v>
      </c>
      <c r="P36" s="127">
        <f t="shared" si="14"/>
        <v>113.75</v>
      </c>
      <c r="Q36" s="12">
        <v>4.0</v>
      </c>
      <c r="R36" s="2"/>
    </row>
    <row r="37" ht="15.75" customHeight="1">
      <c r="A37" s="115">
        <v>3.0</v>
      </c>
      <c r="B37" s="126"/>
      <c r="C37" s="30" t="s">
        <v>37</v>
      </c>
      <c r="D37" s="19" t="s">
        <v>33</v>
      </c>
      <c r="E37" s="20">
        <v>46017.0</v>
      </c>
      <c r="F37" s="21">
        <v>0.40625</v>
      </c>
      <c r="G37" s="20">
        <v>46026.0</v>
      </c>
      <c r="H37" s="21">
        <v>0.6805555555555555</v>
      </c>
      <c r="I37" s="22">
        <v>8296.34</v>
      </c>
      <c r="J37" s="29"/>
      <c r="K37" s="45"/>
      <c r="L37" s="21"/>
      <c r="M37" s="25">
        <f t="shared" si="11"/>
        <v>46017.40625</v>
      </c>
      <c r="N37" s="25">
        <f t="shared" si="12"/>
        <v>46026.68056</v>
      </c>
      <c r="O37" s="60">
        <f t="shared" si="13"/>
        <v>9.274305556</v>
      </c>
      <c r="P37" s="127">
        <f t="shared" si="14"/>
        <v>222.5833333</v>
      </c>
      <c r="Q37" s="12">
        <v>4.0</v>
      </c>
      <c r="R37" s="2"/>
    </row>
    <row r="38" ht="15.75" customHeight="1">
      <c r="A38" s="115">
        <v>4.0</v>
      </c>
      <c r="B38" s="126"/>
      <c r="C38" s="30" t="s">
        <v>451</v>
      </c>
      <c r="D38" s="19" t="s">
        <v>33</v>
      </c>
      <c r="E38" s="20">
        <v>46018.0</v>
      </c>
      <c r="F38" s="21">
        <v>0.59375</v>
      </c>
      <c r="G38" s="20">
        <v>46028.0</v>
      </c>
      <c r="H38" s="21">
        <v>0.8506944444444445</v>
      </c>
      <c r="I38" s="22">
        <v>8496.72</v>
      </c>
      <c r="J38" s="23"/>
      <c r="K38" s="45"/>
      <c r="L38" s="21"/>
      <c r="M38" s="25">
        <f t="shared" si="11"/>
        <v>46018.59375</v>
      </c>
      <c r="N38" s="25">
        <f t="shared" si="12"/>
        <v>46028.85069</v>
      </c>
      <c r="O38" s="60">
        <f t="shared" si="13"/>
        <v>10.25694444</v>
      </c>
      <c r="P38" s="127">
        <f t="shared" si="14"/>
        <v>246.1666667</v>
      </c>
      <c r="Q38" s="12">
        <v>4.0</v>
      </c>
      <c r="R38" s="2"/>
    </row>
    <row r="39" ht="15.75" customHeight="1">
      <c r="A39" s="115">
        <v>5.0</v>
      </c>
      <c r="B39" s="126"/>
      <c r="C39" s="30" t="s">
        <v>434</v>
      </c>
      <c r="D39" s="19" t="s">
        <v>33</v>
      </c>
      <c r="E39" s="20">
        <v>46031.0</v>
      </c>
      <c r="F39" s="21">
        <v>0.5</v>
      </c>
      <c r="G39" s="20">
        <v>46034.0</v>
      </c>
      <c r="H39" s="21">
        <v>0.3993055555555556</v>
      </c>
      <c r="I39" s="22">
        <v>8123.26</v>
      </c>
      <c r="J39" s="23"/>
      <c r="K39" s="45"/>
      <c r="L39" s="21"/>
      <c r="M39" s="25">
        <f t="shared" si="11"/>
        <v>46031.5</v>
      </c>
      <c r="N39" s="25">
        <f t="shared" si="12"/>
        <v>46034.39931</v>
      </c>
      <c r="O39" s="60">
        <f t="shared" si="13"/>
        <v>2.899305556</v>
      </c>
      <c r="P39" s="127">
        <f t="shared" si="14"/>
        <v>69.58333333</v>
      </c>
      <c r="Q39" s="12">
        <v>4.0</v>
      </c>
      <c r="R39" s="2"/>
    </row>
    <row r="40" ht="15.75" customHeight="1">
      <c r="A40" s="115">
        <v>6.0</v>
      </c>
      <c r="B40" s="126"/>
      <c r="C40" s="30" t="s">
        <v>452</v>
      </c>
      <c r="D40" s="19" t="s">
        <v>33</v>
      </c>
      <c r="E40" s="20">
        <v>46028.0</v>
      </c>
      <c r="F40" s="21">
        <v>0.8958333333333334</v>
      </c>
      <c r="G40" s="20">
        <v>46033.0</v>
      </c>
      <c r="H40" s="21">
        <v>0.34027777777777773</v>
      </c>
      <c r="I40" s="22">
        <v>7988.72</v>
      </c>
      <c r="J40" s="23"/>
      <c r="K40" s="45"/>
      <c r="L40" s="21"/>
      <c r="M40" s="25">
        <f t="shared" si="11"/>
        <v>46028.89583</v>
      </c>
      <c r="N40" s="25">
        <f t="shared" si="12"/>
        <v>46033.34028</v>
      </c>
      <c r="O40" s="60">
        <f t="shared" si="13"/>
        <v>4.444444444</v>
      </c>
      <c r="P40" s="127">
        <f t="shared" si="14"/>
        <v>106.6666667</v>
      </c>
      <c r="Q40" s="12">
        <v>4.0</v>
      </c>
      <c r="R40" s="2"/>
    </row>
    <row r="41" ht="15.75" customHeight="1">
      <c r="A41" s="115">
        <v>7.0</v>
      </c>
      <c r="B41" s="126"/>
      <c r="C41" s="30" t="s">
        <v>453</v>
      </c>
      <c r="D41" s="19" t="s">
        <v>33</v>
      </c>
      <c r="E41" s="20">
        <v>46032.0</v>
      </c>
      <c r="F41" s="21">
        <v>0.4930555555555556</v>
      </c>
      <c r="G41" s="20">
        <v>46035.0</v>
      </c>
      <c r="H41" s="21">
        <v>0.6597222222222222</v>
      </c>
      <c r="I41" s="22">
        <v>7635.46</v>
      </c>
      <c r="J41" s="23"/>
      <c r="K41" s="45"/>
      <c r="L41" s="21"/>
      <c r="M41" s="25">
        <f t="shared" si="11"/>
        <v>46032.49306</v>
      </c>
      <c r="N41" s="25">
        <f t="shared" si="12"/>
        <v>46035.65972</v>
      </c>
      <c r="O41" s="60">
        <f t="shared" si="13"/>
        <v>3.166666667</v>
      </c>
      <c r="P41" s="127">
        <f t="shared" si="14"/>
        <v>76</v>
      </c>
      <c r="Q41" s="12">
        <v>4.0</v>
      </c>
      <c r="R41" s="2"/>
    </row>
    <row r="42" ht="15.75" customHeight="1">
      <c r="A42" s="115">
        <v>8.0</v>
      </c>
      <c r="B42" s="126"/>
      <c r="C42" s="30" t="s">
        <v>454</v>
      </c>
      <c r="D42" s="19" t="s">
        <v>33</v>
      </c>
      <c r="E42" s="20">
        <v>46036.0</v>
      </c>
      <c r="F42" s="21">
        <v>0.517361111111111</v>
      </c>
      <c r="G42" s="20">
        <v>46039.0</v>
      </c>
      <c r="H42" s="21">
        <v>0.3576388888888889</v>
      </c>
      <c r="I42" s="22">
        <v>8592.633</v>
      </c>
      <c r="J42" s="23"/>
      <c r="K42" s="45"/>
      <c r="L42" s="21"/>
      <c r="M42" s="25">
        <f t="shared" si="11"/>
        <v>46036.51736</v>
      </c>
      <c r="N42" s="25">
        <f t="shared" si="12"/>
        <v>46039.35764</v>
      </c>
      <c r="O42" s="60">
        <f t="shared" si="13"/>
        <v>2.840277778</v>
      </c>
      <c r="P42" s="127">
        <f t="shared" si="14"/>
        <v>68.16666667</v>
      </c>
      <c r="Q42" s="12">
        <v>4.0</v>
      </c>
      <c r="R42" s="2"/>
    </row>
    <row r="43" ht="15.75" customHeight="1">
      <c r="A43" s="115">
        <v>9.0</v>
      </c>
      <c r="B43" s="126"/>
      <c r="C43" s="30" t="s">
        <v>455</v>
      </c>
      <c r="D43" s="19" t="s">
        <v>33</v>
      </c>
      <c r="E43" s="20">
        <v>46038.0</v>
      </c>
      <c r="F43" s="21">
        <v>0.3993055555555556</v>
      </c>
      <c r="G43" s="20">
        <v>46040.0</v>
      </c>
      <c r="H43" s="21">
        <v>0.3888888888888889</v>
      </c>
      <c r="I43" s="22">
        <v>5406.9</v>
      </c>
      <c r="J43" s="23"/>
      <c r="K43" s="45"/>
      <c r="L43" s="21"/>
      <c r="M43" s="25">
        <f t="shared" si="11"/>
        <v>46038.39931</v>
      </c>
      <c r="N43" s="25">
        <f t="shared" si="12"/>
        <v>46040.38889</v>
      </c>
      <c r="O43" s="60">
        <f t="shared" si="13"/>
        <v>1.989583333</v>
      </c>
      <c r="P43" s="127">
        <f t="shared" si="14"/>
        <v>47.75</v>
      </c>
      <c r="Q43" s="12">
        <v>4.0</v>
      </c>
      <c r="R43" s="2"/>
    </row>
    <row r="44" ht="15.75" customHeight="1">
      <c r="A44" s="115">
        <v>10.0</v>
      </c>
      <c r="B44" s="126"/>
      <c r="C44" s="30" t="s">
        <v>456</v>
      </c>
      <c r="D44" s="19" t="s">
        <v>33</v>
      </c>
      <c r="E44" s="20">
        <v>46042.0</v>
      </c>
      <c r="F44" s="21">
        <v>0.625</v>
      </c>
      <c r="G44" s="20">
        <v>46045.0</v>
      </c>
      <c r="H44" s="21">
        <v>0.3680555555555556</v>
      </c>
      <c r="I44" s="22">
        <v>7593.64</v>
      </c>
      <c r="J44" s="23"/>
      <c r="K44" s="45"/>
      <c r="L44" s="21"/>
      <c r="M44" s="25">
        <f t="shared" si="11"/>
        <v>46042.625</v>
      </c>
      <c r="N44" s="25">
        <f t="shared" si="12"/>
        <v>46045.36806</v>
      </c>
      <c r="O44" s="60">
        <f t="shared" si="13"/>
        <v>2.743055556</v>
      </c>
      <c r="P44" s="127">
        <f t="shared" si="14"/>
        <v>65.83333333</v>
      </c>
      <c r="Q44" s="12">
        <v>4.0</v>
      </c>
      <c r="R44" s="2"/>
    </row>
    <row r="45" ht="15.75" customHeight="1">
      <c r="A45" s="115">
        <v>11.0</v>
      </c>
      <c r="B45" s="126"/>
      <c r="C45" s="30"/>
      <c r="D45" s="19"/>
      <c r="E45" s="20"/>
      <c r="F45" s="21"/>
      <c r="G45" s="20"/>
      <c r="H45" s="21"/>
      <c r="I45" s="22"/>
      <c r="J45" s="23"/>
      <c r="K45" s="45"/>
      <c r="L45" s="21"/>
      <c r="M45" s="25">
        <f t="shared" si="11"/>
        <v>0</v>
      </c>
      <c r="N45" s="25">
        <f t="shared" si="12"/>
        <v>0</v>
      </c>
      <c r="O45" s="60">
        <f t="shared" si="13"/>
        <v>0</v>
      </c>
      <c r="P45" s="127">
        <f t="shared" si="14"/>
        <v>0</v>
      </c>
      <c r="Q45" s="12"/>
      <c r="R45" s="2"/>
    </row>
    <row r="46" ht="15.75" customHeight="1">
      <c r="A46" s="115"/>
      <c r="B46" s="126"/>
      <c r="C46" s="30"/>
      <c r="D46" s="19"/>
      <c r="E46" s="20"/>
      <c r="F46" s="21"/>
      <c r="G46" s="20"/>
      <c r="H46" s="21"/>
      <c r="I46" s="22"/>
      <c r="J46" s="23"/>
      <c r="K46" s="45"/>
      <c r="L46" s="21"/>
      <c r="M46" s="46"/>
      <c r="N46" s="46"/>
      <c r="O46" s="61"/>
      <c r="P46" s="128"/>
      <c r="Q46" s="12"/>
      <c r="R46" s="2"/>
    </row>
    <row r="47" ht="15.75" customHeight="1">
      <c r="A47" s="115"/>
      <c r="B47" s="126"/>
      <c r="C47" s="30"/>
      <c r="D47" s="19"/>
      <c r="E47" s="20"/>
      <c r="F47" s="21"/>
      <c r="G47" s="20"/>
      <c r="H47" s="21"/>
      <c r="I47" s="22"/>
      <c r="J47" s="23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26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5.75" customHeight="1">
      <c r="A49" s="115"/>
      <c r="B49" s="126"/>
      <c r="C49" s="67"/>
      <c r="D49" s="108"/>
      <c r="E49" s="104"/>
      <c r="F49" s="72"/>
      <c r="G49" s="104"/>
      <c r="H49" s="72"/>
      <c r="I49" s="109"/>
      <c r="J49" s="111"/>
      <c r="K49" s="45"/>
      <c r="L49" s="50"/>
      <c r="M49" s="46"/>
      <c r="N49" s="46"/>
      <c r="O49" s="61"/>
      <c r="P49" s="128"/>
      <c r="Q49" s="12"/>
      <c r="R49" s="2"/>
    </row>
    <row r="50" ht="15.75" customHeight="1">
      <c r="A50" s="115"/>
      <c r="B50" s="133"/>
      <c r="C50" s="30"/>
      <c r="D50" s="19"/>
      <c r="E50" s="20"/>
      <c r="F50" s="21"/>
      <c r="G50" s="20"/>
      <c r="H50" s="21"/>
      <c r="I50" s="22"/>
      <c r="J50" s="29"/>
      <c r="K50" s="45"/>
      <c r="L50" s="50"/>
      <c r="M50" s="46"/>
      <c r="N50" s="46"/>
      <c r="O50" s="61"/>
      <c r="P50" s="128"/>
      <c r="Q50" s="12"/>
      <c r="R50" s="2"/>
    </row>
    <row r="51" ht="18.0" customHeight="1">
      <c r="A51" s="115"/>
      <c r="B51" s="134"/>
      <c r="C51" s="30"/>
      <c r="D51" s="19"/>
      <c r="E51" s="20"/>
      <c r="F51" s="21"/>
      <c r="G51" s="20"/>
      <c r="H51" s="21"/>
      <c r="I51" s="22"/>
      <c r="J51" s="29"/>
      <c r="K51" s="45"/>
      <c r="L51" s="21"/>
      <c r="M51" s="46"/>
      <c r="N51" s="46"/>
      <c r="O51" s="61"/>
      <c r="P51" s="128"/>
      <c r="Q51" s="12"/>
      <c r="R51" s="2"/>
    </row>
    <row r="52" ht="18.75" customHeight="1">
      <c r="A52" s="135"/>
      <c r="B52" s="134"/>
      <c r="C52" s="102"/>
      <c r="D52" s="108"/>
      <c r="E52" s="104"/>
      <c r="F52" s="72"/>
      <c r="G52" s="104"/>
      <c r="H52" s="72"/>
      <c r="I52" s="109"/>
      <c r="J52" s="136"/>
      <c r="K52" s="137"/>
      <c r="L52" s="69"/>
      <c r="M52" s="70"/>
      <c r="N52" s="70"/>
      <c r="O52" s="110"/>
      <c r="P52" s="138"/>
      <c r="Q52" s="12"/>
      <c r="R52" s="2"/>
    </row>
    <row r="53" ht="15.75" customHeight="1">
      <c r="A53" s="139"/>
      <c r="B53" s="140"/>
      <c r="C53" s="141"/>
      <c r="D53" s="34"/>
      <c r="E53" s="35"/>
      <c r="F53" s="36"/>
      <c r="G53" s="35"/>
      <c r="H53" s="36"/>
      <c r="I53" s="131">
        <f>SUM(I35:I52)</f>
        <v>79352.34</v>
      </c>
      <c r="J53" s="142">
        <f>SUM(J35:J50)</f>
        <v>0</v>
      </c>
      <c r="K53" s="64">
        <f>+(P53)/(31*24)</f>
        <v>1.490591398</v>
      </c>
      <c r="L53" s="40"/>
      <c r="M53" s="41"/>
      <c r="N53" s="41"/>
      <c r="O53" s="41"/>
      <c r="P53" s="42">
        <f>SUM(P35:P50)</f>
        <v>1109</v>
      </c>
      <c r="Q53" s="12"/>
      <c r="R53" s="2"/>
    </row>
    <row r="54" ht="15.75" customHeight="1">
      <c r="A54" s="65"/>
      <c r="B54" s="66"/>
      <c r="C54" s="67"/>
      <c r="D54" s="12"/>
      <c r="E54" s="13"/>
      <c r="F54" s="14"/>
      <c r="G54" s="13"/>
      <c r="H54" s="14"/>
      <c r="I54" s="55"/>
      <c r="J54" s="56"/>
      <c r="K54" s="68"/>
      <c r="L54" s="69"/>
      <c r="M54" s="70"/>
      <c r="N54" s="70"/>
      <c r="O54" s="70"/>
      <c r="P54" s="71"/>
      <c r="Q54" s="12"/>
      <c r="R54" s="2"/>
    </row>
    <row r="55" ht="15.75" customHeight="1">
      <c r="A55" s="115">
        <v>1.0</v>
      </c>
      <c r="B55" s="116" t="s">
        <v>62</v>
      </c>
      <c r="C55" s="30" t="s">
        <v>190</v>
      </c>
      <c r="D55" s="19" t="s">
        <v>33</v>
      </c>
      <c r="E55" s="20">
        <v>46013.0</v>
      </c>
      <c r="F55" s="21">
        <v>0.4756944444444444</v>
      </c>
      <c r="G55" s="20">
        <v>46018.0</v>
      </c>
      <c r="H55" s="21">
        <v>0.5416666666666666</v>
      </c>
      <c r="I55" s="22">
        <v>7510.993</v>
      </c>
      <c r="J55" s="23"/>
      <c r="K55" s="123"/>
      <c r="L55" s="120"/>
      <c r="M55" s="124">
        <f t="shared" ref="M55:M57" si="15">INT(E55)+MOD(F55,1)</f>
        <v>46013.47569</v>
      </c>
      <c r="N55" s="124">
        <f t="shared" ref="N55:N57" si="16">INT(G55)+MOD(H55,1)</f>
        <v>46018.54167</v>
      </c>
      <c r="O55" s="124">
        <f t="shared" ref="O55:O57" si="17">N55-M55</f>
        <v>5.065972222</v>
      </c>
      <c r="P55" s="125">
        <f t="shared" ref="P55:P57" si="18">O55*24</f>
        <v>121.5833333</v>
      </c>
      <c r="Q55" s="12">
        <v>5.0</v>
      </c>
      <c r="R55" s="2"/>
    </row>
    <row r="56" ht="15.75" customHeight="1">
      <c r="A56" s="115">
        <v>2.0</v>
      </c>
      <c r="B56" s="126"/>
      <c r="C56" s="30" t="s">
        <v>77</v>
      </c>
      <c r="D56" s="19" t="s">
        <v>33</v>
      </c>
      <c r="E56" s="20">
        <v>46021.0</v>
      </c>
      <c r="F56" s="21">
        <v>0.3541666666666667</v>
      </c>
      <c r="G56" s="20">
        <v>46031.0</v>
      </c>
      <c r="H56" s="21">
        <v>0.6805555555555555</v>
      </c>
      <c r="I56" s="22">
        <v>8004.518</v>
      </c>
      <c r="J56" s="23"/>
      <c r="K56" s="45"/>
      <c r="L56" s="21"/>
      <c r="M56" s="25">
        <f t="shared" si="15"/>
        <v>46021.35417</v>
      </c>
      <c r="N56" s="25">
        <f t="shared" si="16"/>
        <v>46031.68056</v>
      </c>
      <c r="O56" s="25">
        <f t="shared" si="17"/>
        <v>10.32638889</v>
      </c>
      <c r="P56" s="127">
        <f t="shared" si="18"/>
        <v>247.8333333</v>
      </c>
      <c r="Q56" s="12">
        <v>5.0</v>
      </c>
      <c r="R56" s="2"/>
    </row>
    <row r="57" ht="15.75" customHeight="1">
      <c r="A57" s="115">
        <v>3.0</v>
      </c>
      <c r="B57" s="126"/>
      <c r="C57" s="30" t="s">
        <v>351</v>
      </c>
      <c r="D57" s="19" t="s">
        <v>33</v>
      </c>
      <c r="E57" s="20">
        <v>46039.0</v>
      </c>
      <c r="F57" s="21">
        <v>0.40277777777777773</v>
      </c>
      <c r="G57" s="20">
        <v>46046.0</v>
      </c>
      <c r="H57" s="21">
        <v>0.6875</v>
      </c>
      <c r="I57" s="22">
        <v>7535.691</v>
      </c>
      <c r="J57" s="23"/>
      <c r="K57" s="45"/>
      <c r="L57" s="21"/>
      <c r="M57" s="25">
        <f t="shared" si="15"/>
        <v>46039.40278</v>
      </c>
      <c r="N57" s="25">
        <f t="shared" si="16"/>
        <v>46046.6875</v>
      </c>
      <c r="O57" s="25">
        <f t="shared" si="17"/>
        <v>7.284722222</v>
      </c>
      <c r="P57" s="127">
        <f t="shared" si="18"/>
        <v>174.8333333</v>
      </c>
      <c r="Q57" s="12">
        <v>5.0</v>
      </c>
      <c r="R57" s="2"/>
    </row>
    <row r="58" ht="15.75" customHeight="1">
      <c r="A58" s="115">
        <v>4.0</v>
      </c>
      <c r="B58" s="126"/>
      <c r="C58" s="30"/>
      <c r="D58" s="19"/>
      <c r="E58" s="20"/>
      <c r="F58" s="21"/>
      <c r="G58" s="20"/>
      <c r="H58" s="21"/>
      <c r="I58" s="22"/>
      <c r="J58" s="23"/>
      <c r="K58" s="45"/>
      <c r="L58" s="21"/>
      <c r="M58" s="46"/>
      <c r="N58" s="46"/>
      <c r="O58" s="46"/>
      <c r="P58" s="128"/>
      <c r="Q58" s="12"/>
      <c r="R58" s="2"/>
    </row>
    <row r="59" ht="15.75" customHeight="1">
      <c r="A59" s="115">
        <v>5.0</v>
      </c>
      <c r="B59" s="126"/>
      <c r="C59" s="30"/>
      <c r="D59" s="19"/>
      <c r="E59" s="20"/>
      <c r="F59" s="21"/>
      <c r="G59" s="20"/>
      <c r="H59" s="21"/>
      <c r="I59" s="22"/>
      <c r="J59" s="23"/>
      <c r="K59" s="45"/>
      <c r="L59" s="21"/>
      <c r="M59" s="46"/>
      <c r="N59" s="46"/>
      <c r="O59" s="46"/>
      <c r="P59" s="128"/>
      <c r="Q59" s="12"/>
      <c r="R59" s="2"/>
    </row>
    <row r="60" ht="15.75" customHeight="1">
      <c r="A60" s="115">
        <v>6.0</v>
      </c>
      <c r="B60" s="126"/>
      <c r="C60" s="30"/>
      <c r="D60" s="19"/>
      <c r="E60" s="20"/>
      <c r="F60" s="21"/>
      <c r="G60" s="20"/>
      <c r="H60" s="21"/>
      <c r="I60" s="22"/>
      <c r="J60" s="23"/>
      <c r="K60" s="45"/>
      <c r="L60" s="21"/>
      <c r="M60" s="46"/>
      <c r="N60" s="46"/>
      <c r="O60" s="46"/>
      <c r="P60" s="128"/>
      <c r="Q60" s="12"/>
      <c r="R60" s="2"/>
    </row>
    <row r="61" ht="15.75" customHeight="1">
      <c r="A61" s="115">
        <v>7.0</v>
      </c>
      <c r="B61" s="126"/>
      <c r="C61" s="30"/>
      <c r="D61" s="19"/>
      <c r="E61" s="20"/>
      <c r="F61" s="21"/>
      <c r="G61" s="20"/>
      <c r="H61" s="21"/>
      <c r="I61" s="22"/>
      <c r="J61" s="23"/>
      <c r="K61" s="45"/>
      <c r="L61" s="21"/>
      <c r="M61" s="46"/>
      <c r="N61" s="46"/>
      <c r="O61" s="46"/>
      <c r="P61" s="128"/>
      <c r="Q61" s="12"/>
      <c r="R61" s="2"/>
    </row>
    <row r="62" ht="15.75" customHeight="1">
      <c r="A62" s="115">
        <v>8.0</v>
      </c>
      <c r="B62" s="126"/>
      <c r="C62" s="30"/>
      <c r="D62" s="19"/>
      <c r="E62" s="20"/>
      <c r="F62" s="21"/>
      <c r="G62" s="20"/>
      <c r="H62" s="21"/>
      <c r="I62" s="22"/>
      <c r="J62" s="23"/>
      <c r="K62" s="45"/>
      <c r="L62" s="21"/>
      <c r="M62" s="46"/>
      <c r="N62" s="46"/>
      <c r="O62" s="46"/>
      <c r="P62" s="128"/>
      <c r="Q62" s="12"/>
      <c r="R62" s="2"/>
    </row>
    <row r="63" ht="15.75" customHeight="1">
      <c r="A63" s="115">
        <v>9.0</v>
      </c>
      <c r="B63" s="126"/>
      <c r="C63" s="30"/>
      <c r="D63" s="19"/>
      <c r="E63" s="20"/>
      <c r="F63" s="21"/>
      <c r="G63" s="20"/>
      <c r="H63" s="21"/>
      <c r="I63" s="22"/>
      <c r="J63" s="23"/>
      <c r="K63" s="45"/>
      <c r="L63" s="21"/>
      <c r="M63" s="46"/>
      <c r="N63" s="46"/>
      <c r="O63" s="46"/>
      <c r="P63" s="128"/>
      <c r="Q63" s="12"/>
      <c r="R63" s="2"/>
    </row>
    <row r="64" ht="15.75" customHeight="1">
      <c r="A64" s="115">
        <v>10.0</v>
      </c>
      <c r="B64" s="126"/>
      <c r="C64" s="30"/>
      <c r="D64" s="19"/>
      <c r="E64" s="20"/>
      <c r="F64" s="21"/>
      <c r="G64" s="20"/>
      <c r="H64" s="21"/>
      <c r="I64" s="22"/>
      <c r="J64" s="29"/>
      <c r="K64" s="45"/>
      <c r="L64" s="21"/>
      <c r="M64" s="46"/>
      <c r="N64" s="46"/>
      <c r="O64" s="46"/>
      <c r="P64" s="128"/>
      <c r="Q64" s="12"/>
      <c r="R64" s="2"/>
    </row>
    <row r="65" ht="15.75" customHeight="1">
      <c r="A65" s="115">
        <v>11.0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15"/>
      <c r="B66" s="126"/>
      <c r="C66" s="30"/>
      <c r="D66" s="19"/>
      <c r="E66" s="20"/>
      <c r="F66" s="21"/>
      <c r="G66" s="20"/>
      <c r="H66" s="21"/>
      <c r="I66" s="22"/>
      <c r="J66" s="111"/>
      <c r="K66" s="137"/>
      <c r="L66" s="50"/>
      <c r="M66" s="46"/>
      <c r="N66" s="46"/>
      <c r="O66" s="46"/>
      <c r="P66" s="128"/>
      <c r="Q66" s="12"/>
      <c r="R66" s="2"/>
    </row>
    <row r="67" ht="15.75" customHeight="1">
      <c r="A67" s="115"/>
      <c r="B67" s="126"/>
      <c r="C67" s="30"/>
      <c r="D67" s="19"/>
      <c r="E67" s="20"/>
      <c r="F67" s="21"/>
      <c r="G67" s="20"/>
      <c r="H67" s="21"/>
      <c r="I67" s="22"/>
      <c r="J67" s="23"/>
      <c r="K67" s="45"/>
      <c r="L67" s="50"/>
      <c r="M67" s="46"/>
      <c r="N67" s="46"/>
      <c r="O67" s="46"/>
      <c r="P67" s="128"/>
      <c r="Q67" s="12"/>
      <c r="R67" s="2"/>
    </row>
    <row r="68" ht="15.75" customHeight="1">
      <c r="A68" s="129"/>
      <c r="B68" s="130"/>
      <c r="C68" s="141"/>
      <c r="D68" s="34"/>
      <c r="E68" s="35"/>
      <c r="F68" s="36"/>
      <c r="G68" s="35"/>
      <c r="H68" s="36"/>
      <c r="I68" s="131">
        <f t="shared" ref="I68:J68" si="19">SUM(I55:I67)</f>
        <v>23051.202</v>
      </c>
      <c r="J68" s="86">
        <f t="shared" si="19"/>
        <v>0</v>
      </c>
      <c r="K68" s="39">
        <f>+(P68)/(31*24)</f>
        <v>0.7315188172</v>
      </c>
      <c r="L68" s="40"/>
      <c r="M68" s="41"/>
      <c r="N68" s="41"/>
      <c r="O68" s="41"/>
      <c r="P68" s="42">
        <f>SUM(P55:P67)</f>
        <v>544.25</v>
      </c>
      <c r="Q68" s="1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1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"/>
      <c r="B71" s="12"/>
      <c r="C71" s="67"/>
      <c r="D71" s="12"/>
      <c r="E71" s="13"/>
      <c r="F71" s="14"/>
      <c r="G71" s="13"/>
      <c r="H71" s="14"/>
      <c r="I71" s="55"/>
      <c r="J71" s="56"/>
      <c r="K71" s="16"/>
      <c r="L71" s="14"/>
      <c r="M71" s="2"/>
      <c r="N71" s="2"/>
      <c r="O71" s="2"/>
      <c r="P71" s="2"/>
      <c r="Q71" s="2"/>
      <c r="R71" s="2"/>
    </row>
    <row r="72" ht="15.75" customHeight="1">
      <c r="A72" s="1"/>
      <c r="B72" s="12"/>
      <c r="C72" s="67"/>
      <c r="D72" s="12"/>
      <c r="E72" s="13"/>
      <c r="F72" s="14"/>
      <c r="G72" s="13"/>
      <c r="H72" s="14"/>
      <c r="I72" s="55"/>
      <c r="J72" s="56"/>
      <c r="K72" s="16"/>
      <c r="L72" s="14"/>
      <c r="M72" s="2"/>
      <c r="N72" s="2"/>
      <c r="O72" s="2"/>
      <c r="P72" s="2"/>
      <c r="Q72" s="2"/>
      <c r="R72" s="2"/>
    </row>
    <row r="73" ht="15.75" customHeight="1">
      <c r="A73" s="115">
        <v>1.0</v>
      </c>
      <c r="B73" s="116" t="s">
        <v>69</v>
      </c>
      <c r="C73" s="30" t="s">
        <v>445</v>
      </c>
      <c r="D73" s="19" t="s">
        <v>143</v>
      </c>
      <c r="E73" s="20">
        <v>46011.0</v>
      </c>
      <c r="F73" s="21">
        <v>0.1125</v>
      </c>
      <c r="G73" s="20">
        <v>46015.0</v>
      </c>
      <c r="H73" s="21">
        <v>0.2152777777777778</v>
      </c>
      <c r="I73" s="22">
        <v>49986.88</v>
      </c>
      <c r="J73" s="74"/>
      <c r="K73" s="88"/>
      <c r="L73" s="146"/>
      <c r="M73" s="124">
        <f t="shared" ref="M73:M79" si="20">INT(E73)+MOD(F73,1)</f>
        <v>46011.1125</v>
      </c>
      <c r="N73" s="124">
        <f t="shared" ref="N73:N79" si="21">INT(G73)+MOD(H73,1)</f>
        <v>46015.21528</v>
      </c>
      <c r="O73" s="124">
        <f t="shared" ref="O73:O79" si="22">N73-M73</f>
        <v>4.102777778</v>
      </c>
      <c r="P73" s="125">
        <f t="shared" ref="P73:P79" si="23">O73*24</f>
        <v>98.46666667</v>
      </c>
      <c r="Q73" s="12">
        <v>6.0</v>
      </c>
      <c r="R73" s="12"/>
    </row>
    <row r="74" ht="15.75" customHeight="1">
      <c r="A74" s="115">
        <v>2.0</v>
      </c>
      <c r="B74" s="126"/>
      <c r="C74" s="30" t="s">
        <v>457</v>
      </c>
      <c r="D74" s="19" t="s">
        <v>255</v>
      </c>
      <c r="E74" s="20">
        <v>46015.0</v>
      </c>
      <c r="F74" s="21">
        <v>0.3416666666666666</v>
      </c>
      <c r="G74" s="20">
        <v>46025.0</v>
      </c>
      <c r="H74" s="21">
        <v>0.7604166666666666</v>
      </c>
      <c r="I74" s="22">
        <v>49767.32</v>
      </c>
      <c r="J74" s="74"/>
      <c r="K74" s="88"/>
      <c r="L74" s="46"/>
      <c r="M74" s="25">
        <f t="shared" si="20"/>
        <v>46015.34167</v>
      </c>
      <c r="N74" s="25">
        <f t="shared" si="21"/>
        <v>46025.76042</v>
      </c>
      <c r="O74" s="25">
        <f t="shared" si="22"/>
        <v>10.41875</v>
      </c>
      <c r="P74" s="127">
        <f t="shared" si="23"/>
        <v>250.05</v>
      </c>
      <c r="Q74" s="12">
        <v>6.0</v>
      </c>
      <c r="R74" s="12"/>
    </row>
    <row r="75" ht="15.75" customHeight="1">
      <c r="A75" s="115">
        <v>3.0</v>
      </c>
      <c r="B75" s="126"/>
      <c r="C75" s="30" t="s">
        <v>446</v>
      </c>
      <c r="D75" s="19" t="s">
        <v>148</v>
      </c>
      <c r="E75" s="20">
        <v>46025.0</v>
      </c>
      <c r="F75" s="21">
        <v>0.8159722222222222</v>
      </c>
      <c r="G75" s="20">
        <v>46027.0</v>
      </c>
      <c r="H75" s="21">
        <v>0.3125</v>
      </c>
      <c r="I75" s="22">
        <v>21802.6</v>
      </c>
      <c r="J75" s="74"/>
      <c r="K75" s="88"/>
      <c r="L75" s="46"/>
      <c r="M75" s="25">
        <f t="shared" si="20"/>
        <v>46025.81597</v>
      </c>
      <c r="N75" s="25">
        <f t="shared" si="21"/>
        <v>46027.3125</v>
      </c>
      <c r="O75" s="25">
        <f t="shared" si="22"/>
        <v>1.496527778</v>
      </c>
      <c r="P75" s="127">
        <f t="shared" si="23"/>
        <v>35.91666667</v>
      </c>
      <c r="Q75" s="12">
        <v>6.0</v>
      </c>
      <c r="R75" s="12"/>
    </row>
    <row r="76" ht="15.75" customHeight="1">
      <c r="A76" s="115">
        <v>4.0</v>
      </c>
      <c r="B76" s="126"/>
      <c r="C76" s="30" t="s">
        <v>458</v>
      </c>
      <c r="D76" s="19" t="s">
        <v>148</v>
      </c>
      <c r="E76" s="20">
        <v>46027.0</v>
      </c>
      <c r="F76" s="21">
        <v>0.4270833333333333</v>
      </c>
      <c r="G76" s="20">
        <v>46032.0</v>
      </c>
      <c r="H76" s="21">
        <v>0.7465277777777778</v>
      </c>
      <c r="I76" s="22">
        <v>35042.439</v>
      </c>
      <c r="J76" s="74"/>
      <c r="K76" s="88"/>
      <c r="L76" s="46"/>
      <c r="M76" s="25">
        <f t="shared" si="20"/>
        <v>46027.42708</v>
      </c>
      <c r="N76" s="25">
        <f t="shared" si="21"/>
        <v>46032.74653</v>
      </c>
      <c r="O76" s="25">
        <f t="shared" si="22"/>
        <v>5.319444444</v>
      </c>
      <c r="P76" s="127">
        <f t="shared" si="23"/>
        <v>127.6666667</v>
      </c>
      <c r="Q76" s="12">
        <v>6.0</v>
      </c>
      <c r="R76" s="12"/>
    </row>
    <row r="77" ht="15.75" customHeight="1">
      <c r="A77" s="115"/>
      <c r="B77" s="126"/>
      <c r="C77" s="151" t="s">
        <v>459</v>
      </c>
      <c r="D77" s="152" t="s">
        <v>139</v>
      </c>
      <c r="E77" s="20">
        <v>46038.0</v>
      </c>
      <c r="F77" s="21">
        <v>0.4236111111111111</v>
      </c>
      <c r="G77" s="20">
        <v>46043.0</v>
      </c>
      <c r="H77" s="21">
        <v>0.8402777777777778</v>
      </c>
      <c r="I77" s="153">
        <v>37071.451</v>
      </c>
      <c r="J77" s="74"/>
      <c r="K77" s="88"/>
      <c r="L77" s="46"/>
      <c r="M77" s="25">
        <f t="shared" si="20"/>
        <v>46038.42361</v>
      </c>
      <c r="N77" s="25">
        <f t="shared" si="21"/>
        <v>46043.84028</v>
      </c>
      <c r="O77" s="25">
        <f t="shared" si="22"/>
        <v>5.416666667</v>
      </c>
      <c r="P77" s="127">
        <f t="shared" si="23"/>
        <v>130</v>
      </c>
      <c r="Q77" s="154">
        <v>6.0</v>
      </c>
      <c r="R77" s="12"/>
    </row>
    <row r="78" ht="15.75" customHeight="1">
      <c r="A78" s="115"/>
      <c r="B78" s="126"/>
      <c r="C78" s="30" t="s">
        <v>459</v>
      </c>
      <c r="D78" s="19" t="s">
        <v>148</v>
      </c>
      <c r="E78" s="20">
        <v>46038.0</v>
      </c>
      <c r="F78" s="21">
        <v>0.4236111111111111</v>
      </c>
      <c r="G78" s="20">
        <v>46043.0</v>
      </c>
      <c r="H78" s="21">
        <v>0.8402777777777778</v>
      </c>
      <c r="I78" s="22">
        <v>6567.92</v>
      </c>
      <c r="J78" s="74"/>
      <c r="K78" s="88"/>
      <c r="L78" s="46"/>
      <c r="M78" s="25">
        <f t="shared" si="20"/>
        <v>46038.42361</v>
      </c>
      <c r="N78" s="25">
        <f t="shared" si="21"/>
        <v>46043.84028</v>
      </c>
      <c r="O78" s="25">
        <f t="shared" si="22"/>
        <v>5.416666667</v>
      </c>
      <c r="P78" s="127">
        <f t="shared" si="23"/>
        <v>130</v>
      </c>
      <c r="Q78" s="154">
        <v>6.0</v>
      </c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88"/>
      <c r="L79" s="46"/>
      <c r="M79" s="25">
        <f t="shared" si="20"/>
        <v>0</v>
      </c>
      <c r="N79" s="25">
        <f t="shared" si="21"/>
        <v>0</v>
      </c>
      <c r="O79" s="25">
        <f t="shared" si="22"/>
        <v>0</v>
      </c>
      <c r="P79" s="127">
        <f t="shared" si="23"/>
        <v>0</v>
      </c>
      <c r="Q79" s="12"/>
      <c r="R79" s="12"/>
    </row>
    <row r="80" ht="15.75" customHeight="1">
      <c r="A80" s="115"/>
      <c r="B80" s="126"/>
      <c r="C80" s="30"/>
      <c r="D80" s="19"/>
      <c r="E80" s="20"/>
      <c r="F80" s="21"/>
      <c r="G80" s="20"/>
      <c r="H80" s="21"/>
      <c r="I80" s="22"/>
      <c r="J80" s="74"/>
      <c r="K80" s="88"/>
      <c r="L80" s="82"/>
      <c r="M80" s="46"/>
      <c r="N80" s="46"/>
      <c r="O80" s="46"/>
      <c r="P80" s="128"/>
      <c r="Q80" s="12"/>
      <c r="R80" s="12"/>
    </row>
    <row r="81" ht="15.75" customHeight="1">
      <c r="A81" s="115"/>
      <c r="B81" s="133"/>
      <c r="C81" s="30"/>
      <c r="D81" s="19"/>
      <c r="E81" s="20"/>
      <c r="F81" s="21"/>
      <c r="G81" s="20"/>
      <c r="H81" s="21"/>
      <c r="I81" s="22"/>
      <c r="J81" s="74"/>
      <c r="K81" s="45"/>
      <c r="L81" s="50"/>
      <c r="M81" s="46"/>
      <c r="N81" s="46"/>
      <c r="O81" s="46"/>
      <c r="P81" s="128"/>
      <c r="Q81" s="12"/>
      <c r="R81" s="12"/>
    </row>
    <row r="82" ht="15.75" customHeight="1">
      <c r="A82" s="147"/>
      <c r="B82" s="148"/>
      <c r="C82" s="91"/>
      <c r="D82" s="91"/>
      <c r="E82" s="91"/>
      <c r="F82" s="91"/>
      <c r="G82" s="91"/>
      <c r="H82" s="91"/>
      <c r="I82" s="92">
        <f t="shared" ref="I82:J82" si="24">SUM(I73:I81)</f>
        <v>200238.61</v>
      </c>
      <c r="J82" s="93">
        <f t="shared" si="24"/>
        <v>0</v>
      </c>
      <c r="K82" s="64">
        <f>+(P82)/(31*24)</f>
        <v>1.037768817</v>
      </c>
      <c r="L82" s="41"/>
      <c r="M82" s="41"/>
      <c r="N82" s="41"/>
      <c r="O82" s="41"/>
      <c r="P82" s="42">
        <f>SUM(P73:P81)</f>
        <v>772.1</v>
      </c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12"/>
      <c r="R83" s="1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94"/>
      <c r="J84" s="95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80</v>
      </c>
      <c r="B86" s="96"/>
      <c r="C86" s="96" t="s">
        <v>81</v>
      </c>
      <c r="D86" s="96" t="s">
        <v>82</v>
      </c>
      <c r="E86" s="96" t="s">
        <v>18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12"/>
      <c r="R86" s="2"/>
    </row>
    <row r="87" ht="15.75" customHeight="1">
      <c r="A87" s="96" t="s">
        <v>83</v>
      </c>
      <c r="B87" s="96"/>
      <c r="C87" s="96"/>
      <c r="D87" s="96" t="s">
        <v>84</v>
      </c>
      <c r="E87" s="96" t="s">
        <v>31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85</v>
      </c>
      <c r="E88" s="96" t="s">
        <v>41</v>
      </c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86</v>
      </c>
      <c r="E89" s="96" t="s">
        <v>62</v>
      </c>
      <c r="F89" s="2"/>
      <c r="G89" s="2"/>
      <c r="H89" s="2"/>
      <c r="I89" s="2"/>
      <c r="J89" s="2"/>
      <c r="K89" s="3"/>
      <c r="L89" s="97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 t="s">
        <v>87</v>
      </c>
      <c r="E90" s="96" t="s">
        <v>69</v>
      </c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96"/>
      <c r="B91" s="96"/>
      <c r="C91" s="96"/>
      <c r="D91" s="96"/>
      <c r="E91" s="96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2"/>
    <mergeCell ref="B35:B50"/>
    <mergeCell ref="B55:B67"/>
    <mergeCell ref="B73:B8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460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276</v>
      </c>
      <c r="D7" s="19" t="s">
        <v>277</v>
      </c>
      <c r="E7" s="20">
        <v>46048.0</v>
      </c>
      <c r="F7" s="21">
        <v>0.7569444444444445</v>
      </c>
      <c r="G7" s="20">
        <v>46049.0</v>
      </c>
      <c r="H7" s="21">
        <v>0.7395833333333334</v>
      </c>
      <c r="I7" s="22">
        <v>1140.156</v>
      </c>
      <c r="J7" s="23"/>
      <c r="K7" s="24"/>
      <c r="L7" s="21"/>
      <c r="M7" s="25">
        <f t="shared" ref="M7:M17" si="1">INT(E7)+MOD(F7,1)</f>
        <v>46048.75694</v>
      </c>
      <c r="N7" s="25">
        <f t="shared" ref="N7:N17" si="2">INT(G7)+MOD(H7,1)</f>
        <v>46049.73958</v>
      </c>
      <c r="O7" s="25">
        <f t="shared" ref="O7:O17" si="3">N7-M7</f>
        <v>0.9826388889</v>
      </c>
      <c r="P7" s="25">
        <f t="shared" ref="P7:P17" si="4">O7*24</f>
        <v>23.58333333</v>
      </c>
      <c r="Q7" s="12">
        <v>1.0</v>
      </c>
      <c r="R7" s="2"/>
    </row>
    <row r="8">
      <c r="A8" s="5">
        <v>2.0</v>
      </c>
      <c r="B8" s="26"/>
      <c r="C8" s="30" t="s">
        <v>461</v>
      </c>
      <c r="D8" s="19" t="s">
        <v>462</v>
      </c>
      <c r="E8" s="20">
        <v>46050.0</v>
      </c>
      <c r="F8" s="21">
        <v>0.4479166666666667</v>
      </c>
      <c r="G8" s="20">
        <v>46057.0</v>
      </c>
      <c r="H8" s="21">
        <v>0.1840277777777778</v>
      </c>
      <c r="I8" s="22">
        <v>5261.695</v>
      </c>
      <c r="J8" s="23"/>
      <c r="K8" s="24"/>
      <c r="L8" s="21"/>
      <c r="M8" s="25">
        <f t="shared" si="1"/>
        <v>46050.44792</v>
      </c>
      <c r="N8" s="25">
        <f t="shared" si="2"/>
        <v>46057.18403</v>
      </c>
      <c r="O8" s="25">
        <f t="shared" si="3"/>
        <v>6.736111111</v>
      </c>
      <c r="P8" s="25">
        <f t="shared" si="4"/>
        <v>161.6666667</v>
      </c>
      <c r="Q8" s="12">
        <v>1.0</v>
      </c>
      <c r="R8" s="2"/>
    </row>
    <row r="9">
      <c r="A9" s="5">
        <v>3.0</v>
      </c>
      <c r="B9" s="26"/>
      <c r="C9" s="30" t="s">
        <v>276</v>
      </c>
      <c r="D9" s="19" t="s">
        <v>277</v>
      </c>
      <c r="E9" s="20">
        <v>46054.0</v>
      </c>
      <c r="F9" s="21">
        <v>0.6527777777777778</v>
      </c>
      <c r="G9" s="20">
        <v>46055.0</v>
      </c>
      <c r="H9" s="21">
        <v>0.7673611111111112</v>
      </c>
      <c r="I9" s="22">
        <v>1140.156</v>
      </c>
      <c r="J9" s="23"/>
      <c r="K9" s="24"/>
      <c r="L9" s="21"/>
      <c r="M9" s="25">
        <f t="shared" si="1"/>
        <v>46054.65278</v>
      </c>
      <c r="N9" s="25">
        <f t="shared" si="2"/>
        <v>46055.76736</v>
      </c>
      <c r="O9" s="25">
        <f t="shared" si="3"/>
        <v>1.114583333</v>
      </c>
      <c r="P9" s="25">
        <f t="shared" si="4"/>
        <v>26.75</v>
      </c>
      <c r="Q9" s="12">
        <v>1.0</v>
      </c>
      <c r="R9" s="2"/>
    </row>
    <row r="10">
      <c r="A10" s="5">
        <v>4.0</v>
      </c>
      <c r="B10" s="26"/>
      <c r="C10" s="30" t="s">
        <v>463</v>
      </c>
      <c r="D10" s="19" t="s">
        <v>464</v>
      </c>
      <c r="E10" s="20">
        <v>46058.0</v>
      </c>
      <c r="F10" s="21">
        <v>0.9791666666666666</v>
      </c>
      <c r="G10" s="20">
        <v>46059.0</v>
      </c>
      <c r="H10" s="21">
        <v>0.5166666666666667</v>
      </c>
      <c r="I10" s="29">
        <v>57.0</v>
      </c>
      <c r="J10" s="155">
        <v>70.0</v>
      </c>
      <c r="K10" s="24"/>
      <c r="L10" s="21"/>
      <c r="M10" s="25">
        <f t="shared" si="1"/>
        <v>46058.97917</v>
      </c>
      <c r="N10" s="25">
        <f t="shared" si="2"/>
        <v>46059.51667</v>
      </c>
      <c r="O10" s="25">
        <f t="shared" si="3"/>
        <v>0.5375</v>
      </c>
      <c r="P10" s="25">
        <f t="shared" si="4"/>
        <v>12.9</v>
      </c>
      <c r="Q10" s="12">
        <v>1.0</v>
      </c>
      <c r="R10" s="2"/>
    </row>
    <row r="11">
      <c r="A11" s="5">
        <v>5.0</v>
      </c>
      <c r="B11" s="26"/>
      <c r="C11" s="30" t="s">
        <v>465</v>
      </c>
      <c r="D11" s="19" t="s">
        <v>466</v>
      </c>
      <c r="E11" s="20">
        <v>46059.0</v>
      </c>
      <c r="F11" s="21">
        <v>0.78125</v>
      </c>
      <c r="G11" s="20">
        <v>46075.0</v>
      </c>
      <c r="H11" s="21">
        <v>0.7152777777777778</v>
      </c>
      <c r="I11" s="22">
        <v>3831.0</v>
      </c>
      <c r="J11" s="23"/>
      <c r="K11" s="24"/>
      <c r="L11" s="21"/>
      <c r="M11" s="25">
        <f t="shared" si="1"/>
        <v>46059.78125</v>
      </c>
      <c r="N11" s="25">
        <f t="shared" si="2"/>
        <v>46075.71528</v>
      </c>
      <c r="O11" s="25">
        <f t="shared" si="3"/>
        <v>15.93402778</v>
      </c>
      <c r="P11" s="25">
        <f t="shared" si="4"/>
        <v>382.4166667</v>
      </c>
      <c r="Q11" s="12">
        <v>1.0</v>
      </c>
      <c r="R11" s="2"/>
    </row>
    <row r="12">
      <c r="A12" s="5">
        <v>6.0</v>
      </c>
      <c r="B12" s="26"/>
      <c r="C12" s="30" t="s">
        <v>276</v>
      </c>
      <c r="D12" s="19" t="s">
        <v>277</v>
      </c>
      <c r="E12" s="20">
        <v>46064.0</v>
      </c>
      <c r="F12" s="21">
        <v>0.579861111111111</v>
      </c>
      <c r="G12" s="20">
        <v>46065.0</v>
      </c>
      <c r="H12" s="21">
        <v>0.7916666666666666</v>
      </c>
      <c r="I12" s="22">
        <v>1151.432</v>
      </c>
      <c r="J12" s="23"/>
      <c r="K12" s="24"/>
      <c r="L12" s="21"/>
      <c r="M12" s="25">
        <f t="shared" si="1"/>
        <v>46064.57986</v>
      </c>
      <c r="N12" s="25">
        <f t="shared" si="2"/>
        <v>46065.79167</v>
      </c>
      <c r="O12" s="25">
        <f t="shared" si="3"/>
        <v>1.211805556</v>
      </c>
      <c r="P12" s="25">
        <f t="shared" si="4"/>
        <v>29.08333333</v>
      </c>
      <c r="Q12" s="12">
        <v>2.0</v>
      </c>
      <c r="R12" s="2"/>
    </row>
    <row r="13">
      <c r="A13" s="5">
        <v>7.0</v>
      </c>
      <c r="B13" s="26"/>
      <c r="C13" s="30" t="s">
        <v>467</v>
      </c>
      <c r="D13" s="19" t="s">
        <v>104</v>
      </c>
      <c r="E13" s="20">
        <v>46062.0</v>
      </c>
      <c r="F13" s="21">
        <v>0.4395833333333334</v>
      </c>
      <c r="G13" s="20">
        <v>46064.0</v>
      </c>
      <c r="H13" s="21">
        <v>0.548611111111111</v>
      </c>
      <c r="I13" s="22">
        <v>3866.0</v>
      </c>
      <c r="J13" s="23"/>
      <c r="K13" s="24"/>
      <c r="L13" s="21"/>
      <c r="M13" s="25">
        <f t="shared" si="1"/>
        <v>46062.43958</v>
      </c>
      <c r="N13" s="25">
        <f t="shared" si="2"/>
        <v>46064.54861</v>
      </c>
      <c r="O13" s="25">
        <f t="shared" si="3"/>
        <v>2.109027778</v>
      </c>
      <c r="P13" s="25">
        <f t="shared" si="4"/>
        <v>50.61666667</v>
      </c>
      <c r="Q13" s="12">
        <v>2.0</v>
      </c>
      <c r="R13" s="2"/>
    </row>
    <row r="14">
      <c r="A14" s="5">
        <v>8.0</v>
      </c>
      <c r="B14" s="26"/>
      <c r="C14" s="30" t="s">
        <v>468</v>
      </c>
      <c r="D14" s="19" t="s">
        <v>104</v>
      </c>
      <c r="E14" s="20">
        <v>46066.0</v>
      </c>
      <c r="F14" s="21">
        <v>0.3263888888888889</v>
      </c>
      <c r="G14" s="20">
        <v>46069.0</v>
      </c>
      <c r="H14" s="21">
        <v>0.4791666666666667</v>
      </c>
      <c r="I14" s="22">
        <v>3500.0</v>
      </c>
      <c r="J14" s="23"/>
      <c r="K14" s="24"/>
      <c r="L14" s="21"/>
      <c r="M14" s="25">
        <f t="shared" si="1"/>
        <v>46066.32639</v>
      </c>
      <c r="N14" s="25">
        <f t="shared" si="2"/>
        <v>46069.47917</v>
      </c>
      <c r="O14" s="25">
        <f t="shared" si="3"/>
        <v>3.152777778</v>
      </c>
      <c r="P14" s="25">
        <f t="shared" si="4"/>
        <v>75.66666667</v>
      </c>
      <c r="Q14" s="12">
        <v>2.0</v>
      </c>
      <c r="R14" s="2"/>
    </row>
    <row r="15">
      <c r="A15" s="5">
        <v>9.0</v>
      </c>
      <c r="B15" s="26"/>
      <c r="C15" s="30" t="s">
        <v>269</v>
      </c>
      <c r="D15" s="19" t="s">
        <v>25</v>
      </c>
      <c r="E15" s="20">
        <v>46070.0</v>
      </c>
      <c r="F15" s="21">
        <v>0.2652777777777778</v>
      </c>
      <c r="G15" s="20">
        <v>46071.0</v>
      </c>
      <c r="H15" s="21">
        <v>0.5381944444444444</v>
      </c>
      <c r="I15" s="22">
        <v>2891.559</v>
      </c>
      <c r="J15" s="23"/>
      <c r="K15" s="24"/>
      <c r="L15" s="21"/>
      <c r="M15" s="25">
        <f t="shared" si="1"/>
        <v>46070.26528</v>
      </c>
      <c r="N15" s="25">
        <f t="shared" si="2"/>
        <v>46071.53819</v>
      </c>
      <c r="O15" s="25">
        <f t="shared" si="3"/>
        <v>1.272916667</v>
      </c>
      <c r="P15" s="25">
        <f t="shared" si="4"/>
        <v>30.55</v>
      </c>
      <c r="Q15" s="12">
        <v>2.0</v>
      </c>
      <c r="R15" s="2"/>
    </row>
    <row r="16">
      <c r="A16" s="5"/>
      <c r="B16" s="26"/>
      <c r="C16" s="30" t="s">
        <v>276</v>
      </c>
      <c r="D16" s="19" t="s">
        <v>277</v>
      </c>
      <c r="E16" s="20">
        <v>46071.0</v>
      </c>
      <c r="F16" s="21">
        <v>0.5708333333333333</v>
      </c>
      <c r="G16" s="20">
        <v>46073.0</v>
      </c>
      <c r="H16" s="21">
        <v>0.6729166666666666</v>
      </c>
      <c r="I16" s="22">
        <v>1151.43</v>
      </c>
      <c r="J16" s="23"/>
      <c r="K16" s="24"/>
      <c r="L16" s="21"/>
      <c r="M16" s="25">
        <f t="shared" si="1"/>
        <v>46071.57083</v>
      </c>
      <c r="N16" s="25">
        <f t="shared" si="2"/>
        <v>46073.67292</v>
      </c>
      <c r="O16" s="25">
        <f t="shared" si="3"/>
        <v>2.102083333</v>
      </c>
      <c r="P16" s="25">
        <f t="shared" si="4"/>
        <v>50.45</v>
      </c>
      <c r="Q16" s="12">
        <v>2.0</v>
      </c>
      <c r="R16" s="2"/>
    </row>
    <row r="17">
      <c r="A17" s="5"/>
      <c r="B17" s="26"/>
      <c r="C17" s="30" t="s">
        <v>469</v>
      </c>
      <c r="D17" s="19" t="s">
        <v>25</v>
      </c>
      <c r="E17" s="20">
        <v>46073.0</v>
      </c>
      <c r="F17" s="21">
        <v>0.7222222222222222</v>
      </c>
      <c r="G17" s="20">
        <v>46075.0</v>
      </c>
      <c r="H17" s="21">
        <v>0.6979166666666666</v>
      </c>
      <c r="I17" s="22">
        <v>6471.066</v>
      </c>
      <c r="J17" s="23"/>
      <c r="K17" s="24"/>
      <c r="L17" s="21"/>
      <c r="M17" s="25">
        <f t="shared" si="1"/>
        <v>46073.72222</v>
      </c>
      <c r="N17" s="25">
        <f t="shared" si="2"/>
        <v>46075.69792</v>
      </c>
      <c r="O17" s="25">
        <f t="shared" si="3"/>
        <v>1.975694444</v>
      </c>
      <c r="P17" s="25">
        <f t="shared" si="4"/>
        <v>47.41666667</v>
      </c>
      <c r="Q17" s="12">
        <v>2.0</v>
      </c>
      <c r="R17" s="2"/>
    </row>
    <row r="18">
      <c r="A18" s="5"/>
      <c r="B18" s="26"/>
      <c r="C18" s="30"/>
      <c r="D18" s="27"/>
      <c r="E18" s="20"/>
      <c r="F18" s="21"/>
      <c r="G18" s="20"/>
      <c r="H18" s="21"/>
      <c r="I18" s="100"/>
      <c r="J18" s="87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27"/>
      <c r="E19" s="20"/>
      <c r="F19" s="21"/>
      <c r="G19" s="20"/>
      <c r="H19" s="21"/>
      <c r="I19" s="28"/>
      <c r="J19" s="29"/>
      <c r="K19" s="24"/>
      <c r="L19" s="21"/>
      <c r="M19" s="46"/>
      <c r="N19" s="46"/>
      <c r="O19" s="46"/>
      <c r="P19" s="46"/>
      <c r="Q19" s="12"/>
      <c r="R19" s="2"/>
    </row>
    <row r="20" ht="15.75" customHeight="1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31"/>
      <c r="B21" s="32"/>
      <c r="C21" s="33"/>
      <c r="D21" s="34"/>
      <c r="E21" s="35"/>
      <c r="F21" s="36"/>
      <c r="G21" s="35"/>
      <c r="H21" s="36"/>
      <c r="I21" s="37">
        <f t="shared" ref="I21:J21" si="5">SUM(I7:I20)</f>
        <v>30461.494</v>
      </c>
      <c r="J21" s="113">
        <f t="shared" si="5"/>
        <v>70</v>
      </c>
      <c r="K21" s="39">
        <f>+(P21)/(31*24)</f>
        <v>1.197715054</v>
      </c>
      <c r="L21" s="40"/>
      <c r="M21" s="41"/>
      <c r="N21" s="41"/>
      <c r="O21" s="41"/>
      <c r="P21" s="42">
        <f>SUM(P7:P20)</f>
        <v>891.1</v>
      </c>
      <c r="Q21" s="2"/>
      <c r="R21" s="2"/>
    </row>
    <row r="22" ht="15.75" customHeight="1">
      <c r="A22" s="1"/>
      <c r="B22" s="12"/>
      <c r="C22" s="43"/>
      <c r="D22" s="12"/>
      <c r="E22" s="13"/>
      <c r="F22" s="14"/>
      <c r="G22" s="13"/>
      <c r="H22" s="14"/>
      <c r="I22" s="44"/>
      <c r="J22" s="15"/>
      <c r="K22" s="16"/>
      <c r="L22" s="14"/>
      <c r="M22" s="2"/>
      <c r="N22" s="2"/>
      <c r="O22" s="2"/>
      <c r="P22" s="2"/>
      <c r="Q22" s="2"/>
      <c r="R22" s="2"/>
    </row>
    <row r="23" ht="15.75" customHeight="1">
      <c r="A23" s="115">
        <v>1.0</v>
      </c>
      <c r="B23" s="116" t="s">
        <v>31</v>
      </c>
      <c r="C23" s="30" t="s">
        <v>72</v>
      </c>
      <c r="D23" s="19" t="s">
        <v>33</v>
      </c>
      <c r="E23" s="20">
        <v>46042.0</v>
      </c>
      <c r="F23" s="21">
        <v>0.375</v>
      </c>
      <c r="G23" s="20">
        <v>46048.0</v>
      </c>
      <c r="H23" s="21">
        <v>0.4201388888888889</v>
      </c>
      <c r="I23" s="22">
        <v>8691.871</v>
      </c>
      <c r="J23" s="23"/>
      <c r="K23" s="45"/>
      <c r="L23" s="120"/>
      <c r="M23" s="124">
        <f t="shared" ref="M23:M31" si="6">INT(E23)+MOD(F23,1)</f>
        <v>46042.375</v>
      </c>
      <c r="N23" s="124">
        <f t="shared" ref="N23:N31" si="7">INT(G23)+MOD(H23,1)</f>
        <v>46048.42014</v>
      </c>
      <c r="O23" s="124">
        <f t="shared" ref="O23:O31" si="8">N23-M23</f>
        <v>6.045138889</v>
      </c>
      <c r="P23" s="125">
        <f t="shared" ref="P23:P31" si="9">O23*24</f>
        <v>145.0833333</v>
      </c>
      <c r="Q23" s="12">
        <v>3.0</v>
      </c>
      <c r="R23" s="2"/>
    </row>
    <row r="24" ht="15.75" customHeight="1">
      <c r="A24" s="115">
        <v>2.0</v>
      </c>
      <c r="B24" s="126"/>
      <c r="C24" s="30" t="s">
        <v>470</v>
      </c>
      <c r="D24" s="19" t="s">
        <v>33</v>
      </c>
      <c r="E24" s="20">
        <v>46049.0</v>
      </c>
      <c r="F24" s="21">
        <v>0.548611111111111</v>
      </c>
      <c r="G24" s="20">
        <v>46055.0</v>
      </c>
      <c r="H24" s="21">
        <v>0.3625</v>
      </c>
      <c r="I24" s="22">
        <v>8692.84</v>
      </c>
      <c r="J24" s="23"/>
      <c r="K24" s="45"/>
      <c r="L24" s="21"/>
      <c r="M24" s="124">
        <f t="shared" si="6"/>
        <v>46049.54861</v>
      </c>
      <c r="N24" s="124">
        <f t="shared" si="7"/>
        <v>46055.3625</v>
      </c>
      <c r="O24" s="124">
        <f t="shared" si="8"/>
        <v>5.813888889</v>
      </c>
      <c r="P24" s="125">
        <f t="shared" si="9"/>
        <v>139.5333333</v>
      </c>
      <c r="Q24" s="12">
        <v>3.0</v>
      </c>
      <c r="R24" s="2"/>
    </row>
    <row r="25" ht="15.75" customHeight="1">
      <c r="A25" s="115">
        <v>3.0</v>
      </c>
      <c r="B25" s="126"/>
      <c r="C25" s="52" t="s">
        <v>240</v>
      </c>
      <c r="D25" s="19" t="s">
        <v>33</v>
      </c>
      <c r="E25" s="20">
        <v>46055.0</v>
      </c>
      <c r="F25" s="21">
        <v>0.5243055555555556</v>
      </c>
      <c r="G25" s="20">
        <v>46060.0</v>
      </c>
      <c r="H25" s="21">
        <v>0.3333333333333333</v>
      </c>
      <c r="I25" s="22">
        <v>7421.551</v>
      </c>
      <c r="J25" s="23"/>
      <c r="K25" s="45"/>
      <c r="L25" s="21"/>
      <c r="M25" s="124">
        <f t="shared" si="6"/>
        <v>46055.52431</v>
      </c>
      <c r="N25" s="124">
        <f t="shared" si="7"/>
        <v>46060.33333</v>
      </c>
      <c r="O25" s="124">
        <f t="shared" si="8"/>
        <v>4.809027778</v>
      </c>
      <c r="P25" s="125">
        <f t="shared" si="9"/>
        <v>115.4166667</v>
      </c>
      <c r="Q25" s="12">
        <v>3.0</v>
      </c>
      <c r="R25" s="2"/>
    </row>
    <row r="26" ht="15.75" customHeight="1">
      <c r="A26" s="115">
        <v>4.0</v>
      </c>
      <c r="B26" s="126"/>
      <c r="C26" s="30" t="s">
        <v>131</v>
      </c>
      <c r="D26" s="19" t="s">
        <v>33</v>
      </c>
      <c r="E26" s="20">
        <v>46061.0</v>
      </c>
      <c r="F26" s="21">
        <v>0.375</v>
      </c>
      <c r="G26" s="20">
        <v>46069.0</v>
      </c>
      <c r="H26" s="21">
        <v>0.34375</v>
      </c>
      <c r="I26" s="22">
        <v>7294.673</v>
      </c>
      <c r="J26" s="23"/>
      <c r="K26" s="45"/>
      <c r="L26" s="21"/>
      <c r="M26" s="124">
        <f t="shared" si="6"/>
        <v>46061.375</v>
      </c>
      <c r="N26" s="124">
        <f t="shared" si="7"/>
        <v>46069.34375</v>
      </c>
      <c r="O26" s="124">
        <f t="shared" si="8"/>
        <v>7.96875</v>
      </c>
      <c r="P26" s="125">
        <f t="shared" si="9"/>
        <v>191.25</v>
      </c>
      <c r="Q26" s="12">
        <v>3.0</v>
      </c>
      <c r="R26" s="2"/>
    </row>
    <row r="27" ht="15.75" customHeight="1">
      <c r="A27" s="115">
        <v>5.0</v>
      </c>
      <c r="B27" s="126"/>
      <c r="C27" s="30" t="s">
        <v>471</v>
      </c>
      <c r="D27" s="19" t="s">
        <v>33</v>
      </c>
      <c r="E27" s="20">
        <v>46069.0</v>
      </c>
      <c r="F27" s="21">
        <v>0.5694444444444444</v>
      </c>
      <c r="G27" s="20">
        <v>46074.0</v>
      </c>
      <c r="H27" s="21">
        <v>0.5868055555555556</v>
      </c>
      <c r="I27" s="22">
        <v>8697.786</v>
      </c>
      <c r="J27" s="23"/>
      <c r="K27" s="45"/>
      <c r="L27" s="21"/>
      <c r="M27" s="124">
        <f t="shared" si="6"/>
        <v>46069.56944</v>
      </c>
      <c r="N27" s="124">
        <f t="shared" si="7"/>
        <v>46074.58681</v>
      </c>
      <c r="O27" s="124">
        <f t="shared" si="8"/>
        <v>5.017361111</v>
      </c>
      <c r="P27" s="125">
        <f t="shared" si="9"/>
        <v>120.4166667</v>
      </c>
      <c r="Q27" s="12">
        <v>3.0</v>
      </c>
      <c r="R27" s="2"/>
    </row>
    <row r="28" ht="15.75" customHeight="1">
      <c r="A28" s="115">
        <v>6.0</v>
      </c>
      <c r="B28" s="126"/>
      <c r="C28" s="30"/>
      <c r="D28" s="19"/>
      <c r="E28" s="20"/>
      <c r="F28" s="21"/>
      <c r="G28" s="20"/>
      <c r="H28" s="21"/>
      <c r="I28" s="22"/>
      <c r="J28" s="23"/>
      <c r="K28" s="45"/>
      <c r="L28" s="21"/>
      <c r="M28" s="124">
        <f t="shared" si="6"/>
        <v>0</v>
      </c>
      <c r="N28" s="124">
        <f t="shared" si="7"/>
        <v>0</v>
      </c>
      <c r="O28" s="124">
        <f t="shared" si="8"/>
        <v>0</v>
      </c>
      <c r="P28" s="125">
        <f t="shared" si="9"/>
        <v>0</v>
      </c>
      <c r="Q28" s="12">
        <v>3.0</v>
      </c>
      <c r="R28" s="2"/>
    </row>
    <row r="29" ht="15.75" customHeight="1">
      <c r="A29" s="115">
        <v>7.0</v>
      </c>
      <c r="B29" s="126"/>
      <c r="C29" s="30"/>
      <c r="D29" s="19"/>
      <c r="E29" s="20"/>
      <c r="F29" s="21"/>
      <c r="G29" s="20"/>
      <c r="H29" s="21"/>
      <c r="I29" s="22"/>
      <c r="J29" s="23"/>
      <c r="K29" s="45"/>
      <c r="L29" s="21"/>
      <c r="M29" s="124">
        <f t="shared" si="6"/>
        <v>0</v>
      </c>
      <c r="N29" s="124">
        <f t="shared" si="7"/>
        <v>0</v>
      </c>
      <c r="O29" s="124">
        <f t="shared" si="8"/>
        <v>0</v>
      </c>
      <c r="P29" s="125">
        <f t="shared" si="9"/>
        <v>0</v>
      </c>
      <c r="Q29" s="12">
        <v>3.0</v>
      </c>
      <c r="R29" s="2"/>
    </row>
    <row r="30" ht="15.75" customHeight="1">
      <c r="A30" s="115">
        <v>8.0</v>
      </c>
      <c r="B30" s="126"/>
      <c r="C30" s="30"/>
      <c r="D30" s="19"/>
      <c r="E30" s="20"/>
      <c r="F30" s="21"/>
      <c r="G30" s="20"/>
      <c r="H30" s="21"/>
      <c r="I30" s="22"/>
      <c r="J30" s="23"/>
      <c r="K30" s="45"/>
      <c r="L30" s="21"/>
      <c r="M30" s="124">
        <f t="shared" si="6"/>
        <v>0</v>
      </c>
      <c r="N30" s="124">
        <f t="shared" si="7"/>
        <v>0</v>
      </c>
      <c r="O30" s="124">
        <f t="shared" si="8"/>
        <v>0</v>
      </c>
      <c r="P30" s="125">
        <f t="shared" si="9"/>
        <v>0</v>
      </c>
      <c r="Q30" s="12">
        <v>3.0</v>
      </c>
      <c r="R30" s="2"/>
    </row>
    <row r="31" ht="15.75" customHeight="1">
      <c r="A31" s="115">
        <v>9.0</v>
      </c>
      <c r="B31" s="126"/>
      <c r="C31" s="30"/>
      <c r="D31" s="19"/>
      <c r="E31" s="20"/>
      <c r="F31" s="21"/>
      <c r="G31" s="20"/>
      <c r="H31" s="21"/>
      <c r="I31" s="22"/>
      <c r="J31" s="23"/>
      <c r="K31" s="45"/>
      <c r="L31" s="21"/>
      <c r="M31" s="124">
        <f t="shared" si="6"/>
        <v>0</v>
      </c>
      <c r="N31" s="124">
        <f t="shared" si="7"/>
        <v>0</v>
      </c>
      <c r="O31" s="124">
        <f t="shared" si="8"/>
        <v>0</v>
      </c>
      <c r="P31" s="125">
        <f t="shared" si="9"/>
        <v>0</v>
      </c>
      <c r="Q31" s="12">
        <v>3.0</v>
      </c>
      <c r="R31" s="2"/>
    </row>
    <row r="32" ht="15.75" customHeight="1">
      <c r="A32" s="115"/>
      <c r="B32" s="126"/>
      <c r="C32" s="30"/>
      <c r="D32" s="19"/>
      <c r="E32" s="20"/>
      <c r="F32" s="21"/>
      <c r="G32" s="20"/>
      <c r="H32" s="21"/>
      <c r="I32" s="22"/>
      <c r="J32" s="23"/>
      <c r="K32" s="45"/>
      <c r="L32" s="21"/>
      <c r="M32" s="46"/>
      <c r="N32" s="46"/>
      <c r="O32" s="46"/>
      <c r="P32" s="128"/>
      <c r="Q32" s="12"/>
      <c r="R32" s="2"/>
    </row>
    <row r="33" ht="15.75" customHeight="1">
      <c r="A33" s="129"/>
      <c r="B33" s="130"/>
      <c r="C33" s="33"/>
      <c r="D33" s="34"/>
      <c r="E33" s="35"/>
      <c r="F33" s="36"/>
      <c r="G33" s="35"/>
      <c r="H33" s="36"/>
      <c r="I33" s="131">
        <f t="shared" ref="I33:J33" si="10">SUM(I23:I32)</f>
        <v>40798.721</v>
      </c>
      <c r="J33" s="113">
        <f t="shared" si="10"/>
        <v>0</v>
      </c>
      <c r="K33" s="64">
        <f>+(P33)/(31*24)</f>
        <v>0.9565860215</v>
      </c>
      <c r="L33" s="40"/>
      <c r="M33" s="41"/>
      <c r="N33" s="41"/>
      <c r="O33" s="41"/>
      <c r="P33" s="42">
        <f>SUM(P23:P32)</f>
        <v>711.7</v>
      </c>
      <c r="Q33" s="2"/>
      <c r="R33" s="2"/>
    </row>
    <row r="34" ht="15.75" customHeight="1">
      <c r="A34" s="1"/>
      <c r="B34" s="12"/>
      <c r="C34" s="43"/>
      <c r="D34" s="12"/>
      <c r="E34" s="13"/>
      <c r="F34" s="14"/>
      <c r="G34" s="13"/>
      <c r="H34" s="14"/>
      <c r="I34" s="55"/>
      <c r="J34" s="56"/>
      <c r="K34" s="16"/>
      <c r="L34" s="14"/>
      <c r="M34" s="2"/>
      <c r="N34" s="2"/>
      <c r="O34" s="2"/>
      <c r="P34" s="2"/>
      <c r="Q34" s="2"/>
      <c r="R34" s="2"/>
    </row>
    <row r="35" ht="15.75" customHeight="1">
      <c r="A35" s="115">
        <v>1.0</v>
      </c>
      <c r="B35" s="116" t="s">
        <v>41</v>
      </c>
      <c r="C35" s="30" t="s">
        <v>297</v>
      </c>
      <c r="D35" s="19" t="s">
        <v>33</v>
      </c>
      <c r="E35" s="20">
        <v>46040.0</v>
      </c>
      <c r="F35" s="21">
        <v>0.4861111111111111</v>
      </c>
      <c r="G35" s="20">
        <v>46047.0</v>
      </c>
      <c r="H35" s="21">
        <v>0.4986111111111111</v>
      </c>
      <c r="I35" s="22">
        <v>7404.592</v>
      </c>
      <c r="J35" s="23"/>
      <c r="K35" s="45"/>
      <c r="L35" s="120"/>
      <c r="M35" s="124">
        <f t="shared" ref="M35:M43" si="11">INT(E35)+MOD(F35,1)</f>
        <v>46040.48611</v>
      </c>
      <c r="N35" s="124">
        <f t="shared" ref="N35:N43" si="12">INT(G35)+MOD(H35,1)</f>
        <v>46047.49861</v>
      </c>
      <c r="O35" s="132">
        <f t="shared" ref="O35:O43" si="13">N35-M35</f>
        <v>7.0125</v>
      </c>
      <c r="P35" s="125">
        <f t="shared" ref="P35:P43" si="14">O35*24</f>
        <v>168.3</v>
      </c>
      <c r="Q35" s="12">
        <v>4.0</v>
      </c>
      <c r="R35" s="2"/>
    </row>
    <row r="36" ht="15.75" customHeight="1">
      <c r="A36" s="115">
        <v>2.0</v>
      </c>
      <c r="B36" s="126"/>
      <c r="C36" s="30" t="s">
        <v>293</v>
      </c>
      <c r="D36" s="19" t="s">
        <v>33</v>
      </c>
      <c r="E36" s="20">
        <v>46050.0</v>
      </c>
      <c r="F36" s="21">
        <v>0.7708333333333334</v>
      </c>
      <c r="G36" s="20">
        <v>46053.0</v>
      </c>
      <c r="H36" s="21">
        <v>0.7361111111111112</v>
      </c>
      <c r="I36" s="22">
        <v>8495.08</v>
      </c>
      <c r="J36" s="23"/>
      <c r="K36" s="45"/>
      <c r="L36" s="21"/>
      <c r="M36" s="25">
        <f t="shared" si="11"/>
        <v>46050.77083</v>
      </c>
      <c r="N36" s="25">
        <f t="shared" si="12"/>
        <v>46053.73611</v>
      </c>
      <c r="O36" s="60">
        <f t="shared" si="13"/>
        <v>2.965277778</v>
      </c>
      <c r="P36" s="127">
        <f t="shared" si="14"/>
        <v>71.16666667</v>
      </c>
      <c r="Q36" s="12">
        <v>4.0</v>
      </c>
      <c r="R36" s="2"/>
    </row>
    <row r="37" ht="15.75" customHeight="1">
      <c r="A37" s="115">
        <v>3.0</v>
      </c>
      <c r="B37" s="126"/>
      <c r="C37" s="52" t="s">
        <v>472</v>
      </c>
      <c r="D37" s="19" t="s">
        <v>33</v>
      </c>
      <c r="E37" s="20">
        <v>46054.0</v>
      </c>
      <c r="F37" s="21">
        <v>0.3958333333333333</v>
      </c>
      <c r="G37" s="20">
        <v>46058.0</v>
      </c>
      <c r="H37" s="21">
        <v>0.5659722222222222</v>
      </c>
      <c r="I37" s="22">
        <v>7447.48</v>
      </c>
      <c r="J37" s="29"/>
      <c r="K37" s="45"/>
      <c r="L37" s="21"/>
      <c r="M37" s="25">
        <f t="shared" si="11"/>
        <v>46054.39583</v>
      </c>
      <c r="N37" s="25">
        <f t="shared" si="12"/>
        <v>46058.56597</v>
      </c>
      <c r="O37" s="60">
        <f t="shared" si="13"/>
        <v>4.170138889</v>
      </c>
      <c r="P37" s="127">
        <f t="shared" si="14"/>
        <v>100.0833333</v>
      </c>
      <c r="Q37" s="12">
        <v>4.0</v>
      </c>
      <c r="R37" s="2"/>
    </row>
    <row r="38" ht="15.75" customHeight="1">
      <c r="A38" s="115">
        <v>4.0</v>
      </c>
      <c r="B38" s="126"/>
      <c r="C38" s="52" t="s">
        <v>61</v>
      </c>
      <c r="D38" s="19" t="s">
        <v>33</v>
      </c>
      <c r="E38" s="20">
        <v>46053.0</v>
      </c>
      <c r="F38" s="21">
        <v>0.7256944444444445</v>
      </c>
      <c r="G38" s="20">
        <v>46057.0</v>
      </c>
      <c r="H38" s="21">
        <v>0.3194444444444445</v>
      </c>
      <c r="I38" s="22">
        <v>7528.303</v>
      </c>
      <c r="J38" s="23"/>
      <c r="K38" s="45"/>
      <c r="L38" s="21"/>
      <c r="M38" s="25">
        <f t="shared" si="11"/>
        <v>46053.72569</v>
      </c>
      <c r="N38" s="25">
        <f t="shared" si="12"/>
        <v>46057.31944</v>
      </c>
      <c r="O38" s="60">
        <f t="shared" si="13"/>
        <v>3.59375</v>
      </c>
      <c r="P38" s="127">
        <f t="shared" si="14"/>
        <v>86.25</v>
      </c>
      <c r="Q38" s="12">
        <v>4.0</v>
      </c>
      <c r="R38" s="2"/>
    </row>
    <row r="39" ht="15.75" customHeight="1">
      <c r="A39" s="115">
        <v>5.0</v>
      </c>
      <c r="B39" s="126"/>
      <c r="C39" s="52" t="s">
        <v>473</v>
      </c>
      <c r="D39" s="19" t="s">
        <v>33</v>
      </c>
      <c r="E39" s="20">
        <v>46058.0</v>
      </c>
      <c r="F39" s="21">
        <v>0.5902777777777778</v>
      </c>
      <c r="G39" s="20">
        <v>46062.0</v>
      </c>
      <c r="H39" s="21">
        <v>0.4618055555555556</v>
      </c>
      <c r="I39" s="22">
        <v>7882.92</v>
      </c>
      <c r="J39" s="23"/>
      <c r="K39" s="45"/>
      <c r="L39" s="21"/>
      <c r="M39" s="25">
        <f t="shared" si="11"/>
        <v>46058.59028</v>
      </c>
      <c r="N39" s="25">
        <f t="shared" si="12"/>
        <v>46062.46181</v>
      </c>
      <c r="O39" s="60">
        <f t="shared" si="13"/>
        <v>3.871527778</v>
      </c>
      <c r="P39" s="127">
        <f t="shared" si="14"/>
        <v>92.91666667</v>
      </c>
      <c r="Q39" s="12">
        <v>4.0</v>
      </c>
      <c r="R39" s="2"/>
    </row>
    <row r="40" ht="15.75" customHeight="1">
      <c r="A40" s="115">
        <v>6.0</v>
      </c>
      <c r="B40" s="126"/>
      <c r="C40" s="30" t="s">
        <v>474</v>
      </c>
      <c r="D40" s="19" t="s">
        <v>33</v>
      </c>
      <c r="E40" s="20">
        <v>46057.0</v>
      </c>
      <c r="F40" s="21">
        <v>0.3888888888888889</v>
      </c>
      <c r="G40" s="20">
        <v>46063.0</v>
      </c>
      <c r="H40" s="21">
        <v>0.34722222222222227</v>
      </c>
      <c r="I40" s="22">
        <v>7400.65</v>
      </c>
      <c r="J40" s="23"/>
      <c r="K40" s="45"/>
      <c r="L40" s="21"/>
      <c r="M40" s="25">
        <f t="shared" si="11"/>
        <v>46057.38889</v>
      </c>
      <c r="N40" s="25">
        <f t="shared" si="12"/>
        <v>46063.34722</v>
      </c>
      <c r="O40" s="60">
        <f t="shared" si="13"/>
        <v>5.958333333</v>
      </c>
      <c r="P40" s="127">
        <f t="shared" si="14"/>
        <v>143</v>
      </c>
      <c r="Q40" s="12">
        <v>4.0</v>
      </c>
      <c r="R40" s="2"/>
    </row>
    <row r="41" ht="15.75" customHeight="1">
      <c r="A41" s="115">
        <v>7.0</v>
      </c>
      <c r="B41" s="126"/>
      <c r="C41" s="30" t="s">
        <v>56</v>
      </c>
      <c r="D41" s="19" t="s">
        <v>33</v>
      </c>
      <c r="E41" s="20">
        <v>46066.0</v>
      </c>
      <c r="F41" s="21">
        <v>0.607638888888889</v>
      </c>
      <c r="G41" s="20">
        <v>46069.0</v>
      </c>
      <c r="H41" s="21">
        <v>0.4618055555555556</v>
      </c>
      <c r="I41" s="22">
        <v>7592.42</v>
      </c>
      <c r="J41" s="23"/>
      <c r="K41" s="45"/>
      <c r="L41" s="21"/>
      <c r="M41" s="25">
        <f t="shared" si="11"/>
        <v>46066.60764</v>
      </c>
      <c r="N41" s="25">
        <f t="shared" si="12"/>
        <v>46069.46181</v>
      </c>
      <c r="O41" s="60">
        <f t="shared" si="13"/>
        <v>2.854166667</v>
      </c>
      <c r="P41" s="127">
        <f t="shared" si="14"/>
        <v>68.5</v>
      </c>
      <c r="Q41" s="12">
        <v>4.0</v>
      </c>
      <c r="R41" s="2"/>
    </row>
    <row r="42" ht="15.75" customHeight="1">
      <c r="A42" s="115">
        <v>8.0</v>
      </c>
      <c r="B42" s="126"/>
      <c r="C42" s="30" t="s">
        <v>373</v>
      </c>
      <c r="D42" s="19" t="s">
        <v>319</v>
      </c>
      <c r="E42" s="20">
        <v>46063.0</v>
      </c>
      <c r="F42" s="21">
        <v>0.7222222222222222</v>
      </c>
      <c r="G42" s="20">
        <v>46069.0</v>
      </c>
      <c r="H42" s="21">
        <v>0.34722222222222227</v>
      </c>
      <c r="I42" s="22">
        <v>4027.06</v>
      </c>
      <c r="J42" s="23"/>
      <c r="K42" s="45"/>
      <c r="L42" s="21"/>
      <c r="M42" s="25">
        <f t="shared" si="11"/>
        <v>46063.72222</v>
      </c>
      <c r="N42" s="25">
        <f t="shared" si="12"/>
        <v>46069.34722</v>
      </c>
      <c r="O42" s="60">
        <f t="shared" si="13"/>
        <v>5.625</v>
      </c>
      <c r="P42" s="127">
        <f t="shared" si="14"/>
        <v>135</v>
      </c>
      <c r="Q42" s="12">
        <v>4.0</v>
      </c>
      <c r="R42" s="2"/>
    </row>
    <row r="43" ht="15.75" customHeight="1">
      <c r="A43" s="115">
        <v>9.0</v>
      </c>
      <c r="B43" s="126"/>
      <c r="C43" s="30" t="s">
        <v>475</v>
      </c>
      <c r="D43" s="19" t="s">
        <v>33</v>
      </c>
      <c r="E43" s="20">
        <v>46069.0</v>
      </c>
      <c r="F43" s="21">
        <v>0.4444444444444444</v>
      </c>
      <c r="G43" s="20">
        <v>46073.0</v>
      </c>
      <c r="H43" s="21">
        <v>0.5590277777777778</v>
      </c>
      <c r="I43" s="22">
        <v>7141.86</v>
      </c>
      <c r="J43" s="23"/>
      <c r="K43" s="45"/>
      <c r="L43" s="21"/>
      <c r="M43" s="25">
        <f t="shared" si="11"/>
        <v>46069.44444</v>
      </c>
      <c r="N43" s="25">
        <f t="shared" si="12"/>
        <v>46073.55903</v>
      </c>
      <c r="O43" s="60">
        <f t="shared" si="13"/>
        <v>4.114583333</v>
      </c>
      <c r="P43" s="127">
        <f t="shared" si="14"/>
        <v>98.75</v>
      </c>
      <c r="Q43" s="12">
        <v>4.0</v>
      </c>
      <c r="R43" s="2"/>
    </row>
    <row r="44" ht="15.75" customHeight="1">
      <c r="A44" s="115">
        <v>10.0</v>
      </c>
      <c r="B44" s="126"/>
      <c r="C44" s="30" t="s">
        <v>476</v>
      </c>
      <c r="D44" s="19"/>
      <c r="E44" s="20"/>
      <c r="F44" s="21"/>
      <c r="G44" s="20"/>
      <c r="H44" s="21"/>
      <c r="I44" s="22"/>
      <c r="J44" s="23"/>
      <c r="K44" s="45"/>
      <c r="L44" s="21"/>
      <c r="M44" s="46"/>
      <c r="N44" s="46"/>
      <c r="O44" s="61"/>
      <c r="P44" s="128"/>
      <c r="Q44" s="12"/>
      <c r="R44" s="2"/>
    </row>
    <row r="45" ht="15.75" customHeight="1">
      <c r="A45" s="115">
        <v>11.0</v>
      </c>
      <c r="B45" s="126"/>
      <c r="C45" s="30"/>
      <c r="D45" s="19"/>
      <c r="E45" s="20"/>
      <c r="F45" s="21"/>
      <c r="G45" s="20"/>
      <c r="H45" s="21"/>
      <c r="I45" s="22"/>
      <c r="J45" s="23"/>
      <c r="K45" s="45"/>
      <c r="L45" s="21"/>
      <c r="M45" s="46"/>
      <c r="N45" s="46"/>
      <c r="O45" s="61"/>
      <c r="P45" s="128"/>
      <c r="Q45" s="12"/>
      <c r="R45" s="2"/>
    </row>
    <row r="46" ht="15.75" customHeight="1">
      <c r="A46" s="115"/>
      <c r="B46" s="126"/>
      <c r="C46" s="30"/>
      <c r="D46" s="19"/>
      <c r="E46" s="20"/>
      <c r="F46" s="21"/>
      <c r="G46" s="20"/>
      <c r="H46" s="21"/>
      <c r="I46" s="22"/>
      <c r="J46" s="23"/>
      <c r="K46" s="45"/>
      <c r="L46" s="21"/>
      <c r="M46" s="46"/>
      <c r="N46" s="46"/>
      <c r="O46" s="61"/>
      <c r="P46" s="128"/>
      <c r="Q46" s="12"/>
      <c r="R46" s="2"/>
    </row>
    <row r="47" ht="15.75" customHeight="1">
      <c r="A47" s="115"/>
      <c r="B47" s="126"/>
      <c r="C47" s="30"/>
      <c r="D47" s="19"/>
      <c r="E47" s="20"/>
      <c r="F47" s="21"/>
      <c r="G47" s="20"/>
      <c r="H47" s="21"/>
      <c r="I47" s="22"/>
      <c r="J47" s="23"/>
      <c r="K47" s="45"/>
      <c r="L47" s="50"/>
      <c r="M47" s="46"/>
      <c r="N47" s="46"/>
      <c r="O47" s="61"/>
      <c r="P47" s="128"/>
      <c r="Q47" s="12"/>
      <c r="R47" s="2"/>
    </row>
    <row r="48" ht="15.75" customHeight="1">
      <c r="A48" s="115"/>
      <c r="B48" s="126"/>
      <c r="C48" s="30"/>
      <c r="D48" s="19"/>
      <c r="E48" s="20"/>
      <c r="F48" s="21"/>
      <c r="G48" s="20"/>
      <c r="H48" s="21"/>
      <c r="I48" s="22"/>
      <c r="J48" s="29"/>
      <c r="K48" s="45"/>
      <c r="L48" s="50"/>
      <c r="M48" s="46"/>
      <c r="N48" s="46"/>
      <c r="O48" s="61"/>
      <c r="P48" s="128"/>
      <c r="Q48" s="12"/>
      <c r="R48" s="2"/>
    </row>
    <row r="49" ht="15.75" customHeight="1">
      <c r="A49" s="115"/>
      <c r="B49" s="126"/>
      <c r="C49" s="67"/>
      <c r="D49" s="108"/>
      <c r="E49" s="104"/>
      <c r="F49" s="72"/>
      <c r="G49" s="104"/>
      <c r="H49" s="72"/>
      <c r="I49" s="109"/>
      <c r="J49" s="111"/>
      <c r="K49" s="45"/>
      <c r="L49" s="50"/>
      <c r="M49" s="46"/>
      <c r="N49" s="46"/>
      <c r="O49" s="61"/>
      <c r="P49" s="128"/>
      <c r="Q49" s="12"/>
      <c r="R49" s="2"/>
    </row>
    <row r="50" ht="15.75" customHeight="1">
      <c r="A50" s="115"/>
      <c r="B50" s="133"/>
      <c r="C50" s="30"/>
      <c r="D50" s="19"/>
      <c r="E50" s="20"/>
      <c r="F50" s="21"/>
      <c r="G50" s="20"/>
      <c r="H50" s="21"/>
      <c r="I50" s="22"/>
      <c r="J50" s="29"/>
      <c r="K50" s="45"/>
      <c r="L50" s="50"/>
      <c r="M50" s="46"/>
      <c r="N50" s="46"/>
      <c r="O50" s="61"/>
      <c r="P50" s="128"/>
      <c r="Q50" s="12"/>
      <c r="R50" s="2"/>
    </row>
    <row r="51" ht="18.0" customHeight="1">
      <c r="A51" s="115"/>
      <c r="B51" s="134"/>
      <c r="C51" s="30"/>
      <c r="D51" s="19"/>
      <c r="E51" s="20"/>
      <c r="F51" s="21"/>
      <c r="G51" s="20"/>
      <c r="H51" s="21"/>
      <c r="I51" s="22"/>
      <c r="J51" s="29"/>
      <c r="K51" s="45"/>
      <c r="L51" s="21"/>
      <c r="M51" s="46"/>
      <c r="N51" s="46"/>
      <c r="O51" s="61"/>
      <c r="P51" s="128"/>
      <c r="Q51" s="12"/>
      <c r="R51" s="2"/>
    </row>
    <row r="52" ht="18.75" customHeight="1">
      <c r="A52" s="135"/>
      <c r="B52" s="134"/>
      <c r="C52" s="102"/>
      <c r="D52" s="108"/>
      <c r="E52" s="104"/>
      <c r="F52" s="72"/>
      <c r="G52" s="104"/>
      <c r="H52" s="72"/>
      <c r="I52" s="109"/>
      <c r="J52" s="136"/>
      <c r="K52" s="137"/>
      <c r="L52" s="69"/>
      <c r="M52" s="70"/>
      <c r="N52" s="70"/>
      <c r="O52" s="110"/>
      <c r="P52" s="138"/>
      <c r="Q52" s="12"/>
      <c r="R52" s="2"/>
    </row>
    <row r="53" ht="15.75" customHeight="1">
      <c r="A53" s="139"/>
      <c r="B53" s="140"/>
      <c r="C53" s="141"/>
      <c r="D53" s="34"/>
      <c r="E53" s="35"/>
      <c r="F53" s="36"/>
      <c r="G53" s="35"/>
      <c r="H53" s="36"/>
      <c r="I53" s="131">
        <f>SUM(I35:I52)</f>
        <v>64920.365</v>
      </c>
      <c r="J53" s="142">
        <f>SUM(J35:J50)</f>
        <v>0</v>
      </c>
      <c r="K53" s="64">
        <f>+(P53)/(31*24)</f>
        <v>1.295654122</v>
      </c>
      <c r="L53" s="40"/>
      <c r="M53" s="41"/>
      <c r="N53" s="41"/>
      <c r="O53" s="41"/>
      <c r="P53" s="42">
        <f>SUM(P35:P50)</f>
        <v>963.9666667</v>
      </c>
      <c r="Q53" s="12"/>
      <c r="R53" s="2"/>
    </row>
    <row r="54" ht="15.75" customHeight="1">
      <c r="A54" s="65"/>
      <c r="B54" s="66"/>
      <c r="C54" s="67"/>
      <c r="D54" s="12"/>
      <c r="E54" s="13"/>
      <c r="F54" s="14"/>
      <c r="G54" s="13"/>
      <c r="H54" s="14"/>
      <c r="I54" s="55"/>
      <c r="J54" s="56"/>
      <c r="K54" s="68"/>
      <c r="L54" s="69"/>
      <c r="M54" s="70"/>
      <c r="N54" s="70"/>
      <c r="O54" s="70"/>
      <c r="P54" s="71"/>
      <c r="Q54" s="12"/>
      <c r="R54" s="2"/>
    </row>
    <row r="55" ht="15.75" customHeight="1">
      <c r="A55" s="115">
        <v>1.0</v>
      </c>
      <c r="B55" s="116" t="s">
        <v>62</v>
      </c>
      <c r="C55" s="30" t="s">
        <v>468</v>
      </c>
      <c r="D55" s="19" t="s">
        <v>319</v>
      </c>
      <c r="E55" s="20">
        <v>46036.0</v>
      </c>
      <c r="F55" s="21">
        <v>0.6638888888888889</v>
      </c>
      <c r="G55" s="20">
        <v>46038.0</v>
      </c>
      <c r="H55" s="21">
        <v>0.71875</v>
      </c>
      <c r="I55" s="22">
        <v>3518.22</v>
      </c>
      <c r="J55" s="23"/>
      <c r="K55" s="123"/>
      <c r="L55" s="120"/>
      <c r="M55" s="124">
        <f t="shared" ref="M55:M64" si="15">INT(E55)+MOD(F55,1)</f>
        <v>46036.66389</v>
      </c>
      <c r="N55" s="124">
        <f t="shared" ref="N55:N64" si="16">INT(G55)+MOD(H55,1)</f>
        <v>46038.71875</v>
      </c>
      <c r="O55" s="124">
        <f t="shared" ref="O55:O64" si="17">N55-M55</f>
        <v>2.054861111</v>
      </c>
      <c r="P55" s="125">
        <f t="shared" ref="P55:P64" si="18">O55*24</f>
        <v>49.31666667</v>
      </c>
      <c r="Q55" s="12">
        <v>5.0</v>
      </c>
      <c r="R55" s="2"/>
    </row>
    <row r="56" ht="15.75" customHeight="1">
      <c r="A56" s="115">
        <v>2.0</v>
      </c>
      <c r="B56" s="126"/>
      <c r="C56" s="30" t="s">
        <v>477</v>
      </c>
      <c r="D56" s="19" t="s">
        <v>33</v>
      </c>
      <c r="E56" s="20">
        <v>46047.0</v>
      </c>
      <c r="F56" s="21">
        <v>0.7673611111111112</v>
      </c>
      <c r="G56" s="20">
        <v>46053.0</v>
      </c>
      <c r="H56" s="21">
        <v>0.3680555555555556</v>
      </c>
      <c r="I56" s="22">
        <v>7517.803</v>
      </c>
      <c r="J56" s="23"/>
      <c r="K56" s="45"/>
      <c r="L56" s="21"/>
      <c r="M56" s="25">
        <f t="shared" si="15"/>
        <v>46047.76736</v>
      </c>
      <c r="N56" s="25">
        <f t="shared" si="16"/>
        <v>46053.36806</v>
      </c>
      <c r="O56" s="25">
        <f t="shared" si="17"/>
        <v>5.600694444</v>
      </c>
      <c r="P56" s="127">
        <f t="shared" si="18"/>
        <v>134.4166667</v>
      </c>
      <c r="Q56" s="12">
        <v>5.0</v>
      </c>
      <c r="R56" s="2"/>
    </row>
    <row r="57" ht="15.75" customHeight="1">
      <c r="A57" s="115">
        <v>3.0</v>
      </c>
      <c r="B57" s="126"/>
      <c r="C57" s="30" t="s">
        <v>478</v>
      </c>
      <c r="D57" s="19" t="s">
        <v>101</v>
      </c>
      <c r="E57" s="20">
        <v>46050.0</v>
      </c>
      <c r="F57" s="21">
        <v>0.4930555555555556</v>
      </c>
      <c r="G57" s="20">
        <v>46052.0</v>
      </c>
      <c r="H57" s="21">
        <v>0.7048611111111112</v>
      </c>
      <c r="I57" s="22"/>
      <c r="J57" s="156">
        <v>740.554</v>
      </c>
      <c r="K57" s="45"/>
      <c r="L57" s="21"/>
      <c r="M57" s="25">
        <f t="shared" si="15"/>
        <v>46050.49306</v>
      </c>
      <c r="N57" s="25">
        <f t="shared" si="16"/>
        <v>46052.70486</v>
      </c>
      <c r="O57" s="25">
        <f t="shared" si="17"/>
        <v>2.211805556</v>
      </c>
      <c r="P57" s="127">
        <f t="shared" si="18"/>
        <v>53.08333333</v>
      </c>
      <c r="Q57" s="12">
        <v>5.0</v>
      </c>
      <c r="R57" s="2"/>
    </row>
    <row r="58" ht="15.75" customHeight="1">
      <c r="A58" s="115">
        <v>4.0</v>
      </c>
      <c r="B58" s="126"/>
      <c r="C58" s="30" t="s">
        <v>479</v>
      </c>
      <c r="D58" s="19" t="s">
        <v>33</v>
      </c>
      <c r="E58" s="20">
        <v>46055.0</v>
      </c>
      <c r="F58" s="21">
        <v>0.6805555555555555</v>
      </c>
      <c r="G58" s="20">
        <v>46061.0</v>
      </c>
      <c r="H58" s="21">
        <v>0.611111111111111</v>
      </c>
      <c r="I58" s="22">
        <v>10387.78</v>
      </c>
      <c r="J58" s="23"/>
      <c r="K58" s="45"/>
      <c r="L58" s="21"/>
      <c r="M58" s="25">
        <f t="shared" si="15"/>
        <v>46055.68056</v>
      </c>
      <c r="N58" s="25">
        <f t="shared" si="16"/>
        <v>46061.61111</v>
      </c>
      <c r="O58" s="25">
        <f t="shared" si="17"/>
        <v>5.930555556</v>
      </c>
      <c r="P58" s="127">
        <f t="shared" si="18"/>
        <v>142.3333333</v>
      </c>
      <c r="Q58" s="12">
        <v>5.0</v>
      </c>
      <c r="R58" s="2"/>
    </row>
    <row r="59" ht="15.75" customHeight="1">
      <c r="A59" s="115">
        <v>5.0</v>
      </c>
      <c r="B59" s="126"/>
      <c r="C59" s="30" t="s">
        <v>110</v>
      </c>
      <c r="D59" s="19" t="s">
        <v>33</v>
      </c>
      <c r="E59" s="20">
        <v>46061.0</v>
      </c>
      <c r="F59" s="21">
        <v>0.7638888888888888</v>
      </c>
      <c r="G59" s="20">
        <v>46064.0</v>
      </c>
      <c r="H59" s="21">
        <v>0.3506944444444444</v>
      </c>
      <c r="I59" s="22">
        <v>6884.46</v>
      </c>
      <c r="J59" s="23"/>
      <c r="K59" s="45"/>
      <c r="L59" s="21"/>
      <c r="M59" s="25">
        <f t="shared" si="15"/>
        <v>46061.76389</v>
      </c>
      <c r="N59" s="25">
        <f t="shared" si="16"/>
        <v>46064.35069</v>
      </c>
      <c r="O59" s="25">
        <f t="shared" si="17"/>
        <v>2.586805556</v>
      </c>
      <c r="P59" s="127">
        <f t="shared" si="18"/>
        <v>62.08333333</v>
      </c>
      <c r="Q59" s="12">
        <v>5.0</v>
      </c>
      <c r="R59" s="2"/>
    </row>
    <row r="60" ht="15.75" customHeight="1">
      <c r="A60" s="115">
        <v>6.0</v>
      </c>
      <c r="B60" s="126"/>
      <c r="C60" s="52" t="s">
        <v>144</v>
      </c>
      <c r="D60" s="19" t="s">
        <v>33</v>
      </c>
      <c r="E60" s="20">
        <v>46062.0</v>
      </c>
      <c r="F60" s="21">
        <v>0.5590277777777778</v>
      </c>
      <c r="G60" s="20">
        <v>46066.0</v>
      </c>
      <c r="H60" s="21">
        <v>0.5729166666666666</v>
      </c>
      <c r="I60" s="22">
        <v>8184.66</v>
      </c>
      <c r="J60" s="23"/>
      <c r="K60" s="45"/>
      <c r="L60" s="21"/>
      <c r="M60" s="25">
        <f t="shared" si="15"/>
        <v>46062.55903</v>
      </c>
      <c r="N60" s="25">
        <f t="shared" si="16"/>
        <v>46066.57292</v>
      </c>
      <c r="O60" s="25">
        <f t="shared" si="17"/>
        <v>4.013888889</v>
      </c>
      <c r="P60" s="127">
        <f t="shared" si="18"/>
        <v>96.33333333</v>
      </c>
      <c r="Q60" s="12">
        <v>5.0</v>
      </c>
      <c r="R60" s="2"/>
    </row>
    <row r="61" ht="15.75" customHeight="1">
      <c r="A61" s="115">
        <v>7.0</v>
      </c>
      <c r="B61" s="126"/>
      <c r="C61" s="30" t="s">
        <v>480</v>
      </c>
      <c r="D61" s="19" t="s">
        <v>33</v>
      </c>
      <c r="E61" s="20">
        <v>46064.0</v>
      </c>
      <c r="F61" s="21">
        <v>0.3854166666666667</v>
      </c>
      <c r="G61" s="20">
        <v>46068.0</v>
      </c>
      <c r="H61" s="21">
        <v>0.4201388888888889</v>
      </c>
      <c r="I61" s="22">
        <v>7716.92</v>
      </c>
      <c r="J61" s="23"/>
      <c r="K61" s="45"/>
      <c r="L61" s="21"/>
      <c r="M61" s="25">
        <f t="shared" si="15"/>
        <v>46064.38542</v>
      </c>
      <c r="N61" s="25">
        <f t="shared" si="16"/>
        <v>46068.42014</v>
      </c>
      <c r="O61" s="25">
        <f t="shared" si="17"/>
        <v>4.034722222</v>
      </c>
      <c r="P61" s="127">
        <f t="shared" si="18"/>
        <v>96.83333333</v>
      </c>
      <c r="Q61" s="12">
        <v>5.0</v>
      </c>
      <c r="R61" s="2"/>
    </row>
    <row r="62" ht="15.75" customHeight="1">
      <c r="A62" s="115">
        <v>8.0</v>
      </c>
      <c r="B62" s="126"/>
      <c r="C62" s="30" t="s">
        <v>481</v>
      </c>
      <c r="D62" s="19" t="s">
        <v>33</v>
      </c>
      <c r="E62" s="20">
        <v>46069.0</v>
      </c>
      <c r="F62" s="21">
        <v>0.517361111111111</v>
      </c>
      <c r="G62" s="20">
        <v>46075.0</v>
      </c>
      <c r="H62" s="21">
        <v>0.3541666666666667</v>
      </c>
      <c r="I62" s="22">
        <v>7681.56</v>
      </c>
      <c r="J62" s="23"/>
      <c r="K62" s="45"/>
      <c r="L62" s="21"/>
      <c r="M62" s="25">
        <f t="shared" si="15"/>
        <v>46069.51736</v>
      </c>
      <c r="N62" s="25">
        <f t="shared" si="16"/>
        <v>46075.35417</v>
      </c>
      <c r="O62" s="25">
        <f t="shared" si="17"/>
        <v>5.836805556</v>
      </c>
      <c r="P62" s="127">
        <f t="shared" si="18"/>
        <v>140.0833333</v>
      </c>
      <c r="Q62" s="12">
        <v>5.0</v>
      </c>
      <c r="R62" s="2"/>
    </row>
    <row r="63" ht="15.75" customHeight="1">
      <c r="A63" s="115">
        <v>9.0</v>
      </c>
      <c r="B63" s="126"/>
      <c r="C63" s="30" t="s">
        <v>396</v>
      </c>
      <c r="D63" s="19" t="s">
        <v>33</v>
      </c>
      <c r="E63" s="20">
        <v>46070.0</v>
      </c>
      <c r="F63" s="21">
        <v>0.2638888888888889</v>
      </c>
      <c r="G63" s="20">
        <v>46075.0</v>
      </c>
      <c r="H63" s="21">
        <v>0.5416666666666666</v>
      </c>
      <c r="I63" s="22">
        <v>7420.0</v>
      </c>
      <c r="J63" s="23"/>
      <c r="K63" s="45"/>
      <c r="L63" s="21"/>
      <c r="M63" s="25">
        <f t="shared" si="15"/>
        <v>46070.26389</v>
      </c>
      <c r="N63" s="25">
        <f t="shared" si="16"/>
        <v>46075.54167</v>
      </c>
      <c r="O63" s="25">
        <f t="shared" si="17"/>
        <v>5.277777778</v>
      </c>
      <c r="P63" s="127">
        <f t="shared" si="18"/>
        <v>126.6666667</v>
      </c>
      <c r="Q63" s="12">
        <v>5.0</v>
      </c>
      <c r="R63" s="2"/>
    </row>
    <row r="64" ht="15.75" customHeight="1">
      <c r="A64" s="115">
        <v>10.0</v>
      </c>
      <c r="B64" s="126"/>
      <c r="C64" s="30" t="s">
        <v>305</v>
      </c>
      <c r="D64" s="19" t="s">
        <v>33</v>
      </c>
      <c r="E64" s="20">
        <v>46068.0</v>
      </c>
      <c r="F64" s="21">
        <v>0.49652777777777773</v>
      </c>
      <c r="G64" s="20">
        <v>46072.0</v>
      </c>
      <c r="H64" s="21">
        <v>0.3055555555555555</v>
      </c>
      <c r="I64" s="22">
        <v>8231.16</v>
      </c>
      <c r="J64" s="23"/>
      <c r="K64" s="45"/>
      <c r="L64" s="21"/>
      <c r="M64" s="25">
        <f t="shared" si="15"/>
        <v>46068.49653</v>
      </c>
      <c r="N64" s="25">
        <f t="shared" si="16"/>
        <v>46072.30556</v>
      </c>
      <c r="O64" s="25">
        <f t="shared" si="17"/>
        <v>3.809027778</v>
      </c>
      <c r="P64" s="127">
        <f t="shared" si="18"/>
        <v>91.41666667</v>
      </c>
      <c r="Q64" s="12">
        <v>5.0</v>
      </c>
      <c r="R64" s="2"/>
    </row>
    <row r="65" ht="15.75" customHeight="1">
      <c r="A65" s="115">
        <v>11.0</v>
      </c>
      <c r="B65" s="126"/>
      <c r="C65" s="30"/>
      <c r="D65" s="19"/>
      <c r="E65" s="20"/>
      <c r="F65" s="21"/>
      <c r="G65" s="20"/>
      <c r="H65" s="21"/>
      <c r="I65" s="22"/>
      <c r="J65" s="23"/>
      <c r="K65" s="45"/>
      <c r="L65" s="50"/>
      <c r="M65" s="46"/>
      <c r="N65" s="46"/>
      <c r="O65" s="46"/>
      <c r="P65" s="128"/>
      <c r="Q65" s="12"/>
      <c r="R65" s="2"/>
    </row>
    <row r="66" ht="15.75" customHeight="1">
      <c r="A66" s="115"/>
      <c r="B66" s="126"/>
      <c r="C66" s="30"/>
      <c r="D66" s="19"/>
      <c r="E66" s="20"/>
      <c r="F66" s="21"/>
      <c r="G66" s="20"/>
      <c r="H66" s="21"/>
      <c r="I66" s="22"/>
      <c r="J66" s="29"/>
      <c r="K66" s="137"/>
      <c r="L66" s="50"/>
      <c r="M66" s="46"/>
      <c r="N66" s="46"/>
      <c r="O66" s="46"/>
      <c r="P66" s="128"/>
      <c r="Q66" s="12"/>
      <c r="R66" s="2"/>
    </row>
    <row r="67" ht="15.75" customHeight="1">
      <c r="A67" s="115"/>
      <c r="B67" s="126"/>
      <c r="C67" s="30"/>
      <c r="D67" s="19"/>
      <c r="E67" s="20"/>
      <c r="F67" s="21"/>
      <c r="G67" s="20"/>
      <c r="H67" s="21"/>
      <c r="I67" s="22"/>
      <c r="J67" s="23"/>
      <c r="K67" s="45"/>
      <c r="L67" s="50"/>
      <c r="M67" s="46"/>
      <c r="N67" s="46"/>
      <c r="O67" s="46"/>
      <c r="P67" s="128"/>
      <c r="Q67" s="12"/>
      <c r="R67" s="2"/>
    </row>
    <row r="68" ht="15.75" customHeight="1">
      <c r="A68" s="129"/>
      <c r="B68" s="130"/>
      <c r="C68" s="141"/>
      <c r="D68" s="34"/>
      <c r="E68" s="35"/>
      <c r="F68" s="36"/>
      <c r="G68" s="35"/>
      <c r="H68" s="36"/>
      <c r="I68" s="131">
        <f t="shared" ref="I68:J68" si="19">SUM(I55:I67)</f>
        <v>67542.563</v>
      </c>
      <c r="J68" s="86">
        <f t="shared" si="19"/>
        <v>740.554</v>
      </c>
      <c r="K68" s="39">
        <f>+(P68)/(31*24)</f>
        <v>1.334094982</v>
      </c>
      <c r="L68" s="40"/>
      <c r="M68" s="41"/>
      <c r="N68" s="41"/>
      <c r="O68" s="41"/>
      <c r="P68" s="42">
        <f>SUM(P55:P67)</f>
        <v>992.5666667</v>
      </c>
      <c r="Q68" s="12"/>
      <c r="R68" s="2"/>
    </row>
    <row r="69" ht="15.75" customHeight="1">
      <c r="A69" s="1"/>
      <c r="B69" s="12"/>
      <c r="C69" s="67"/>
      <c r="D69" s="12"/>
      <c r="E69" s="13"/>
      <c r="F69" s="14"/>
      <c r="G69" s="13"/>
      <c r="H69" s="14"/>
      <c r="I69" s="55"/>
      <c r="J69" s="56"/>
      <c r="K69" s="16"/>
      <c r="L69" s="14"/>
      <c r="M69" s="2"/>
      <c r="N69" s="2"/>
      <c r="O69" s="2"/>
      <c r="P69" s="2"/>
      <c r="Q69" s="12"/>
      <c r="R69" s="2"/>
    </row>
    <row r="70" ht="15.75" customHeight="1">
      <c r="A70" s="1"/>
      <c r="B70" s="12"/>
      <c r="C70" s="67"/>
      <c r="D70" s="12"/>
      <c r="E70" s="13"/>
      <c r="F70" s="14"/>
      <c r="G70" s="13"/>
      <c r="H70" s="14"/>
      <c r="I70" s="55"/>
      <c r="J70" s="56"/>
      <c r="K70" s="16"/>
      <c r="L70" s="14"/>
      <c r="M70" s="2"/>
      <c r="N70" s="2"/>
      <c r="O70" s="2"/>
      <c r="P70" s="2"/>
      <c r="Q70" s="2"/>
      <c r="R70" s="2"/>
    </row>
    <row r="71" ht="15.75" customHeight="1">
      <c r="A71" s="1"/>
      <c r="B71" s="12"/>
      <c r="C71" s="67"/>
      <c r="D71" s="12"/>
      <c r="E71" s="13"/>
      <c r="F71" s="14"/>
      <c r="G71" s="13"/>
      <c r="H71" s="14"/>
      <c r="I71" s="55"/>
      <c r="J71" s="56"/>
      <c r="K71" s="16"/>
      <c r="L71" s="14"/>
      <c r="M71" s="2"/>
      <c r="N71" s="2"/>
      <c r="O71" s="2"/>
      <c r="P71" s="2"/>
      <c r="Q71" s="2"/>
      <c r="R71" s="2"/>
    </row>
    <row r="72" ht="15.75" customHeight="1">
      <c r="A72" s="1"/>
      <c r="B72" s="12"/>
      <c r="C72" s="67"/>
      <c r="D72" s="12"/>
      <c r="E72" s="13"/>
      <c r="F72" s="14"/>
      <c r="G72" s="13"/>
      <c r="H72" s="14"/>
      <c r="I72" s="55"/>
      <c r="J72" s="56"/>
      <c r="K72" s="16"/>
      <c r="L72" s="14"/>
      <c r="M72" s="2"/>
      <c r="N72" s="2"/>
      <c r="O72" s="2"/>
      <c r="P72" s="2"/>
      <c r="Q72" s="2"/>
      <c r="R72" s="2"/>
    </row>
    <row r="73" ht="15.75" customHeight="1">
      <c r="A73" s="115">
        <v>1.0</v>
      </c>
      <c r="B73" s="116" t="s">
        <v>69</v>
      </c>
      <c r="C73" s="30" t="s">
        <v>482</v>
      </c>
      <c r="D73" s="19" t="s">
        <v>74</v>
      </c>
      <c r="E73" s="20">
        <v>46053.0</v>
      </c>
      <c r="F73" s="21">
        <v>0.6625</v>
      </c>
      <c r="G73" s="20">
        <v>46059.0</v>
      </c>
      <c r="H73" s="21">
        <v>0.40625</v>
      </c>
      <c r="I73" s="22">
        <v>55931.92</v>
      </c>
      <c r="J73" s="74"/>
      <c r="K73" s="88"/>
      <c r="L73" s="146"/>
      <c r="M73" s="124">
        <f t="shared" ref="M73:M79" si="20">INT(E73)+MOD(F73,1)</f>
        <v>46053.6625</v>
      </c>
      <c r="N73" s="124">
        <f t="shared" ref="N73:N79" si="21">INT(G73)+MOD(H73,1)</f>
        <v>46059.40625</v>
      </c>
      <c r="O73" s="124">
        <f t="shared" ref="O73:O79" si="22">N73-M73</f>
        <v>5.74375</v>
      </c>
      <c r="P73" s="125">
        <f t="shared" ref="P73:P79" si="23">O73*24</f>
        <v>137.85</v>
      </c>
      <c r="Q73" s="12">
        <v>6.0</v>
      </c>
      <c r="R73" s="12"/>
    </row>
    <row r="74" ht="15.75" customHeight="1">
      <c r="A74" s="115">
        <v>2.0</v>
      </c>
      <c r="B74" s="126"/>
      <c r="C74" s="30" t="s">
        <v>483</v>
      </c>
      <c r="D74" s="19" t="s">
        <v>148</v>
      </c>
      <c r="E74" s="20">
        <v>46062.0</v>
      </c>
      <c r="F74" s="21">
        <v>0.7291666666666666</v>
      </c>
      <c r="G74" s="20">
        <v>46069.0</v>
      </c>
      <c r="H74" s="21">
        <v>0.6666666666666666</v>
      </c>
      <c r="I74" s="22">
        <v>43832.44</v>
      </c>
      <c r="J74" s="74"/>
      <c r="K74" s="88"/>
      <c r="L74" s="46"/>
      <c r="M74" s="25">
        <f t="shared" si="20"/>
        <v>46062.72917</v>
      </c>
      <c r="N74" s="25">
        <f t="shared" si="21"/>
        <v>46069.66667</v>
      </c>
      <c r="O74" s="25">
        <f t="shared" si="22"/>
        <v>6.9375</v>
      </c>
      <c r="P74" s="127">
        <f t="shared" si="23"/>
        <v>166.5</v>
      </c>
      <c r="Q74" s="12">
        <v>6.0</v>
      </c>
      <c r="R74" s="12"/>
    </row>
    <row r="75" ht="15.75" customHeight="1">
      <c r="A75" s="115">
        <v>3.0</v>
      </c>
      <c r="B75" s="126"/>
      <c r="C75" s="30"/>
      <c r="D75" s="19"/>
      <c r="E75" s="20"/>
      <c r="F75" s="21"/>
      <c r="G75" s="20"/>
      <c r="H75" s="21"/>
      <c r="I75" s="22"/>
      <c r="J75" s="74"/>
      <c r="K75" s="88"/>
      <c r="L75" s="46"/>
      <c r="M75" s="25">
        <f t="shared" si="20"/>
        <v>0</v>
      </c>
      <c r="N75" s="25">
        <f t="shared" si="21"/>
        <v>0</v>
      </c>
      <c r="O75" s="25">
        <f t="shared" si="22"/>
        <v>0</v>
      </c>
      <c r="P75" s="127">
        <f t="shared" si="23"/>
        <v>0</v>
      </c>
      <c r="Q75" s="12"/>
      <c r="R75" s="12"/>
    </row>
    <row r="76" ht="15.75" customHeight="1">
      <c r="A76" s="115">
        <v>4.0</v>
      </c>
      <c r="B76" s="126"/>
      <c r="C76" s="30"/>
      <c r="D76" s="19"/>
      <c r="E76" s="20"/>
      <c r="F76" s="21"/>
      <c r="G76" s="20"/>
      <c r="H76" s="21"/>
      <c r="I76" s="22"/>
      <c r="J76" s="74"/>
      <c r="K76" s="88"/>
      <c r="L76" s="46"/>
      <c r="M76" s="25">
        <f t="shared" si="20"/>
        <v>0</v>
      </c>
      <c r="N76" s="25">
        <f t="shared" si="21"/>
        <v>0</v>
      </c>
      <c r="O76" s="25">
        <f t="shared" si="22"/>
        <v>0</v>
      </c>
      <c r="P76" s="127">
        <f t="shared" si="23"/>
        <v>0</v>
      </c>
      <c r="Q76" s="12"/>
      <c r="R76" s="12"/>
    </row>
    <row r="77" ht="15.75" customHeight="1">
      <c r="A77" s="115"/>
      <c r="B77" s="126"/>
      <c r="C77" s="30"/>
      <c r="D77" s="19"/>
      <c r="E77" s="20"/>
      <c r="F77" s="21"/>
      <c r="G77" s="20"/>
      <c r="H77" s="21"/>
      <c r="I77" s="22"/>
      <c r="J77" s="74"/>
      <c r="K77" s="88"/>
      <c r="L77" s="46"/>
      <c r="M77" s="25">
        <f t="shared" si="20"/>
        <v>0</v>
      </c>
      <c r="N77" s="25">
        <f t="shared" si="21"/>
        <v>0</v>
      </c>
      <c r="O77" s="25">
        <f t="shared" si="22"/>
        <v>0</v>
      </c>
      <c r="P77" s="127">
        <f t="shared" si="23"/>
        <v>0</v>
      </c>
      <c r="Q77" s="12"/>
      <c r="R77" s="12"/>
    </row>
    <row r="78" ht="15.75" customHeight="1">
      <c r="A78" s="115"/>
      <c r="B78" s="126"/>
      <c r="C78" s="30"/>
      <c r="D78" s="19"/>
      <c r="E78" s="20"/>
      <c r="F78" s="21"/>
      <c r="G78" s="20"/>
      <c r="H78" s="21"/>
      <c r="I78" s="22"/>
      <c r="J78" s="74"/>
      <c r="K78" s="88"/>
      <c r="L78" s="46"/>
      <c r="M78" s="25">
        <f t="shared" si="20"/>
        <v>0</v>
      </c>
      <c r="N78" s="25">
        <f t="shared" si="21"/>
        <v>0</v>
      </c>
      <c r="O78" s="25">
        <f t="shared" si="22"/>
        <v>0</v>
      </c>
      <c r="P78" s="127">
        <f t="shared" si="23"/>
        <v>0</v>
      </c>
      <c r="Q78" s="12"/>
      <c r="R78" s="12"/>
    </row>
    <row r="79" ht="15.75" customHeight="1">
      <c r="A79" s="115"/>
      <c r="B79" s="126"/>
      <c r="C79" s="30"/>
      <c r="D79" s="19"/>
      <c r="E79" s="20"/>
      <c r="F79" s="21"/>
      <c r="G79" s="20"/>
      <c r="H79" s="21"/>
      <c r="I79" s="22"/>
      <c r="J79" s="74"/>
      <c r="K79" s="88"/>
      <c r="L79" s="46"/>
      <c r="M79" s="25">
        <f t="shared" si="20"/>
        <v>0</v>
      </c>
      <c r="N79" s="25">
        <f t="shared" si="21"/>
        <v>0</v>
      </c>
      <c r="O79" s="25">
        <f t="shared" si="22"/>
        <v>0</v>
      </c>
      <c r="P79" s="127">
        <f t="shared" si="23"/>
        <v>0</v>
      </c>
      <c r="Q79" s="12"/>
      <c r="R79" s="12"/>
    </row>
    <row r="80" ht="15.75" customHeight="1">
      <c r="A80" s="115"/>
      <c r="B80" s="126"/>
      <c r="C80" s="30"/>
      <c r="D80" s="19"/>
      <c r="E80" s="20"/>
      <c r="F80" s="21"/>
      <c r="G80" s="20"/>
      <c r="H80" s="21"/>
      <c r="I80" s="22"/>
      <c r="J80" s="74"/>
      <c r="K80" s="88"/>
      <c r="L80" s="82"/>
      <c r="M80" s="46"/>
      <c r="N80" s="46"/>
      <c r="O80" s="46"/>
      <c r="P80" s="128"/>
      <c r="Q80" s="12"/>
      <c r="R80" s="12"/>
    </row>
    <row r="81" ht="15.75" customHeight="1">
      <c r="A81" s="115"/>
      <c r="B81" s="133"/>
      <c r="C81" s="30"/>
      <c r="D81" s="19"/>
      <c r="E81" s="20"/>
      <c r="F81" s="21"/>
      <c r="G81" s="20"/>
      <c r="H81" s="21"/>
      <c r="I81" s="22"/>
      <c r="J81" s="74"/>
      <c r="K81" s="45"/>
      <c r="L81" s="50"/>
      <c r="M81" s="46"/>
      <c r="N81" s="46"/>
      <c r="O81" s="46"/>
      <c r="P81" s="128"/>
      <c r="Q81" s="12"/>
      <c r="R81" s="12"/>
    </row>
    <row r="82" ht="15.75" customHeight="1">
      <c r="A82" s="147"/>
      <c r="B82" s="148"/>
      <c r="C82" s="91"/>
      <c r="D82" s="91"/>
      <c r="E82" s="91"/>
      <c r="F82" s="91"/>
      <c r="G82" s="91"/>
      <c r="H82" s="91"/>
      <c r="I82" s="92">
        <f t="shared" ref="I82:J82" si="24">SUM(I73:I81)</f>
        <v>99764.36</v>
      </c>
      <c r="J82" s="93">
        <f t="shared" si="24"/>
        <v>0</v>
      </c>
      <c r="K82" s="64">
        <f>+(P82)/(31*24)</f>
        <v>0.4090725806</v>
      </c>
      <c r="L82" s="41"/>
      <c r="M82" s="41"/>
      <c r="N82" s="41"/>
      <c r="O82" s="41"/>
      <c r="P82" s="42">
        <f>SUM(P73:P81)</f>
        <v>304.35</v>
      </c>
      <c r="Q82" s="12"/>
      <c r="R82" s="1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2"/>
      <c r="N83" s="2"/>
      <c r="O83" s="2"/>
      <c r="P83" s="2"/>
      <c r="Q83" s="12"/>
      <c r="R83" s="1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94"/>
      <c r="J84" s="95"/>
      <c r="K84" s="3"/>
      <c r="L84" s="2"/>
      <c r="M84" s="2"/>
      <c r="N84" s="2"/>
      <c r="O84" s="2"/>
      <c r="P84" s="2"/>
      <c r="Q84" s="12"/>
      <c r="R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12"/>
      <c r="R85" s="2"/>
    </row>
    <row r="86" ht="15.75" customHeight="1">
      <c r="A86" s="96" t="s">
        <v>80</v>
      </c>
      <c r="B86" s="96"/>
      <c r="C86" s="96" t="s">
        <v>81</v>
      </c>
      <c r="D86" s="96" t="s">
        <v>82</v>
      </c>
      <c r="E86" s="96" t="s">
        <v>18</v>
      </c>
      <c r="F86" s="2"/>
      <c r="G86" s="2"/>
      <c r="H86" s="2"/>
      <c r="I86" s="2"/>
      <c r="J86" s="2"/>
      <c r="K86" s="3"/>
      <c r="L86" s="2"/>
      <c r="M86" s="2"/>
      <c r="N86" s="2"/>
      <c r="O86" s="2"/>
      <c r="P86" s="2"/>
      <c r="Q86" s="12"/>
      <c r="R86" s="2"/>
    </row>
    <row r="87" ht="15.75" customHeight="1">
      <c r="A87" s="96" t="s">
        <v>83</v>
      </c>
      <c r="B87" s="96"/>
      <c r="C87" s="96"/>
      <c r="D87" s="96" t="s">
        <v>84</v>
      </c>
      <c r="E87" s="96" t="s">
        <v>31</v>
      </c>
      <c r="F87" s="2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</row>
    <row r="88" ht="15.75" customHeight="1">
      <c r="A88" s="96"/>
      <c r="B88" s="96"/>
      <c r="C88" s="96"/>
      <c r="D88" s="96" t="s">
        <v>85</v>
      </c>
      <c r="E88" s="96" t="s">
        <v>41</v>
      </c>
      <c r="F88" s="2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</row>
    <row r="89" ht="15.75" customHeight="1">
      <c r="A89" s="96"/>
      <c r="B89" s="96"/>
      <c r="C89" s="96"/>
      <c r="D89" s="96" t="s">
        <v>86</v>
      </c>
      <c r="E89" s="96" t="s">
        <v>62</v>
      </c>
      <c r="F89" s="2"/>
      <c r="G89" s="2"/>
      <c r="H89" s="2"/>
      <c r="I89" s="2"/>
      <c r="J89" s="2"/>
      <c r="K89" s="3"/>
      <c r="L89" s="97"/>
      <c r="M89" s="2"/>
      <c r="N89" s="2"/>
      <c r="O89" s="2"/>
      <c r="P89" s="2"/>
      <c r="Q89" s="2"/>
      <c r="R89" s="2"/>
    </row>
    <row r="90" ht="15.75" customHeight="1">
      <c r="A90" s="96"/>
      <c r="B90" s="96"/>
      <c r="C90" s="96"/>
      <c r="D90" s="96" t="s">
        <v>87</v>
      </c>
      <c r="E90" s="96" t="s">
        <v>69</v>
      </c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</row>
    <row r="91" ht="15.75" customHeight="1">
      <c r="A91" s="96"/>
      <c r="B91" s="96"/>
      <c r="C91" s="96"/>
      <c r="D91" s="96"/>
      <c r="E91" s="96"/>
      <c r="F91" s="2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0"/>
    <mergeCell ref="B23:B32"/>
    <mergeCell ref="B35:B50"/>
    <mergeCell ref="B55:B67"/>
    <mergeCell ref="B73:B8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484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485</v>
      </c>
      <c r="D7" s="19" t="s">
        <v>277</v>
      </c>
      <c r="E7" s="20">
        <v>46077.0</v>
      </c>
      <c r="F7" s="21">
        <v>0.8958333333333334</v>
      </c>
      <c r="G7" s="20">
        <v>46082.0</v>
      </c>
      <c r="H7" s="21">
        <v>0.6784722222222223</v>
      </c>
      <c r="I7" s="22"/>
      <c r="J7" s="23">
        <v>4071.263</v>
      </c>
      <c r="K7" s="24"/>
      <c r="L7" s="21"/>
      <c r="M7" s="25">
        <f t="shared" ref="M7:M22" si="1">INT(E7)+MOD(F7,1)</f>
        <v>46077.89583</v>
      </c>
      <c r="N7" s="25">
        <f t="shared" ref="N7:N22" si="2">INT(G7)+MOD(H7,1)</f>
        <v>46082.67847</v>
      </c>
      <c r="O7" s="25">
        <f t="shared" ref="O7:O22" si="3">N7-M7</f>
        <v>4.782638889</v>
      </c>
      <c r="P7" s="25">
        <f t="shared" ref="P7:P22" si="4">O7*24</f>
        <v>114.7833333</v>
      </c>
      <c r="Q7" s="12">
        <v>1.0</v>
      </c>
      <c r="R7" s="2"/>
    </row>
    <row r="8">
      <c r="A8" s="5">
        <v>2.0</v>
      </c>
      <c r="B8" s="26"/>
      <c r="C8" s="30" t="s">
        <v>486</v>
      </c>
      <c r="D8" s="19" t="s">
        <v>277</v>
      </c>
      <c r="E8" s="20">
        <v>46076.0</v>
      </c>
      <c r="F8" s="21">
        <v>0.8298611111111112</v>
      </c>
      <c r="G8" s="20">
        <v>46077.0</v>
      </c>
      <c r="H8" s="21">
        <v>0.8333333333333334</v>
      </c>
      <c r="I8" s="22">
        <v>826.857</v>
      </c>
      <c r="J8" s="23"/>
      <c r="K8" s="24"/>
      <c r="L8" s="21"/>
      <c r="M8" s="25">
        <f t="shared" si="1"/>
        <v>46076.82986</v>
      </c>
      <c r="N8" s="25">
        <f t="shared" si="2"/>
        <v>46077.83333</v>
      </c>
      <c r="O8" s="25">
        <f t="shared" si="3"/>
        <v>1.003472222</v>
      </c>
      <c r="P8" s="25">
        <f t="shared" si="4"/>
        <v>24.08333333</v>
      </c>
      <c r="Q8" s="12">
        <v>2.0</v>
      </c>
      <c r="R8" s="2"/>
    </row>
    <row r="9">
      <c r="A9" s="5">
        <v>3.0</v>
      </c>
      <c r="B9" s="26"/>
      <c r="C9" s="30" t="s">
        <v>487</v>
      </c>
      <c r="D9" s="19" t="s">
        <v>488</v>
      </c>
      <c r="E9" s="20">
        <v>46082.0</v>
      </c>
      <c r="F9" s="21">
        <v>0.8583333333333334</v>
      </c>
      <c r="G9" s="20">
        <v>46085.0</v>
      </c>
      <c r="H9" s="21">
        <v>0.8020833333333334</v>
      </c>
      <c r="I9" s="22"/>
      <c r="J9" s="23">
        <v>978.958</v>
      </c>
      <c r="K9" s="24"/>
      <c r="L9" s="21"/>
      <c r="M9" s="25">
        <f t="shared" si="1"/>
        <v>46082.85833</v>
      </c>
      <c r="N9" s="25">
        <f t="shared" si="2"/>
        <v>46085.80208</v>
      </c>
      <c r="O9" s="25">
        <f t="shared" si="3"/>
        <v>2.94375</v>
      </c>
      <c r="P9" s="25">
        <f t="shared" si="4"/>
        <v>70.65</v>
      </c>
      <c r="Q9" s="12">
        <v>1.0</v>
      </c>
      <c r="R9" s="2"/>
    </row>
    <row r="10">
      <c r="A10" s="5">
        <v>4.0</v>
      </c>
      <c r="B10" s="26"/>
      <c r="C10" s="30" t="s">
        <v>487</v>
      </c>
      <c r="D10" s="19" t="s">
        <v>238</v>
      </c>
      <c r="E10" s="20">
        <v>46082.0</v>
      </c>
      <c r="F10" s="21">
        <v>0.8583333333333334</v>
      </c>
      <c r="G10" s="20">
        <v>46085.0</v>
      </c>
      <c r="H10" s="21">
        <v>0.8020833333333334</v>
      </c>
      <c r="I10" s="22"/>
      <c r="J10" s="23">
        <v>610.533</v>
      </c>
      <c r="K10" s="24"/>
      <c r="L10" s="21"/>
      <c r="M10" s="25">
        <f t="shared" si="1"/>
        <v>46082.85833</v>
      </c>
      <c r="N10" s="25">
        <f t="shared" si="2"/>
        <v>46085.80208</v>
      </c>
      <c r="O10" s="25">
        <f t="shared" si="3"/>
        <v>2.94375</v>
      </c>
      <c r="P10" s="25">
        <f t="shared" si="4"/>
        <v>70.65</v>
      </c>
      <c r="Q10" s="12">
        <v>1.0</v>
      </c>
      <c r="R10" s="2"/>
    </row>
    <row r="11">
      <c r="A11" s="5">
        <v>5.0</v>
      </c>
      <c r="B11" s="26"/>
      <c r="C11" s="30" t="s">
        <v>487</v>
      </c>
      <c r="D11" s="19" t="s">
        <v>488</v>
      </c>
      <c r="E11" s="20">
        <v>46082.0</v>
      </c>
      <c r="F11" s="21">
        <v>0.8583333333333334</v>
      </c>
      <c r="G11" s="20">
        <v>46085.0</v>
      </c>
      <c r="H11" s="21">
        <v>0.8020833333333334</v>
      </c>
      <c r="I11" s="22"/>
      <c r="J11" s="23">
        <v>491.376</v>
      </c>
      <c r="K11" s="24"/>
      <c r="L11" s="21"/>
      <c r="M11" s="25">
        <f t="shared" si="1"/>
        <v>46082.85833</v>
      </c>
      <c r="N11" s="25">
        <f t="shared" si="2"/>
        <v>46085.80208</v>
      </c>
      <c r="O11" s="25">
        <f t="shared" si="3"/>
        <v>2.94375</v>
      </c>
      <c r="P11" s="25">
        <f t="shared" si="4"/>
        <v>70.65</v>
      </c>
      <c r="Q11" s="12">
        <v>1.0</v>
      </c>
      <c r="R11" s="2"/>
    </row>
    <row r="12">
      <c r="A12" s="5">
        <v>6.0</v>
      </c>
      <c r="B12" s="26"/>
      <c r="C12" s="30" t="s">
        <v>489</v>
      </c>
      <c r="D12" s="19" t="s">
        <v>148</v>
      </c>
      <c r="E12" s="20">
        <v>46082.0</v>
      </c>
      <c r="F12" s="21">
        <v>0.75</v>
      </c>
      <c r="G12" s="20">
        <v>46085.0</v>
      </c>
      <c r="H12" s="21">
        <v>0.8263888888888888</v>
      </c>
      <c r="I12" s="22">
        <v>10231.34</v>
      </c>
      <c r="J12" s="23"/>
      <c r="K12" s="24"/>
      <c r="L12" s="21"/>
      <c r="M12" s="25">
        <f t="shared" si="1"/>
        <v>46082.75</v>
      </c>
      <c r="N12" s="25">
        <f t="shared" si="2"/>
        <v>46085.82639</v>
      </c>
      <c r="O12" s="25">
        <f t="shared" si="3"/>
        <v>3.076388889</v>
      </c>
      <c r="P12" s="25">
        <f t="shared" si="4"/>
        <v>73.83333333</v>
      </c>
      <c r="Q12" s="12">
        <v>2.0</v>
      </c>
      <c r="R12" s="2"/>
    </row>
    <row r="13">
      <c r="A13" s="5">
        <v>7.0</v>
      </c>
      <c r="B13" s="26"/>
      <c r="C13" s="30" t="s">
        <v>490</v>
      </c>
      <c r="D13" s="19" t="s">
        <v>464</v>
      </c>
      <c r="E13" s="20">
        <v>46085.0</v>
      </c>
      <c r="F13" s="21">
        <v>0.9513888888888888</v>
      </c>
      <c r="G13" s="20">
        <v>46086.0</v>
      </c>
      <c r="H13" s="21">
        <v>0.6749999999999999</v>
      </c>
      <c r="I13" s="29">
        <v>19.0</v>
      </c>
      <c r="J13" s="155">
        <v>148.0</v>
      </c>
      <c r="K13" s="24"/>
      <c r="L13" s="21"/>
      <c r="M13" s="25">
        <f t="shared" si="1"/>
        <v>46085.95139</v>
      </c>
      <c r="N13" s="25">
        <f t="shared" si="2"/>
        <v>46086.675</v>
      </c>
      <c r="O13" s="25">
        <f t="shared" si="3"/>
        <v>0.7236111111</v>
      </c>
      <c r="P13" s="25">
        <f t="shared" si="4"/>
        <v>17.36666667</v>
      </c>
      <c r="Q13" s="12">
        <v>1.0</v>
      </c>
      <c r="R13" s="2"/>
    </row>
    <row r="14">
      <c r="A14" s="5">
        <v>8.0</v>
      </c>
      <c r="B14" s="26"/>
      <c r="C14" s="30" t="s">
        <v>491</v>
      </c>
      <c r="D14" s="19" t="s">
        <v>277</v>
      </c>
      <c r="E14" s="20">
        <v>46085.0</v>
      </c>
      <c r="F14" s="21">
        <v>0.8611111111111112</v>
      </c>
      <c r="G14" s="20">
        <v>46086.0</v>
      </c>
      <c r="H14" s="21">
        <v>0.8090277777777778</v>
      </c>
      <c r="I14" s="22">
        <v>1358.123</v>
      </c>
      <c r="J14" s="23"/>
      <c r="K14" s="24"/>
      <c r="L14" s="21"/>
      <c r="M14" s="25">
        <f t="shared" si="1"/>
        <v>46085.86111</v>
      </c>
      <c r="N14" s="25">
        <f t="shared" si="2"/>
        <v>46086.80903</v>
      </c>
      <c r="O14" s="25">
        <f t="shared" si="3"/>
        <v>0.9479166667</v>
      </c>
      <c r="P14" s="25">
        <f t="shared" si="4"/>
        <v>22.75</v>
      </c>
      <c r="Q14" s="12">
        <v>2.0</v>
      </c>
      <c r="R14" s="2"/>
    </row>
    <row r="15">
      <c r="A15" s="5">
        <v>9.0</v>
      </c>
      <c r="B15" s="26"/>
      <c r="C15" s="30" t="s">
        <v>492</v>
      </c>
      <c r="D15" s="19" t="s">
        <v>424</v>
      </c>
      <c r="E15" s="20">
        <v>46091.0</v>
      </c>
      <c r="F15" s="21">
        <v>0.548611111111111</v>
      </c>
      <c r="G15" s="20">
        <v>46093.0</v>
      </c>
      <c r="H15" s="21">
        <v>0.6944444444444445</v>
      </c>
      <c r="I15" s="22"/>
      <c r="J15" s="23"/>
      <c r="K15" s="24"/>
      <c r="L15" s="21"/>
      <c r="M15" s="25">
        <f t="shared" si="1"/>
        <v>46091.54861</v>
      </c>
      <c r="N15" s="25">
        <f t="shared" si="2"/>
        <v>46093.69444</v>
      </c>
      <c r="O15" s="25">
        <f t="shared" si="3"/>
        <v>2.145833333</v>
      </c>
      <c r="P15" s="25">
        <f t="shared" si="4"/>
        <v>51.5</v>
      </c>
      <c r="Q15" s="12">
        <v>1.0</v>
      </c>
      <c r="R15" s="2"/>
    </row>
    <row r="16">
      <c r="A16" s="5"/>
      <c r="B16" s="26"/>
      <c r="C16" s="30" t="s">
        <v>418</v>
      </c>
      <c r="D16" s="19" t="s">
        <v>25</v>
      </c>
      <c r="E16" s="20">
        <v>46096.0</v>
      </c>
      <c r="F16" s="21">
        <v>0.9861111111111112</v>
      </c>
      <c r="G16" s="20">
        <v>46098.0</v>
      </c>
      <c r="H16" s="21">
        <v>0.375</v>
      </c>
      <c r="I16" s="22">
        <v>3557.301</v>
      </c>
      <c r="J16" s="23"/>
      <c r="K16" s="24"/>
      <c r="L16" s="21"/>
      <c r="M16" s="25">
        <f t="shared" si="1"/>
        <v>46096.98611</v>
      </c>
      <c r="N16" s="25">
        <f t="shared" si="2"/>
        <v>46098.375</v>
      </c>
      <c r="O16" s="25">
        <f t="shared" si="3"/>
        <v>1.388888889</v>
      </c>
      <c r="P16" s="25">
        <f t="shared" si="4"/>
        <v>33.33333333</v>
      </c>
      <c r="Q16" s="12">
        <v>1.0</v>
      </c>
      <c r="R16" s="2"/>
    </row>
    <row r="17">
      <c r="A17" s="5"/>
      <c r="B17" s="26"/>
      <c r="C17" s="30" t="s">
        <v>493</v>
      </c>
      <c r="D17" s="19" t="s">
        <v>25</v>
      </c>
      <c r="E17" s="20">
        <v>46095.0</v>
      </c>
      <c r="F17" s="21">
        <v>0.6284722222222222</v>
      </c>
      <c r="G17" s="20">
        <v>46096.0</v>
      </c>
      <c r="H17" s="21">
        <v>0.8472222222222222</v>
      </c>
      <c r="I17" s="22">
        <v>2932.677</v>
      </c>
      <c r="J17" s="23"/>
      <c r="K17" s="24"/>
      <c r="L17" s="21"/>
      <c r="M17" s="25">
        <f t="shared" si="1"/>
        <v>46095.62847</v>
      </c>
      <c r="N17" s="25">
        <f t="shared" si="2"/>
        <v>46096.84722</v>
      </c>
      <c r="O17" s="25">
        <f t="shared" si="3"/>
        <v>1.21875</v>
      </c>
      <c r="P17" s="25">
        <f t="shared" si="4"/>
        <v>29.25</v>
      </c>
      <c r="Q17" s="12">
        <v>1.0</v>
      </c>
      <c r="R17" s="2"/>
    </row>
    <row r="18">
      <c r="A18" s="5"/>
      <c r="B18" s="26"/>
      <c r="C18" s="30" t="s">
        <v>494</v>
      </c>
      <c r="D18" s="19" t="s">
        <v>25</v>
      </c>
      <c r="E18" s="20">
        <v>46106.0</v>
      </c>
      <c r="F18" s="21">
        <v>0.6458333333333334</v>
      </c>
      <c r="G18" s="20">
        <v>46108.0</v>
      </c>
      <c r="H18" s="21">
        <v>0.7048611111111112</v>
      </c>
      <c r="I18" s="22">
        <v>4940.268</v>
      </c>
      <c r="J18" s="23"/>
      <c r="K18" s="24"/>
      <c r="L18" s="21"/>
      <c r="M18" s="25">
        <f t="shared" si="1"/>
        <v>46106.64583</v>
      </c>
      <c r="N18" s="25">
        <f t="shared" si="2"/>
        <v>46108.70486</v>
      </c>
      <c r="O18" s="25">
        <f t="shared" si="3"/>
        <v>2.059027778</v>
      </c>
      <c r="P18" s="25">
        <f t="shared" si="4"/>
        <v>49.41666667</v>
      </c>
      <c r="Q18" s="12">
        <v>1.0</v>
      </c>
      <c r="R18" s="2"/>
    </row>
    <row r="19">
      <c r="A19" s="5"/>
      <c r="B19" s="26"/>
      <c r="C19" s="30" t="s">
        <v>495</v>
      </c>
      <c r="D19" s="19" t="s">
        <v>25</v>
      </c>
      <c r="E19" s="20">
        <v>46098.0</v>
      </c>
      <c r="F19" s="21">
        <v>0.8229166666666666</v>
      </c>
      <c r="G19" s="20">
        <v>46099.0</v>
      </c>
      <c r="H19" s="21">
        <v>0.7999999999999999</v>
      </c>
      <c r="I19" s="22">
        <v>2894.781</v>
      </c>
      <c r="J19" s="23"/>
      <c r="K19" s="24"/>
      <c r="L19" s="21"/>
      <c r="M19" s="25">
        <f t="shared" si="1"/>
        <v>46098.82292</v>
      </c>
      <c r="N19" s="25">
        <f t="shared" si="2"/>
        <v>46099.8</v>
      </c>
      <c r="O19" s="25">
        <f t="shared" si="3"/>
        <v>0.9770833333</v>
      </c>
      <c r="P19" s="25">
        <f t="shared" si="4"/>
        <v>23.45</v>
      </c>
      <c r="Q19" s="12">
        <v>1.0</v>
      </c>
      <c r="R19" s="2"/>
    </row>
    <row r="20">
      <c r="A20" s="5"/>
      <c r="B20" s="26"/>
      <c r="C20" s="30" t="s">
        <v>276</v>
      </c>
      <c r="D20" s="19" t="s">
        <v>277</v>
      </c>
      <c r="E20" s="20">
        <v>46098.0</v>
      </c>
      <c r="F20" s="21">
        <v>0.5729166666666666</v>
      </c>
      <c r="G20" s="20">
        <v>46099.0</v>
      </c>
      <c r="H20" s="21">
        <v>0.4583333333333333</v>
      </c>
      <c r="I20" s="22">
        <v>1152.25</v>
      </c>
      <c r="J20" s="23"/>
      <c r="K20" s="24"/>
      <c r="L20" s="21"/>
      <c r="M20" s="25">
        <f t="shared" si="1"/>
        <v>46098.57292</v>
      </c>
      <c r="N20" s="25">
        <f t="shared" si="2"/>
        <v>46099.45833</v>
      </c>
      <c r="O20" s="25">
        <f t="shared" si="3"/>
        <v>0.8854166667</v>
      </c>
      <c r="P20" s="25">
        <f t="shared" si="4"/>
        <v>21.25</v>
      </c>
      <c r="Q20" s="12">
        <v>2.0</v>
      </c>
      <c r="R20" s="2"/>
    </row>
    <row r="21" ht="15.75" customHeight="1">
      <c r="A21" s="5"/>
      <c r="B21" s="26"/>
      <c r="C21" s="30" t="s">
        <v>276</v>
      </c>
      <c r="D21" s="19" t="s">
        <v>277</v>
      </c>
      <c r="E21" s="20">
        <v>46106.0</v>
      </c>
      <c r="F21" s="21">
        <v>0.5833333333333334</v>
      </c>
      <c r="G21" s="20">
        <v>46108.0</v>
      </c>
      <c r="H21" s="21">
        <v>0.37847222222222227</v>
      </c>
      <c r="I21" s="22">
        <v>1139.15</v>
      </c>
      <c r="J21" s="23"/>
      <c r="K21" s="24"/>
      <c r="L21" s="21"/>
      <c r="M21" s="25">
        <f t="shared" si="1"/>
        <v>46106.58333</v>
      </c>
      <c r="N21" s="25">
        <f t="shared" si="2"/>
        <v>46108.37847</v>
      </c>
      <c r="O21" s="25">
        <f t="shared" si="3"/>
        <v>1.795138889</v>
      </c>
      <c r="P21" s="25">
        <f t="shared" si="4"/>
        <v>43.08333333</v>
      </c>
      <c r="Q21" s="12">
        <v>2.0</v>
      </c>
      <c r="R21" s="2"/>
    </row>
    <row r="22" ht="15.75" customHeight="1">
      <c r="A22" s="5"/>
      <c r="B22" s="26"/>
      <c r="C22" s="30" t="s">
        <v>486</v>
      </c>
      <c r="D22" s="19" t="s">
        <v>277</v>
      </c>
      <c r="E22" s="20">
        <v>46108.0</v>
      </c>
      <c r="F22" s="21">
        <v>0.4166666666666667</v>
      </c>
      <c r="G22" s="20">
        <v>46110.0</v>
      </c>
      <c r="H22" s="21">
        <v>0.7951388888888888</v>
      </c>
      <c r="I22" s="22">
        <v>784.31</v>
      </c>
      <c r="J22" s="23"/>
      <c r="K22" s="24"/>
      <c r="L22" s="21"/>
      <c r="M22" s="25">
        <f t="shared" si="1"/>
        <v>46108.41667</v>
      </c>
      <c r="N22" s="25">
        <f t="shared" si="2"/>
        <v>46110.79514</v>
      </c>
      <c r="O22" s="25">
        <f t="shared" si="3"/>
        <v>2.378472222</v>
      </c>
      <c r="P22" s="25">
        <f t="shared" si="4"/>
        <v>57.08333333</v>
      </c>
      <c r="Q22" s="12">
        <v>2.0</v>
      </c>
      <c r="R22" s="2"/>
    </row>
    <row r="23" ht="15.75" customHeight="1">
      <c r="A23" s="5"/>
      <c r="B23" s="26"/>
      <c r="C23" s="30"/>
      <c r="D23" s="19"/>
      <c r="E23" s="20"/>
      <c r="F23" s="21"/>
      <c r="G23" s="20"/>
      <c r="H23" s="21"/>
      <c r="I23" s="22"/>
      <c r="J23" s="23"/>
      <c r="K23" s="24"/>
      <c r="L23" s="21"/>
      <c r="M23" s="46"/>
      <c r="N23" s="46"/>
      <c r="O23" s="46"/>
      <c r="P23" s="46"/>
      <c r="Q23" s="12"/>
      <c r="R23" s="2"/>
    </row>
    <row r="24" ht="15.75" customHeight="1">
      <c r="A24" s="5"/>
      <c r="B24" s="26"/>
      <c r="C24" s="30"/>
      <c r="D24" s="19"/>
      <c r="E24" s="20"/>
      <c r="F24" s="21"/>
      <c r="G24" s="20"/>
      <c r="H24" s="21"/>
      <c r="I24" s="22"/>
      <c r="J24" s="23"/>
      <c r="K24" s="24"/>
      <c r="L24" s="21"/>
      <c r="M24" s="46"/>
      <c r="N24" s="46"/>
      <c r="O24" s="46"/>
      <c r="P24" s="46"/>
      <c r="Q24" s="12"/>
      <c r="R24" s="2"/>
    </row>
    <row r="25" ht="15.75" customHeight="1">
      <c r="A25" s="5"/>
      <c r="B25" s="26"/>
      <c r="C25" s="30"/>
      <c r="D25" s="27"/>
      <c r="E25" s="20"/>
      <c r="F25" s="21"/>
      <c r="G25" s="20"/>
      <c r="H25" s="21"/>
      <c r="I25" s="100"/>
      <c r="J25" s="87"/>
      <c r="K25" s="24"/>
      <c r="L25" s="21"/>
      <c r="M25" s="46"/>
      <c r="N25" s="46"/>
      <c r="O25" s="46"/>
      <c r="P25" s="46"/>
      <c r="Q25" s="12"/>
      <c r="R25" s="2"/>
    </row>
    <row r="26" ht="15.75" customHeight="1">
      <c r="A26" s="5"/>
      <c r="B26" s="26"/>
      <c r="C26" s="30"/>
      <c r="D26" s="27"/>
      <c r="E26" s="20"/>
      <c r="F26" s="21"/>
      <c r="G26" s="20"/>
      <c r="H26" s="21"/>
      <c r="I26" s="28"/>
      <c r="J26" s="29"/>
      <c r="K26" s="24"/>
      <c r="L26" s="21"/>
      <c r="M26" s="46"/>
      <c r="N26" s="46"/>
      <c r="O26" s="46"/>
      <c r="P26" s="46"/>
      <c r="Q26" s="12"/>
      <c r="R26" s="2"/>
    </row>
    <row r="27" ht="15.75" customHeight="1">
      <c r="A27" s="5"/>
      <c r="B27" s="26"/>
      <c r="C27" s="30"/>
      <c r="D27" s="19"/>
      <c r="E27" s="20"/>
      <c r="F27" s="21"/>
      <c r="G27" s="20"/>
      <c r="H27" s="21"/>
      <c r="I27" s="22"/>
      <c r="J27" s="23"/>
      <c r="K27" s="24"/>
      <c r="L27" s="21"/>
      <c r="M27" s="46"/>
      <c r="N27" s="46"/>
      <c r="O27" s="46"/>
      <c r="P27" s="46"/>
      <c r="Q27" s="12"/>
      <c r="R27" s="2"/>
    </row>
    <row r="28" ht="15.75" customHeight="1">
      <c r="A28" s="31"/>
      <c r="B28" s="32"/>
      <c r="C28" s="33"/>
      <c r="D28" s="34"/>
      <c r="E28" s="35"/>
      <c r="F28" s="36"/>
      <c r="G28" s="35"/>
      <c r="H28" s="36"/>
      <c r="I28" s="37">
        <f t="shared" ref="I28:J28" si="5">SUM(I7:I27)</f>
        <v>29836.057</v>
      </c>
      <c r="J28" s="113">
        <f t="shared" si="5"/>
        <v>6300.13</v>
      </c>
      <c r="K28" s="39">
        <f>+(P28)/(31*24)</f>
        <v>1.039157706</v>
      </c>
      <c r="L28" s="40"/>
      <c r="M28" s="41"/>
      <c r="N28" s="41"/>
      <c r="O28" s="41"/>
      <c r="P28" s="42">
        <f>SUM(P7:P27)</f>
        <v>773.1333333</v>
      </c>
      <c r="Q28" s="2"/>
      <c r="R28" s="2"/>
    </row>
    <row r="29" ht="15.75" customHeight="1">
      <c r="A29" s="1"/>
      <c r="B29" s="12"/>
      <c r="C29" s="43"/>
      <c r="D29" s="12"/>
      <c r="E29" s="13"/>
      <c r="F29" s="14"/>
      <c r="G29" s="13"/>
      <c r="H29" s="14"/>
      <c r="I29" s="44"/>
      <c r="J29" s="15"/>
      <c r="K29" s="16"/>
      <c r="L29" s="14"/>
      <c r="M29" s="2"/>
      <c r="N29" s="2"/>
      <c r="O29" s="2"/>
      <c r="P29" s="2"/>
      <c r="Q29" s="2"/>
      <c r="R29" s="2"/>
    </row>
    <row r="30" ht="15.75" customHeight="1">
      <c r="A30" s="115">
        <v>1.0</v>
      </c>
      <c r="B30" s="116" t="s">
        <v>31</v>
      </c>
      <c r="C30" s="30" t="s">
        <v>174</v>
      </c>
      <c r="D30" s="19" t="s">
        <v>33</v>
      </c>
      <c r="E30" s="20">
        <v>46074.0</v>
      </c>
      <c r="F30" s="21">
        <v>0.4826388888888889</v>
      </c>
      <c r="G30" s="20">
        <v>46082.0</v>
      </c>
      <c r="H30" s="21">
        <v>0.4131944444444444</v>
      </c>
      <c r="I30" s="22">
        <v>8743.74</v>
      </c>
      <c r="J30" s="23"/>
      <c r="K30" s="45"/>
      <c r="L30" s="120"/>
      <c r="M30" s="124">
        <f t="shared" ref="M30:M38" si="6">INT(E30)+MOD(F30,1)</f>
        <v>46074.48264</v>
      </c>
      <c r="N30" s="124">
        <f t="shared" ref="N30:N38" si="7">INT(G30)+MOD(H30,1)</f>
        <v>46082.41319</v>
      </c>
      <c r="O30" s="124">
        <f t="shared" ref="O30:O38" si="8">N30-M30</f>
        <v>7.930555556</v>
      </c>
      <c r="P30" s="125">
        <f t="shared" ref="P30:P38" si="9">O30*24</f>
        <v>190.3333333</v>
      </c>
      <c r="Q30" s="12">
        <v>3.0</v>
      </c>
      <c r="R30" s="2"/>
    </row>
    <row r="31" ht="15.75" customHeight="1">
      <c r="A31" s="115">
        <v>2.0</v>
      </c>
      <c r="B31" s="126"/>
      <c r="C31" s="30" t="s">
        <v>289</v>
      </c>
      <c r="D31" s="19" t="s">
        <v>33</v>
      </c>
      <c r="E31" s="20">
        <v>46074.0</v>
      </c>
      <c r="F31" s="21">
        <v>0.6180555555555556</v>
      </c>
      <c r="G31" s="20">
        <v>46085.0</v>
      </c>
      <c r="H31" s="21">
        <v>0.6631944444444444</v>
      </c>
      <c r="I31" s="22">
        <v>8322.485</v>
      </c>
      <c r="J31" s="23"/>
      <c r="K31" s="45"/>
      <c r="L31" s="21"/>
      <c r="M31" s="124">
        <f t="shared" si="6"/>
        <v>46074.61806</v>
      </c>
      <c r="N31" s="124">
        <f t="shared" si="7"/>
        <v>46085.66319</v>
      </c>
      <c r="O31" s="124">
        <f t="shared" si="8"/>
        <v>11.04513889</v>
      </c>
      <c r="P31" s="125">
        <f t="shared" si="9"/>
        <v>265.0833333</v>
      </c>
      <c r="Q31" s="12">
        <v>3.0</v>
      </c>
      <c r="R31" s="2"/>
    </row>
    <row r="32" ht="15.75" customHeight="1">
      <c r="A32" s="115">
        <v>3.0</v>
      </c>
      <c r="B32" s="126"/>
      <c r="C32" s="30" t="s">
        <v>496</v>
      </c>
      <c r="D32" s="19" t="s">
        <v>33</v>
      </c>
      <c r="E32" s="20">
        <v>46085.0</v>
      </c>
      <c r="F32" s="21">
        <v>0.7673611111111112</v>
      </c>
      <c r="G32" s="20">
        <v>46094.0</v>
      </c>
      <c r="H32" s="21">
        <v>0.34375</v>
      </c>
      <c r="I32" s="22">
        <v>8218.384</v>
      </c>
      <c r="J32" s="23"/>
      <c r="K32" s="45"/>
      <c r="L32" s="21"/>
      <c r="M32" s="124">
        <f t="shared" si="6"/>
        <v>46085.76736</v>
      </c>
      <c r="N32" s="124">
        <f t="shared" si="7"/>
        <v>46094.34375</v>
      </c>
      <c r="O32" s="124">
        <f t="shared" si="8"/>
        <v>8.576388889</v>
      </c>
      <c r="P32" s="125">
        <f t="shared" si="9"/>
        <v>205.8333333</v>
      </c>
      <c r="Q32" s="12">
        <v>3.0</v>
      </c>
      <c r="R32" s="2"/>
    </row>
    <row r="33" ht="15.75" customHeight="1">
      <c r="A33" s="115">
        <v>4.0</v>
      </c>
      <c r="B33" s="126"/>
      <c r="C33" s="30"/>
      <c r="D33" s="19"/>
      <c r="E33" s="20"/>
      <c r="F33" s="21"/>
      <c r="G33" s="20"/>
      <c r="H33" s="21"/>
      <c r="I33" s="22"/>
      <c r="J33" s="23"/>
      <c r="K33" s="45"/>
      <c r="L33" s="21"/>
      <c r="M33" s="124">
        <f t="shared" si="6"/>
        <v>0</v>
      </c>
      <c r="N33" s="124">
        <f t="shared" si="7"/>
        <v>0</v>
      </c>
      <c r="O33" s="124">
        <f t="shared" si="8"/>
        <v>0</v>
      </c>
      <c r="P33" s="125">
        <f t="shared" si="9"/>
        <v>0</v>
      </c>
      <c r="Q33" s="12"/>
      <c r="R33" s="2"/>
    </row>
    <row r="34" ht="15.75" customHeight="1">
      <c r="A34" s="115">
        <v>5.0</v>
      </c>
      <c r="B34" s="126"/>
      <c r="C34" s="30"/>
      <c r="D34" s="19"/>
      <c r="E34" s="20"/>
      <c r="F34" s="21"/>
      <c r="G34" s="20"/>
      <c r="H34" s="21"/>
      <c r="I34" s="22"/>
      <c r="J34" s="23"/>
      <c r="K34" s="45"/>
      <c r="L34" s="21"/>
      <c r="M34" s="124">
        <f t="shared" si="6"/>
        <v>0</v>
      </c>
      <c r="N34" s="124">
        <f t="shared" si="7"/>
        <v>0</v>
      </c>
      <c r="O34" s="124">
        <f t="shared" si="8"/>
        <v>0</v>
      </c>
      <c r="P34" s="125">
        <f t="shared" si="9"/>
        <v>0</v>
      </c>
      <c r="Q34" s="12"/>
      <c r="R34" s="2"/>
    </row>
    <row r="35" ht="15.75" customHeight="1">
      <c r="A35" s="115">
        <v>6.0</v>
      </c>
      <c r="B35" s="126"/>
      <c r="C35" s="30"/>
      <c r="D35" s="19"/>
      <c r="E35" s="20"/>
      <c r="F35" s="21"/>
      <c r="G35" s="20"/>
      <c r="H35" s="21"/>
      <c r="I35" s="22"/>
      <c r="J35" s="23"/>
      <c r="K35" s="45"/>
      <c r="L35" s="21"/>
      <c r="M35" s="124">
        <f t="shared" si="6"/>
        <v>0</v>
      </c>
      <c r="N35" s="124">
        <f t="shared" si="7"/>
        <v>0</v>
      </c>
      <c r="O35" s="124">
        <f t="shared" si="8"/>
        <v>0</v>
      </c>
      <c r="P35" s="125">
        <f t="shared" si="9"/>
        <v>0</v>
      </c>
      <c r="Q35" s="12"/>
      <c r="R35" s="2"/>
    </row>
    <row r="36" ht="15.75" customHeight="1">
      <c r="A36" s="115">
        <v>7.0</v>
      </c>
      <c r="B36" s="126"/>
      <c r="C36" s="30"/>
      <c r="D36" s="19"/>
      <c r="E36" s="20"/>
      <c r="F36" s="21"/>
      <c r="G36" s="20"/>
      <c r="H36" s="21"/>
      <c r="I36" s="22"/>
      <c r="J36" s="23"/>
      <c r="K36" s="45"/>
      <c r="L36" s="21"/>
      <c r="M36" s="124">
        <f t="shared" si="6"/>
        <v>0</v>
      </c>
      <c r="N36" s="124">
        <f t="shared" si="7"/>
        <v>0</v>
      </c>
      <c r="O36" s="124">
        <f t="shared" si="8"/>
        <v>0</v>
      </c>
      <c r="P36" s="125">
        <f t="shared" si="9"/>
        <v>0</v>
      </c>
      <c r="Q36" s="12"/>
      <c r="R36" s="2"/>
    </row>
    <row r="37" ht="15.75" customHeight="1">
      <c r="A37" s="115">
        <v>8.0</v>
      </c>
      <c r="B37" s="126"/>
      <c r="C37" s="30"/>
      <c r="D37" s="19"/>
      <c r="E37" s="20"/>
      <c r="F37" s="21"/>
      <c r="G37" s="20"/>
      <c r="H37" s="21"/>
      <c r="I37" s="22"/>
      <c r="J37" s="23"/>
      <c r="K37" s="45"/>
      <c r="L37" s="21"/>
      <c r="M37" s="124">
        <f t="shared" si="6"/>
        <v>0</v>
      </c>
      <c r="N37" s="124">
        <f t="shared" si="7"/>
        <v>0</v>
      </c>
      <c r="O37" s="124">
        <f t="shared" si="8"/>
        <v>0</v>
      </c>
      <c r="P37" s="125">
        <f t="shared" si="9"/>
        <v>0</v>
      </c>
      <c r="Q37" s="12"/>
      <c r="R37" s="2"/>
    </row>
    <row r="38" ht="15.75" customHeight="1">
      <c r="A38" s="115">
        <v>9.0</v>
      </c>
      <c r="B38" s="126"/>
      <c r="C38" s="30"/>
      <c r="D38" s="19"/>
      <c r="E38" s="20"/>
      <c r="F38" s="21"/>
      <c r="G38" s="20"/>
      <c r="H38" s="21"/>
      <c r="I38" s="22"/>
      <c r="J38" s="23"/>
      <c r="K38" s="45"/>
      <c r="L38" s="21"/>
      <c r="M38" s="124">
        <f t="shared" si="6"/>
        <v>0</v>
      </c>
      <c r="N38" s="124">
        <f t="shared" si="7"/>
        <v>0</v>
      </c>
      <c r="O38" s="124">
        <f t="shared" si="8"/>
        <v>0</v>
      </c>
      <c r="P38" s="125">
        <f t="shared" si="9"/>
        <v>0</v>
      </c>
      <c r="Q38" s="12"/>
      <c r="R38" s="2"/>
    </row>
    <row r="39" ht="15.75" customHeight="1">
      <c r="A39" s="115"/>
      <c r="B39" s="126"/>
      <c r="C39" s="30"/>
      <c r="D39" s="19"/>
      <c r="E39" s="20"/>
      <c r="F39" s="21"/>
      <c r="G39" s="20"/>
      <c r="H39" s="21"/>
      <c r="I39" s="22"/>
      <c r="J39" s="23"/>
      <c r="K39" s="45"/>
      <c r="L39" s="21"/>
      <c r="M39" s="46"/>
      <c r="N39" s="46"/>
      <c r="O39" s="46"/>
      <c r="P39" s="128"/>
      <c r="Q39" s="12"/>
      <c r="R39" s="2"/>
    </row>
    <row r="40" ht="15.75" customHeight="1">
      <c r="A40" s="129"/>
      <c r="B40" s="130"/>
      <c r="C40" s="33"/>
      <c r="D40" s="34"/>
      <c r="E40" s="35"/>
      <c r="F40" s="36"/>
      <c r="G40" s="35"/>
      <c r="H40" s="36"/>
      <c r="I40" s="131">
        <f t="shared" ref="I40:J40" si="10">SUM(I30:I39)</f>
        <v>25284.609</v>
      </c>
      <c r="J40" s="113">
        <f t="shared" si="10"/>
        <v>0</v>
      </c>
      <c r="K40" s="64">
        <f>+(P40)/(31*24)</f>
        <v>0.8887768817</v>
      </c>
      <c r="L40" s="40"/>
      <c r="M40" s="41"/>
      <c r="N40" s="41"/>
      <c r="O40" s="41"/>
      <c r="P40" s="42">
        <f>SUM(P30:P39)</f>
        <v>661.25</v>
      </c>
      <c r="Q40" s="2"/>
      <c r="R40" s="2"/>
    </row>
    <row r="41" ht="15.75" customHeight="1">
      <c r="A41" s="1"/>
      <c r="B41" s="12"/>
      <c r="C41" s="43"/>
      <c r="D41" s="12"/>
      <c r="E41" s="13"/>
      <c r="F41" s="14"/>
      <c r="G41" s="13"/>
      <c r="H41" s="14"/>
      <c r="I41" s="55"/>
      <c r="J41" s="56"/>
      <c r="K41" s="16"/>
      <c r="L41" s="14"/>
      <c r="M41" s="2"/>
      <c r="N41" s="2"/>
      <c r="O41" s="2"/>
      <c r="P41" s="2"/>
      <c r="Q41" s="2"/>
      <c r="R41" s="2"/>
    </row>
    <row r="42" ht="15.75" customHeight="1">
      <c r="A42" s="115">
        <v>1.0</v>
      </c>
      <c r="B42" s="116" t="s">
        <v>41</v>
      </c>
      <c r="C42" s="30" t="s">
        <v>479</v>
      </c>
      <c r="D42" s="19" t="s">
        <v>33</v>
      </c>
      <c r="E42" s="20">
        <v>46079.0</v>
      </c>
      <c r="F42" s="21">
        <v>0.7604166666666666</v>
      </c>
      <c r="G42" s="20">
        <v>46083.0</v>
      </c>
      <c r="H42" s="21">
        <v>0.59375</v>
      </c>
      <c r="I42" s="22">
        <v>10364.44</v>
      </c>
      <c r="J42" s="23"/>
      <c r="K42" s="45"/>
      <c r="L42" s="120"/>
      <c r="M42" s="124">
        <f t="shared" ref="M42:M50" si="11">INT(E42)+MOD(F42,1)</f>
        <v>46079.76042</v>
      </c>
      <c r="N42" s="124">
        <f t="shared" ref="N42:N50" si="12">INT(G42)+MOD(H42,1)</f>
        <v>46083.59375</v>
      </c>
      <c r="O42" s="132">
        <f t="shared" ref="O42:O50" si="13">N42-M42</f>
        <v>3.833333333</v>
      </c>
      <c r="P42" s="125">
        <f t="shared" ref="P42:P50" si="14">O42*24</f>
        <v>92</v>
      </c>
      <c r="Q42" s="12">
        <v>4.0</v>
      </c>
      <c r="R42" s="2"/>
    </row>
    <row r="43" ht="15.75" customHeight="1">
      <c r="A43" s="115">
        <v>2.0</v>
      </c>
      <c r="B43" s="126"/>
      <c r="C43" s="30" t="s">
        <v>497</v>
      </c>
      <c r="D43" s="19" t="s">
        <v>33</v>
      </c>
      <c r="E43" s="20">
        <v>46079.0</v>
      </c>
      <c r="F43" s="21">
        <v>0.3576388888888889</v>
      </c>
      <c r="G43" s="20">
        <v>46081.0</v>
      </c>
      <c r="H43" s="21">
        <v>0.5381944444444444</v>
      </c>
      <c r="I43" s="22">
        <v>8169.96</v>
      </c>
      <c r="J43" s="23"/>
      <c r="K43" s="45"/>
      <c r="L43" s="21"/>
      <c r="M43" s="25">
        <f t="shared" si="11"/>
        <v>46079.35764</v>
      </c>
      <c r="N43" s="25">
        <f t="shared" si="12"/>
        <v>46081.53819</v>
      </c>
      <c r="O43" s="60">
        <f t="shared" si="13"/>
        <v>2.180555556</v>
      </c>
      <c r="P43" s="127">
        <f t="shared" si="14"/>
        <v>52.33333333</v>
      </c>
      <c r="Q43" s="12">
        <v>4.0</v>
      </c>
      <c r="R43" s="2"/>
    </row>
    <row r="44" ht="15.75" customHeight="1">
      <c r="A44" s="115">
        <v>3.0</v>
      </c>
      <c r="B44" s="126"/>
      <c r="C44" s="30" t="s">
        <v>498</v>
      </c>
      <c r="D44" s="19" t="s">
        <v>33</v>
      </c>
      <c r="E44" s="20">
        <v>46082.0</v>
      </c>
      <c r="F44" s="21">
        <v>0.548611111111111</v>
      </c>
      <c r="G44" s="20">
        <v>46086.0</v>
      </c>
      <c r="H44" s="21">
        <v>0.576388888888889</v>
      </c>
      <c r="I44" s="22">
        <v>7241.46</v>
      </c>
      <c r="J44" s="23"/>
      <c r="K44" s="45"/>
      <c r="L44" s="21"/>
      <c r="M44" s="25">
        <f t="shared" si="11"/>
        <v>46082.54861</v>
      </c>
      <c r="N44" s="25">
        <f t="shared" si="12"/>
        <v>46086.57639</v>
      </c>
      <c r="O44" s="60">
        <f t="shared" si="13"/>
        <v>4.027777778</v>
      </c>
      <c r="P44" s="127">
        <f t="shared" si="14"/>
        <v>96.66666667</v>
      </c>
      <c r="Q44" s="12">
        <v>4.0</v>
      </c>
      <c r="R44" s="2"/>
    </row>
    <row r="45" ht="15.75" customHeight="1">
      <c r="A45" s="115">
        <v>4.0</v>
      </c>
      <c r="B45" s="126"/>
      <c r="C45" s="30" t="s">
        <v>499</v>
      </c>
      <c r="D45" s="19" t="s">
        <v>33</v>
      </c>
      <c r="E45" s="20">
        <v>46085.0</v>
      </c>
      <c r="F45" s="21">
        <v>0.5243055555555556</v>
      </c>
      <c r="G45" s="20">
        <v>46089.0</v>
      </c>
      <c r="H45" s="21">
        <v>0.4513888888888889</v>
      </c>
      <c r="I45" s="22">
        <v>7501.38</v>
      </c>
      <c r="J45" s="23"/>
      <c r="K45" s="45"/>
      <c r="L45" s="21"/>
      <c r="M45" s="25">
        <f t="shared" si="11"/>
        <v>46085.52431</v>
      </c>
      <c r="N45" s="25">
        <f t="shared" si="12"/>
        <v>46089.45139</v>
      </c>
      <c r="O45" s="60">
        <f t="shared" si="13"/>
        <v>3.927083333</v>
      </c>
      <c r="P45" s="127">
        <f t="shared" si="14"/>
        <v>94.25</v>
      </c>
      <c r="Q45" s="12">
        <v>4.0</v>
      </c>
      <c r="R45" s="2"/>
    </row>
    <row r="46" ht="15.75" customHeight="1">
      <c r="A46" s="115">
        <v>5.0</v>
      </c>
      <c r="B46" s="126"/>
      <c r="C46" s="30" t="s">
        <v>124</v>
      </c>
      <c r="D46" s="19" t="s">
        <v>33</v>
      </c>
      <c r="E46" s="20">
        <v>46086.0</v>
      </c>
      <c r="F46" s="21">
        <v>0.7604166666666666</v>
      </c>
      <c r="G46" s="20">
        <v>46091.0</v>
      </c>
      <c r="H46" s="21">
        <v>0.3055555555555555</v>
      </c>
      <c r="I46" s="22">
        <v>7689.72</v>
      </c>
      <c r="J46" s="23"/>
      <c r="K46" s="45"/>
      <c r="L46" s="21"/>
      <c r="M46" s="25">
        <f t="shared" si="11"/>
        <v>46086.76042</v>
      </c>
      <c r="N46" s="25">
        <f t="shared" si="12"/>
        <v>46091.30556</v>
      </c>
      <c r="O46" s="60">
        <f t="shared" si="13"/>
        <v>4.545138889</v>
      </c>
      <c r="P46" s="127">
        <f t="shared" si="14"/>
        <v>109.0833333</v>
      </c>
      <c r="Q46" s="12">
        <v>4.0</v>
      </c>
      <c r="R46" s="2"/>
    </row>
    <row r="47" ht="15.75" customHeight="1">
      <c r="A47" s="115">
        <v>6.0</v>
      </c>
      <c r="B47" s="126"/>
      <c r="C47" s="30" t="s">
        <v>115</v>
      </c>
      <c r="D47" s="19" t="s">
        <v>33</v>
      </c>
      <c r="E47" s="20">
        <v>46090.0</v>
      </c>
      <c r="F47" s="21">
        <v>0.4548611111111111</v>
      </c>
      <c r="G47" s="20">
        <v>46094.0</v>
      </c>
      <c r="H47" s="21">
        <v>0.4479166666666667</v>
      </c>
      <c r="I47" s="22">
        <v>7276.12</v>
      </c>
      <c r="J47" s="23"/>
      <c r="K47" s="45"/>
      <c r="L47" s="21"/>
      <c r="M47" s="25">
        <f t="shared" si="11"/>
        <v>46090.45486</v>
      </c>
      <c r="N47" s="25">
        <f t="shared" si="12"/>
        <v>46094.44792</v>
      </c>
      <c r="O47" s="60">
        <f t="shared" si="13"/>
        <v>3.993055556</v>
      </c>
      <c r="P47" s="127">
        <f t="shared" si="14"/>
        <v>95.83333333</v>
      </c>
      <c r="Q47" s="12">
        <v>4.0</v>
      </c>
      <c r="R47" s="2"/>
    </row>
    <row r="48" ht="15.75" customHeight="1">
      <c r="A48" s="115">
        <v>7.0</v>
      </c>
      <c r="B48" s="126"/>
      <c r="C48" s="30" t="s">
        <v>292</v>
      </c>
      <c r="D48" s="19" t="s">
        <v>33</v>
      </c>
      <c r="E48" s="20">
        <v>46091.0</v>
      </c>
      <c r="F48" s="21">
        <v>0.6770833333333334</v>
      </c>
      <c r="G48" s="20">
        <v>46096.0</v>
      </c>
      <c r="H48" s="21">
        <v>0.8576388888888888</v>
      </c>
      <c r="I48" s="22">
        <v>8160.7</v>
      </c>
      <c r="J48" s="23"/>
      <c r="K48" s="45"/>
      <c r="L48" s="21"/>
      <c r="M48" s="25">
        <f t="shared" si="11"/>
        <v>46091.67708</v>
      </c>
      <c r="N48" s="25">
        <f t="shared" si="12"/>
        <v>46096.85764</v>
      </c>
      <c r="O48" s="60">
        <f t="shared" si="13"/>
        <v>5.180555556</v>
      </c>
      <c r="P48" s="127">
        <f t="shared" si="14"/>
        <v>124.3333333</v>
      </c>
      <c r="Q48" s="12">
        <v>4.0</v>
      </c>
      <c r="R48" s="2"/>
    </row>
    <row r="49" ht="15.75" customHeight="1">
      <c r="A49" s="115">
        <v>8.0</v>
      </c>
      <c r="B49" s="126"/>
      <c r="C49" s="30"/>
      <c r="D49" s="19"/>
      <c r="E49" s="20"/>
      <c r="F49" s="21"/>
      <c r="G49" s="20"/>
      <c r="H49" s="21"/>
      <c r="I49" s="22"/>
      <c r="J49" s="23"/>
      <c r="K49" s="45"/>
      <c r="L49" s="21"/>
      <c r="M49" s="25">
        <f t="shared" si="11"/>
        <v>0</v>
      </c>
      <c r="N49" s="25">
        <f t="shared" si="12"/>
        <v>0</v>
      </c>
      <c r="O49" s="60">
        <f t="shared" si="13"/>
        <v>0</v>
      </c>
      <c r="P49" s="127">
        <f t="shared" si="14"/>
        <v>0</v>
      </c>
      <c r="Q49" s="12"/>
      <c r="R49" s="2"/>
    </row>
    <row r="50" ht="15.75" customHeight="1">
      <c r="A50" s="115">
        <v>9.0</v>
      </c>
      <c r="B50" s="126"/>
      <c r="C50" s="30"/>
      <c r="D50" s="19"/>
      <c r="E50" s="20"/>
      <c r="F50" s="21"/>
      <c r="G50" s="20"/>
      <c r="H50" s="21"/>
      <c r="I50" s="22"/>
      <c r="J50" s="23"/>
      <c r="K50" s="45"/>
      <c r="L50" s="21"/>
      <c r="M50" s="25">
        <f t="shared" si="11"/>
        <v>0</v>
      </c>
      <c r="N50" s="25">
        <f t="shared" si="12"/>
        <v>0</v>
      </c>
      <c r="O50" s="60">
        <f t="shared" si="13"/>
        <v>0</v>
      </c>
      <c r="P50" s="127">
        <f t="shared" si="14"/>
        <v>0</v>
      </c>
      <c r="Q50" s="12"/>
      <c r="R50" s="2"/>
    </row>
    <row r="51" ht="15.75" customHeight="1">
      <c r="A51" s="115">
        <v>10.0</v>
      </c>
      <c r="B51" s="126"/>
      <c r="C51" s="30"/>
      <c r="D51" s="19"/>
      <c r="E51" s="20"/>
      <c r="F51" s="21"/>
      <c r="G51" s="20"/>
      <c r="H51" s="21"/>
      <c r="I51" s="22"/>
      <c r="J51" s="23"/>
      <c r="K51" s="45"/>
      <c r="L51" s="21"/>
      <c r="M51" s="46"/>
      <c r="N51" s="46"/>
      <c r="O51" s="61"/>
      <c r="P51" s="128"/>
      <c r="Q51" s="12"/>
      <c r="R51" s="2"/>
    </row>
    <row r="52" ht="15.75" customHeight="1">
      <c r="A52" s="115">
        <v>11.0</v>
      </c>
      <c r="B52" s="126"/>
      <c r="C52" s="30"/>
      <c r="D52" s="19"/>
      <c r="E52" s="20"/>
      <c r="F52" s="21"/>
      <c r="G52" s="20"/>
      <c r="H52" s="21"/>
      <c r="I52" s="22"/>
      <c r="J52" s="23"/>
      <c r="K52" s="45"/>
      <c r="L52" s="21"/>
      <c r="M52" s="46"/>
      <c r="N52" s="46"/>
      <c r="O52" s="61"/>
      <c r="P52" s="128"/>
      <c r="Q52" s="12"/>
      <c r="R52" s="2"/>
    </row>
    <row r="53" ht="15.75" customHeight="1">
      <c r="A53" s="115"/>
      <c r="B53" s="126"/>
      <c r="C53" s="30"/>
      <c r="D53" s="19"/>
      <c r="E53" s="20"/>
      <c r="F53" s="21"/>
      <c r="G53" s="20"/>
      <c r="H53" s="21"/>
      <c r="I53" s="22"/>
      <c r="J53" s="23"/>
      <c r="K53" s="45"/>
      <c r="L53" s="21"/>
      <c r="M53" s="46"/>
      <c r="N53" s="46"/>
      <c r="O53" s="61"/>
      <c r="P53" s="128"/>
      <c r="Q53" s="12"/>
      <c r="R53" s="2"/>
    </row>
    <row r="54" ht="15.75" customHeight="1">
      <c r="A54" s="115"/>
      <c r="B54" s="126"/>
      <c r="C54" s="30"/>
      <c r="D54" s="19"/>
      <c r="E54" s="20"/>
      <c r="F54" s="21"/>
      <c r="G54" s="20"/>
      <c r="H54" s="21"/>
      <c r="I54" s="22"/>
      <c r="J54" s="23"/>
      <c r="K54" s="45"/>
      <c r="L54" s="50"/>
      <c r="M54" s="46"/>
      <c r="N54" s="46"/>
      <c r="O54" s="61"/>
      <c r="P54" s="128"/>
      <c r="Q54" s="12"/>
      <c r="R54" s="2"/>
    </row>
    <row r="55" ht="15.75" customHeight="1">
      <c r="A55" s="115"/>
      <c r="B55" s="126"/>
      <c r="C55" s="30"/>
      <c r="D55" s="19"/>
      <c r="E55" s="20"/>
      <c r="F55" s="21"/>
      <c r="G55" s="20"/>
      <c r="H55" s="21"/>
      <c r="I55" s="22"/>
      <c r="J55" s="29"/>
      <c r="K55" s="45"/>
      <c r="L55" s="50"/>
      <c r="M55" s="46"/>
      <c r="N55" s="46"/>
      <c r="O55" s="61"/>
      <c r="P55" s="128"/>
      <c r="Q55" s="12"/>
      <c r="R55" s="2"/>
    </row>
    <row r="56" ht="15.75" customHeight="1">
      <c r="A56" s="115"/>
      <c r="B56" s="126"/>
      <c r="C56" s="67"/>
      <c r="D56" s="108"/>
      <c r="E56" s="104"/>
      <c r="F56" s="72"/>
      <c r="G56" s="104"/>
      <c r="H56" s="72"/>
      <c r="I56" s="109"/>
      <c r="J56" s="111"/>
      <c r="K56" s="45"/>
      <c r="L56" s="50"/>
      <c r="M56" s="46"/>
      <c r="N56" s="46"/>
      <c r="O56" s="61"/>
      <c r="P56" s="128"/>
      <c r="Q56" s="12"/>
      <c r="R56" s="2"/>
    </row>
    <row r="57" ht="15.75" customHeight="1">
      <c r="A57" s="115"/>
      <c r="B57" s="133"/>
      <c r="C57" s="30"/>
      <c r="D57" s="19"/>
      <c r="E57" s="20"/>
      <c r="F57" s="21"/>
      <c r="G57" s="20"/>
      <c r="H57" s="21"/>
      <c r="I57" s="22"/>
      <c r="J57" s="29"/>
      <c r="K57" s="45"/>
      <c r="L57" s="50"/>
      <c r="M57" s="46"/>
      <c r="N57" s="46"/>
      <c r="O57" s="61"/>
      <c r="P57" s="128"/>
      <c r="Q57" s="12"/>
      <c r="R57" s="2"/>
    </row>
    <row r="58" ht="18.0" customHeight="1">
      <c r="A58" s="115"/>
      <c r="B58" s="134"/>
      <c r="C58" s="30"/>
      <c r="D58" s="19"/>
      <c r="E58" s="20"/>
      <c r="F58" s="21"/>
      <c r="G58" s="20"/>
      <c r="H58" s="21"/>
      <c r="I58" s="22"/>
      <c r="J58" s="29"/>
      <c r="K58" s="45"/>
      <c r="L58" s="21"/>
      <c r="M58" s="46"/>
      <c r="N58" s="46"/>
      <c r="O58" s="61"/>
      <c r="P58" s="128"/>
      <c r="Q58" s="12"/>
      <c r="R58" s="2"/>
    </row>
    <row r="59" ht="18.75" customHeight="1">
      <c r="A59" s="135"/>
      <c r="B59" s="134"/>
      <c r="C59" s="102"/>
      <c r="D59" s="108"/>
      <c r="E59" s="104"/>
      <c r="F59" s="72"/>
      <c r="G59" s="104"/>
      <c r="H59" s="72"/>
      <c r="I59" s="109"/>
      <c r="J59" s="136"/>
      <c r="K59" s="137"/>
      <c r="L59" s="69"/>
      <c r="M59" s="70"/>
      <c r="N59" s="70"/>
      <c r="O59" s="110"/>
      <c r="P59" s="138"/>
      <c r="Q59" s="12"/>
      <c r="R59" s="2"/>
    </row>
    <row r="60" ht="15.75" customHeight="1">
      <c r="A60" s="139"/>
      <c r="B60" s="140"/>
      <c r="C60" s="141"/>
      <c r="D60" s="34"/>
      <c r="E60" s="35"/>
      <c r="F60" s="36"/>
      <c r="G60" s="35"/>
      <c r="H60" s="36"/>
      <c r="I60" s="131">
        <f>SUM(I42:I59)</f>
        <v>56403.78</v>
      </c>
      <c r="J60" s="142">
        <f>SUM(J42:J57)</f>
        <v>0</v>
      </c>
      <c r="K60" s="64">
        <f>+(P60)/(31*24)</f>
        <v>0.8931451613</v>
      </c>
      <c r="L60" s="40"/>
      <c r="M60" s="41"/>
      <c r="N60" s="41"/>
      <c r="O60" s="41"/>
      <c r="P60" s="42">
        <f>SUM(P42:P57)</f>
        <v>664.5</v>
      </c>
      <c r="Q60" s="12"/>
      <c r="R60" s="2"/>
    </row>
    <row r="61" ht="15.75" customHeight="1">
      <c r="A61" s="65"/>
      <c r="B61" s="66"/>
      <c r="C61" s="67"/>
      <c r="D61" s="12"/>
      <c r="E61" s="13"/>
      <c r="F61" s="14"/>
      <c r="G61" s="13"/>
      <c r="H61" s="14"/>
      <c r="I61" s="55"/>
      <c r="J61" s="56"/>
      <c r="K61" s="68"/>
      <c r="L61" s="69"/>
      <c r="M61" s="70"/>
      <c r="N61" s="70"/>
      <c r="O61" s="70"/>
      <c r="P61" s="71"/>
      <c r="Q61" s="12"/>
      <c r="R61" s="2"/>
    </row>
    <row r="62" ht="15.75" customHeight="1">
      <c r="A62" s="115">
        <v>1.0</v>
      </c>
      <c r="B62" s="116" t="s">
        <v>62</v>
      </c>
      <c r="C62" s="30" t="s">
        <v>276</v>
      </c>
      <c r="D62" s="19" t="s">
        <v>277</v>
      </c>
      <c r="E62" s="20">
        <v>46078.0</v>
      </c>
      <c r="F62" s="21">
        <v>0.8298611111111112</v>
      </c>
      <c r="G62" s="20">
        <v>46079.0</v>
      </c>
      <c r="H62" s="21">
        <v>0.7083333333333334</v>
      </c>
      <c r="I62" s="22">
        <v>1150.313</v>
      </c>
      <c r="J62" s="23"/>
      <c r="K62" s="123"/>
      <c r="L62" s="120"/>
      <c r="M62" s="124">
        <f t="shared" ref="M62:M71" si="15">INT(E62)+MOD(F62,1)</f>
        <v>46078.82986</v>
      </c>
      <c r="N62" s="124">
        <f t="shared" ref="N62:N71" si="16">INT(G62)+MOD(H62,1)</f>
        <v>46079.70833</v>
      </c>
      <c r="O62" s="124">
        <f t="shared" ref="O62:O71" si="17">N62-M62</f>
        <v>0.8784722222</v>
      </c>
      <c r="P62" s="125">
        <f t="shared" ref="P62:P71" si="18">O62*24</f>
        <v>21.08333333</v>
      </c>
      <c r="Q62" s="12">
        <v>5.0</v>
      </c>
      <c r="R62" s="2"/>
    </row>
    <row r="63" ht="15.75" customHeight="1">
      <c r="A63" s="115">
        <v>2.0</v>
      </c>
      <c r="B63" s="126"/>
      <c r="C63" s="30" t="s">
        <v>107</v>
      </c>
      <c r="D63" s="19" t="s">
        <v>33</v>
      </c>
      <c r="E63" s="20">
        <v>46081.0</v>
      </c>
      <c r="F63" s="21">
        <v>0.6041666666666666</v>
      </c>
      <c r="G63" s="20">
        <v>46085.0</v>
      </c>
      <c r="H63" s="21">
        <v>0.5347222222222222</v>
      </c>
      <c r="I63" s="22">
        <v>7353.08</v>
      </c>
      <c r="J63" s="23"/>
      <c r="K63" s="45"/>
      <c r="L63" s="21"/>
      <c r="M63" s="25">
        <f t="shared" si="15"/>
        <v>46081.60417</v>
      </c>
      <c r="N63" s="25">
        <f t="shared" si="16"/>
        <v>46085.53472</v>
      </c>
      <c r="O63" s="25">
        <f t="shared" si="17"/>
        <v>3.930555556</v>
      </c>
      <c r="P63" s="127">
        <f t="shared" si="18"/>
        <v>94.33333333</v>
      </c>
      <c r="Q63" s="12">
        <v>5.0</v>
      </c>
      <c r="R63" s="2"/>
    </row>
    <row r="64" ht="15.75" customHeight="1">
      <c r="A64" s="115">
        <v>3.0</v>
      </c>
      <c r="B64" s="126"/>
      <c r="C64" s="30" t="s">
        <v>486</v>
      </c>
      <c r="D64" s="19" t="s">
        <v>277</v>
      </c>
      <c r="E64" s="20">
        <v>46083.0</v>
      </c>
      <c r="F64" s="21">
        <v>0.6243055555555556</v>
      </c>
      <c r="G64" s="20">
        <v>46084.0</v>
      </c>
      <c r="H64" s="21">
        <v>0.6534722222222222</v>
      </c>
      <c r="I64" s="22">
        <v>826.659</v>
      </c>
      <c r="J64" s="156"/>
      <c r="K64" s="45"/>
      <c r="L64" s="21"/>
      <c r="M64" s="25">
        <f t="shared" si="15"/>
        <v>46083.62431</v>
      </c>
      <c r="N64" s="25">
        <f t="shared" si="16"/>
        <v>46084.65347</v>
      </c>
      <c r="O64" s="25">
        <f t="shared" si="17"/>
        <v>1.029166667</v>
      </c>
      <c r="P64" s="127">
        <f t="shared" si="18"/>
        <v>24.7</v>
      </c>
      <c r="Q64" s="12">
        <v>5.0</v>
      </c>
      <c r="R64" s="2"/>
    </row>
    <row r="65" ht="15.75" customHeight="1">
      <c r="A65" s="115">
        <v>4.0</v>
      </c>
      <c r="B65" s="126"/>
      <c r="C65" s="30" t="s">
        <v>216</v>
      </c>
      <c r="D65" s="19" t="s">
        <v>33</v>
      </c>
      <c r="E65" s="20">
        <v>46085.0</v>
      </c>
      <c r="F65" s="21">
        <v>0.5659722222222222</v>
      </c>
      <c r="G65" s="20">
        <v>46090.0</v>
      </c>
      <c r="H65" s="21">
        <v>0.3506944444444444</v>
      </c>
      <c r="I65" s="22">
        <v>8131.84</v>
      </c>
      <c r="J65" s="23"/>
      <c r="K65" s="45"/>
      <c r="L65" s="21"/>
      <c r="M65" s="25">
        <f t="shared" si="15"/>
        <v>46085.56597</v>
      </c>
      <c r="N65" s="25">
        <f t="shared" si="16"/>
        <v>46090.35069</v>
      </c>
      <c r="O65" s="25">
        <f t="shared" si="17"/>
        <v>4.784722222</v>
      </c>
      <c r="P65" s="127">
        <f t="shared" si="18"/>
        <v>114.8333333</v>
      </c>
      <c r="Q65" s="12">
        <v>5.0</v>
      </c>
      <c r="R65" s="2"/>
    </row>
    <row r="66" ht="15.75" customHeight="1">
      <c r="A66" s="115">
        <v>5.0</v>
      </c>
      <c r="B66" s="126"/>
      <c r="C66" s="30" t="s">
        <v>425</v>
      </c>
      <c r="D66" s="19" t="s">
        <v>33</v>
      </c>
      <c r="E66" s="20">
        <v>46089.0</v>
      </c>
      <c r="F66" s="21">
        <v>0.5069444444444444</v>
      </c>
      <c r="G66" s="20">
        <v>46093.0</v>
      </c>
      <c r="H66" s="21">
        <v>0.6319444444444444</v>
      </c>
      <c r="I66" s="22">
        <v>8022.0</v>
      </c>
      <c r="J66" s="23"/>
      <c r="K66" s="45"/>
      <c r="L66" s="21"/>
      <c r="M66" s="25">
        <f t="shared" si="15"/>
        <v>46089.50694</v>
      </c>
      <c r="N66" s="25">
        <f t="shared" si="16"/>
        <v>46093.63194</v>
      </c>
      <c r="O66" s="25">
        <f t="shared" si="17"/>
        <v>4.125</v>
      </c>
      <c r="P66" s="127">
        <f t="shared" si="18"/>
        <v>99</v>
      </c>
      <c r="Q66" s="12">
        <v>5.0</v>
      </c>
      <c r="R66" s="2"/>
    </row>
    <row r="67" ht="15.75" customHeight="1">
      <c r="A67" s="115">
        <v>6.0</v>
      </c>
      <c r="B67" s="126"/>
      <c r="C67" s="30" t="s">
        <v>276</v>
      </c>
      <c r="D67" s="19" t="s">
        <v>277</v>
      </c>
      <c r="E67" s="20">
        <v>46087.0</v>
      </c>
      <c r="F67" s="21">
        <v>0.6979166666666666</v>
      </c>
      <c r="G67" s="20">
        <v>46089.0</v>
      </c>
      <c r="H67" s="21">
        <v>0.6875</v>
      </c>
      <c r="I67" s="22">
        <v>1150.31</v>
      </c>
      <c r="J67" s="23"/>
      <c r="K67" s="45"/>
      <c r="L67" s="21"/>
      <c r="M67" s="25">
        <f t="shared" si="15"/>
        <v>46087.69792</v>
      </c>
      <c r="N67" s="25">
        <f t="shared" si="16"/>
        <v>46089.6875</v>
      </c>
      <c r="O67" s="25">
        <f t="shared" si="17"/>
        <v>1.989583333</v>
      </c>
      <c r="P67" s="127">
        <f t="shared" si="18"/>
        <v>47.75</v>
      </c>
      <c r="Q67" s="12">
        <v>5.0</v>
      </c>
      <c r="R67" s="2"/>
    </row>
    <row r="68" ht="15.75" customHeight="1">
      <c r="A68" s="115">
        <v>7.0</v>
      </c>
      <c r="B68" s="126"/>
      <c r="C68" s="30" t="s">
        <v>481</v>
      </c>
      <c r="D68" s="19" t="s">
        <v>33</v>
      </c>
      <c r="E68" s="20">
        <v>46093.0</v>
      </c>
      <c r="F68" s="21">
        <v>0.6319444444444444</v>
      </c>
      <c r="G68" s="20">
        <v>46097.0</v>
      </c>
      <c r="H68" s="21">
        <v>0.5520833333333334</v>
      </c>
      <c r="I68" s="22">
        <v>7553.76</v>
      </c>
      <c r="J68" s="23"/>
      <c r="K68" s="45"/>
      <c r="L68" s="21"/>
      <c r="M68" s="25">
        <f t="shared" si="15"/>
        <v>46093.63194</v>
      </c>
      <c r="N68" s="25">
        <f t="shared" si="16"/>
        <v>46097.55208</v>
      </c>
      <c r="O68" s="25">
        <f t="shared" si="17"/>
        <v>3.920138889</v>
      </c>
      <c r="P68" s="127">
        <f t="shared" si="18"/>
        <v>94.08333333</v>
      </c>
      <c r="Q68" s="12">
        <v>5.0</v>
      </c>
      <c r="R68" s="2"/>
    </row>
    <row r="69" ht="15.75" customHeight="1">
      <c r="A69" s="115">
        <v>8.0</v>
      </c>
      <c r="B69" s="126"/>
      <c r="C69" s="30"/>
      <c r="D69" s="19"/>
      <c r="E69" s="20"/>
      <c r="F69" s="21"/>
      <c r="G69" s="20"/>
      <c r="H69" s="21"/>
      <c r="I69" s="22"/>
      <c r="J69" s="23"/>
      <c r="K69" s="45"/>
      <c r="L69" s="21"/>
      <c r="M69" s="25">
        <f t="shared" si="15"/>
        <v>0</v>
      </c>
      <c r="N69" s="25">
        <f t="shared" si="16"/>
        <v>0</v>
      </c>
      <c r="O69" s="25">
        <f t="shared" si="17"/>
        <v>0</v>
      </c>
      <c r="P69" s="127">
        <f t="shared" si="18"/>
        <v>0</v>
      </c>
      <c r="Q69" s="12"/>
      <c r="R69" s="2"/>
    </row>
    <row r="70" ht="15.75" customHeight="1">
      <c r="A70" s="115">
        <v>9.0</v>
      </c>
      <c r="B70" s="126"/>
      <c r="C70" s="30"/>
      <c r="D70" s="19"/>
      <c r="E70" s="20"/>
      <c r="F70" s="21"/>
      <c r="G70" s="20"/>
      <c r="H70" s="21"/>
      <c r="I70" s="22"/>
      <c r="J70" s="23"/>
      <c r="K70" s="45"/>
      <c r="L70" s="21"/>
      <c r="M70" s="25">
        <f t="shared" si="15"/>
        <v>0</v>
      </c>
      <c r="N70" s="25">
        <f t="shared" si="16"/>
        <v>0</v>
      </c>
      <c r="O70" s="25">
        <f t="shared" si="17"/>
        <v>0</v>
      </c>
      <c r="P70" s="127">
        <f t="shared" si="18"/>
        <v>0</v>
      </c>
      <c r="Q70" s="12"/>
      <c r="R70" s="2"/>
    </row>
    <row r="71" ht="15.75" customHeight="1">
      <c r="A71" s="115">
        <v>10.0</v>
      </c>
      <c r="B71" s="126"/>
      <c r="C71" s="30"/>
      <c r="D71" s="19"/>
      <c r="E71" s="20"/>
      <c r="F71" s="21"/>
      <c r="G71" s="20"/>
      <c r="H71" s="21"/>
      <c r="I71" s="22"/>
      <c r="J71" s="23"/>
      <c r="K71" s="45"/>
      <c r="L71" s="21"/>
      <c r="M71" s="25">
        <f t="shared" si="15"/>
        <v>0</v>
      </c>
      <c r="N71" s="25">
        <f t="shared" si="16"/>
        <v>0</v>
      </c>
      <c r="O71" s="25">
        <f t="shared" si="17"/>
        <v>0</v>
      </c>
      <c r="P71" s="127">
        <f t="shared" si="18"/>
        <v>0</v>
      </c>
      <c r="Q71" s="12"/>
      <c r="R71" s="2"/>
    </row>
    <row r="72" ht="15.75" customHeight="1">
      <c r="A72" s="115">
        <v>11.0</v>
      </c>
      <c r="B72" s="126"/>
      <c r="C72" s="30"/>
      <c r="D72" s="19"/>
      <c r="E72" s="20"/>
      <c r="F72" s="21"/>
      <c r="G72" s="20"/>
      <c r="H72" s="21"/>
      <c r="I72" s="22"/>
      <c r="J72" s="23"/>
      <c r="K72" s="45"/>
      <c r="L72" s="50"/>
      <c r="M72" s="46"/>
      <c r="N72" s="46"/>
      <c r="O72" s="46"/>
      <c r="P72" s="128"/>
      <c r="Q72" s="12"/>
      <c r="R72" s="2"/>
    </row>
    <row r="73" ht="15.75" customHeight="1">
      <c r="A73" s="115"/>
      <c r="B73" s="126"/>
      <c r="C73" s="30"/>
      <c r="D73" s="19"/>
      <c r="E73" s="20"/>
      <c r="F73" s="21"/>
      <c r="G73" s="20"/>
      <c r="H73" s="21"/>
      <c r="I73" s="22"/>
      <c r="J73" s="29"/>
      <c r="K73" s="137"/>
      <c r="L73" s="50"/>
      <c r="M73" s="46"/>
      <c r="N73" s="46"/>
      <c r="O73" s="46"/>
      <c r="P73" s="128"/>
      <c r="Q73" s="12"/>
      <c r="R73" s="2"/>
    </row>
    <row r="74" ht="15.75" customHeight="1">
      <c r="A74" s="115"/>
      <c r="B74" s="126"/>
      <c r="C74" s="30"/>
      <c r="D74" s="19"/>
      <c r="E74" s="20"/>
      <c r="F74" s="21"/>
      <c r="G74" s="20"/>
      <c r="H74" s="21"/>
      <c r="I74" s="22"/>
      <c r="J74" s="23"/>
      <c r="K74" s="45"/>
      <c r="L74" s="50"/>
      <c r="M74" s="46"/>
      <c r="N74" s="46"/>
      <c r="O74" s="46"/>
      <c r="P74" s="128"/>
      <c r="Q74" s="12"/>
      <c r="R74" s="2"/>
    </row>
    <row r="75" ht="15.75" customHeight="1">
      <c r="A75" s="129"/>
      <c r="B75" s="130"/>
      <c r="C75" s="141"/>
      <c r="D75" s="34"/>
      <c r="E75" s="35"/>
      <c r="F75" s="36"/>
      <c r="G75" s="35"/>
      <c r="H75" s="36"/>
      <c r="I75" s="131">
        <f t="shared" ref="I75:J75" si="19">SUM(I62:I74)</f>
        <v>34187.962</v>
      </c>
      <c r="J75" s="86">
        <f t="shared" si="19"/>
        <v>0</v>
      </c>
      <c r="K75" s="39">
        <f>+(P75)/(31*24)</f>
        <v>0.666375448</v>
      </c>
      <c r="L75" s="40"/>
      <c r="M75" s="41"/>
      <c r="N75" s="41"/>
      <c r="O75" s="41"/>
      <c r="P75" s="42">
        <f>SUM(P62:P74)</f>
        <v>495.7833333</v>
      </c>
      <c r="Q75" s="12"/>
      <c r="R75" s="2"/>
    </row>
    <row r="76" ht="15.75" customHeight="1">
      <c r="A76" s="1"/>
      <c r="B76" s="12"/>
      <c r="C76" s="67"/>
      <c r="D76" s="12"/>
      <c r="E76" s="13"/>
      <c r="F76" s="14"/>
      <c r="G76" s="13"/>
      <c r="H76" s="14"/>
      <c r="I76" s="55"/>
      <c r="J76" s="56"/>
      <c r="K76" s="16"/>
      <c r="L76" s="14"/>
      <c r="M76" s="2"/>
      <c r="N76" s="2"/>
      <c r="O76" s="2"/>
      <c r="P76" s="2"/>
      <c r="Q76" s="12"/>
      <c r="R76" s="2"/>
    </row>
    <row r="77" ht="15.75" customHeight="1">
      <c r="A77" s="1"/>
      <c r="B77" s="12"/>
      <c r="C77" s="67"/>
      <c r="D77" s="12"/>
      <c r="E77" s="13"/>
      <c r="F77" s="14"/>
      <c r="G77" s="13"/>
      <c r="H77" s="14"/>
      <c r="I77" s="55"/>
      <c r="J77" s="56"/>
      <c r="K77" s="16"/>
      <c r="L77" s="14"/>
      <c r="M77" s="2"/>
      <c r="N77" s="2"/>
      <c r="O77" s="2"/>
      <c r="P77" s="2"/>
      <c r="Q77" s="2"/>
      <c r="R77" s="2"/>
    </row>
    <row r="78" ht="15.75" customHeight="1">
      <c r="A78" s="1"/>
      <c r="B78" s="12"/>
      <c r="C78" s="67"/>
      <c r="D78" s="12"/>
      <c r="E78" s="13"/>
      <c r="F78" s="14"/>
      <c r="G78" s="13"/>
      <c r="H78" s="14"/>
      <c r="I78" s="55"/>
      <c r="J78" s="56"/>
      <c r="K78" s="16"/>
      <c r="L78" s="14"/>
      <c r="M78" s="2"/>
      <c r="N78" s="2"/>
      <c r="O78" s="2"/>
      <c r="P78" s="2"/>
      <c r="Q78" s="2"/>
      <c r="R78" s="2"/>
    </row>
    <row r="79" ht="15.75" customHeight="1">
      <c r="A79" s="1"/>
      <c r="B79" s="12"/>
      <c r="C79" s="67"/>
      <c r="D79" s="12"/>
      <c r="E79" s="13"/>
      <c r="F79" s="14"/>
      <c r="G79" s="13"/>
      <c r="H79" s="14"/>
      <c r="I79" s="55"/>
      <c r="J79" s="56"/>
      <c r="K79" s="16"/>
      <c r="L79" s="14"/>
      <c r="M79" s="2"/>
      <c r="N79" s="2"/>
      <c r="O79" s="2"/>
      <c r="P79" s="2"/>
      <c r="Q79" s="2"/>
      <c r="R79" s="2"/>
    </row>
    <row r="80" ht="15.75" customHeight="1">
      <c r="A80" s="115">
        <v>1.0</v>
      </c>
      <c r="B80" s="116" t="s">
        <v>69</v>
      </c>
      <c r="C80" s="30" t="s">
        <v>500</v>
      </c>
      <c r="D80" s="19" t="s">
        <v>143</v>
      </c>
      <c r="E80" s="20">
        <v>46072.0</v>
      </c>
      <c r="F80" s="21">
        <v>0.16527777777777777</v>
      </c>
      <c r="G80" s="20">
        <v>46081.0</v>
      </c>
      <c r="H80" s="21">
        <v>0.0763888888888889</v>
      </c>
      <c r="I80" s="59">
        <v>34929.07</v>
      </c>
      <c r="J80" s="23"/>
      <c r="K80" s="88"/>
      <c r="L80" s="146"/>
      <c r="M80" s="124">
        <f t="shared" ref="M80:M86" si="20">INT(E80)+MOD(F80,1)</f>
        <v>46072.16528</v>
      </c>
      <c r="N80" s="124">
        <f t="shared" ref="N80:N86" si="21">INT(G80)+MOD(H80,1)</f>
        <v>46081.07639</v>
      </c>
      <c r="O80" s="124">
        <f t="shared" ref="O80:O86" si="22">N80-M80</f>
        <v>8.911111111</v>
      </c>
      <c r="P80" s="125">
        <f t="shared" ref="P80:P86" si="23">O80*24</f>
        <v>213.8666667</v>
      </c>
      <c r="Q80" s="12">
        <v>6.0</v>
      </c>
      <c r="R80" s="12"/>
    </row>
    <row r="81" ht="15.75" customHeight="1">
      <c r="A81" s="115">
        <v>2.0</v>
      </c>
      <c r="B81" s="126"/>
      <c r="C81" s="30" t="s">
        <v>501</v>
      </c>
      <c r="D81" s="19" t="s">
        <v>502</v>
      </c>
      <c r="E81" s="20">
        <v>46081.0</v>
      </c>
      <c r="F81" s="21">
        <v>0.24305555555555555</v>
      </c>
      <c r="G81" s="20">
        <v>46088.0</v>
      </c>
      <c r="H81" s="21">
        <v>0.003472222222222222</v>
      </c>
      <c r="I81" s="22"/>
      <c r="J81" s="23">
        <v>4769.119</v>
      </c>
      <c r="K81" s="88"/>
      <c r="L81" s="46"/>
      <c r="M81" s="25">
        <f t="shared" si="20"/>
        <v>46081.24306</v>
      </c>
      <c r="N81" s="25">
        <f t="shared" si="21"/>
        <v>46088.00347</v>
      </c>
      <c r="O81" s="25">
        <f t="shared" si="22"/>
        <v>6.760416667</v>
      </c>
      <c r="P81" s="127">
        <f t="shared" si="23"/>
        <v>162.25</v>
      </c>
      <c r="Q81" s="12">
        <v>6.0</v>
      </c>
      <c r="R81" s="12"/>
    </row>
    <row r="82" ht="15.75" customHeight="1">
      <c r="A82" s="115">
        <v>3.0</v>
      </c>
      <c r="B82" s="126"/>
      <c r="C82" s="30" t="s">
        <v>492</v>
      </c>
      <c r="D82" s="19" t="s">
        <v>424</v>
      </c>
      <c r="E82" s="20">
        <v>46088.0</v>
      </c>
      <c r="F82" s="21">
        <v>0.13194444444444445</v>
      </c>
      <c r="G82" s="20">
        <v>46091.0</v>
      </c>
      <c r="H82" s="21">
        <v>0.5194444444444445</v>
      </c>
      <c r="I82" s="22">
        <v>51683.259</v>
      </c>
      <c r="J82" s="23"/>
      <c r="K82" s="88"/>
      <c r="L82" s="46"/>
      <c r="M82" s="25">
        <f t="shared" si="20"/>
        <v>46088.13194</v>
      </c>
      <c r="N82" s="25">
        <f t="shared" si="21"/>
        <v>46091.51944</v>
      </c>
      <c r="O82" s="25">
        <f t="shared" si="22"/>
        <v>3.3875</v>
      </c>
      <c r="P82" s="127">
        <f t="shared" si="23"/>
        <v>81.3</v>
      </c>
      <c r="Q82" s="12"/>
      <c r="R82" s="12"/>
    </row>
    <row r="83" ht="15.75" customHeight="1">
      <c r="A83" s="115">
        <v>4.0</v>
      </c>
      <c r="B83" s="126"/>
      <c r="C83" s="30" t="s">
        <v>503</v>
      </c>
      <c r="D83" s="19" t="s">
        <v>143</v>
      </c>
      <c r="E83" s="20">
        <v>46091.0</v>
      </c>
      <c r="F83" s="21">
        <v>0.625</v>
      </c>
      <c r="G83" s="20">
        <v>46096.0</v>
      </c>
      <c r="H83" s="21">
        <v>0.8194444444444445</v>
      </c>
      <c r="I83" s="22">
        <v>49880.25</v>
      </c>
      <c r="J83" s="23"/>
      <c r="K83" s="88"/>
      <c r="L83" s="46"/>
      <c r="M83" s="25">
        <f t="shared" si="20"/>
        <v>46091.625</v>
      </c>
      <c r="N83" s="25">
        <f t="shared" si="21"/>
        <v>46096.81944</v>
      </c>
      <c r="O83" s="25">
        <f t="shared" si="22"/>
        <v>5.194444444</v>
      </c>
      <c r="P83" s="127">
        <f t="shared" si="23"/>
        <v>124.6666667</v>
      </c>
      <c r="Q83" s="12"/>
      <c r="R83" s="12"/>
    </row>
    <row r="84" ht="15.75" customHeight="1">
      <c r="A84" s="115"/>
      <c r="B84" s="126"/>
      <c r="C84" s="30" t="s">
        <v>504</v>
      </c>
      <c r="D84" s="19" t="s">
        <v>148</v>
      </c>
      <c r="E84" s="20">
        <v>46099.0</v>
      </c>
      <c r="F84" s="21">
        <v>0.5902777777777778</v>
      </c>
      <c r="G84" s="20">
        <v>46103.0</v>
      </c>
      <c r="H84" s="21">
        <v>0.8125</v>
      </c>
      <c r="I84" s="22">
        <v>5441.05</v>
      </c>
      <c r="J84" s="23"/>
      <c r="K84" s="88"/>
      <c r="L84" s="46"/>
      <c r="M84" s="25">
        <f t="shared" si="20"/>
        <v>46099.59028</v>
      </c>
      <c r="N84" s="25">
        <f t="shared" si="21"/>
        <v>46103.8125</v>
      </c>
      <c r="O84" s="25">
        <f t="shared" si="22"/>
        <v>4.222222222</v>
      </c>
      <c r="P84" s="127">
        <f t="shared" si="23"/>
        <v>101.3333333</v>
      </c>
      <c r="Q84" s="12"/>
      <c r="R84" s="12"/>
    </row>
    <row r="85" ht="15.75" customHeight="1">
      <c r="A85" s="115"/>
      <c r="B85" s="126"/>
      <c r="C85" s="30" t="s">
        <v>504</v>
      </c>
      <c r="D85" s="19" t="s">
        <v>505</v>
      </c>
      <c r="E85" s="20">
        <v>46099.0</v>
      </c>
      <c r="F85" s="21">
        <v>0.5902777777777778</v>
      </c>
      <c r="G85" s="20">
        <v>46103.0</v>
      </c>
      <c r="H85" s="21">
        <v>0.8125</v>
      </c>
      <c r="I85" s="22">
        <v>24629.77</v>
      </c>
      <c r="J85" s="23"/>
      <c r="K85" s="88"/>
      <c r="L85" s="46"/>
      <c r="M85" s="25">
        <f t="shared" si="20"/>
        <v>46099.59028</v>
      </c>
      <c r="N85" s="25">
        <f t="shared" si="21"/>
        <v>46103.8125</v>
      </c>
      <c r="O85" s="25">
        <f t="shared" si="22"/>
        <v>4.222222222</v>
      </c>
      <c r="P85" s="127">
        <f t="shared" si="23"/>
        <v>101.3333333</v>
      </c>
      <c r="Q85" s="12"/>
      <c r="R85" s="12"/>
    </row>
    <row r="86" ht="15.75" customHeight="1">
      <c r="A86" s="115"/>
      <c r="B86" s="126"/>
      <c r="C86" s="30"/>
      <c r="D86" s="19"/>
      <c r="E86" s="20"/>
      <c r="F86" s="21"/>
      <c r="G86" s="20"/>
      <c r="H86" s="21"/>
      <c r="I86" s="22"/>
      <c r="J86" s="74"/>
      <c r="K86" s="88"/>
      <c r="L86" s="46"/>
      <c r="M86" s="25">
        <f t="shared" si="20"/>
        <v>0</v>
      </c>
      <c r="N86" s="25">
        <f t="shared" si="21"/>
        <v>0</v>
      </c>
      <c r="O86" s="25">
        <f t="shared" si="22"/>
        <v>0</v>
      </c>
      <c r="P86" s="127">
        <f t="shared" si="23"/>
        <v>0</v>
      </c>
      <c r="Q86" s="12"/>
      <c r="R86" s="12"/>
    </row>
    <row r="87" ht="15.75" customHeight="1">
      <c r="A87" s="115"/>
      <c r="B87" s="126"/>
      <c r="C87" s="30"/>
      <c r="D87" s="19"/>
      <c r="E87" s="20"/>
      <c r="F87" s="21"/>
      <c r="G87" s="20"/>
      <c r="H87" s="21"/>
      <c r="I87" s="22"/>
      <c r="J87" s="74"/>
      <c r="K87" s="88"/>
      <c r="L87" s="82"/>
      <c r="M87" s="46"/>
      <c r="N87" s="46"/>
      <c r="O87" s="46"/>
      <c r="P87" s="128"/>
      <c r="Q87" s="12"/>
      <c r="R87" s="12"/>
    </row>
    <row r="88" ht="15.75" customHeight="1">
      <c r="A88" s="115"/>
      <c r="B88" s="133"/>
      <c r="C88" s="30"/>
      <c r="D88" s="19"/>
      <c r="E88" s="20"/>
      <c r="F88" s="21"/>
      <c r="G88" s="20"/>
      <c r="H88" s="21"/>
      <c r="I88" s="22"/>
      <c r="J88" s="74"/>
      <c r="K88" s="45"/>
      <c r="L88" s="50"/>
      <c r="M88" s="46"/>
      <c r="N88" s="46"/>
      <c r="O88" s="46"/>
      <c r="P88" s="128"/>
      <c r="Q88" s="12"/>
      <c r="R88" s="12"/>
    </row>
    <row r="89" ht="15.75" customHeight="1">
      <c r="A89" s="147"/>
      <c r="B89" s="148"/>
      <c r="C89" s="91"/>
      <c r="D89" s="91"/>
      <c r="E89" s="91"/>
      <c r="F89" s="91"/>
      <c r="G89" s="91"/>
      <c r="H89" s="91"/>
      <c r="I89" s="92">
        <f t="shared" ref="I89:J89" si="24">SUM(I80:I88)</f>
        <v>166563.399</v>
      </c>
      <c r="J89" s="157">
        <f t="shared" si="24"/>
        <v>4769.119</v>
      </c>
      <c r="K89" s="64">
        <f>+(P89)/(31*24)</f>
        <v>1.054771505</v>
      </c>
      <c r="L89" s="41"/>
      <c r="M89" s="41"/>
      <c r="N89" s="41"/>
      <c r="O89" s="41"/>
      <c r="P89" s="42">
        <f>SUM(P80:P88)</f>
        <v>784.75</v>
      </c>
      <c r="Q89" s="12"/>
      <c r="R89" s="1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12"/>
      <c r="R90" s="1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94"/>
      <c r="J91" s="95"/>
      <c r="K91" s="3"/>
      <c r="L91" s="2"/>
      <c r="M91" s="2"/>
      <c r="N91" s="2"/>
      <c r="O91" s="2"/>
      <c r="P91" s="2"/>
      <c r="Q91" s="1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12"/>
      <c r="R92" s="2"/>
    </row>
    <row r="93" ht="15.75" customHeight="1">
      <c r="A93" s="96" t="s">
        <v>80</v>
      </c>
      <c r="B93" s="96"/>
      <c r="C93" s="96" t="s">
        <v>81</v>
      </c>
      <c r="D93" s="96" t="s">
        <v>82</v>
      </c>
      <c r="E93" s="96" t="s">
        <v>18</v>
      </c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12"/>
      <c r="R93" s="2"/>
    </row>
    <row r="94" ht="15.75" customHeight="1">
      <c r="A94" s="96" t="s">
        <v>83</v>
      </c>
      <c r="B94" s="96"/>
      <c r="C94" s="96"/>
      <c r="D94" s="96" t="s">
        <v>84</v>
      </c>
      <c r="E94" s="96" t="s">
        <v>31</v>
      </c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96"/>
      <c r="B95" s="96"/>
      <c r="C95" s="96"/>
      <c r="D95" s="96" t="s">
        <v>85</v>
      </c>
      <c r="E95" s="96" t="s">
        <v>41</v>
      </c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96"/>
      <c r="B96" s="96"/>
      <c r="C96" s="96"/>
      <c r="D96" s="96" t="s">
        <v>86</v>
      </c>
      <c r="E96" s="96" t="s">
        <v>62</v>
      </c>
      <c r="F96" s="2"/>
      <c r="G96" s="2"/>
      <c r="H96" s="2"/>
      <c r="I96" s="2"/>
      <c r="J96" s="2"/>
      <c r="K96" s="3"/>
      <c r="L96" s="97"/>
      <c r="M96" s="2"/>
      <c r="N96" s="2"/>
      <c r="O96" s="2"/>
      <c r="P96" s="2"/>
      <c r="Q96" s="2"/>
      <c r="R96" s="2"/>
    </row>
    <row r="97" ht="15.75" customHeight="1">
      <c r="A97" s="96"/>
      <c r="B97" s="96"/>
      <c r="C97" s="96"/>
      <c r="D97" s="96" t="s">
        <v>87</v>
      </c>
      <c r="E97" s="96" t="s">
        <v>69</v>
      </c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96"/>
      <c r="B98" s="96"/>
      <c r="C98" s="96"/>
      <c r="D98" s="96"/>
      <c r="E98" s="96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7"/>
    <mergeCell ref="B30:B39"/>
    <mergeCell ref="B42:B57"/>
    <mergeCell ref="B62:B74"/>
    <mergeCell ref="B80:B8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506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507</v>
      </c>
      <c r="D7" s="19" t="s">
        <v>464</v>
      </c>
      <c r="E7" s="20">
        <v>46113.0</v>
      </c>
      <c r="F7" s="21">
        <v>0.3541666666666667</v>
      </c>
      <c r="G7" s="20">
        <v>46114.0</v>
      </c>
      <c r="H7" s="21">
        <v>0.2138888888888889</v>
      </c>
      <c r="I7" s="29">
        <v>59.0</v>
      </c>
      <c r="J7" s="155">
        <v>140.0</v>
      </c>
      <c r="K7" s="24"/>
      <c r="L7" s="21"/>
      <c r="M7" s="25">
        <f t="shared" ref="M7:M17" si="1">INT(E7)+MOD(F7,1)</f>
        <v>46113.35417</v>
      </c>
      <c r="N7" s="25">
        <f t="shared" ref="N7:N17" si="2">INT(G7)+MOD(H7,1)</f>
        <v>46114.21389</v>
      </c>
      <c r="O7" s="25">
        <f t="shared" ref="O7:O17" si="3">N7-M7</f>
        <v>0.8597222222</v>
      </c>
      <c r="P7" s="25">
        <f t="shared" ref="P7:P17" si="4">O7*24</f>
        <v>20.63333333</v>
      </c>
      <c r="Q7" s="12">
        <v>1.0</v>
      </c>
      <c r="R7" s="2"/>
    </row>
    <row r="8">
      <c r="A8" s="5">
        <v>2.0</v>
      </c>
      <c r="B8" s="26"/>
      <c r="C8" s="52" t="s">
        <v>24</v>
      </c>
      <c r="D8" s="19" t="s">
        <v>25</v>
      </c>
      <c r="E8" s="20">
        <v>46112.0</v>
      </c>
      <c r="F8" s="21">
        <v>0.6354166666666666</v>
      </c>
      <c r="G8" s="20">
        <v>46113.0</v>
      </c>
      <c r="H8" s="21">
        <v>0.4826388888888889</v>
      </c>
      <c r="I8" s="22">
        <v>2889.956</v>
      </c>
      <c r="J8" s="23"/>
      <c r="K8" s="24"/>
      <c r="L8" s="21"/>
      <c r="M8" s="25">
        <f t="shared" si="1"/>
        <v>46112.63542</v>
      </c>
      <c r="N8" s="25">
        <f t="shared" si="2"/>
        <v>46113.48264</v>
      </c>
      <c r="O8" s="25">
        <f t="shared" si="3"/>
        <v>0.8472222222</v>
      </c>
      <c r="P8" s="25">
        <f t="shared" si="4"/>
        <v>20.33333333</v>
      </c>
      <c r="Q8" s="12">
        <v>1.0</v>
      </c>
      <c r="R8" s="2"/>
    </row>
    <row r="9">
      <c r="A9" s="5">
        <v>3.0</v>
      </c>
      <c r="B9" s="26"/>
      <c r="C9" s="52" t="s">
        <v>508</v>
      </c>
      <c r="D9" s="19" t="s">
        <v>25</v>
      </c>
      <c r="E9" s="20">
        <v>46120.0</v>
      </c>
      <c r="F9" s="21">
        <v>0.8819444444444445</v>
      </c>
      <c r="G9" s="20">
        <v>46121.0</v>
      </c>
      <c r="H9" s="21">
        <v>0.7361111111111112</v>
      </c>
      <c r="I9" s="22">
        <v>2735.452</v>
      </c>
      <c r="J9" s="23"/>
      <c r="K9" s="24"/>
      <c r="L9" s="21"/>
      <c r="M9" s="25">
        <f t="shared" si="1"/>
        <v>46120.88194</v>
      </c>
      <c r="N9" s="25">
        <f t="shared" si="2"/>
        <v>46121.73611</v>
      </c>
      <c r="O9" s="25">
        <f t="shared" si="3"/>
        <v>0.8541666667</v>
      </c>
      <c r="P9" s="25">
        <f t="shared" si="4"/>
        <v>20.5</v>
      </c>
      <c r="Q9" s="12">
        <v>1.0</v>
      </c>
      <c r="R9" s="2"/>
    </row>
    <row r="10">
      <c r="A10" s="5">
        <v>4.0</v>
      </c>
      <c r="B10" s="26"/>
      <c r="C10" s="52" t="s">
        <v>509</v>
      </c>
      <c r="D10" s="19" t="s">
        <v>74</v>
      </c>
      <c r="E10" s="20">
        <v>46123.0</v>
      </c>
      <c r="F10" s="21">
        <v>0.7166666666666667</v>
      </c>
      <c r="G10" s="20">
        <v>46126.0</v>
      </c>
      <c r="H10" s="21">
        <v>0.8194444444444445</v>
      </c>
      <c r="I10" s="22"/>
      <c r="J10" s="23"/>
      <c r="K10" s="24"/>
      <c r="L10" s="21"/>
      <c r="M10" s="25">
        <f t="shared" si="1"/>
        <v>46123.71667</v>
      </c>
      <c r="N10" s="25">
        <f t="shared" si="2"/>
        <v>46126.81944</v>
      </c>
      <c r="O10" s="25">
        <f t="shared" si="3"/>
        <v>3.102777778</v>
      </c>
      <c r="P10" s="25">
        <f t="shared" si="4"/>
        <v>74.46666667</v>
      </c>
      <c r="Q10" s="12">
        <v>1.0</v>
      </c>
      <c r="R10" s="2"/>
    </row>
    <row r="11">
      <c r="A11" s="5">
        <v>5.0</v>
      </c>
      <c r="B11" s="26"/>
      <c r="C11" s="52" t="s">
        <v>510</v>
      </c>
      <c r="D11" s="19" t="s">
        <v>277</v>
      </c>
      <c r="E11" s="20">
        <v>46127.0</v>
      </c>
      <c r="F11" s="21">
        <v>0.5916666666666667</v>
      </c>
      <c r="G11" s="20">
        <v>46131.0</v>
      </c>
      <c r="H11" s="21">
        <v>0.34375</v>
      </c>
      <c r="I11" s="22"/>
      <c r="J11" s="23">
        <v>3566.679</v>
      </c>
      <c r="K11" s="24"/>
      <c r="L11" s="21"/>
      <c r="M11" s="25">
        <f t="shared" si="1"/>
        <v>46127.59167</v>
      </c>
      <c r="N11" s="25">
        <f t="shared" si="2"/>
        <v>46131.34375</v>
      </c>
      <c r="O11" s="25">
        <f t="shared" si="3"/>
        <v>3.752083333</v>
      </c>
      <c r="P11" s="25">
        <f t="shared" si="4"/>
        <v>90.05</v>
      </c>
      <c r="Q11" s="12">
        <v>1.0</v>
      </c>
      <c r="R11" s="2"/>
    </row>
    <row r="12">
      <c r="A12" s="5">
        <v>6.0</v>
      </c>
      <c r="B12" s="26"/>
      <c r="C12" s="52" t="s">
        <v>511</v>
      </c>
      <c r="D12" s="19" t="s">
        <v>25</v>
      </c>
      <c r="E12" s="20">
        <v>46131.0</v>
      </c>
      <c r="F12" s="21">
        <v>0.44097222222222227</v>
      </c>
      <c r="G12" s="20">
        <v>46132.0</v>
      </c>
      <c r="H12" s="21">
        <v>0.2222222222222222</v>
      </c>
      <c r="I12" s="22">
        <v>3502.68</v>
      </c>
      <c r="J12" s="23"/>
      <c r="K12" s="24"/>
      <c r="L12" s="21"/>
      <c r="M12" s="25">
        <f t="shared" si="1"/>
        <v>46131.44097</v>
      </c>
      <c r="N12" s="25">
        <f t="shared" si="2"/>
        <v>46132.22222</v>
      </c>
      <c r="O12" s="25">
        <f t="shared" si="3"/>
        <v>0.78125</v>
      </c>
      <c r="P12" s="25">
        <f t="shared" si="4"/>
        <v>18.75</v>
      </c>
      <c r="Q12" s="12">
        <v>1.0</v>
      </c>
      <c r="R12" s="2"/>
    </row>
    <row r="13">
      <c r="A13" s="5">
        <v>7.0</v>
      </c>
      <c r="B13" s="26"/>
      <c r="C13" s="52" t="s">
        <v>493</v>
      </c>
      <c r="D13" s="19" t="s">
        <v>25</v>
      </c>
      <c r="E13" s="20">
        <v>46133.0</v>
      </c>
      <c r="F13" s="21">
        <v>0.5902777777777778</v>
      </c>
      <c r="G13" s="20">
        <v>46134.0</v>
      </c>
      <c r="H13" s="21">
        <v>0.8541666666666666</v>
      </c>
      <c r="I13" s="22">
        <v>3046.635</v>
      </c>
      <c r="J13" s="23"/>
      <c r="K13" s="24"/>
      <c r="L13" s="21"/>
      <c r="M13" s="25">
        <f t="shared" si="1"/>
        <v>46133.59028</v>
      </c>
      <c r="N13" s="25">
        <f t="shared" si="2"/>
        <v>46134.85417</v>
      </c>
      <c r="O13" s="25">
        <f t="shared" si="3"/>
        <v>1.263888889</v>
      </c>
      <c r="P13" s="25">
        <f t="shared" si="4"/>
        <v>30.33333333</v>
      </c>
      <c r="Q13" s="12">
        <v>1.0</v>
      </c>
      <c r="R13" s="2"/>
    </row>
    <row r="14">
      <c r="A14" s="5">
        <v>8.0</v>
      </c>
      <c r="B14" s="26"/>
      <c r="C14" s="30" t="s">
        <v>276</v>
      </c>
      <c r="D14" s="19" t="s">
        <v>277</v>
      </c>
      <c r="E14" s="20">
        <v>46113.0</v>
      </c>
      <c r="F14" s="21">
        <v>0.6354166666666666</v>
      </c>
      <c r="G14" s="20">
        <v>46115.0</v>
      </c>
      <c r="H14" s="21">
        <v>0.3333333333333333</v>
      </c>
      <c r="I14" s="22">
        <v>1150.85</v>
      </c>
      <c r="J14" s="23"/>
      <c r="K14" s="24"/>
      <c r="L14" s="21"/>
      <c r="M14" s="25">
        <f t="shared" si="1"/>
        <v>46113.63542</v>
      </c>
      <c r="N14" s="25">
        <f t="shared" si="2"/>
        <v>46115.33333</v>
      </c>
      <c r="O14" s="25">
        <f t="shared" si="3"/>
        <v>1.697916667</v>
      </c>
      <c r="P14" s="25">
        <f t="shared" si="4"/>
        <v>40.75</v>
      </c>
      <c r="Q14" s="12">
        <v>2.0</v>
      </c>
      <c r="R14" s="2"/>
    </row>
    <row r="15">
      <c r="A15" s="5">
        <v>9.0</v>
      </c>
      <c r="B15" s="26"/>
      <c r="C15" s="30" t="s">
        <v>486</v>
      </c>
      <c r="D15" s="19" t="s">
        <v>277</v>
      </c>
      <c r="E15" s="20">
        <v>46126.0</v>
      </c>
      <c r="F15" s="21">
        <v>0.8597222222222222</v>
      </c>
      <c r="G15" s="20">
        <v>46127.0</v>
      </c>
      <c r="H15" s="21">
        <v>0.5208333333333334</v>
      </c>
      <c r="I15" s="22">
        <v>826.536</v>
      </c>
      <c r="J15" s="23"/>
      <c r="K15" s="24"/>
      <c r="L15" s="21"/>
      <c r="M15" s="25">
        <f t="shared" si="1"/>
        <v>46126.85972</v>
      </c>
      <c r="N15" s="25">
        <f t="shared" si="2"/>
        <v>46127.52083</v>
      </c>
      <c r="O15" s="25">
        <f t="shared" si="3"/>
        <v>0.6611111111</v>
      </c>
      <c r="P15" s="25">
        <f t="shared" si="4"/>
        <v>15.86666667</v>
      </c>
      <c r="Q15" s="12">
        <v>2.0</v>
      </c>
      <c r="R15" s="2"/>
    </row>
    <row r="16">
      <c r="A16" s="5">
        <v>10.0</v>
      </c>
      <c r="B16" s="26"/>
      <c r="C16" s="52" t="s">
        <v>512</v>
      </c>
      <c r="D16" s="19" t="s">
        <v>513</v>
      </c>
      <c r="E16" s="20">
        <v>46132.0</v>
      </c>
      <c r="F16" s="21">
        <v>0.545138888888889</v>
      </c>
      <c r="G16" s="20">
        <v>46132.0</v>
      </c>
      <c r="H16" s="21">
        <v>0.6958333333333333</v>
      </c>
      <c r="I16" s="22">
        <v>8.114</v>
      </c>
      <c r="J16" s="23"/>
      <c r="K16" s="24"/>
      <c r="L16" s="21"/>
      <c r="M16" s="25">
        <f t="shared" si="1"/>
        <v>46132.54514</v>
      </c>
      <c r="N16" s="25">
        <f t="shared" si="2"/>
        <v>46132.69583</v>
      </c>
      <c r="O16" s="25">
        <f t="shared" si="3"/>
        <v>0.1506944444</v>
      </c>
      <c r="P16" s="25">
        <f t="shared" si="4"/>
        <v>3.616666667</v>
      </c>
      <c r="Q16" s="12">
        <v>2.0</v>
      </c>
      <c r="R16" s="2"/>
    </row>
    <row r="17">
      <c r="A17" s="5">
        <v>11.0</v>
      </c>
      <c r="B17" s="26"/>
      <c r="C17" s="30" t="s">
        <v>486</v>
      </c>
      <c r="D17" s="19" t="s">
        <v>277</v>
      </c>
      <c r="E17" s="20">
        <v>46133.0</v>
      </c>
      <c r="F17" s="21">
        <v>0.5659722222222222</v>
      </c>
      <c r="G17" s="20">
        <v>46134.0</v>
      </c>
      <c r="H17" s="21">
        <v>0.40625</v>
      </c>
      <c r="I17" s="22">
        <v>812.353</v>
      </c>
      <c r="J17" s="23"/>
      <c r="K17" s="24"/>
      <c r="L17" s="21"/>
      <c r="M17" s="25">
        <f t="shared" si="1"/>
        <v>46133.56597</v>
      </c>
      <c r="N17" s="25">
        <f t="shared" si="2"/>
        <v>46134.40625</v>
      </c>
      <c r="O17" s="25">
        <f t="shared" si="3"/>
        <v>0.8402777778</v>
      </c>
      <c r="P17" s="25">
        <f t="shared" si="4"/>
        <v>20.16666667</v>
      </c>
      <c r="Q17" s="12">
        <v>2.0</v>
      </c>
      <c r="R17" s="2"/>
    </row>
    <row r="18">
      <c r="A18" s="5"/>
      <c r="B18" s="26"/>
      <c r="C18" s="30"/>
      <c r="D18" s="19"/>
      <c r="E18" s="20"/>
      <c r="F18" s="21"/>
      <c r="G18" s="20"/>
      <c r="H18" s="21"/>
      <c r="I18" s="22"/>
      <c r="J18" s="23"/>
      <c r="K18" s="24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19"/>
      <c r="E19" s="20"/>
      <c r="F19" s="21"/>
      <c r="G19" s="20"/>
      <c r="H19" s="21"/>
      <c r="I19" s="22"/>
      <c r="J19" s="23"/>
      <c r="K19" s="24"/>
      <c r="L19" s="21"/>
      <c r="M19" s="46"/>
      <c r="N19" s="46"/>
      <c r="O19" s="46"/>
      <c r="P19" s="46"/>
      <c r="Q19" s="12"/>
      <c r="R19" s="2"/>
    </row>
    <row r="20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24"/>
      <c r="L20" s="21"/>
      <c r="M20" s="46"/>
      <c r="N20" s="46"/>
      <c r="O20" s="46"/>
      <c r="P20" s="46"/>
      <c r="Q20" s="12"/>
      <c r="R20" s="2"/>
    </row>
    <row r="21" ht="15.75" customHeight="1">
      <c r="A21" s="5"/>
      <c r="B21" s="26"/>
      <c r="C21" s="30"/>
      <c r="D21" s="19"/>
      <c r="E21" s="20"/>
      <c r="F21" s="21"/>
      <c r="G21" s="20"/>
      <c r="H21" s="21"/>
      <c r="I21" s="22"/>
      <c r="J21" s="23"/>
      <c r="K21" s="24"/>
      <c r="L21" s="21"/>
      <c r="M21" s="46"/>
      <c r="N21" s="46"/>
      <c r="O21" s="46"/>
      <c r="P21" s="46"/>
      <c r="Q21" s="12"/>
      <c r="R21" s="2"/>
    </row>
    <row r="22" ht="15.75" customHeight="1">
      <c r="A22" s="5"/>
      <c r="B22" s="26"/>
      <c r="C22" s="30"/>
      <c r="D22" s="19"/>
      <c r="E22" s="20"/>
      <c r="F22" s="21"/>
      <c r="G22" s="20"/>
      <c r="H22" s="21"/>
      <c r="I22" s="22"/>
      <c r="J22" s="23"/>
      <c r="K22" s="24"/>
      <c r="L22" s="21"/>
      <c r="M22" s="46"/>
      <c r="N22" s="46"/>
      <c r="O22" s="46"/>
      <c r="P22" s="46"/>
      <c r="Q22" s="12"/>
      <c r="R22" s="2"/>
    </row>
    <row r="23" ht="15.75" customHeight="1">
      <c r="A23" s="5"/>
      <c r="B23" s="26"/>
      <c r="C23" s="30"/>
      <c r="D23" s="19"/>
      <c r="E23" s="20"/>
      <c r="F23" s="21"/>
      <c r="G23" s="20"/>
      <c r="H23" s="21"/>
      <c r="I23" s="22"/>
      <c r="J23" s="23"/>
      <c r="K23" s="24"/>
      <c r="L23" s="21"/>
      <c r="M23" s="46"/>
      <c r="N23" s="46"/>
      <c r="O23" s="46"/>
      <c r="P23" s="46"/>
      <c r="Q23" s="12"/>
      <c r="R23" s="2"/>
    </row>
    <row r="24" ht="15.75" customHeight="1">
      <c r="A24" s="5"/>
      <c r="B24" s="26"/>
      <c r="C24" s="30"/>
      <c r="D24" s="19"/>
      <c r="E24" s="20"/>
      <c r="F24" s="21"/>
      <c r="G24" s="20"/>
      <c r="H24" s="21"/>
      <c r="I24" s="22"/>
      <c r="J24" s="23"/>
      <c r="K24" s="24"/>
      <c r="L24" s="21"/>
      <c r="M24" s="46"/>
      <c r="N24" s="46"/>
      <c r="O24" s="46"/>
      <c r="P24" s="46"/>
      <c r="Q24" s="12"/>
      <c r="R24" s="2"/>
    </row>
    <row r="25" ht="15.75" customHeight="1">
      <c r="A25" s="5"/>
      <c r="B25" s="26"/>
      <c r="C25" s="30"/>
      <c r="D25" s="27"/>
      <c r="E25" s="20"/>
      <c r="F25" s="21"/>
      <c r="G25" s="20"/>
      <c r="H25" s="21"/>
      <c r="I25" s="100"/>
      <c r="J25" s="87"/>
      <c r="K25" s="24"/>
      <c r="L25" s="21"/>
      <c r="M25" s="46"/>
      <c r="N25" s="46"/>
      <c r="O25" s="46"/>
      <c r="P25" s="46"/>
      <c r="Q25" s="12"/>
      <c r="R25" s="2"/>
    </row>
    <row r="26" ht="15.75" customHeight="1">
      <c r="A26" s="5"/>
      <c r="B26" s="26"/>
      <c r="C26" s="30"/>
      <c r="D26" s="27"/>
      <c r="E26" s="20"/>
      <c r="F26" s="21"/>
      <c r="G26" s="20"/>
      <c r="H26" s="21"/>
      <c r="I26" s="28"/>
      <c r="J26" s="29"/>
      <c r="K26" s="24"/>
      <c r="L26" s="21"/>
      <c r="M26" s="46"/>
      <c r="N26" s="46"/>
      <c r="O26" s="46"/>
      <c r="P26" s="46"/>
      <c r="Q26" s="12"/>
      <c r="R26" s="2"/>
    </row>
    <row r="27" ht="15.75" customHeight="1">
      <c r="A27" s="5"/>
      <c r="B27" s="26"/>
      <c r="C27" s="30"/>
      <c r="D27" s="19"/>
      <c r="E27" s="20"/>
      <c r="F27" s="21"/>
      <c r="G27" s="20"/>
      <c r="H27" s="21"/>
      <c r="I27" s="22"/>
      <c r="J27" s="23"/>
      <c r="K27" s="24"/>
      <c r="L27" s="21"/>
      <c r="M27" s="46"/>
      <c r="N27" s="46"/>
      <c r="O27" s="46"/>
      <c r="P27" s="46"/>
      <c r="Q27" s="12"/>
      <c r="R27" s="2"/>
    </row>
    <row r="28" ht="15.75" customHeight="1">
      <c r="A28" s="31"/>
      <c r="B28" s="32"/>
      <c r="C28" s="33"/>
      <c r="D28" s="34"/>
      <c r="E28" s="35"/>
      <c r="F28" s="36"/>
      <c r="G28" s="35"/>
      <c r="H28" s="36"/>
      <c r="I28" s="37">
        <f t="shared" ref="I28:J28" si="5">SUM(I7:I27)</f>
        <v>15031.576</v>
      </c>
      <c r="J28" s="113">
        <f t="shared" si="5"/>
        <v>3706.679</v>
      </c>
      <c r="K28" s="39">
        <f>+(P28)/(31*24)</f>
        <v>0.4777777778</v>
      </c>
      <c r="L28" s="40"/>
      <c r="M28" s="41"/>
      <c r="N28" s="41"/>
      <c r="O28" s="41"/>
      <c r="P28" s="42">
        <f>SUM(P7:P27)</f>
        <v>355.4666667</v>
      </c>
      <c r="Q28" s="2"/>
      <c r="R28" s="2"/>
    </row>
    <row r="29" ht="15.75" customHeight="1">
      <c r="A29" s="1"/>
      <c r="B29" s="12"/>
      <c r="C29" s="43"/>
      <c r="D29" s="12"/>
      <c r="E29" s="13"/>
      <c r="F29" s="14"/>
      <c r="G29" s="13"/>
      <c r="H29" s="14"/>
      <c r="I29" s="44"/>
      <c r="J29" s="15"/>
      <c r="K29" s="16"/>
      <c r="L29" s="14"/>
      <c r="M29" s="2"/>
      <c r="N29" s="2"/>
      <c r="O29" s="2"/>
      <c r="P29" s="2"/>
      <c r="Q29" s="2"/>
      <c r="R29" s="2"/>
    </row>
    <row r="30" ht="15.75" customHeight="1">
      <c r="A30" s="115">
        <v>1.0</v>
      </c>
      <c r="B30" s="116" t="s">
        <v>31</v>
      </c>
      <c r="C30" s="30" t="s">
        <v>314</v>
      </c>
      <c r="D30" s="19" t="s">
        <v>33</v>
      </c>
      <c r="E30" s="20">
        <v>46094.0</v>
      </c>
      <c r="F30" s="21">
        <v>0.40625</v>
      </c>
      <c r="G30" s="20">
        <v>46098.0</v>
      </c>
      <c r="H30" s="21">
        <v>0.3923611111111111</v>
      </c>
      <c r="I30" s="22">
        <v>8605.131</v>
      </c>
      <c r="J30" s="23"/>
      <c r="K30" s="45"/>
      <c r="L30" s="21"/>
      <c r="M30" s="25">
        <f t="shared" ref="M30:M38" si="6">INT(E30)+MOD(F30,1)</f>
        <v>46094.40625</v>
      </c>
      <c r="N30" s="124">
        <f t="shared" ref="N30:N38" si="7">INT(G30)+MOD(H30,1)</f>
        <v>46098.39236</v>
      </c>
      <c r="O30" s="124">
        <f t="shared" ref="O30:O38" si="8">N30-M30</f>
        <v>3.986111111</v>
      </c>
      <c r="P30" s="125">
        <f t="shared" ref="P30:P38" si="9">O30*24</f>
        <v>95.66666667</v>
      </c>
      <c r="Q30" s="12">
        <v>3.0</v>
      </c>
      <c r="R30" s="2"/>
    </row>
    <row r="31" ht="15.75" customHeight="1">
      <c r="A31" s="115">
        <v>2.0</v>
      </c>
      <c r="B31" s="126"/>
      <c r="C31" s="30" t="s">
        <v>514</v>
      </c>
      <c r="D31" s="19" t="s">
        <v>33</v>
      </c>
      <c r="E31" s="20">
        <v>46109.0</v>
      </c>
      <c r="F31" s="21">
        <v>0.3888888888888889</v>
      </c>
      <c r="G31" s="20">
        <v>46114.0</v>
      </c>
      <c r="H31" s="21">
        <v>0.3541666666666667</v>
      </c>
      <c r="I31" s="22">
        <v>8741.104</v>
      </c>
      <c r="J31" s="23"/>
      <c r="K31" s="45"/>
      <c r="L31" s="21"/>
      <c r="M31" s="25">
        <f t="shared" si="6"/>
        <v>46109.38889</v>
      </c>
      <c r="N31" s="124">
        <f t="shared" si="7"/>
        <v>46114.35417</v>
      </c>
      <c r="O31" s="124">
        <f t="shared" si="8"/>
        <v>4.965277778</v>
      </c>
      <c r="P31" s="125">
        <f t="shared" si="9"/>
        <v>119.1666667</v>
      </c>
      <c r="Q31" s="12">
        <v>3.0</v>
      </c>
      <c r="R31" s="2"/>
    </row>
    <row r="32" ht="15.75" customHeight="1">
      <c r="A32" s="115">
        <v>3.0</v>
      </c>
      <c r="B32" s="126"/>
      <c r="C32" s="52" t="s">
        <v>515</v>
      </c>
      <c r="D32" s="19" t="s">
        <v>33</v>
      </c>
      <c r="E32" s="20">
        <v>46115.0</v>
      </c>
      <c r="F32" s="21">
        <v>0.7256944444444445</v>
      </c>
      <c r="G32" s="20">
        <v>46119.0</v>
      </c>
      <c r="H32" s="21">
        <v>0.6041666666666666</v>
      </c>
      <c r="I32" s="22">
        <v>7714.208</v>
      </c>
      <c r="J32" s="23"/>
      <c r="K32" s="45"/>
      <c r="L32" s="21"/>
      <c r="M32" s="25">
        <f t="shared" si="6"/>
        <v>46115.72569</v>
      </c>
      <c r="N32" s="124">
        <f t="shared" si="7"/>
        <v>46119.60417</v>
      </c>
      <c r="O32" s="124">
        <f t="shared" si="8"/>
        <v>3.878472222</v>
      </c>
      <c r="P32" s="125">
        <f t="shared" si="9"/>
        <v>93.08333333</v>
      </c>
      <c r="Q32" s="12">
        <v>3.0</v>
      </c>
      <c r="R32" s="2"/>
    </row>
    <row r="33" ht="15.75" customHeight="1">
      <c r="A33" s="115">
        <v>4.0</v>
      </c>
      <c r="B33" s="126"/>
      <c r="C33" s="52" t="s">
        <v>516</v>
      </c>
      <c r="D33" s="19" t="s">
        <v>33</v>
      </c>
      <c r="E33" s="20">
        <v>46120.0</v>
      </c>
      <c r="F33" s="21">
        <v>0.3680555555555556</v>
      </c>
      <c r="G33" s="20">
        <v>46124.0</v>
      </c>
      <c r="H33" s="21">
        <v>0.3263888888888889</v>
      </c>
      <c r="I33" s="22">
        <v>7492.943</v>
      </c>
      <c r="J33" s="23"/>
      <c r="K33" s="45"/>
      <c r="L33" s="21"/>
      <c r="M33" s="25">
        <f t="shared" si="6"/>
        <v>46120.36806</v>
      </c>
      <c r="N33" s="124">
        <f t="shared" si="7"/>
        <v>46124.32639</v>
      </c>
      <c r="O33" s="124">
        <f t="shared" si="8"/>
        <v>3.958333333</v>
      </c>
      <c r="P33" s="125">
        <f t="shared" si="9"/>
        <v>95</v>
      </c>
      <c r="Q33" s="12">
        <v>3.0</v>
      </c>
      <c r="R33" s="2"/>
    </row>
    <row r="34" ht="15.75" customHeight="1">
      <c r="A34" s="115">
        <v>5.0</v>
      </c>
      <c r="B34" s="126"/>
      <c r="C34" s="52" t="s">
        <v>425</v>
      </c>
      <c r="D34" s="19" t="s">
        <v>33</v>
      </c>
      <c r="E34" s="20">
        <v>46124.0</v>
      </c>
      <c r="F34" s="21">
        <v>0.37847222222222227</v>
      </c>
      <c r="G34" s="20">
        <v>46128.0</v>
      </c>
      <c r="H34" s="21">
        <v>0.3333333333333333</v>
      </c>
      <c r="I34" s="22">
        <v>7858.611</v>
      </c>
      <c r="J34" s="23"/>
      <c r="K34" s="45"/>
      <c r="L34" s="21"/>
      <c r="M34" s="25">
        <f t="shared" si="6"/>
        <v>46124.37847</v>
      </c>
      <c r="N34" s="124">
        <f t="shared" si="7"/>
        <v>46128.33333</v>
      </c>
      <c r="O34" s="124">
        <f t="shared" si="8"/>
        <v>3.954861111</v>
      </c>
      <c r="P34" s="125">
        <f t="shared" si="9"/>
        <v>94.91666667</v>
      </c>
      <c r="Q34" s="12">
        <v>3.0</v>
      </c>
      <c r="R34" s="2"/>
    </row>
    <row r="35" ht="15.75" customHeight="1">
      <c r="A35" s="115"/>
      <c r="B35" s="126"/>
      <c r="C35" s="30"/>
      <c r="D35" s="19"/>
      <c r="E35" s="20"/>
      <c r="F35" s="21"/>
      <c r="G35" s="20"/>
      <c r="H35" s="21"/>
      <c r="I35" s="22"/>
      <c r="J35" s="23"/>
      <c r="K35" s="45"/>
      <c r="L35" s="21"/>
      <c r="M35" s="25">
        <f t="shared" si="6"/>
        <v>0</v>
      </c>
      <c r="N35" s="124">
        <f t="shared" si="7"/>
        <v>0</v>
      </c>
      <c r="O35" s="124">
        <f t="shared" si="8"/>
        <v>0</v>
      </c>
      <c r="P35" s="125">
        <f t="shared" si="9"/>
        <v>0</v>
      </c>
      <c r="Q35" s="12"/>
      <c r="R35" s="2"/>
    </row>
    <row r="36" ht="15.75" customHeight="1">
      <c r="A36" s="115"/>
      <c r="B36" s="126"/>
      <c r="C36" s="30"/>
      <c r="D36" s="19"/>
      <c r="E36" s="20"/>
      <c r="F36" s="21"/>
      <c r="G36" s="20"/>
      <c r="H36" s="21"/>
      <c r="I36" s="22"/>
      <c r="J36" s="23"/>
      <c r="K36" s="45"/>
      <c r="L36" s="21"/>
      <c r="M36" s="25">
        <f t="shared" si="6"/>
        <v>0</v>
      </c>
      <c r="N36" s="124">
        <f t="shared" si="7"/>
        <v>0</v>
      </c>
      <c r="O36" s="124">
        <f t="shared" si="8"/>
        <v>0</v>
      </c>
      <c r="P36" s="125">
        <f t="shared" si="9"/>
        <v>0</v>
      </c>
      <c r="Q36" s="12"/>
      <c r="R36" s="2"/>
    </row>
    <row r="37" ht="15.75" customHeight="1">
      <c r="A37" s="115"/>
      <c r="B37" s="126"/>
      <c r="C37" s="30"/>
      <c r="D37" s="19"/>
      <c r="E37" s="20"/>
      <c r="F37" s="21"/>
      <c r="G37" s="20"/>
      <c r="H37" s="21"/>
      <c r="I37" s="22"/>
      <c r="J37" s="23"/>
      <c r="K37" s="45"/>
      <c r="L37" s="21"/>
      <c r="M37" s="25">
        <f t="shared" si="6"/>
        <v>0</v>
      </c>
      <c r="N37" s="124">
        <f t="shared" si="7"/>
        <v>0</v>
      </c>
      <c r="O37" s="124">
        <f t="shared" si="8"/>
        <v>0</v>
      </c>
      <c r="P37" s="125">
        <f t="shared" si="9"/>
        <v>0</v>
      </c>
      <c r="Q37" s="12"/>
      <c r="R37" s="2"/>
    </row>
    <row r="38" ht="15.75" customHeight="1">
      <c r="A38" s="115"/>
      <c r="B38" s="126"/>
      <c r="C38" s="30"/>
      <c r="D38" s="19"/>
      <c r="E38" s="20"/>
      <c r="F38" s="21"/>
      <c r="G38" s="20"/>
      <c r="H38" s="21"/>
      <c r="I38" s="22"/>
      <c r="J38" s="23"/>
      <c r="K38" s="45"/>
      <c r="L38" s="21"/>
      <c r="M38" s="25">
        <f t="shared" si="6"/>
        <v>0</v>
      </c>
      <c r="N38" s="124">
        <f t="shared" si="7"/>
        <v>0</v>
      </c>
      <c r="O38" s="124">
        <f t="shared" si="8"/>
        <v>0</v>
      </c>
      <c r="P38" s="125">
        <f t="shared" si="9"/>
        <v>0</v>
      </c>
      <c r="Q38" s="12"/>
      <c r="R38" s="2"/>
    </row>
    <row r="39" ht="15.75" customHeight="1">
      <c r="A39" s="115"/>
      <c r="B39" s="126"/>
      <c r="C39" s="77"/>
      <c r="D39" s="158"/>
      <c r="E39" s="79"/>
      <c r="F39" s="50"/>
      <c r="G39" s="79"/>
      <c r="H39" s="50"/>
      <c r="I39" s="159"/>
      <c r="J39" s="160"/>
      <c r="K39" s="49"/>
      <c r="L39" s="50"/>
      <c r="M39" s="82"/>
      <c r="N39" s="46"/>
      <c r="O39" s="46"/>
      <c r="P39" s="128"/>
      <c r="Q39" s="12"/>
      <c r="R39" s="2"/>
    </row>
    <row r="40" ht="15.75" customHeight="1">
      <c r="A40" s="129"/>
      <c r="B40" s="130"/>
      <c r="C40" s="161"/>
      <c r="D40" s="32"/>
      <c r="E40" s="84"/>
      <c r="F40" s="40"/>
      <c r="G40" s="84"/>
      <c r="H40" s="40"/>
      <c r="I40" s="85">
        <f t="shared" ref="I40:J40" si="10">SUM(I30:I39)</f>
        <v>40411.997</v>
      </c>
      <c r="J40" s="86">
        <f t="shared" si="10"/>
        <v>0</v>
      </c>
      <c r="K40" s="39">
        <f>+(P40)/(31*24)</f>
        <v>0.6691308244</v>
      </c>
      <c r="L40" s="40"/>
      <c r="M40" s="162"/>
      <c r="N40" s="163"/>
      <c r="O40" s="41"/>
      <c r="P40" s="42">
        <f>SUM(P30:P39)</f>
        <v>497.8333333</v>
      </c>
      <c r="Q40" s="2"/>
      <c r="R40" s="2"/>
    </row>
    <row r="41" ht="15.75" customHeight="1">
      <c r="A41" s="1"/>
      <c r="B41" s="12"/>
      <c r="C41" s="164"/>
      <c r="D41" s="103"/>
      <c r="E41" s="104"/>
      <c r="F41" s="72"/>
      <c r="G41" s="104"/>
      <c r="H41" s="72"/>
      <c r="I41" s="105"/>
      <c r="J41" s="165"/>
      <c r="K41" s="137"/>
      <c r="L41" s="14"/>
      <c r="M41" s="2"/>
      <c r="N41" s="2"/>
      <c r="O41" s="2"/>
      <c r="P41" s="2"/>
      <c r="Q41" s="2"/>
      <c r="R41" s="2"/>
    </row>
    <row r="42" ht="15.75" customHeight="1">
      <c r="A42" s="115">
        <v>1.0</v>
      </c>
      <c r="B42" s="116" t="s">
        <v>41</v>
      </c>
      <c r="C42" s="30" t="s">
        <v>428</v>
      </c>
      <c r="D42" s="19" t="s">
        <v>33</v>
      </c>
      <c r="E42" s="20">
        <v>46106.0</v>
      </c>
      <c r="F42" s="21">
        <v>0.40972222222222227</v>
      </c>
      <c r="G42" s="20">
        <v>46111.0</v>
      </c>
      <c r="H42" s="21">
        <v>0.7083333333333334</v>
      </c>
      <c r="I42" s="22">
        <v>8155.48</v>
      </c>
      <c r="J42" s="23"/>
      <c r="K42" s="45"/>
      <c r="L42" s="166"/>
      <c r="M42" s="124">
        <f t="shared" ref="M42:M52" si="11">INT(E42)+MOD(F42,1)</f>
        <v>46106.40972</v>
      </c>
      <c r="N42" s="124">
        <f t="shared" ref="N42:N52" si="12">INT(G42)+MOD(H42,1)</f>
        <v>46111.70833</v>
      </c>
      <c r="O42" s="132">
        <f t="shared" ref="O42:O52" si="13">N42-M42</f>
        <v>5.298611111</v>
      </c>
      <c r="P42" s="125">
        <f t="shared" ref="P42:P52" si="14">O42*24</f>
        <v>127.1666667</v>
      </c>
      <c r="Q42" s="12">
        <v>4.0</v>
      </c>
      <c r="R42" s="2"/>
    </row>
    <row r="43" ht="15.75" customHeight="1">
      <c r="A43" s="115">
        <v>2.0</v>
      </c>
      <c r="B43" s="126"/>
      <c r="C43" s="30" t="s">
        <v>517</v>
      </c>
      <c r="D43" s="19" t="s">
        <v>33</v>
      </c>
      <c r="E43" s="20">
        <v>46106.0</v>
      </c>
      <c r="F43" s="21">
        <v>0.4444444444444444</v>
      </c>
      <c r="G43" s="20">
        <v>46110.0</v>
      </c>
      <c r="H43" s="21">
        <v>0.3923611111111111</v>
      </c>
      <c r="I43" s="22">
        <v>8318.26</v>
      </c>
      <c r="J43" s="23"/>
      <c r="K43" s="45"/>
      <c r="L43" s="167"/>
      <c r="M43" s="25">
        <f t="shared" si="11"/>
        <v>46106.44444</v>
      </c>
      <c r="N43" s="25">
        <f t="shared" si="12"/>
        <v>46110.39236</v>
      </c>
      <c r="O43" s="60">
        <f t="shared" si="13"/>
        <v>3.947916667</v>
      </c>
      <c r="P43" s="127">
        <f t="shared" si="14"/>
        <v>94.75</v>
      </c>
      <c r="Q43" s="12">
        <v>4.0</v>
      </c>
      <c r="R43" s="2"/>
    </row>
    <row r="44" ht="15.75" customHeight="1">
      <c r="A44" s="115">
        <v>3.0</v>
      </c>
      <c r="B44" s="126"/>
      <c r="C44" s="30" t="s">
        <v>48</v>
      </c>
      <c r="D44" s="19" t="s">
        <v>33</v>
      </c>
      <c r="E44" s="20">
        <v>46098.0</v>
      </c>
      <c r="F44" s="21">
        <v>0.4270833333333333</v>
      </c>
      <c r="G44" s="20">
        <v>46109.0</v>
      </c>
      <c r="H44" s="21">
        <v>0.34375</v>
      </c>
      <c r="I44" s="22">
        <v>8318.022</v>
      </c>
      <c r="J44" s="23"/>
      <c r="K44" s="45"/>
      <c r="L44" s="167"/>
      <c r="M44" s="25">
        <f t="shared" si="11"/>
        <v>46098.42708</v>
      </c>
      <c r="N44" s="25">
        <f t="shared" si="12"/>
        <v>46109.34375</v>
      </c>
      <c r="O44" s="60">
        <f t="shared" si="13"/>
        <v>10.91666667</v>
      </c>
      <c r="P44" s="127">
        <f t="shared" si="14"/>
        <v>262</v>
      </c>
      <c r="Q44" s="12">
        <v>4.0</v>
      </c>
      <c r="R44" s="2"/>
    </row>
    <row r="45" ht="15.75" customHeight="1">
      <c r="A45" s="115">
        <v>4.0</v>
      </c>
      <c r="B45" s="126"/>
      <c r="C45" s="30" t="s">
        <v>518</v>
      </c>
      <c r="D45" s="19" t="s">
        <v>33</v>
      </c>
      <c r="E45" s="20">
        <v>46111.0</v>
      </c>
      <c r="F45" s="21">
        <v>0.7430555555555555</v>
      </c>
      <c r="G45" s="20">
        <v>46116.0</v>
      </c>
      <c r="H45" s="21">
        <v>0.4375</v>
      </c>
      <c r="I45" s="22">
        <v>8225.8</v>
      </c>
      <c r="J45" s="23"/>
      <c r="K45" s="45"/>
      <c r="L45" s="167"/>
      <c r="M45" s="25">
        <f t="shared" si="11"/>
        <v>46111.74306</v>
      </c>
      <c r="N45" s="25">
        <f t="shared" si="12"/>
        <v>46116.4375</v>
      </c>
      <c r="O45" s="60">
        <f t="shared" si="13"/>
        <v>4.694444444</v>
      </c>
      <c r="P45" s="127">
        <f t="shared" si="14"/>
        <v>112.6666667</v>
      </c>
      <c r="Q45" s="12">
        <v>4.0</v>
      </c>
      <c r="R45" s="2"/>
    </row>
    <row r="46" ht="15.75" customHeight="1">
      <c r="A46" s="115">
        <v>5.0</v>
      </c>
      <c r="B46" s="126"/>
      <c r="C46" s="30" t="s">
        <v>519</v>
      </c>
      <c r="D46" s="19" t="s">
        <v>33</v>
      </c>
      <c r="E46" s="20">
        <v>46113.0</v>
      </c>
      <c r="F46" s="21">
        <v>0.7847222222222222</v>
      </c>
      <c r="G46" s="20">
        <v>46118.0</v>
      </c>
      <c r="H46" s="21">
        <v>0.5625</v>
      </c>
      <c r="I46" s="22">
        <v>9849.52</v>
      </c>
      <c r="J46" s="23"/>
      <c r="K46" s="45"/>
      <c r="L46" s="167"/>
      <c r="M46" s="25">
        <f t="shared" si="11"/>
        <v>46113.78472</v>
      </c>
      <c r="N46" s="25">
        <f t="shared" si="12"/>
        <v>46118.5625</v>
      </c>
      <c r="O46" s="60">
        <f t="shared" si="13"/>
        <v>4.777777778</v>
      </c>
      <c r="P46" s="127">
        <f t="shared" si="14"/>
        <v>114.6666667</v>
      </c>
      <c r="Q46" s="12">
        <v>4.0</v>
      </c>
      <c r="R46" s="2"/>
    </row>
    <row r="47" ht="15.75" customHeight="1">
      <c r="A47" s="115">
        <v>6.0</v>
      </c>
      <c r="B47" s="126"/>
      <c r="C47" s="52" t="s">
        <v>114</v>
      </c>
      <c r="D47" s="19" t="s">
        <v>33</v>
      </c>
      <c r="E47" s="20">
        <v>46110.0</v>
      </c>
      <c r="F47" s="21">
        <v>0.3888888888888889</v>
      </c>
      <c r="G47" s="20">
        <v>46115.0</v>
      </c>
      <c r="H47" s="21">
        <v>0.4701388888888889</v>
      </c>
      <c r="I47" s="22">
        <v>7999.399</v>
      </c>
      <c r="J47" s="23"/>
      <c r="K47" s="45"/>
      <c r="L47" s="167"/>
      <c r="M47" s="25">
        <f t="shared" si="11"/>
        <v>46110.38889</v>
      </c>
      <c r="N47" s="25">
        <f t="shared" si="12"/>
        <v>46115.47014</v>
      </c>
      <c r="O47" s="60">
        <f t="shared" si="13"/>
        <v>5.08125</v>
      </c>
      <c r="P47" s="127">
        <f t="shared" si="14"/>
        <v>121.95</v>
      </c>
      <c r="Q47" s="12">
        <v>4.0</v>
      </c>
      <c r="R47" s="2"/>
    </row>
    <row r="48" ht="15.75" customHeight="1">
      <c r="A48" s="115">
        <v>7.0</v>
      </c>
      <c r="B48" s="126"/>
      <c r="C48" s="52" t="s">
        <v>166</v>
      </c>
      <c r="D48" s="19" t="s">
        <v>33</v>
      </c>
      <c r="E48" s="20">
        <v>46120.0</v>
      </c>
      <c r="F48" s="21">
        <v>0.3993055555555556</v>
      </c>
      <c r="G48" s="20">
        <v>46124.0</v>
      </c>
      <c r="H48" s="21">
        <v>0.3888888888888889</v>
      </c>
      <c r="I48" s="22">
        <v>7508.12</v>
      </c>
      <c r="J48" s="23"/>
      <c r="K48" s="45"/>
      <c r="L48" s="167"/>
      <c r="M48" s="25">
        <f t="shared" si="11"/>
        <v>46120.39931</v>
      </c>
      <c r="N48" s="25">
        <f t="shared" si="12"/>
        <v>46124.38889</v>
      </c>
      <c r="O48" s="60">
        <f t="shared" si="13"/>
        <v>3.989583333</v>
      </c>
      <c r="P48" s="127">
        <f t="shared" si="14"/>
        <v>95.75</v>
      </c>
      <c r="Q48" s="12">
        <v>4.0</v>
      </c>
      <c r="R48" s="2"/>
    </row>
    <row r="49" ht="15.75" customHeight="1">
      <c r="A49" s="115">
        <v>8.0</v>
      </c>
      <c r="B49" s="126"/>
      <c r="C49" s="52" t="s">
        <v>474</v>
      </c>
      <c r="D49" s="19" t="s">
        <v>33</v>
      </c>
      <c r="E49" s="20">
        <v>46118.0</v>
      </c>
      <c r="F49" s="21">
        <v>0.44097222222222227</v>
      </c>
      <c r="G49" s="20">
        <v>46122.0</v>
      </c>
      <c r="H49" s="21">
        <v>0.34375</v>
      </c>
      <c r="I49" s="22">
        <v>7392.298</v>
      </c>
      <c r="J49" s="23"/>
      <c r="K49" s="45"/>
      <c r="L49" s="167"/>
      <c r="M49" s="25">
        <f t="shared" si="11"/>
        <v>46118.44097</v>
      </c>
      <c r="N49" s="25">
        <f t="shared" si="12"/>
        <v>46122.34375</v>
      </c>
      <c r="O49" s="60">
        <f t="shared" si="13"/>
        <v>3.902777778</v>
      </c>
      <c r="P49" s="127">
        <f t="shared" si="14"/>
        <v>93.66666667</v>
      </c>
      <c r="Q49" s="12">
        <v>4.0</v>
      </c>
      <c r="R49" s="2"/>
    </row>
    <row r="50" ht="15.75" customHeight="1">
      <c r="A50" s="115">
        <v>9.0</v>
      </c>
      <c r="B50" s="126"/>
      <c r="C50" s="52" t="s">
        <v>357</v>
      </c>
      <c r="D50" s="19" t="s">
        <v>33</v>
      </c>
      <c r="E50" s="20">
        <v>46115.0</v>
      </c>
      <c r="F50" s="21">
        <v>0.6215277777777778</v>
      </c>
      <c r="G50" s="20">
        <v>46118.0</v>
      </c>
      <c r="H50" s="21">
        <v>0.3125</v>
      </c>
      <c r="I50" s="22">
        <v>7529.7</v>
      </c>
      <c r="J50" s="23"/>
      <c r="K50" s="45"/>
      <c r="L50" s="167"/>
      <c r="M50" s="25">
        <f t="shared" si="11"/>
        <v>46115.62153</v>
      </c>
      <c r="N50" s="25">
        <f t="shared" si="12"/>
        <v>46118.3125</v>
      </c>
      <c r="O50" s="60">
        <f t="shared" si="13"/>
        <v>2.690972222</v>
      </c>
      <c r="P50" s="127">
        <f t="shared" si="14"/>
        <v>64.58333333</v>
      </c>
      <c r="Q50" s="12">
        <v>4.0</v>
      </c>
      <c r="R50" s="2"/>
    </row>
    <row r="51" ht="15.75" customHeight="1">
      <c r="A51" s="115">
        <v>10.0</v>
      </c>
      <c r="B51" s="126"/>
      <c r="C51" s="52" t="s">
        <v>240</v>
      </c>
      <c r="D51" s="19" t="s">
        <v>33</v>
      </c>
      <c r="E51" s="20">
        <v>46122.0</v>
      </c>
      <c r="F51" s="21">
        <v>0.37847222222222227</v>
      </c>
      <c r="G51" s="20">
        <v>46125.0</v>
      </c>
      <c r="H51" s="21">
        <v>0.6805555555555555</v>
      </c>
      <c r="I51" s="22">
        <v>7363.597</v>
      </c>
      <c r="J51" s="23"/>
      <c r="K51" s="45"/>
      <c r="L51" s="167"/>
      <c r="M51" s="25">
        <f t="shared" si="11"/>
        <v>46122.37847</v>
      </c>
      <c r="N51" s="25">
        <f t="shared" si="12"/>
        <v>46125.68056</v>
      </c>
      <c r="O51" s="60">
        <f t="shared" si="13"/>
        <v>3.302083333</v>
      </c>
      <c r="P51" s="127">
        <f t="shared" si="14"/>
        <v>79.25</v>
      </c>
      <c r="Q51" s="12">
        <v>4.0</v>
      </c>
      <c r="R51" s="2"/>
    </row>
    <row r="52" ht="15.75" customHeight="1">
      <c r="A52" s="115">
        <v>11.0</v>
      </c>
      <c r="B52" s="126"/>
      <c r="C52" s="52" t="s">
        <v>520</v>
      </c>
      <c r="D52" s="19" t="s">
        <v>33</v>
      </c>
      <c r="E52" s="20">
        <v>46125.0</v>
      </c>
      <c r="F52" s="21">
        <v>0.7152777777777778</v>
      </c>
      <c r="G52" s="20">
        <v>46130.0</v>
      </c>
      <c r="H52" s="21">
        <v>0.34027777777777773</v>
      </c>
      <c r="I52" s="22">
        <v>8641.927</v>
      </c>
      <c r="J52" s="23"/>
      <c r="K52" s="45"/>
      <c r="L52" s="167"/>
      <c r="M52" s="25">
        <f t="shared" si="11"/>
        <v>46125.71528</v>
      </c>
      <c r="N52" s="25">
        <f t="shared" si="12"/>
        <v>46130.34028</v>
      </c>
      <c r="O52" s="60">
        <f t="shared" si="13"/>
        <v>4.625</v>
      </c>
      <c r="P52" s="127">
        <f t="shared" si="14"/>
        <v>111</v>
      </c>
      <c r="Q52" s="12">
        <v>4.0</v>
      </c>
      <c r="R52" s="2"/>
    </row>
    <row r="53" ht="15.75" customHeight="1">
      <c r="A53" s="115"/>
      <c r="B53" s="126"/>
      <c r="C53" s="30"/>
      <c r="D53" s="19"/>
      <c r="E53" s="20"/>
      <c r="F53" s="21"/>
      <c r="G53" s="20"/>
      <c r="H53" s="21"/>
      <c r="I53" s="22"/>
      <c r="J53" s="23"/>
      <c r="K53" s="45"/>
      <c r="L53" s="167"/>
      <c r="M53" s="46"/>
      <c r="N53" s="46"/>
      <c r="O53" s="61"/>
      <c r="P53" s="128"/>
      <c r="Q53" s="12"/>
      <c r="R53" s="2"/>
    </row>
    <row r="54" ht="15.75" customHeight="1">
      <c r="A54" s="115"/>
      <c r="B54" s="126"/>
      <c r="C54" s="30"/>
      <c r="D54" s="19"/>
      <c r="E54" s="20"/>
      <c r="F54" s="21"/>
      <c r="G54" s="20"/>
      <c r="H54" s="21"/>
      <c r="I54" s="22"/>
      <c r="J54" s="23"/>
      <c r="K54" s="45"/>
      <c r="L54" s="50"/>
      <c r="M54" s="46"/>
      <c r="N54" s="46"/>
      <c r="O54" s="61"/>
      <c r="P54" s="128"/>
      <c r="Q54" s="12"/>
      <c r="R54" s="2"/>
    </row>
    <row r="55" ht="15.75" customHeight="1">
      <c r="A55" s="115"/>
      <c r="B55" s="126"/>
      <c r="C55" s="30"/>
      <c r="D55" s="19"/>
      <c r="E55" s="20"/>
      <c r="F55" s="21"/>
      <c r="G55" s="20"/>
      <c r="H55" s="21"/>
      <c r="I55" s="22"/>
      <c r="J55" s="29"/>
      <c r="K55" s="45"/>
      <c r="L55" s="50"/>
      <c r="M55" s="46"/>
      <c r="N55" s="46"/>
      <c r="O55" s="61"/>
      <c r="P55" s="128"/>
      <c r="Q55" s="12"/>
      <c r="R55" s="2"/>
    </row>
    <row r="56" ht="15.75" customHeight="1">
      <c r="A56" s="115"/>
      <c r="B56" s="126"/>
      <c r="C56" s="67"/>
      <c r="D56" s="108"/>
      <c r="E56" s="104"/>
      <c r="F56" s="72"/>
      <c r="G56" s="104"/>
      <c r="H56" s="72"/>
      <c r="I56" s="109"/>
      <c r="J56" s="111"/>
      <c r="K56" s="45"/>
      <c r="L56" s="50"/>
      <c r="M56" s="46"/>
      <c r="N56" s="46"/>
      <c r="O56" s="61"/>
      <c r="P56" s="128"/>
      <c r="Q56" s="12"/>
      <c r="R56" s="2"/>
    </row>
    <row r="57" ht="15.75" customHeight="1">
      <c r="A57" s="115"/>
      <c r="B57" s="133"/>
      <c r="C57" s="30"/>
      <c r="D57" s="19"/>
      <c r="E57" s="20"/>
      <c r="F57" s="21"/>
      <c r="G57" s="20"/>
      <c r="H57" s="21"/>
      <c r="I57" s="22"/>
      <c r="J57" s="29"/>
      <c r="K57" s="45"/>
      <c r="L57" s="50"/>
      <c r="M57" s="46"/>
      <c r="N57" s="46"/>
      <c r="O57" s="61"/>
      <c r="P57" s="128"/>
      <c r="Q57" s="12"/>
      <c r="R57" s="2"/>
    </row>
    <row r="58" ht="18.0" customHeight="1">
      <c r="A58" s="115"/>
      <c r="B58" s="134"/>
      <c r="C58" s="30"/>
      <c r="D58" s="19"/>
      <c r="E58" s="20"/>
      <c r="F58" s="21"/>
      <c r="G58" s="20"/>
      <c r="H58" s="21"/>
      <c r="I58" s="22"/>
      <c r="J58" s="29"/>
      <c r="K58" s="45"/>
      <c r="L58" s="21"/>
      <c r="M58" s="46"/>
      <c r="N58" s="46"/>
      <c r="O58" s="61"/>
      <c r="P58" s="128"/>
      <c r="Q58" s="12"/>
      <c r="R58" s="2"/>
    </row>
    <row r="59" ht="18.75" customHeight="1">
      <c r="A59" s="135"/>
      <c r="B59" s="134"/>
      <c r="C59" s="102"/>
      <c r="D59" s="108"/>
      <c r="E59" s="104"/>
      <c r="F59" s="72"/>
      <c r="G59" s="104"/>
      <c r="H59" s="72"/>
      <c r="I59" s="109"/>
      <c r="J59" s="136"/>
      <c r="K59" s="137"/>
      <c r="L59" s="69"/>
      <c r="M59" s="70"/>
      <c r="N59" s="70"/>
      <c r="O59" s="110"/>
      <c r="P59" s="138"/>
      <c r="Q59" s="12"/>
      <c r="R59" s="2"/>
    </row>
    <row r="60" ht="15.75" customHeight="1">
      <c r="A60" s="139"/>
      <c r="B60" s="140"/>
      <c r="C60" s="141"/>
      <c r="D60" s="34"/>
      <c r="E60" s="35"/>
      <c r="F60" s="36"/>
      <c r="G60" s="35"/>
      <c r="H60" s="36"/>
      <c r="I60" s="131">
        <f>SUM(I42:I59)</f>
        <v>89302.123</v>
      </c>
      <c r="J60" s="142">
        <f>SUM(J42:J57)</f>
        <v>0</v>
      </c>
      <c r="K60" s="64">
        <f>+(P60)/(31*24)</f>
        <v>1.717002688</v>
      </c>
      <c r="L60" s="40"/>
      <c r="M60" s="41"/>
      <c r="N60" s="41"/>
      <c r="O60" s="41"/>
      <c r="P60" s="42">
        <f>SUM(P42:P57)</f>
        <v>1277.45</v>
      </c>
      <c r="Q60" s="12"/>
      <c r="R60" s="2"/>
    </row>
    <row r="61" ht="15.75" customHeight="1">
      <c r="A61" s="65"/>
      <c r="B61" s="66"/>
      <c r="C61" s="67"/>
      <c r="D61" s="12"/>
      <c r="E61" s="13"/>
      <c r="F61" s="14"/>
      <c r="G61" s="13"/>
      <c r="H61" s="14"/>
      <c r="I61" s="55"/>
      <c r="J61" s="56"/>
      <c r="K61" s="68"/>
      <c r="L61" s="69"/>
      <c r="M61" s="70"/>
      <c r="N61" s="70"/>
      <c r="O61" s="70"/>
      <c r="P61" s="71"/>
      <c r="Q61" s="12"/>
      <c r="R61" s="2"/>
    </row>
    <row r="62" ht="15.75" customHeight="1">
      <c r="A62" s="115">
        <v>1.0</v>
      </c>
      <c r="B62" s="116" t="s">
        <v>62</v>
      </c>
      <c r="C62" s="30" t="s">
        <v>162</v>
      </c>
      <c r="D62" s="19" t="s">
        <v>33</v>
      </c>
      <c r="E62" s="20">
        <v>46110.0</v>
      </c>
      <c r="F62" s="21">
        <v>0.44097222222222227</v>
      </c>
      <c r="G62" s="20">
        <v>46113.0</v>
      </c>
      <c r="H62" s="21">
        <v>0.71875</v>
      </c>
      <c r="I62" s="22">
        <v>7245.72</v>
      </c>
      <c r="J62" s="23"/>
      <c r="K62" s="123"/>
      <c r="L62" s="120"/>
      <c r="M62" s="124">
        <f t="shared" ref="M62:M71" si="15">INT(E62)+MOD(F62,1)</f>
        <v>46110.44097</v>
      </c>
      <c r="N62" s="124">
        <f t="shared" ref="N62:N71" si="16">INT(G62)+MOD(H62,1)</f>
        <v>46113.71875</v>
      </c>
      <c r="O62" s="124">
        <f t="shared" ref="O62:O71" si="17">N62-M62</f>
        <v>3.277777778</v>
      </c>
      <c r="P62" s="125">
        <f t="shared" ref="P62:P71" si="18">O62*24</f>
        <v>78.66666667</v>
      </c>
      <c r="Q62" s="12">
        <v>5.0</v>
      </c>
      <c r="R62" s="2"/>
    </row>
    <row r="63" ht="15.75" customHeight="1">
      <c r="A63" s="115">
        <v>2.0</v>
      </c>
      <c r="B63" s="126"/>
      <c r="C63" s="30" t="s">
        <v>521</v>
      </c>
      <c r="D63" s="19" t="s">
        <v>319</v>
      </c>
      <c r="E63" s="20">
        <v>46119.0</v>
      </c>
      <c r="F63" s="21">
        <v>0.607638888888889</v>
      </c>
      <c r="G63" s="20">
        <v>46125.0</v>
      </c>
      <c r="H63" s="21">
        <v>0.3333333333333333</v>
      </c>
      <c r="I63" s="22">
        <v>4526.56</v>
      </c>
      <c r="J63" s="23"/>
      <c r="K63" s="45"/>
      <c r="L63" s="21"/>
      <c r="M63" s="25">
        <f t="shared" si="15"/>
        <v>46119.60764</v>
      </c>
      <c r="N63" s="25">
        <f t="shared" si="16"/>
        <v>46125.33333</v>
      </c>
      <c r="O63" s="25">
        <f t="shared" si="17"/>
        <v>5.725694444</v>
      </c>
      <c r="P63" s="127">
        <f t="shared" si="18"/>
        <v>137.4166667</v>
      </c>
      <c r="Q63" s="12">
        <v>5.0</v>
      </c>
      <c r="R63" s="2"/>
    </row>
    <row r="64" ht="15.75" customHeight="1">
      <c r="A64" s="115">
        <v>3.0</v>
      </c>
      <c r="B64" s="126"/>
      <c r="C64" s="30" t="s">
        <v>125</v>
      </c>
      <c r="D64" s="19" t="s">
        <v>33</v>
      </c>
      <c r="E64" s="20">
        <v>46116.0</v>
      </c>
      <c r="F64" s="21">
        <v>0.5069444444444444</v>
      </c>
      <c r="G64" s="20">
        <v>46120.0</v>
      </c>
      <c r="H64" s="21">
        <v>0.3298611111111111</v>
      </c>
      <c r="I64" s="22">
        <v>7973.84</v>
      </c>
      <c r="J64" s="156"/>
      <c r="K64" s="45"/>
      <c r="L64" s="21"/>
      <c r="M64" s="25">
        <f t="shared" si="15"/>
        <v>46116.50694</v>
      </c>
      <c r="N64" s="25">
        <f t="shared" si="16"/>
        <v>46120.32986</v>
      </c>
      <c r="O64" s="25">
        <f t="shared" si="17"/>
        <v>3.822916667</v>
      </c>
      <c r="P64" s="127">
        <f t="shared" si="18"/>
        <v>91.75</v>
      </c>
      <c r="Q64" s="12">
        <v>5.0</v>
      </c>
      <c r="R64" s="2"/>
    </row>
    <row r="65" ht="15.75" customHeight="1">
      <c r="A65" s="115">
        <v>4.0</v>
      </c>
      <c r="B65" s="126"/>
      <c r="C65" s="52" t="s">
        <v>56</v>
      </c>
      <c r="D65" s="19" t="s">
        <v>33</v>
      </c>
      <c r="E65" s="20">
        <v>46124.0</v>
      </c>
      <c r="F65" s="21">
        <v>0.4270833333333333</v>
      </c>
      <c r="G65" s="20">
        <v>46127.0</v>
      </c>
      <c r="H65" s="21">
        <v>0.6215277777777778</v>
      </c>
      <c r="I65" s="22">
        <v>7332.2</v>
      </c>
      <c r="J65" s="23"/>
      <c r="K65" s="45"/>
      <c r="L65" s="21"/>
      <c r="M65" s="25">
        <f t="shared" si="15"/>
        <v>46124.42708</v>
      </c>
      <c r="N65" s="25">
        <f t="shared" si="16"/>
        <v>46127.62153</v>
      </c>
      <c r="O65" s="25">
        <f t="shared" si="17"/>
        <v>3.194444444</v>
      </c>
      <c r="P65" s="127">
        <f t="shared" si="18"/>
        <v>76.66666667</v>
      </c>
      <c r="Q65" s="12">
        <v>5.0</v>
      </c>
      <c r="R65" s="2"/>
    </row>
    <row r="66" ht="15.75" customHeight="1">
      <c r="A66" s="115">
        <v>5.0</v>
      </c>
      <c r="B66" s="126"/>
      <c r="C66" s="52" t="s">
        <v>522</v>
      </c>
      <c r="D66" s="19" t="s">
        <v>33</v>
      </c>
      <c r="E66" s="20">
        <v>46125.0</v>
      </c>
      <c r="F66" s="21">
        <v>0.3680555555555556</v>
      </c>
      <c r="G66" s="20">
        <v>46129.0</v>
      </c>
      <c r="H66" s="21">
        <v>0.548611111111111</v>
      </c>
      <c r="I66" s="22">
        <v>7521.78</v>
      </c>
      <c r="J66" s="23"/>
      <c r="K66" s="45"/>
      <c r="L66" s="21"/>
      <c r="M66" s="25">
        <f t="shared" si="15"/>
        <v>46125.36806</v>
      </c>
      <c r="N66" s="25">
        <f t="shared" si="16"/>
        <v>46129.54861</v>
      </c>
      <c r="O66" s="25">
        <f t="shared" si="17"/>
        <v>4.180555556</v>
      </c>
      <c r="P66" s="127">
        <f t="shared" si="18"/>
        <v>100.3333333</v>
      </c>
      <c r="Q66" s="12">
        <v>5.0</v>
      </c>
      <c r="R66" s="2"/>
    </row>
    <row r="67" ht="15.75" customHeight="1">
      <c r="A67" s="115">
        <v>6.0</v>
      </c>
      <c r="B67" s="126"/>
      <c r="C67" s="52" t="s">
        <v>360</v>
      </c>
      <c r="D67" s="19" t="s">
        <v>33</v>
      </c>
      <c r="E67" s="20">
        <v>46127.0</v>
      </c>
      <c r="F67" s="21">
        <v>0.6666666666666666</v>
      </c>
      <c r="G67" s="20">
        <v>46131.0</v>
      </c>
      <c r="H67" s="21">
        <v>0.4548611111111111</v>
      </c>
      <c r="I67" s="22">
        <v>7193.6</v>
      </c>
      <c r="J67" s="23"/>
      <c r="K67" s="45"/>
      <c r="L67" s="21"/>
      <c r="M67" s="25">
        <f t="shared" si="15"/>
        <v>46127.66667</v>
      </c>
      <c r="N67" s="25">
        <f t="shared" si="16"/>
        <v>46131.45486</v>
      </c>
      <c r="O67" s="25">
        <f t="shared" si="17"/>
        <v>3.788194444</v>
      </c>
      <c r="P67" s="127">
        <f t="shared" si="18"/>
        <v>90.91666667</v>
      </c>
      <c r="Q67" s="12">
        <v>5.0</v>
      </c>
      <c r="R67" s="2"/>
    </row>
    <row r="68" ht="15.75" customHeight="1">
      <c r="A68" s="115"/>
      <c r="B68" s="126"/>
      <c r="C68" s="30"/>
      <c r="D68" s="19"/>
      <c r="E68" s="20"/>
      <c r="F68" s="21"/>
      <c r="G68" s="20"/>
      <c r="H68" s="21"/>
      <c r="I68" s="22"/>
      <c r="J68" s="23"/>
      <c r="K68" s="45"/>
      <c r="L68" s="21"/>
      <c r="M68" s="25">
        <f t="shared" si="15"/>
        <v>0</v>
      </c>
      <c r="N68" s="25">
        <f t="shared" si="16"/>
        <v>0</v>
      </c>
      <c r="O68" s="25">
        <f t="shared" si="17"/>
        <v>0</v>
      </c>
      <c r="P68" s="127">
        <f t="shared" si="18"/>
        <v>0</v>
      </c>
      <c r="Q68" s="12"/>
      <c r="R68" s="2"/>
    </row>
    <row r="69" ht="15.75" customHeight="1">
      <c r="A69" s="115"/>
      <c r="B69" s="126"/>
      <c r="C69" s="30"/>
      <c r="D69" s="19"/>
      <c r="E69" s="20"/>
      <c r="F69" s="21"/>
      <c r="G69" s="20"/>
      <c r="H69" s="21"/>
      <c r="I69" s="22"/>
      <c r="J69" s="23"/>
      <c r="K69" s="45"/>
      <c r="L69" s="21"/>
      <c r="M69" s="25">
        <f t="shared" si="15"/>
        <v>0</v>
      </c>
      <c r="N69" s="25">
        <f t="shared" si="16"/>
        <v>0</v>
      </c>
      <c r="O69" s="25">
        <f t="shared" si="17"/>
        <v>0</v>
      </c>
      <c r="P69" s="127">
        <f t="shared" si="18"/>
        <v>0</v>
      </c>
      <c r="Q69" s="12"/>
      <c r="R69" s="2"/>
    </row>
    <row r="70" ht="15.75" customHeight="1">
      <c r="A70" s="115"/>
      <c r="B70" s="126"/>
      <c r="C70" s="30"/>
      <c r="D70" s="19"/>
      <c r="E70" s="20"/>
      <c r="F70" s="21"/>
      <c r="G70" s="20"/>
      <c r="H70" s="21"/>
      <c r="I70" s="22"/>
      <c r="J70" s="23"/>
      <c r="K70" s="45"/>
      <c r="L70" s="21"/>
      <c r="M70" s="25">
        <f t="shared" si="15"/>
        <v>0</v>
      </c>
      <c r="N70" s="25">
        <f t="shared" si="16"/>
        <v>0</v>
      </c>
      <c r="O70" s="25">
        <f t="shared" si="17"/>
        <v>0</v>
      </c>
      <c r="P70" s="127">
        <f t="shared" si="18"/>
        <v>0</v>
      </c>
      <c r="Q70" s="12"/>
      <c r="R70" s="2"/>
    </row>
    <row r="71" ht="15.75" customHeight="1">
      <c r="A71" s="115"/>
      <c r="B71" s="126"/>
      <c r="C71" s="30"/>
      <c r="D71" s="19"/>
      <c r="E71" s="20"/>
      <c r="F71" s="21"/>
      <c r="G71" s="20"/>
      <c r="H71" s="21"/>
      <c r="I71" s="22"/>
      <c r="J71" s="23"/>
      <c r="K71" s="45"/>
      <c r="L71" s="21"/>
      <c r="M71" s="25">
        <f t="shared" si="15"/>
        <v>0</v>
      </c>
      <c r="N71" s="25">
        <f t="shared" si="16"/>
        <v>0</v>
      </c>
      <c r="O71" s="25">
        <f t="shared" si="17"/>
        <v>0</v>
      </c>
      <c r="P71" s="127">
        <f t="shared" si="18"/>
        <v>0</v>
      </c>
      <c r="Q71" s="12"/>
      <c r="R71" s="2"/>
    </row>
    <row r="72" ht="15.75" customHeight="1">
      <c r="A72" s="115"/>
      <c r="B72" s="126"/>
      <c r="C72" s="30"/>
      <c r="D72" s="19"/>
      <c r="E72" s="20"/>
      <c r="F72" s="21"/>
      <c r="G72" s="20"/>
      <c r="H72" s="21"/>
      <c r="I72" s="22"/>
      <c r="J72" s="23"/>
      <c r="K72" s="45"/>
      <c r="L72" s="50"/>
      <c r="M72" s="46"/>
      <c r="N72" s="46"/>
      <c r="O72" s="46"/>
      <c r="P72" s="128"/>
      <c r="Q72" s="12"/>
      <c r="R72" s="2"/>
    </row>
    <row r="73" ht="15.75" customHeight="1">
      <c r="A73" s="115"/>
      <c r="B73" s="126"/>
      <c r="C73" s="30"/>
      <c r="D73" s="19"/>
      <c r="E73" s="20"/>
      <c r="F73" s="21"/>
      <c r="G73" s="20"/>
      <c r="H73" s="21"/>
      <c r="I73" s="22"/>
      <c r="J73" s="29"/>
      <c r="K73" s="137"/>
      <c r="L73" s="50"/>
      <c r="M73" s="46"/>
      <c r="N73" s="46"/>
      <c r="O73" s="46"/>
      <c r="P73" s="128"/>
      <c r="Q73" s="12"/>
      <c r="R73" s="2"/>
    </row>
    <row r="74" ht="15.75" customHeight="1">
      <c r="A74" s="115"/>
      <c r="B74" s="126"/>
      <c r="C74" s="30"/>
      <c r="D74" s="19"/>
      <c r="E74" s="20"/>
      <c r="F74" s="21"/>
      <c r="G74" s="20"/>
      <c r="H74" s="21"/>
      <c r="I74" s="22"/>
      <c r="J74" s="23"/>
      <c r="K74" s="45"/>
      <c r="L74" s="50"/>
      <c r="M74" s="46"/>
      <c r="N74" s="46"/>
      <c r="O74" s="46"/>
      <c r="P74" s="128"/>
      <c r="Q74" s="12"/>
      <c r="R74" s="2"/>
    </row>
    <row r="75" ht="15.75" customHeight="1">
      <c r="A75" s="129"/>
      <c r="B75" s="130"/>
      <c r="C75" s="141"/>
      <c r="D75" s="34"/>
      <c r="E75" s="35"/>
      <c r="F75" s="36"/>
      <c r="G75" s="35"/>
      <c r="H75" s="36"/>
      <c r="I75" s="131">
        <f t="shared" ref="I75:J75" si="19">SUM(I62:I74)</f>
        <v>41793.7</v>
      </c>
      <c r="J75" s="86">
        <f t="shared" si="19"/>
        <v>0</v>
      </c>
      <c r="K75" s="39">
        <f>+(P75)/(31*24)</f>
        <v>0.7738575269</v>
      </c>
      <c r="L75" s="40"/>
      <c r="M75" s="41"/>
      <c r="N75" s="41"/>
      <c r="O75" s="41"/>
      <c r="P75" s="42">
        <f>SUM(P62:P74)</f>
        <v>575.75</v>
      </c>
      <c r="Q75" s="12"/>
      <c r="R75" s="2"/>
    </row>
    <row r="76" ht="15.75" customHeight="1">
      <c r="A76" s="1"/>
      <c r="B76" s="12"/>
      <c r="C76" s="67"/>
      <c r="D76" s="12"/>
      <c r="E76" s="13"/>
      <c r="F76" s="14"/>
      <c r="G76" s="13"/>
      <c r="H76" s="14"/>
      <c r="I76" s="55"/>
      <c r="J76" s="56"/>
      <c r="K76" s="16"/>
      <c r="L76" s="14"/>
      <c r="M76" s="2"/>
      <c r="N76" s="2"/>
      <c r="O76" s="2"/>
      <c r="P76" s="2"/>
      <c r="Q76" s="12"/>
      <c r="R76" s="2"/>
    </row>
    <row r="77" ht="15.75" customHeight="1">
      <c r="A77" s="1"/>
      <c r="B77" s="12"/>
      <c r="C77" s="67"/>
      <c r="D77" s="12"/>
      <c r="E77" s="13"/>
      <c r="F77" s="14"/>
      <c r="G77" s="13"/>
      <c r="H77" s="14"/>
      <c r="I77" s="55"/>
      <c r="J77" s="56"/>
      <c r="K77" s="16"/>
      <c r="L77" s="14"/>
      <c r="M77" s="2"/>
      <c r="N77" s="2"/>
      <c r="O77" s="2"/>
      <c r="P77" s="2"/>
      <c r="Q77" s="2"/>
      <c r="R77" s="2"/>
    </row>
    <row r="78" ht="15.75" customHeight="1">
      <c r="A78" s="1"/>
      <c r="B78" s="12"/>
      <c r="C78" s="67"/>
      <c r="D78" s="12"/>
      <c r="E78" s="13"/>
      <c r="F78" s="14"/>
      <c r="G78" s="13"/>
      <c r="H78" s="14"/>
      <c r="I78" s="55"/>
      <c r="J78" s="56"/>
      <c r="K78" s="16"/>
      <c r="L78" s="14"/>
      <c r="M78" s="2"/>
      <c r="N78" s="2"/>
      <c r="O78" s="2"/>
      <c r="P78" s="2"/>
      <c r="Q78" s="2"/>
      <c r="R78" s="2"/>
    </row>
    <row r="79" ht="15.75" customHeight="1">
      <c r="A79" s="1"/>
      <c r="B79" s="12"/>
      <c r="C79" s="67"/>
      <c r="D79" s="12"/>
      <c r="E79" s="13"/>
      <c r="F79" s="14"/>
      <c r="G79" s="13"/>
      <c r="H79" s="14"/>
      <c r="I79" s="55"/>
      <c r="J79" s="56"/>
      <c r="K79" s="16"/>
      <c r="L79" s="14"/>
      <c r="M79" s="2"/>
      <c r="N79" s="2"/>
      <c r="O79" s="2"/>
      <c r="P79" s="2"/>
      <c r="Q79" s="2"/>
      <c r="R79" s="2"/>
    </row>
    <row r="80" ht="15.75" customHeight="1">
      <c r="A80" s="115">
        <v>1.0</v>
      </c>
      <c r="B80" s="116" t="s">
        <v>69</v>
      </c>
      <c r="C80" s="30" t="s">
        <v>523</v>
      </c>
      <c r="D80" s="19" t="s">
        <v>139</v>
      </c>
      <c r="E80" s="20">
        <v>46113.0</v>
      </c>
      <c r="F80" s="21">
        <v>0.2881944444444445</v>
      </c>
      <c r="G80" s="20">
        <v>46118.0</v>
      </c>
      <c r="H80" s="21">
        <v>0.9652777777777778</v>
      </c>
      <c r="I80" s="22">
        <v>53024.029</v>
      </c>
      <c r="J80" s="23"/>
      <c r="K80" s="88"/>
      <c r="L80" s="146"/>
      <c r="M80" s="124">
        <f t="shared" ref="M80:M86" si="20">INT(E80)+MOD(F80,1)</f>
        <v>46113.28819</v>
      </c>
      <c r="N80" s="124">
        <f t="shared" ref="N80:N86" si="21">INT(G80)+MOD(H80,1)</f>
        <v>46118.96528</v>
      </c>
      <c r="O80" s="124">
        <f t="shared" ref="O80:O86" si="22">N80-M80</f>
        <v>5.677083333</v>
      </c>
      <c r="P80" s="125">
        <f t="shared" ref="P80:P86" si="23">O80*24</f>
        <v>136.25</v>
      </c>
      <c r="Q80" s="12">
        <v>6.0</v>
      </c>
      <c r="R80" s="12"/>
    </row>
    <row r="81" ht="15.75" customHeight="1">
      <c r="A81" s="115">
        <v>2.0</v>
      </c>
      <c r="B81" s="126"/>
      <c r="C81" s="52" t="s">
        <v>509</v>
      </c>
      <c r="D81" s="19" t="s">
        <v>74</v>
      </c>
      <c r="E81" s="20">
        <v>46120.0</v>
      </c>
      <c r="F81" s="21">
        <v>0.4708333333333334</v>
      </c>
      <c r="G81" s="20">
        <v>46123.0</v>
      </c>
      <c r="H81" s="21">
        <v>0.6791666666666667</v>
      </c>
      <c r="I81" s="22">
        <v>56196.78</v>
      </c>
      <c r="J81" s="23"/>
      <c r="K81" s="88"/>
      <c r="L81" s="46"/>
      <c r="M81" s="25">
        <f t="shared" si="20"/>
        <v>46120.47083</v>
      </c>
      <c r="N81" s="25">
        <f t="shared" si="21"/>
        <v>46123.67917</v>
      </c>
      <c r="O81" s="25">
        <f t="shared" si="22"/>
        <v>3.208333333</v>
      </c>
      <c r="P81" s="127">
        <f t="shared" si="23"/>
        <v>77</v>
      </c>
      <c r="Q81" s="12">
        <v>6.0</v>
      </c>
      <c r="R81" s="12"/>
    </row>
    <row r="82" ht="15.75" customHeight="1">
      <c r="A82" s="115">
        <v>3.0</v>
      </c>
      <c r="B82" s="126"/>
      <c r="C82" s="52" t="s">
        <v>524</v>
      </c>
      <c r="D82" s="19" t="s">
        <v>143</v>
      </c>
      <c r="E82" s="20">
        <v>46123.0</v>
      </c>
      <c r="F82" s="21">
        <v>0.7708333333333334</v>
      </c>
      <c r="G82" s="20">
        <v>46129.0</v>
      </c>
      <c r="H82" s="21">
        <v>0.9479166666666666</v>
      </c>
      <c r="I82" s="22">
        <v>49670.46</v>
      </c>
      <c r="J82" s="23"/>
      <c r="K82" s="88"/>
      <c r="L82" s="46"/>
      <c r="M82" s="25">
        <f t="shared" si="20"/>
        <v>46123.77083</v>
      </c>
      <c r="N82" s="25">
        <f t="shared" si="21"/>
        <v>46129.94792</v>
      </c>
      <c r="O82" s="25">
        <f t="shared" si="22"/>
        <v>6.177083333</v>
      </c>
      <c r="P82" s="127">
        <f t="shared" si="23"/>
        <v>148.25</v>
      </c>
      <c r="Q82" s="12">
        <v>6.0</v>
      </c>
      <c r="R82" s="12"/>
    </row>
    <row r="83" ht="15.75" customHeight="1">
      <c r="A83" s="115">
        <v>4.0</v>
      </c>
      <c r="B83" s="126"/>
      <c r="C83" s="30" t="s">
        <v>525</v>
      </c>
      <c r="D83" s="19" t="s">
        <v>526</v>
      </c>
      <c r="E83" s="20">
        <v>46132.0</v>
      </c>
      <c r="F83" s="21">
        <v>0.8263888888888888</v>
      </c>
      <c r="G83" s="20">
        <v>46133.0</v>
      </c>
      <c r="H83" s="21">
        <v>0.375</v>
      </c>
      <c r="I83" s="22">
        <v>1000.0</v>
      </c>
      <c r="J83" s="23"/>
      <c r="K83" s="88"/>
      <c r="L83" s="46"/>
      <c r="M83" s="25">
        <f t="shared" si="20"/>
        <v>46132.82639</v>
      </c>
      <c r="N83" s="25">
        <f t="shared" si="21"/>
        <v>46133.375</v>
      </c>
      <c r="O83" s="25">
        <f t="shared" si="22"/>
        <v>0.5486111111</v>
      </c>
      <c r="P83" s="127">
        <f t="shared" si="23"/>
        <v>13.16666667</v>
      </c>
      <c r="Q83" s="12">
        <v>6.0</v>
      </c>
      <c r="R83" s="12"/>
    </row>
    <row r="84" ht="15.75" customHeight="1">
      <c r="A84" s="115"/>
      <c r="B84" s="126"/>
      <c r="C84" s="30"/>
      <c r="D84" s="19"/>
      <c r="E84" s="20"/>
      <c r="F84" s="21"/>
      <c r="G84" s="20"/>
      <c r="H84" s="21"/>
      <c r="I84" s="22"/>
      <c r="J84" s="23"/>
      <c r="K84" s="88"/>
      <c r="L84" s="46"/>
      <c r="M84" s="25">
        <f t="shared" si="20"/>
        <v>0</v>
      </c>
      <c r="N84" s="25">
        <f t="shared" si="21"/>
        <v>0</v>
      </c>
      <c r="O84" s="25">
        <f t="shared" si="22"/>
        <v>0</v>
      </c>
      <c r="P84" s="127">
        <f t="shared" si="23"/>
        <v>0</v>
      </c>
      <c r="Q84" s="12"/>
      <c r="R84" s="12"/>
    </row>
    <row r="85" ht="15.75" customHeight="1">
      <c r="A85" s="115"/>
      <c r="B85" s="126"/>
      <c r="C85" s="30"/>
      <c r="D85" s="19"/>
      <c r="E85" s="20"/>
      <c r="F85" s="21"/>
      <c r="G85" s="20"/>
      <c r="H85" s="21"/>
      <c r="I85" s="22"/>
      <c r="J85" s="23"/>
      <c r="K85" s="88"/>
      <c r="L85" s="46"/>
      <c r="M85" s="25">
        <f t="shared" si="20"/>
        <v>0</v>
      </c>
      <c r="N85" s="25">
        <f t="shared" si="21"/>
        <v>0</v>
      </c>
      <c r="O85" s="25">
        <f t="shared" si="22"/>
        <v>0</v>
      </c>
      <c r="P85" s="127">
        <f t="shared" si="23"/>
        <v>0</v>
      </c>
      <c r="Q85" s="12"/>
      <c r="R85" s="12"/>
    </row>
    <row r="86" ht="15.75" customHeight="1">
      <c r="A86" s="115"/>
      <c r="B86" s="126"/>
      <c r="C86" s="30"/>
      <c r="D86" s="19"/>
      <c r="E86" s="20"/>
      <c r="F86" s="21"/>
      <c r="G86" s="20"/>
      <c r="H86" s="21"/>
      <c r="I86" s="22"/>
      <c r="J86" s="74"/>
      <c r="K86" s="88"/>
      <c r="L86" s="46"/>
      <c r="M86" s="25">
        <f t="shared" si="20"/>
        <v>0</v>
      </c>
      <c r="N86" s="25">
        <f t="shared" si="21"/>
        <v>0</v>
      </c>
      <c r="O86" s="25">
        <f t="shared" si="22"/>
        <v>0</v>
      </c>
      <c r="P86" s="127">
        <f t="shared" si="23"/>
        <v>0</v>
      </c>
      <c r="Q86" s="12"/>
      <c r="R86" s="12"/>
    </row>
    <row r="87" ht="15.75" customHeight="1">
      <c r="A87" s="115"/>
      <c r="B87" s="126"/>
      <c r="C87" s="30"/>
      <c r="D87" s="19"/>
      <c r="E87" s="20"/>
      <c r="F87" s="21"/>
      <c r="G87" s="20"/>
      <c r="H87" s="21"/>
      <c r="I87" s="22"/>
      <c r="J87" s="74"/>
      <c r="K87" s="88"/>
      <c r="L87" s="82"/>
      <c r="M87" s="46"/>
      <c r="N87" s="46"/>
      <c r="O87" s="46"/>
      <c r="P87" s="128"/>
      <c r="Q87" s="12"/>
      <c r="R87" s="12"/>
    </row>
    <row r="88" ht="15.75" customHeight="1">
      <c r="A88" s="115"/>
      <c r="B88" s="133"/>
      <c r="C88" s="30"/>
      <c r="D88" s="19"/>
      <c r="E88" s="20"/>
      <c r="F88" s="21"/>
      <c r="G88" s="20"/>
      <c r="H88" s="21"/>
      <c r="I88" s="22"/>
      <c r="J88" s="74"/>
      <c r="K88" s="45"/>
      <c r="L88" s="50"/>
      <c r="M88" s="46"/>
      <c r="N88" s="46"/>
      <c r="O88" s="46"/>
      <c r="P88" s="128"/>
      <c r="Q88" s="12"/>
      <c r="R88" s="12"/>
    </row>
    <row r="89" ht="15.75" customHeight="1">
      <c r="A89" s="147"/>
      <c r="B89" s="148"/>
      <c r="C89" s="91"/>
      <c r="D89" s="91"/>
      <c r="E89" s="91"/>
      <c r="F89" s="91"/>
      <c r="G89" s="91"/>
      <c r="H89" s="91"/>
      <c r="I89" s="92">
        <f t="shared" ref="I89:J89" si="24">SUM(I80:I88)</f>
        <v>159891.269</v>
      </c>
      <c r="J89" s="157">
        <f t="shared" si="24"/>
        <v>0</v>
      </c>
      <c r="K89" s="64">
        <f>+(P89)/(31*24)</f>
        <v>0.5035842294</v>
      </c>
      <c r="L89" s="41"/>
      <c r="M89" s="41"/>
      <c r="N89" s="41"/>
      <c r="O89" s="41"/>
      <c r="P89" s="42">
        <f>SUM(P80:P88)</f>
        <v>374.6666667</v>
      </c>
      <c r="Q89" s="12"/>
      <c r="R89" s="1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12"/>
      <c r="R90" s="1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94"/>
      <c r="J91" s="95"/>
      <c r="K91" s="3"/>
      <c r="L91" s="2"/>
      <c r="M91" s="2"/>
      <c r="N91" s="2"/>
      <c r="O91" s="2"/>
      <c r="P91" s="2"/>
      <c r="Q91" s="1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12"/>
      <c r="R92" s="2"/>
    </row>
    <row r="93" ht="15.75" customHeight="1">
      <c r="A93" s="96" t="s">
        <v>80</v>
      </c>
      <c r="B93" s="96"/>
      <c r="C93" s="96" t="s">
        <v>81</v>
      </c>
      <c r="D93" s="96" t="s">
        <v>82</v>
      </c>
      <c r="E93" s="96" t="s">
        <v>18</v>
      </c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12"/>
      <c r="R93" s="2"/>
    </row>
    <row r="94" ht="15.75" customHeight="1">
      <c r="A94" s="96" t="s">
        <v>83</v>
      </c>
      <c r="B94" s="96"/>
      <c r="C94" s="96"/>
      <c r="D94" s="96" t="s">
        <v>84</v>
      </c>
      <c r="E94" s="96" t="s">
        <v>31</v>
      </c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96"/>
      <c r="B95" s="96"/>
      <c r="C95" s="96"/>
      <c r="D95" s="96" t="s">
        <v>85</v>
      </c>
      <c r="E95" s="96" t="s">
        <v>41</v>
      </c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96"/>
      <c r="B96" s="96"/>
      <c r="C96" s="96"/>
      <c r="D96" s="96" t="s">
        <v>86</v>
      </c>
      <c r="E96" s="96" t="s">
        <v>62</v>
      </c>
      <c r="F96" s="2"/>
      <c r="G96" s="2"/>
      <c r="H96" s="2"/>
      <c r="I96" s="2"/>
      <c r="J96" s="2"/>
      <c r="K96" s="3"/>
      <c r="L96" s="97"/>
      <c r="M96" s="2"/>
      <c r="N96" s="2"/>
      <c r="O96" s="2"/>
      <c r="P96" s="2"/>
      <c r="Q96" s="2"/>
      <c r="R96" s="2"/>
    </row>
    <row r="97" ht="15.75" customHeight="1">
      <c r="A97" s="96"/>
      <c r="B97" s="96"/>
      <c r="C97" s="96"/>
      <c r="D97" s="96" t="s">
        <v>87</v>
      </c>
      <c r="E97" s="96" t="s">
        <v>69</v>
      </c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96"/>
      <c r="B98" s="96"/>
      <c r="C98" s="96"/>
      <c r="D98" s="96"/>
      <c r="E98" s="96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7"/>
    <mergeCell ref="B30:B39"/>
    <mergeCell ref="B42:B57"/>
    <mergeCell ref="B62:B74"/>
    <mergeCell ref="B80:B8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527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52" t="s">
        <v>528</v>
      </c>
      <c r="D7" s="19" t="s">
        <v>148</v>
      </c>
      <c r="E7" s="20">
        <v>46139.0</v>
      </c>
      <c r="F7" s="21">
        <v>0.2847222222222222</v>
      </c>
      <c r="G7" s="20">
        <v>46140.0</v>
      </c>
      <c r="H7" s="21">
        <v>0.5416666666666666</v>
      </c>
      <c r="I7" s="22"/>
      <c r="J7" s="23"/>
      <c r="K7" s="45"/>
      <c r="L7" s="21"/>
      <c r="M7" s="25">
        <f t="shared" ref="M7:M18" si="1">INT(E7)+MOD(F7,1)</f>
        <v>46139.28472</v>
      </c>
      <c r="N7" s="25">
        <f t="shared" ref="N7:N18" si="2">INT(G7)+MOD(H7,1)</f>
        <v>46140.54167</v>
      </c>
      <c r="O7" s="25">
        <f t="shared" ref="O7:O18" si="3">N7-M7</f>
        <v>1.256944444</v>
      </c>
      <c r="P7" s="25">
        <f t="shared" ref="P7:P18" si="4">O7*24</f>
        <v>30.16666667</v>
      </c>
      <c r="Q7" s="12">
        <v>1.0</v>
      </c>
      <c r="R7" s="2"/>
    </row>
    <row r="8">
      <c r="A8" s="5">
        <v>2.0</v>
      </c>
      <c r="B8" s="26"/>
      <c r="C8" s="30" t="s">
        <v>529</v>
      </c>
      <c r="D8" s="19" t="s">
        <v>464</v>
      </c>
      <c r="E8" s="20">
        <v>46140.0</v>
      </c>
      <c r="F8" s="21">
        <v>0.5875</v>
      </c>
      <c r="G8" s="20">
        <v>46141.0</v>
      </c>
      <c r="H8" s="21">
        <v>0.008333333333333333</v>
      </c>
      <c r="I8" s="29">
        <v>21.0</v>
      </c>
      <c r="J8" s="155">
        <v>88.0</v>
      </c>
      <c r="K8" s="45"/>
      <c r="L8" s="21"/>
      <c r="M8" s="25">
        <f t="shared" si="1"/>
        <v>46140.5875</v>
      </c>
      <c r="N8" s="25">
        <f t="shared" si="2"/>
        <v>46141.00833</v>
      </c>
      <c r="O8" s="25">
        <f t="shared" si="3"/>
        <v>0.4208333333</v>
      </c>
      <c r="P8" s="25">
        <f t="shared" si="4"/>
        <v>10.1</v>
      </c>
      <c r="Q8" s="12">
        <v>1.0</v>
      </c>
      <c r="R8" s="2"/>
    </row>
    <row r="9">
      <c r="A9" s="5">
        <v>3.0</v>
      </c>
      <c r="B9" s="26"/>
      <c r="C9" s="52" t="s">
        <v>530</v>
      </c>
      <c r="D9" s="27" t="s">
        <v>531</v>
      </c>
      <c r="E9" s="20">
        <v>46143.0</v>
      </c>
      <c r="F9" s="21">
        <v>0.2222222222222222</v>
      </c>
      <c r="G9" s="20">
        <v>46143.0</v>
      </c>
      <c r="H9" s="21">
        <v>0.3298611111111111</v>
      </c>
      <c r="I9" s="74"/>
      <c r="J9" s="74"/>
      <c r="K9" s="45"/>
      <c r="L9" s="21"/>
      <c r="M9" s="25">
        <f t="shared" si="1"/>
        <v>46143.22222</v>
      </c>
      <c r="N9" s="25">
        <f t="shared" si="2"/>
        <v>46143.32986</v>
      </c>
      <c r="O9" s="25">
        <f t="shared" si="3"/>
        <v>0.1076388889</v>
      </c>
      <c r="P9" s="25">
        <f t="shared" si="4"/>
        <v>2.583333333</v>
      </c>
      <c r="Q9" s="12">
        <v>2.0</v>
      </c>
      <c r="R9" s="2"/>
    </row>
    <row r="10">
      <c r="A10" s="5">
        <v>4.0</v>
      </c>
      <c r="B10" s="26"/>
      <c r="C10" s="52" t="s">
        <v>530</v>
      </c>
      <c r="D10" s="27" t="s">
        <v>531</v>
      </c>
      <c r="E10" s="20">
        <v>46143.0</v>
      </c>
      <c r="F10" s="21">
        <v>0.6458333333333334</v>
      </c>
      <c r="G10" s="20">
        <v>46143.0</v>
      </c>
      <c r="H10" s="21">
        <v>0.71875</v>
      </c>
      <c r="I10" s="74"/>
      <c r="J10" s="74"/>
      <c r="K10" s="45"/>
      <c r="L10" s="21"/>
      <c r="M10" s="25">
        <f t="shared" si="1"/>
        <v>46143.64583</v>
      </c>
      <c r="N10" s="25">
        <f t="shared" si="2"/>
        <v>46143.71875</v>
      </c>
      <c r="O10" s="25">
        <f t="shared" si="3"/>
        <v>0.07291666666</v>
      </c>
      <c r="P10" s="25">
        <f t="shared" si="4"/>
        <v>1.75</v>
      </c>
      <c r="Q10" s="12">
        <v>2.0</v>
      </c>
      <c r="R10" s="2"/>
    </row>
    <row r="11">
      <c r="A11" s="5">
        <v>5.0</v>
      </c>
      <c r="B11" s="26"/>
      <c r="C11" s="52" t="s">
        <v>185</v>
      </c>
      <c r="D11" s="19" t="s">
        <v>25</v>
      </c>
      <c r="E11" s="20">
        <v>46142.0</v>
      </c>
      <c r="F11" s="21">
        <v>0.5</v>
      </c>
      <c r="G11" s="20">
        <v>46143.0</v>
      </c>
      <c r="H11" s="21">
        <v>0.545138888888889</v>
      </c>
      <c r="I11" s="22">
        <v>2703.755</v>
      </c>
      <c r="J11" s="23"/>
      <c r="K11" s="45"/>
      <c r="L11" s="21"/>
      <c r="M11" s="25">
        <f t="shared" si="1"/>
        <v>46142.5</v>
      </c>
      <c r="N11" s="25">
        <f t="shared" si="2"/>
        <v>46143.54514</v>
      </c>
      <c r="O11" s="25">
        <f t="shared" si="3"/>
        <v>1.045138889</v>
      </c>
      <c r="P11" s="25">
        <f t="shared" si="4"/>
        <v>25.08333333</v>
      </c>
      <c r="Q11" s="12">
        <v>1.0</v>
      </c>
      <c r="R11" s="2"/>
    </row>
    <row r="12">
      <c r="A12" s="5">
        <v>6.0</v>
      </c>
      <c r="B12" s="26"/>
      <c r="C12" s="30" t="s">
        <v>491</v>
      </c>
      <c r="D12" s="19" t="s">
        <v>277</v>
      </c>
      <c r="E12" s="20">
        <v>46143.0</v>
      </c>
      <c r="F12" s="21">
        <v>0.8541666666666666</v>
      </c>
      <c r="G12" s="20">
        <v>46145.0</v>
      </c>
      <c r="H12" s="21">
        <v>0.05555555555555555</v>
      </c>
      <c r="I12" s="22">
        <v>1300.0</v>
      </c>
      <c r="J12" s="23"/>
      <c r="K12" s="45"/>
      <c r="L12" s="21"/>
      <c r="M12" s="25">
        <f t="shared" si="1"/>
        <v>46143.85417</v>
      </c>
      <c r="N12" s="25">
        <f t="shared" si="2"/>
        <v>46145.05556</v>
      </c>
      <c r="O12" s="25">
        <f t="shared" si="3"/>
        <v>1.201388889</v>
      </c>
      <c r="P12" s="25">
        <f t="shared" si="4"/>
        <v>28.83333333</v>
      </c>
      <c r="Q12" s="12">
        <v>2.0</v>
      </c>
      <c r="R12" s="2"/>
    </row>
    <row r="13">
      <c r="A13" s="5">
        <v>7.0</v>
      </c>
      <c r="B13" s="26"/>
      <c r="C13" s="52" t="s">
        <v>486</v>
      </c>
      <c r="D13" s="19" t="s">
        <v>277</v>
      </c>
      <c r="E13" s="20">
        <v>46145.0</v>
      </c>
      <c r="F13" s="21">
        <v>0.09722222222222222</v>
      </c>
      <c r="G13" s="20">
        <v>46145.0</v>
      </c>
      <c r="H13" s="21">
        <v>0.7916666666666666</v>
      </c>
      <c r="I13" s="22">
        <v>853.024</v>
      </c>
      <c r="J13" s="23"/>
      <c r="K13" s="45"/>
      <c r="L13" s="21"/>
      <c r="M13" s="25">
        <f t="shared" si="1"/>
        <v>46145.09722</v>
      </c>
      <c r="N13" s="25">
        <f t="shared" si="2"/>
        <v>46145.79167</v>
      </c>
      <c r="O13" s="25">
        <f t="shared" si="3"/>
        <v>0.6944444444</v>
      </c>
      <c r="P13" s="25">
        <f t="shared" si="4"/>
        <v>16.66666667</v>
      </c>
      <c r="Q13" s="12">
        <v>2.0</v>
      </c>
      <c r="R13" s="2"/>
    </row>
    <row r="14">
      <c r="A14" s="5">
        <v>8.0</v>
      </c>
      <c r="B14" s="26"/>
      <c r="C14" s="52" t="s">
        <v>467</v>
      </c>
      <c r="D14" s="19" t="s">
        <v>532</v>
      </c>
      <c r="E14" s="20">
        <v>46145.0</v>
      </c>
      <c r="F14" s="21">
        <v>0.8541666666666666</v>
      </c>
      <c r="G14" s="20">
        <v>46148.0</v>
      </c>
      <c r="H14" s="21">
        <v>0.65625</v>
      </c>
      <c r="I14" s="22"/>
      <c r="J14" s="23">
        <v>2019.482</v>
      </c>
      <c r="K14" s="45"/>
      <c r="L14" s="21"/>
      <c r="M14" s="25">
        <f t="shared" si="1"/>
        <v>46145.85417</v>
      </c>
      <c r="N14" s="25">
        <f t="shared" si="2"/>
        <v>46148.65625</v>
      </c>
      <c r="O14" s="25">
        <f t="shared" si="3"/>
        <v>2.802083333</v>
      </c>
      <c r="P14" s="25">
        <f t="shared" si="4"/>
        <v>67.25</v>
      </c>
      <c r="Q14" s="12">
        <v>2.0</v>
      </c>
      <c r="R14" s="2"/>
    </row>
    <row r="15">
      <c r="A15" s="5">
        <v>9.0</v>
      </c>
      <c r="B15" s="26"/>
      <c r="C15" s="30" t="s">
        <v>491</v>
      </c>
      <c r="D15" s="19" t="s">
        <v>277</v>
      </c>
      <c r="E15" s="20">
        <v>46151.0</v>
      </c>
      <c r="F15" s="21">
        <v>0.38125000000000003</v>
      </c>
      <c r="G15" s="20">
        <v>46152.0</v>
      </c>
      <c r="H15" s="21">
        <v>0.40277777777777773</v>
      </c>
      <c r="I15" s="22">
        <v>1399.615</v>
      </c>
      <c r="J15" s="23"/>
      <c r="K15" s="45"/>
      <c r="L15" s="21"/>
      <c r="M15" s="25">
        <f t="shared" si="1"/>
        <v>46151.38125</v>
      </c>
      <c r="N15" s="25">
        <f t="shared" si="2"/>
        <v>46152.40278</v>
      </c>
      <c r="O15" s="25">
        <f t="shared" si="3"/>
        <v>1.021527778</v>
      </c>
      <c r="P15" s="25">
        <f t="shared" si="4"/>
        <v>24.51666667</v>
      </c>
      <c r="Q15" s="12">
        <v>2.0</v>
      </c>
      <c r="R15" s="2"/>
    </row>
    <row r="16">
      <c r="A16" s="5">
        <v>10.0</v>
      </c>
      <c r="B16" s="26"/>
      <c r="C16" s="30" t="s">
        <v>533</v>
      </c>
      <c r="D16" s="19" t="s">
        <v>25</v>
      </c>
      <c r="E16" s="20">
        <v>46160.0</v>
      </c>
      <c r="F16" s="21">
        <v>0.6666666666666666</v>
      </c>
      <c r="G16" s="20">
        <v>46162.0</v>
      </c>
      <c r="H16" s="21">
        <v>0.9375</v>
      </c>
      <c r="I16" s="22">
        <v>4923.719</v>
      </c>
      <c r="J16" s="155"/>
      <c r="K16" s="45"/>
      <c r="L16" s="21"/>
      <c r="M16" s="25">
        <f t="shared" si="1"/>
        <v>46160.66667</v>
      </c>
      <c r="N16" s="25">
        <f t="shared" si="2"/>
        <v>46162.9375</v>
      </c>
      <c r="O16" s="25">
        <f t="shared" si="3"/>
        <v>2.270833333</v>
      </c>
      <c r="P16" s="25">
        <f t="shared" si="4"/>
        <v>54.5</v>
      </c>
      <c r="Q16" s="12">
        <v>1.0</v>
      </c>
      <c r="R16" s="2"/>
    </row>
    <row r="17">
      <c r="A17" s="5">
        <v>11.0</v>
      </c>
      <c r="B17" s="26"/>
      <c r="C17" s="30" t="s">
        <v>491</v>
      </c>
      <c r="D17" s="19" t="s">
        <v>277</v>
      </c>
      <c r="E17" s="20">
        <v>46158.0</v>
      </c>
      <c r="F17" s="21">
        <v>0.34027777777777773</v>
      </c>
      <c r="G17" s="20">
        <v>46159.0</v>
      </c>
      <c r="H17" s="21">
        <v>0.7152777777777778</v>
      </c>
      <c r="I17" s="22">
        <v>1433.55</v>
      </c>
      <c r="J17" s="23"/>
      <c r="K17" s="45"/>
      <c r="L17" s="21"/>
      <c r="M17" s="25">
        <f t="shared" si="1"/>
        <v>46158.34028</v>
      </c>
      <c r="N17" s="25">
        <f t="shared" si="2"/>
        <v>46159.71528</v>
      </c>
      <c r="O17" s="25">
        <f t="shared" si="3"/>
        <v>1.375</v>
      </c>
      <c r="P17" s="25">
        <f t="shared" si="4"/>
        <v>33</v>
      </c>
      <c r="Q17" s="12">
        <v>2.0</v>
      </c>
      <c r="R17" s="2"/>
    </row>
    <row r="18">
      <c r="A18" s="5"/>
      <c r="B18" s="26"/>
      <c r="C18" s="30" t="s">
        <v>486</v>
      </c>
      <c r="D18" s="19" t="s">
        <v>277</v>
      </c>
      <c r="E18" s="20">
        <v>46162.0</v>
      </c>
      <c r="F18" s="21">
        <v>0.5395833333333333</v>
      </c>
      <c r="G18" s="20">
        <v>46162.0</v>
      </c>
      <c r="H18" s="21">
        <v>0.9548611111111112</v>
      </c>
      <c r="I18" s="22">
        <v>832.165</v>
      </c>
      <c r="J18" s="23"/>
      <c r="K18" s="45"/>
      <c r="L18" s="21"/>
      <c r="M18" s="25">
        <f t="shared" si="1"/>
        <v>46162.53958</v>
      </c>
      <c r="N18" s="25">
        <f t="shared" si="2"/>
        <v>46162.95486</v>
      </c>
      <c r="O18" s="25">
        <f t="shared" si="3"/>
        <v>0.4152777778</v>
      </c>
      <c r="P18" s="25">
        <f t="shared" si="4"/>
        <v>9.966666667</v>
      </c>
      <c r="Q18" s="12">
        <v>2.0</v>
      </c>
      <c r="R18" s="2"/>
    </row>
    <row r="19">
      <c r="A19" s="5"/>
      <c r="B19" s="26"/>
      <c r="C19" s="30"/>
      <c r="D19" s="19"/>
      <c r="E19" s="20"/>
      <c r="F19" s="21"/>
      <c r="G19" s="20"/>
      <c r="H19" s="21"/>
      <c r="I19" s="22"/>
      <c r="J19" s="23"/>
      <c r="K19" s="45"/>
      <c r="L19" s="21"/>
      <c r="M19" s="46"/>
      <c r="N19" s="46"/>
      <c r="O19" s="46"/>
      <c r="P19" s="46"/>
      <c r="Q19" s="12"/>
      <c r="R19" s="2"/>
    </row>
    <row r="20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45"/>
      <c r="L20" s="21"/>
      <c r="M20" s="46"/>
      <c r="N20" s="46"/>
      <c r="O20" s="46"/>
      <c r="P20" s="46"/>
      <c r="Q20" s="12"/>
      <c r="R20" s="2"/>
    </row>
    <row r="21" ht="15.75" customHeight="1">
      <c r="A21" s="5"/>
      <c r="B21" s="26"/>
      <c r="C21" s="30"/>
      <c r="D21" s="19"/>
      <c r="E21" s="20"/>
      <c r="F21" s="21"/>
      <c r="G21" s="20"/>
      <c r="H21" s="21"/>
      <c r="I21" s="22"/>
      <c r="J21" s="23"/>
      <c r="K21" s="45"/>
      <c r="L21" s="21"/>
      <c r="M21" s="46"/>
      <c r="N21" s="46"/>
      <c r="O21" s="46"/>
      <c r="P21" s="46"/>
      <c r="Q21" s="12"/>
      <c r="R21" s="2"/>
    </row>
    <row r="22" ht="15.75" customHeight="1">
      <c r="A22" s="5"/>
      <c r="B22" s="26"/>
      <c r="C22" s="30"/>
      <c r="D22" s="19"/>
      <c r="E22" s="20"/>
      <c r="F22" s="21"/>
      <c r="G22" s="20"/>
      <c r="H22" s="21"/>
      <c r="I22" s="22"/>
      <c r="J22" s="23"/>
      <c r="K22" s="45"/>
      <c r="L22" s="21"/>
      <c r="M22" s="46"/>
      <c r="N22" s="46"/>
      <c r="O22" s="46"/>
      <c r="P22" s="46"/>
      <c r="Q22" s="12"/>
      <c r="R22" s="2"/>
    </row>
    <row r="23" ht="15.75" customHeight="1">
      <c r="A23" s="5"/>
      <c r="B23" s="26"/>
      <c r="C23" s="30"/>
      <c r="D23" s="19"/>
      <c r="E23" s="20"/>
      <c r="F23" s="21"/>
      <c r="G23" s="20"/>
      <c r="H23" s="21"/>
      <c r="I23" s="22"/>
      <c r="J23" s="23"/>
      <c r="K23" s="45"/>
      <c r="L23" s="21"/>
      <c r="M23" s="46"/>
      <c r="N23" s="46"/>
      <c r="O23" s="46"/>
      <c r="P23" s="46"/>
      <c r="Q23" s="12"/>
      <c r="R23" s="2"/>
    </row>
    <row r="24" ht="15.75" customHeight="1">
      <c r="A24" s="5"/>
      <c r="B24" s="26"/>
      <c r="C24" s="30"/>
      <c r="D24" s="19"/>
      <c r="E24" s="20"/>
      <c r="F24" s="21"/>
      <c r="G24" s="20"/>
      <c r="H24" s="21"/>
      <c r="I24" s="22"/>
      <c r="J24" s="23"/>
      <c r="K24" s="45"/>
      <c r="L24" s="21"/>
      <c r="M24" s="46"/>
      <c r="N24" s="46"/>
      <c r="O24" s="46"/>
      <c r="P24" s="46"/>
      <c r="Q24" s="12"/>
      <c r="R24" s="2"/>
    </row>
    <row r="25" ht="15.75" customHeight="1">
      <c r="A25" s="5"/>
      <c r="B25" s="26"/>
      <c r="C25" s="30"/>
      <c r="D25" s="27"/>
      <c r="E25" s="20"/>
      <c r="F25" s="21"/>
      <c r="G25" s="20"/>
      <c r="H25" s="21"/>
      <c r="I25" s="100"/>
      <c r="J25" s="87"/>
      <c r="K25" s="45"/>
      <c r="L25" s="21"/>
      <c r="M25" s="46"/>
      <c r="N25" s="46"/>
      <c r="O25" s="46"/>
      <c r="P25" s="46"/>
      <c r="Q25" s="12"/>
      <c r="R25" s="2"/>
    </row>
    <row r="26" ht="15.75" customHeight="1">
      <c r="A26" s="5"/>
      <c r="B26" s="26"/>
      <c r="C26" s="30"/>
      <c r="D26" s="27"/>
      <c r="E26" s="20"/>
      <c r="F26" s="21"/>
      <c r="G26" s="20"/>
      <c r="H26" s="21"/>
      <c r="I26" s="28"/>
      <c r="J26" s="29"/>
      <c r="K26" s="24"/>
      <c r="L26" s="21"/>
      <c r="M26" s="46"/>
      <c r="N26" s="46"/>
      <c r="O26" s="46"/>
      <c r="P26" s="46"/>
      <c r="Q26" s="12"/>
      <c r="R26" s="2"/>
    </row>
    <row r="27" ht="15.75" customHeight="1">
      <c r="A27" s="5"/>
      <c r="B27" s="26"/>
      <c r="C27" s="30"/>
      <c r="D27" s="19"/>
      <c r="E27" s="20"/>
      <c r="F27" s="21"/>
      <c r="G27" s="20"/>
      <c r="H27" s="21"/>
      <c r="I27" s="22"/>
      <c r="J27" s="23"/>
      <c r="K27" s="24"/>
      <c r="L27" s="21"/>
      <c r="M27" s="46"/>
      <c r="N27" s="46"/>
      <c r="O27" s="46"/>
      <c r="P27" s="46"/>
      <c r="Q27" s="12"/>
      <c r="R27" s="2"/>
    </row>
    <row r="28" ht="15.75" customHeight="1">
      <c r="A28" s="31"/>
      <c r="B28" s="32"/>
      <c r="C28" s="33"/>
      <c r="D28" s="34"/>
      <c r="E28" s="35"/>
      <c r="F28" s="36"/>
      <c r="G28" s="35"/>
      <c r="H28" s="36"/>
      <c r="I28" s="37">
        <f t="shared" ref="I28:J28" si="5">SUM(I7:I27)</f>
        <v>13466.828</v>
      </c>
      <c r="J28" s="113">
        <f t="shared" si="5"/>
        <v>2107.482</v>
      </c>
      <c r="K28" s="39">
        <f>+(P28)/(31*24)</f>
        <v>0.4091621864</v>
      </c>
      <c r="L28" s="40"/>
      <c r="M28" s="41"/>
      <c r="N28" s="41"/>
      <c r="O28" s="41"/>
      <c r="P28" s="42">
        <f>SUM(P7:P27)</f>
        <v>304.4166667</v>
      </c>
      <c r="Q28" s="2"/>
      <c r="R28" s="2"/>
    </row>
    <row r="29" ht="15.75" customHeight="1">
      <c r="A29" s="1"/>
      <c r="B29" s="12"/>
      <c r="C29" s="43"/>
      <c r="D29" s="12"/>
      <c r="E29" s="13"/>
      <c r="F29" s="14"/>
      <c r="G29" s="13"/>
      <c r="H29" s="14"/>
      <c r="I29" s="44"/>
      <c r="J29" s="15"/>
      <c r="K29" s="16"/>
      <c r="L29" s="14"/>
      <c r="M29" s="2"/>
      <c r="N29" s="2"/>
      <c r="O29" s="2"/>
      <c r="P29" s="2"/>
      <c r="Q29" s="2"/>
      <c r="R29" s="2"/>
    </row>
    <row r="30" ht="15.75" customHeight="1">
      <c r="A30" s="115">
        <v>1.0</v>
      </c>
      <c r="B30" s="116" t="s">
        <v>31</v>
      </c>
      <c r="C30" s="52" t="s">
        <v>534</v>
      </c>
      <c r="D30" s="19" t="s">
        <v>33</v>
      </c>
      <c r="E30" s="20">
        <v>46128.0</v>
      </c>
      <c r="F30" s="21">
        <v>0.40625</v>
      </c>
      <c r="G30" s="20">
        <v>46133.0</v>
      </c>
      <c r="H30" s="21">
        <v>0.3125</v>
      </c>
      <c r="I30" s="22">
        <v>7506.65</v>
      </c>
      <c r="J30" s="23"/>
      <c r="K30" s="45"/>
      <c r="L30" s="21"/>
      <c r="M30" s="25">
        <f t="shared" ref="M30:M38" si="6">INT(E30)+MOD(F30,1)</f>
        <v>46128.40625</v>
      </c>
      <c r="N30" s="124">
        <f t="shared" ref="N30:N38" si="7">INT(G30)+MOD(H30,1)</f>
        <v>46133.3125</v>
      </c>
      <c r="O30" s="124">
        <f t="shared" ref="O30:O38" si="8">N30-M30</f>
        <v>4.90625</v>
      </c>
      <c r="P30" s="125">
        <f t="shared" ref="P30:P38" si="9">O30*24</f>
        <v>117.75</v>
      </c>
      <c r="Q30" s="12">
        <v>3.0</v>
      </c>
      <c r="R30" s="2"/>
    </row>
    <row r="31" ht="15.75" customHeight="1">
      <c r="A31" s="115">
        <v>2.0</v>
      </c>
      <c r="B31" s="126"/>
      <c r="C31" s="52" t="s">
        <v>289</v>
      </c>
      <c r="D31" s="19" t="s">
        <v>33</v>
      </c>
      <c r="E31" s="20">
        <v>46133.0</v>
      </c>
      <c r="F31" s="21">
        <v>0.34722222222222227</v>
      </c>
      <c r="G31" s="20">
        <v>46141.0</v>
      </c>
      <c r="H31" s="21">
        <v>0.34027777777777773</v>
      </c>
      <c r="I31" s="22">
        <v>8293.124</v>
      </c>
      <c r="J31" s="23"/>
      <c r="K31" s="45"/>
      <c r="L31" s="21"/>
      <c r="M31" s="25">
        <f t="shared" si="6"/>
        <v>46133.34722</v>
      </c>
      <c r="N31" s="124">
        <f t="shared" si="7"/>
        <v>46141.34028</v>
      </c>
      <c r="O31" s="124">
        <f t="shared" si="8"/>
        <v>7.993055556</v>
      </c>
      <c r="P31" s="125">
        <f t="shared" si="9"/>
        <v>191.8333333</v>
      </c>
      <c r="Q31" s="12">
        <v>3.0</v>
      </c>
      <c r="R31" s="2"/>
    </row>
    <row r="32" ht="15.75" customHeight="1">
      <c r="A32" s="115">
        <v>3.0</v>
      </c>
      <c r="B32" s="126"/>
      <c r="C32" s="52" t="s">
        <v>281</v>
      </c>
      <c r="D32" s="19" t="s">
        <v>33</v>
      </c>
      <c r="E32" s="20">
        <v>46135.0</v>
      </c>
      <c r="F32" s="21">
        <v>0.40277777777777773</v>
      </c>
      <c r="G32" s="20">
        <v>46143.0</v>
      </c>
      <c r="H32" s="21">
        <v>0.34722222222222227</v>
      </c>
      <c r="I32" s="22">
        <v>8297.344</v>
      </c>
      <c r="J32" s="23"/>
      <c r="K32" s="45"/>
      <c r="L32" s="21"/>
      <c r="M32" s="25">
        <f t="shared" si="6"/>
        <v>46135.40278</v>
      </c>
      <c r="N32" s="124">
        <f t="shared" si="7"/>
        <v>46143.34722</v>
      </c>
      <c r="O32" s="124">
        <f t="shared" si="8"/>
        <v>7.944444444</v>
      </c>
      <c r="P32" s="125">
        <f t="shared" si="9"/>
        <v>190.6666667</v>
      </c>
      <c r="Q32" s="12">
        <v>3.0</v>
      </c>
      <c r="R32" s="2"/>
    </row>
    <row r="33" ht="15.75" customHeight="1">
      <c r="A33" s="115">
        <v>4.0</v>
      </c>
      <c r="B33" s="126"/>
      <c r="C33" s="52" t="s">
        <v>297</v>
      </c>
      <c r="D33" s="19" t="s">
        <v>33</v>
      </c>
      <c r="E33" s="20">
        <v>46143.0</v>
      </c>
      <c r="F33" s="21">
        <v>0.7569444444444445</v>
      </c>
      <c r="G33" s="20">
        <v>46149.0</v>
      </c>
      <c r="H33" s="21">
        <v>0.3993055555555556</v>
      </c>
      <c r="I33" s="22">
        <v>7428.529</v>
      </c>
      <c r="J33" s="23"/>
      <c r="K33" s="45"/>
      <c r="L33" s="21"/>
      <c r="M33" s="25">
        <f t="shared" si="6"/>
        <v>46143.75694</v>
      </c>
      <c r="N33" s="124">
        <f t="shared" si="7"/>
        <v>46149.39931</v>
      </c>
      <c r="O33" s="124">
        <f t="shared" si="8"/>
        <v>5.642361111</v>
      </c>
      <c r="P33" s="125">
        <f t="shared" si="9"/>
        <v>135.4166667</v>
      </c>
      <c r="Q33" s="12">
        <v>3.0</v>
      </c>
      <c r="R33" s="2"/>
    </row>
    <row r="34" ht="15.75" customHeight="1">
      <c r="A34" s="115">
        <v>5.0</v>
      </c>
      <c r="B34" s="126"/>
      <c r="C34" s="30" t="s">
        <v>428</v>
      </c>
      <c r="D34" s="19" t="s">
        <v>33</v>
      </c>
      <c r="E34" s="20">
        <v>46156.0</v>
      </c>
      <c r="F34" s="21">
        <v>0.5750000000000001</v>
      </c>
      <c r="G34" s="20">
        <v>46162.0</v>
      </c>
      <c r="H34" s="21">
        <v>0.3666666666666667</v>
      </c>
      <c r="I34" s="22">
        <v>8169.98</v>
      </c>
      <c r="J34" s="23"/>
      <c r="K34" s="45"/>
      <c r="L34" s="21"/>
      <c r="M34" s="25">
        <f t="shared" si="6"/>
        <v>46156.575</v>
      </c>
      <c r="N34" s="124">
        <f t="shared" si="7"/>
        <v>46162.36667</v>
      </c>
      <c r="O34" s="124">
        <f t="shared" si="8"/>
        <v>5.791666667</v>
      </c>
      <c r="P34" s="125">
        <f t="shared" si="9"/>
        <v>139</v>
      </c>
      <c r="Q34" s="12">
        <v>3.0</v>
      </c>
      <c r="R34" s="2"/>
    </row>
    <row r="35" ht="15.75" customHeight="1">
      <c r="A35" s="115"/>
      <c r="B35" s="126"/>
      <c r="C35" s="30"/>
      <c r="D35" s="19"/>
      <c r="E35" s="20"/>
      <c r="F35" s="21"/>
      <c r="G35" s="20"/>
      <c r="H35" s="21"/>
      <c r="I35" s="22"/>
      <c r="J35" s="23"/>
      <c r="K35" s="45"/>
      <c r="L35" s="21"/>
      <c r="M35" s="25">
        <f t="shared" si="6"/>
        <v>0</v>
      </c>
      <c r="N35" s="124">
        <f t="shared" si="7"/>
        <v>0</v>
      </c>
      <c r="O35" s="124">
        <f t="shared" si="8"/>
        <v>0</v>
      </c>
      <c r="P35" s="125">
        <f t="shared" si="9"/>
        <v>0</v>
      </c>
      <c r="Q35" s="12"/>
      <c r="R35" s="2"/>
    </row>
    <row r="36" ht="15.75" customHeight="1">
      <c r="A36" s="115"/>
      <c r="B36" s="126"/>
      <c r="C36" s="30"/>
      <c r="D36" s="19"/>
      <c r="E36" s="20"/>
      <c r="F36" s="21"/>
      <c r="G36" s="20"/>
      <c r="H36" s="21"/>
      <c r="I36" s="22"/>
      <c r="J36" s="23"/>
      <c r="K36" s="45"/>
      <c r="L36" s="21"/>
      <c r="M36" s="25">
        <f t="shared" si="6"/>
        <v>0</v>
      </c>
      <c r="N36" s="124">
        <f t="shared" si="7"/>
        <v>0</v>
      </c>
      <c r="O36" s="124">
        <f t="shared" si="8"/>
        <v>0</v>
      </c>
      <c r="P36" s="125">
        <f t="shared" si="9"/>
        <v>0</v>
      </c>
      <c r="Q36" s="12"/>
      <c r="R36" s="2"/>
    </row>
    <row r="37" ht="15.75" customHeight="1">
      <c r="A37" s="115"/>
      <c r="B37" s="126"/>
      <c r="C37" s="30"/>
      <c r="D37" s="19"/>
      <c r="E37" s="20"/>
      <c r="F37" s="21"/>
      <c r="G37" s="20"/>
      <c r="H37" s="21"/>
      <c r="I37" s="22"/>
      <c r="J37" s="23"/>
      <c r="K37" s="45"/>
      <c r="L37" s="21"/>
      <c r="M37" s="25">
        <f t="shared" si="6"/>
        <v>0</v>
      </c>
      <c r="N37" s="124">
        <f t="shared" si="7"/>
        <v>0</v>
      </c>
      <c r="O37" s="124">
        <f t="shared" si="8"/>
        <v>0</v>
      </c>
      <c r="P37" s="125">
        <f t="shared" si="9"/>
        <v>0</v>
      </c>
      <c r="Q37" s="12"/>
      <c r="R37" s="2"/>
    </row>
    <row r="38" ht="15.75" customHeight="1">
      <c r="A38" s="115"/>
      <c r="B38" s="126"/>
      <c r="C38" s="30"/>
      <c r="D38" s="19"/>
      <c r="E38" s="20"/>
      <c r="F38" s="21"/>
      <c r="G38" s="20"/>
      <c r="H38" s="21"/>
      <c r="I38" s="22"/>
      <c r="J38" s="23"/>
      <c r="K38" s="45"/>
      <c r="L38" s="21"/>
      <c r="M38" s="25">
        <f t="shared" si="6"/>
        <v>0</v>
      </c>
      <c r="N38" s="124">
        <f t="shared" si="7"/>
        <v>0</v>
      </c>
      <c r="O38" s="124">
        <f t="shared" si="8"/>
        <v>0</v>
      </c>
      <c r="P38" s="125">
        <f t="shared" si="9"/>
        <v>0</v>
      </c>
      <c r="Q38" s="12"/>
      <c r="R38" s="2"/>
    </row>
    <row r="39" ht="15.75" customHeight="1">
      <c r="A39" s="115"/>
      <c r="B39" s="126"/>
      <c r="C39" s="77"/>
      <c r="D39" s="158"/>
      <c r="E39" s="79"/>
      <c r="F39" s="50"/>
      <c r="G39" s="79"/>
      <c r="H39" s="50"/>
      <c r="I39" s="159"/>
      <c r="J39" s="160"/>
      <c r="K39" s="49"/>
      <c r="L39" s="50"/>
      <c r="M39" s="82"/>
      <c r="N39" s="46"/>
      <c r="O39" s="46"/>
      <c r="P39" s="128"/>
      <c r="Q39" s="12"/>
      <c r="R39" s="2"/>
    </row>
    <row r="40" ht="15.75" customHeight="1">
      <c r="A40" s="129"/>
      <c r="B40" s="130"/>
      <c r="C40" s="161"/>
      <c r="D40" s="32"/>
      <c r="E40" s="84"/>
      <c r="F40" s="40"/>
      <c r="G40" s="84"/>
      <c r="H40" s="40"/>
      <c r="I40" s="85">
        <f t="shared" ref="I40:J40" si="10">SUM(I30:I39)</f>
        <v>39695.627</v>
      </c>
      <c r="J40" s="86">
        <f t="shared" si="10"/>
        <v>0</v>
      </c>
      <c r="K40" s="39">
        <f>+(P40)/(31*24)</f>
        <v>1.041218638</v>
      </c>
      <c r="L40" s="40"/>
      <c r="M40" s="162"/>
      <c r="N40" s="163"/>
      <c r="O40" s="41"/>
      <c r="P40" s="42">
        <f>SUM(P30:P39)</f>
        <v>774.6666667</v>
      </c>
      <c r="Q40" s="2"/>
      <c r="R40" s="2"/>
    </row>
    <row r="41" ht="15.75" customHeight="1">
      <c r="A41" s="1"/>
      <c r="B41" s="12"/>
      <c r="C41" s="164"/>
      <c r="D41" s="103"/>
      <c r="E41" s="104"/>
      <c r="F41" s="72"/>
      <c r="G41" s="104"/>
      <c r="H41" s="72"/>
      <c r="I41" s="105"/>
      <c r="J41" s="165"/>
      <c r="K41" s="137"/>
      <c r="L41" s="14"/>
      <c r="M41" s="2"/>
      <c r="N41" s="2"/>
      <c r="O41" s="2"/>
      <c r="P41" s="2"/>
      <c r="Q41" s="2"/>
      <c r="R41" s="2"/>
    </row>
    <row r="42" ht="15.75" customHeight="1">
      <c r="A42" s="115">
        <v>1.0</v>
      </c>
      <c r="B42" s="116" t="s">
        <v>41</v>
      </c>
      <c r="C42" s="52" t="s">
        <v>402</v>
      </c>
      <c r="D42" s="19" t="s">
        <v>33</v>
      </c>
      <c r="E42" s="20">
        <v>46129.0</v>
      </c>
      <c r="F42" s="21">
        <v>0.5902777777777778</v>
      </c>
      <c r="G42" s="20">
        <v>46132.0</v>
      </c>
      <c r="H42" s="21">
        <v>0.5034722222222222</v>
      </c>
      <c r="I42" s="22">
        <v>7488.56</v>
      </c>
      <c r="J42" s="23"/>
      <c r="K42" s="45"/>
      <c r="L42" s="166"/>
      <c r="M42" s="124">
        <f t="shared" ref="M42:M52" si="11">INT(E42)+MOD(F42,1)</f>
        <v>46129.59028</v>
      </c>
      <c r="N42" s="124">
        <f t="shared" ref="N42:N52" si="12">INT(G42)+MOD(H42,1)</f>
        <v>46132.50347</v>
      </c>
      <c r="O42" s="132">
        <f t="shared" ref="O42:O52" si="13">N42-M42</f>
        <v>2.913194444</v>
      </c>
      <c r="P42" s="125">
        <f t="shared" ref="P42:P52" si="14">O42*24</f>
        <v>69.91666667</v>
      </c>
      <c r="Q42" s="12">
        <v>4.0</v>
      </c>
      <c r="R42" s="2"/>
    </row>
    <row r="43" ht="15.75" customHeight="1">
      <c r="A43" s="115">
        <v>2.0</v>
      </c>
      <c r="B43" s="126"/>
      <c r="C43" s="52" t="s">
        <v>535</v>
      </c>
      <c r="D43" s="19" t="s">
        <v>33</v>
      </c>
      <c r="E43" s="20">
        <v>46130.0</v>
      </c>
      <c r="F43" s="21">
        <v>0.5416666666666666</v>
      </c>
      <c r="G43" s="20">
        <v>46135.0</v>
      </c>
      <c r="H43" s="21">
        <v>0.7083333333333334</v>
      </c>
      <c r="I43" s="22">
        <v>8292.05</v>
      </c>
      <c r="J43" s="23"/>
      <c r="K43" s="45"/>
      <c r="L43" s="167"/>
      <c r="M43" s="25">
        <f t="shared" si="11"/>
        <v>46130.54167</v>
      </c>
      <c r="N43" s="25">
        <f t="shared" si="12"/>
        <v>46135.70833</v>
      </c>
      <c r="O43" s="60">
        <f t="shared" si="13"/>
        <v>5.166666667</v>
      </c>
      <c r="P43" s="127">
        <f t="shared" si="14"/>
        <v>124</v>
      </c>
      <c r="Q43" s="12">
        <v>4.0</v>
      </c>
      <c r="R43" s="2"/>
    </row>
    <row r="44" ht="15.75" customHeight="1">
      <c r="A44" s="115">
        <v>3.0</v>
      </c>
      <c r="B44" s="126"/>
      <c r="C44" s="52" t="s">
        <v>166</v>
      </c>
      <c r="D44" s="19" t="s">
        <v>33</v>
      </c>
      <c r="E44" s="20">
        <v>46134.0</v>
      </c>
      <c r="F44" s="21">
        <v>0.3333333333333333</v>
      </c>
      <c r="G44" s="20">
        <v>46137.0</v>
      </c>
      <c r="H44" s="21">
        <v>0.37152777777777773</v>
      </c>
      <c r="I44" s="22">
        <v>7391.36</v>
      </c>
      <c r="J44" s="23"/>
      <c r="K44" s="45"/>
      <c r="L44" s="167"/>
      <c r="M44" s="25">
        <f t="shared" si="11"/>
        <v>46134.33333</v>
      </c>
      <c r="N44" s="25">
        <f t="shared" si="12"/>
        <v>46137.37153</v>
      </c>
      <c r="O44" s="60">
        <f t="shared" si="13"/>
        <v>3.038194444</v>
      </c>
      <c r="P44" s="127">
        <f t="shared" si="14"/>
        <v>72.91666667</v>
      </c>
      <c r="Q44" s="12">
        <v>4.0</v>
      </c>
      <c r="R44" s="2"/>
    </row>
    <row r="45" ht="15.75" customHeight="1">
      <c r="A45" s="115">
        <v>4.0</v>
      </c>
      <c r="B45" s="126"/>
      <c r="C45" s="52" t="s">
        <v>536</v>
      </c>
      <c r="D45" s="19" t="s">
        <v>33</v>
      </c>
      <c r="E45" s="20">
        <v>46143.0</v>
      </c>
      <c r="F45" s="21">
        <v>0.40625</v>
      </c>
      <c r="G45" s="20">
        <v>46146.0</v>
      </c>
      <c r="H45" s="21">
        <v>0.46527777777777773</v>
      </c>
      <c r="I45" s="22">
        <v>8342.26</v>
      </c>
      <c r="J45" s="23"/>
      <c r="K45" s="45"/>
      <c r="L45" s="167"/>
      <c r="M45" s="25">
        <f t="shared" si="11"/>
        <v>46143.40625</v>
      </c>
      <c r="N45" s="25">
        <f t="shared" si="12"/>
        <v>46146.46528</v>
      </c>
      <c r="O45" s="60">
        <f t="shared" si="13"/>
        <v>3.059027778</v>
      </c>
      <c r="P45" s="127">
        <f t="shared" si="14"/>
        <v>73.41666667</v>
      </c>
      <c r="Q45" s="12">
        <v>4.0</v>
      </c>
      <c r="R45" s="2"/>
    </row>
    <row r="46" ht="15.75" customHeight="1">
      <c r="A46" s="115">
        <v>5.0</v>
      </c>
      <c r="B46" s="126"/>
      <c r="C46" s="52" t="s">
        <v>162</v>
      </c>
      <c r="D46" s="19" t="s">
        <v>33</v>
      </c>
      <c r="E46" s="20">
        <v>46147.0</v>
      </c>
      <c r="F46" s="21">
        <v>0.6527777777777778</v>
      </c>
      <c r="G46" s="20">
        <v>46151.0</v>
      </c>
      <c r="H46" s="21">
        <v>0.46875</v>
      </c>
      <c r="I46" s="22">
        <v>7304.78</v>
      </c>
      <c r="J46" s="23"/>
      <c r="K46" s="45"/>
      <c r="L46" s="167"/>
      <c r="M46" s="25">
        <f t="shared" si="11"/>
        <v>46147.65278</v>
      </c>
      <c r="N46" s="25">
        <f t="shared" si="12"/>
        <v>46151.46875</v>
      </c>
      <c r="O46" s="60">
        <f t="shared" si="13"/>
        <v>3.815972222</v>
      </c>
      <c r="P46" s="127">
        <f t="shared" si="14"/>
        <v>91.58333333</v>
      </c>
      <c r="Q46" s="12">
        <v>4.0</v>
      </c>
      <c r="R46" s="2"/>
    </row>
    <row r="47" ht="15.75" customHeight="1">
      <c r="A47" s="115">
        <v>6.0</v>
      </c>
      <c r="B47" s="126"/>
      <c r="C47" s="52" t="s">
        <v>537</v>
      </c>
      <c r="D47" s="19" t="s">
        <v>33</v>
      </c>
      <c r="E47" s="20">
        <v>46147.0</v>
      </c>
      <c r="F47" s="21">
        <v>0.6180555555555556</v>
      </c>
      <c r="G47" s="20">
        <v>46152.0</v>
      </c>
      <c r="H47" s="21">
        <v>0.4895833333333333</v>
      </c>
      <c r="I47" s="22">
        <v>7994.337</v>
      </c>
      <c r="J47" s="23"/>
      <c r="K47" s="45"/>
      <c r="L47" s="167"/>
      <c r="M47" s="25">
        <f t="shared" si="11"/>
        <v>46147.61806</v>
      </c>
      <c r="N47" s="25">
        <f t="shared" si="12"/>
        <v>46152.48958</v>
      </c>
      <c r="O47" s="60">
        <f t="shared" si="13"/>
        <v>4.871527778</v>
      </c>
      <c r="P47" s="127">
        <f t="shared" si="14"/>
        <v>116.9166667</v>
      </c>
      <c r="Q47" s="12">
        <v>4.0</v>
      </c>
      <c r="R47" s="2"/>
    </row>
    <row r="48" ht="15.75" customHeight="1">
      <c r="A48" s="115">
        <v>7.0</v>
      </c>
      <c r="B48" s="126"/>
      <c r="C48" s="52" t="s">
        <v>108</v>
      </c>
      <c r="D48" s="19" t="s">
        <v>33</v>
      </c>
      <c r="E48" s="20">
        <v>46151.0</v>
      </c>
      <c r="F48" s="21">
        <v>0.3298611111111111</v>
      </c>
      <c r="G48" s="20">
        <v>46156.0</v>
      </c>
      <c r="H48" s="21">
        <v>0.5208333333333334</v>
      </c>
      <c r="I48" s="22">
        <v>7574.16</v>
      </c>
      <c r="J48" s="23"/>
      <c r="K48" s="45"/>
      <c r="L48" s="167"/>
      <c r="M48" s="25">
        <f t="shared" si="11"/>
        <v>46151.32986</v>
      </c>
      <c r="N48" s="25">
        <f t="shared" si="12"/>
        <v>46156.52083</v>
      </c>
      <c r="O48" s="60">
        <f t="shared" si="13"/>
        <v>5.190972222</v>
      </c>
      <c r="P48" s="127">
        <f t="shared" si="14"/>
        <v>124.5833333</v>
      </c>
      <c r="Q48" s="12">
        <v>4.0</v>
      </c>
      <c r="R48" s="2"/>
    </row>
    <row r="49" ht="15.75" customHeight="1">
      <c r="A49" s="115">
        <v>8.0</v>
      </c>
      <c r="B49" s="126"/>
      <c r="C49" s="52" t="s">
        <v>59</v>
      </c>
      <c r="D49" s="19" t="s">
        <v>33</v>
      </c>
      <c r="E49" s="20">
        <v>46151.0</v>
      </c>
      <c r="F49" s="21">
        <v>0.53125</v>
      </c>
      <c r="G49" s="20">
        <v>46155.0</v>
      </c>
      <c r="H49" s="21">
        <v>0.4236111111111111</v>
      </c>
      <c r="I49" s="22">
        <v>7282.96</v>
      </c>
      <c r="J49" s="23"/>
      <c r="K49" s="45"/>
      <c r="L49" s="167"/>
      <c r="M49" s="25">
        <f t="shared" si="11"/>
        <v>46151.53125</v>
      </c>
      <c r="N49" s="25">
        <f t="shared" si="12"/>
        <v>46155.42361</v>
      </c>
      <c r="O49" s="60">
        <f t="shared" si="13"/>
        <v>3.892361111</v>
      </c>
      <c r="P49" s="127">
        <f t="shared" si="14"/>
        <v>93.41666667</v>
      </c>
      <c r="Q49" s="12">
        <v>4.0</v>
      </c>
      <c r="R49" s="2"/>
    </row>
    <row r="50" ht="15.75" customHeight="1">
      <c r="A50" s="115">
        <v>9.0</v>
      </c>
      <c r="B50" s="126"/>
      <c r="C50" s="30" t="s">
        <v>125</v>
      </c>
      <c r="D50" s="19" t="s">
        <v>33</v>
      </c>
      <c r="E50" s="20">
        <v>46153.0</v>
      </c>
      <c r="F50" s="21">
        <v>0.5972222222222222</v>
      </c>
      <c r="G50" s="20">
        <v>46159.0</v>
      </c>
      <c r="H50" s="21">
        <v>0.5104166666666666</v>
      </c>
      <c r="I50" s="22">
        <v>8119.19</v>
      </c>
      <c r="J50" s="23"/>
      <c r="K50" s="45"/>
      <c r="L50" s="167"/>
      <c r="M50" s="25">
        <f t="shared" si="11"/>
        <v>46153.59722</v>
      </c>
      <c r="N50" s="25">
        <f t="shared" si="12"/>
        <v>46159.51042</v>
      </c>
      <c r="O50" s="60">
        <f t="shared" si="13"/>
        <v>5.913194444</v>
      </c>
      <c r="P50" s="127">
        <f t="shared" si="14"/>
        <v>141.9166667</v>
      </c>
      <c r="Q50" s="12">
        <v>4.0</v>
      </c>
      <c r="R50" s="2"/>
    </row>
    <row r="51" ht="15.75" customHeight="1">
      <c r="A51" s="115">
        <v>10.0</v>
      </c>
      <c r="B51" s="126"/>
      <c r="C51" s="52" t="s">
        <v>538</v>
      </c>
      <c r="D51" s="19" t="s">
        <v>33</v>
      </c>
      <c r="E51" s="20">
        <v>46155.0</v>
      </c>
      <c r="F51" s="21">
        <v>0.4701388888888889</v>
      </c>
      <c r="G51" s="20">
        <v>46160.0</v>
      </c>
      <c r="H51" s="21">
        <v>0.375</v>
      </c>
      <c r="I51" s="22">
        <v>7563.56</v>
      </c>
      <c r="J51" s="23"/>
      <c r="K51" s="45"/>
      <c r="L51" s="167"/>
      <c r="M51" s="25">
        <f t="shared" si="11"/>
        <v>46155.47014</v>
      </c>
      <c r="N51" s="25">
        <f t="shared" si="12"/>
        <v>46160.375</v>
      </c>
      <c r="O51" s="60">
        <f t="shared" si="13"/>
        <v>4.904861111</v>
      </c>
      <c r="P51" s="127">
        <f t="shared" si="14"/>
        <v>117.7166667</v>
      </c>
      <c r="Q51" s="12">
        <v>4.0</v>
      </c>
      <c r="R51" s="2"/>
    </row>
    <row r="52" ht="15.75" customHeight="1">
      <c r="A52" s="115">
        <v>11.0</v>
      </c>
      <c r="B52" s="126"/>
      <c r="C52" s="30" t="s">
        <v>539</v>
      </c>
      <c r="D52" s="19" t="s">
        <v>540</v>
      </c>
      <c r="E52" s="20">
        <v>46159.0</v>
      </c>
      <c r="F52" s="21">
        <v>0.5833333333333334</v>
      </c>
      <c r="G52" s="20">
        <v>46162.0</v>
      </c>
      <c r="H52" s="21">
        <v>0.3263888888888889</v>
      </c>
      <c r="I52" s="87">
        <v>7511.94</v>
      </c>
      <c r="J52" s="23"/>
      <c r="K52" s="45"/>
      <c r="L52" s="167"/>
      <c r="M52" s="25">
        <f t="shared" si="11"/>
        <v>46159.58333</v>
      </c>
      <c r="N52" s="25">
        <f t="shared" si="12"/>
        <v>46162.32639</v>
      </c>
      <c r="O52" s="60">
        <f t="shared" si="13"/>
        <v>2.743055556</v>
      </c>
      <c r="P52" s="127">
        <f t="shared" si="14"/>
        <v>65.83333333</v>
      </c>
      <c r="Q52" s="12">
        <v>4.0</v>
      </c>
      <c r="R52" s="2"/>
    </row>
    <row r="53" ht="15.75" customHeight="1">
      <c r="A53" s="115"/>
      <c r="B53" s="126"/>
      <c r="C53" s="30"/>
      <c r="D53" s="19"/>
      <c r="E53" s="20"/>
      <c r="F53" s="21"/>
      <c r="G53" s="20"/>
      <c r="H53" s="21"/>
      <c r="I53" s="22"/>
      <c r="J53" s="23"/>
      <c r="K53" s="45"/>
      <c r="L53" s="167"/>
      <c r="M53" s="46"/>
      <c r="N53" s="46"/>
      <c r="O53" s="61"/>
      <c r="P53" s="128"/>
      <c r="Q53" s="12"/>
      <c r="R53" s="2"/>
    </row>
    <row r="54" ht="15.75" customHeight="1">
      <c r="A54" s="115"/>
      <c r="B54" s="126"/>
      <c r="C54" s="30"/>
      <c r="D54" s="19"/>
      <c r="E54" s="20"/>
      <c r="F54" s="21"/>
      <c r="G54" s="20"/>
      <c r="H54" s="21"/>
      <c r="I54" s="22"/>
      <c r="J54" s="23"/>
      <c r="K54" s="45"/>
      <c r="L54" s="50"/>
      <c r="M54" s="46"/>
      <c r="N54" s="46"/>
      <c r="O54" s="61"/>
      <c r="P54" s="128"/>
      <c r="Q54" s="12"/>
      <c r="R54" s="2"/>
    </row>
    <row r="55" ht="15.75" customHeight="1">
      <c r="A55" s="115"/>
      <c r="B55" s="126"/>
      <c r="C55" s="30"/>
      <c r="D55" s="19"/>
      <c r="E55" s="20"/>
      <c r="F55" s="21"/>
      <c r="G55" s="20"/>
      <c r="H55" s="21"/>
      <c r="I55" s="22"/>
      <c r="J55" s="29"/>
      <c r="K55" s="45"/>
      <c r="L55" s="50"/>
      <c r="M55" s="46"/>
      <c r="N55" s="46"/>
      <c r="O55" s="61"/>
      <c r="P55" s="128"/>
      <c r="Q55" s="12"/>
      <c r="R55" s="2"/>
    </row>
    <row r="56" ht="15.75" customHeight="1">
      <c r="A56" s="115"/>
      <c r="B56" s="126"/>
      <c r="C56" s="67"/>
      <c r="D56" s="108"/>
      <c r="E56" s="104"/>
      <c r="F56" s="72"/>
      <c r="G56" s="104"/>
      <c r="H56" s="72"/>
      <c r="I56" s="109"/>
      <c r="J56" s="111"/>
      <c r="K56" s="45"/>
      <c r="L56" s="50"/>
      <c r="M56" s="46"/>
      <c r="N56" s="46"/>
      <c r="O56" s="61"/>
      <c r="P56" s="128"/>
      <c r="Q56" s="12"/>
      <c r="R56" s="2"/>
    </row>
    <row r="57" ht="15.75" customHeight="1">
      <c r="A57" s="115"/>
      <c r="B57" s="133"/>
      <c r="C57" s="30"/>
      <c r="D57" s="19"/>
      <c r="E57" s="20"/>
      <c r="F57" s="21"/>
      <c r="G57" s="20"/>
      <c r="H57" s="21"/>
      <c r="I57" s="22"/>
      <c r="J57" s="29"/>
      <c r="K57" s="45"/>
      <c r="L57" s="50"/>
      <c r="M57" s="46"/>
      <c r="N57" s="46"/>
      <c r="O57" s="61"/>
      <c r="P57" s="128"/>
      <c r="Q57" s="12"/>
      <c r="R57" s="2"/>
    </row>
    <row r="58" ht="18.0" customHeight="1">
      <c r="A58" s="115"/>
      <c r="B58" s="134"/>
      <c r="C58" s="30"/>
      <c r="D58" s="19"/>
      <c r="E58" s="20"/>
      <c r="F58" s="21"/>
      <c r="G58" s="20"/>
      <c r="H58" s="21"/>
      <c r="I58" s="22"/>
      <c r="J58" s="29"/>
      <c r="K58" s="45"/>
      <c r="L58" s="21"/>
      <c r="M58" s="46"/>
      <c r="N58" s="46"/>
      <c r="O58" s="61"/>
      <c r="P58" s="128"/>
      <c r="Q58" s="12"/>
      <c r="R58" s="2"/>
    </row>
    <row r="59" ht="18.75" customHeight="1">
      <c r="A59" s="135"/>
      <c r="B59" s="134"/>
      <c r="C59" s="102"/>
      <c r="D59" s="108"/>
      <c r="E59" s="104"/>
      <c r="F59" s="72"/>
      <c r="G59" s="104"/>
      <c r="H59" s="72"/>
      <c r="I59" s="109"/>
      <c r="J59" s="136"/>
      <c r="K59" s="137"/>
      <c r="L59" s="69"/>
      <c r="M59" s="70"/>
      <c r="N59" s="70"/>
      <c r="O59" s="110"/>
      <c r="P59" s="138"/>
      <c r="Q59" s="12"/>
      <c r="R59" s="2"/>
    </row>
    <row r="60" ht="15.75" customHeight="1">
      <c r="A60" s="139"/>
      <c r="B60" s="140"/>
      <c r="C60" s="141"/>
      <c r="D60" s="34"/>
      <c r="E60" s="35"/>
      <c r="F60" s="36"/>
      <c r="G60" s="35"/>
      <c r="H60" s="36"/>
      <c r="I60" s="131">
        <f>SUM(I42:I59)</f>
        <v>84865.157</v>
      </c>
      <c r="J60" s="142">
        <f>SUM(J42:J57)</f>
        <v>0</v>
      </c>
      <c r="K60" s="64">
        <f>+(P60)/(31*24)</f>
        <v>1.468033154</v>
      </c>
      <c r="L60" s="40"/>
      <c r="M60" s="41"/>
      <c r="N60" s="41"/>
      <c r="O60" s="41"/>
      <c r="P60" s="42">
        <f>SUM(P42:P57)</f>
        <v>1092.216667</v>
      </c>
      <c r="Q60" s="12"/>
      <c r="R60" s="2"/>
    </row>
    <row r="61" ht="15.75" customHeight="1">
      <c r="A61" s="65"/>
      <c r="B61" s="66"/>
      <c r="C61" s="67"/>
      <c r="D61" s="12"/>
      <c r="E61" s="13"/>
      <c r="F61" s="14"/>
      <c r="G61" s="13"/>
      <c r="H61" s="14"/>
      <c r="I61" s="55"/>
      <c r="J61" s="56"/>
      <c r="K61" s="68"/>
      <c r="L61" s="69"/>
      <c r="M61" s="70"/>
      <c r="N61" s="70"/>
      <c r="O61" s="70"/>
      <c r="P61" s="71"/>
      <c r="Q61" s="12"/>
      <c r="R61" s="2"/>
    </row>
    <row r="62" ht="15.75" customHeight="1">
      <c r="A62" s="115">
        <v>1.0</v>
      </c>
      <c r="B62" s="116" t="s">
        <v>62</v>
      </c>
      <c r="C62" s="52" t="s">
        <v>541</v>
      </c>
      <c r="D62" s="19" t="s">
        <v>33</v>
      </c>
      <c r="E62" s="20">
        <v>46134.0</v>
      </c>
      <c r="F62" s="21">
        <v>0.3819444444444444</v>
      </c>
      <c r="G62" s="20">
        <v>46137.0</v>
      </c>
      <c r="H62" s="21">
        <v>0.6909722222222222</v>
      </c>
      <c r="I62" s="22">
        <v>7376.32</v>
      </c>
      <c r="J62" s="23"/>
      <c r="K62" s="123"/>
      <c r="L62" s="120"/>
      <c r="M62" s="124">
        <f t="shared" ref="M62:M71" si="15">INT(E62)+MOD(F62,1)</f>
        <v>46134.38194</v>
      </c>
      <c r="N62" s="124">
        <f t="shared" ref="N62:N71" si="16">INT(G62)+MOD(H62,1)</f>
        <v>46137.69097</v>
      </c>
      <c r="O62" s="124">
        <f t="shared" ref="O62:O71" si="17">N62-M62</f>
        <v>3.309027778</v>
      </c>
      <c r="P62" s="125">
        <f t="shared" ref="P62:P71" si="18">O62*24</f>
        <v>79.41666667</v>
      </c>
      <c r="Q62" s="12">
        <v>5.0</v>
      </c>
      <c r="R62" s="2"/>
    </row>
    <row r="63" ht="15.75" customHeight="1">
      <c r="A63" s="115">
        <v>2.0</v>
      </c>
      <c r="B63" s="126"/>
      <c r="C63" s="52" t="s">
        <v>124</v>
      </c>
      <c r="D63" s="19" t="s">
        <v>33</v>
      </c>
      <c r="E63" s="20">
        <v>46137.0</v>
      </c>
      <c r="F63" s="21">
        <v>0.40277777777777773</v>
      </c>
      <c r="G63" s="20">
        <v>46139.0</v>
      </c>
      <c r="H63" s="21">
        <v>0.5</v>
      </c>
      <c r="I63" s="22">
        <v>7368.32</v>
      </c>
      <c r="J63" s="23"/>
      <c r="K63" s="45"/>
      <c r="L63" s="21"/>
      <c r="M63" s="25">
        <f t="shared" si="15"/>
        <v>46137.40278</v>
      </c>
      <c r="N63" s="25">
        <f t="shared" si="16"/>
        <v>46139.5</v>
      </c>
      <c r="O63" s="25">
        <f t="shared" si="17"/>
        <v>2.097222222</v>
      </c>
      <c r="P63" s="127">
        <f t="shared" si="18"/>
        <v>50.33333333</v>
      </c>
      <c r="Q63" s="12">
        <v>5.0</v>
      </c>
      <c r="R63" s="2"/>
    </row>
    <row r="64" ht="15.75" customHeight="1">
      <c r="A64" s="115">
        <v>3.0</v>
      </c>
      <c r="B64" s="126"/>
      <c r="C64" s="52" t="s">
        <v>56</v>
      </c>
      <c r="D64" s="19" t="s">
        <v>33</v>
      </c>
      <c r="E64" s="20">
        <v>46137.0</v>
      </c>
      <c r="F64" s="21">
        <v>0.7291666666666666</v>
      </c>
      <c r="G64" s="20">
        <v>46141.0</v>
      </c>
      <c r="H64" s="21">
        <v>0.5208333333333334</v>
      </c>
      <c r="I64" s="22">
        <v>7381.48</v>
      </c>
      <c r="J64" s="156"/>
      <c r="K64" s="45"/>
      <c r="L64" s="21"/>
      <c r="M64" s="25">
        <f t="shared" si="15"/>
        <v>46137.72917</v>
      </c>
      <c r="N64" s="25">
        <f t="shared" si="16"/>
        <v>46141.52083</v>
      </c>
      <c r="O64" s="25">
        <f t="shared" si="17"/>
        <v>3.791666667</v>
      </c>
      <c r="P64" s="127">
        <f t="shared" si="18"/>
        <v>91</v>
      </c>
      <c r="Q64" s="12">
        <v>5.0</v>
      </c>
      <c r="R64" s="2"/>
    </row>
    <row r="65" ht="15.75" customHeight="1">
      <c r="A65" s="115">
        <v>4.0</v>
      </c>
      <c r="B65" s="126"/>
      <c r="C65" s="52" t="s">
        <v>542</v>
      </c>
      <c r="D65" s="19" t="s">
        <v>33</v>
      </c>
      <c r="E65" s="20">
        <v>46139.0</v>
      </c>
      <c r="F65" s="21">
        <v>0.7152777777777778</v>
      </c>
      <c r="G65" s="20">
        <v>46144.0</v>
      </c>
      <c r="H65" s="21">
        <v>0.3576388888888889</v>
      </c>
      <c r="I65" s="22">
        <v>7038.06</v>
      </c>
      <c r="J65" s="23"/>
      <c r="K65" s="45"/>
      <c r="L65" s="21"/>
      <c r="M65" s="25">
        <f t="shared" si="15"/>
        <v>46139.71528</v>
      </c>
      <c r="N65" s="25">
        <f t="shared" si="16"/>
        <v>46144.35764</v>
      </c>
      <c r="O65" s="25">
        <f t="shared" si="17"/>
        <v>4.642361111</v>
      </c>
      <c r="P65" s="127">
        <f t="shared" si="18"/>
        <v>111.4166667</v>
      </c>
      <c r="Q65" s="12">
        <v>5.0</v>
      </c>
      <c r="R65" s="2"/>
    </row>
    <row r="66" ht="15.75" customHeight="1">
      <c r="A66" s="115">
        <v>5.0</v>
      </c>
      <c r="B66" s="126"/>
      <c r="C66" s="52" t="s">
        <v>396</v>
      </c>
      <c r="D66" s="19" t="s">
        <v>33</v>
      </c>
      <c r="E66" s="20">
        <v>46141.0</v>
      </c>
      <c r="F66" s="21">
        <v>0.6180555555555556</v>
      </c>
      <c r="G66" s="20">
        <v>46144.0</v>
      </c>
      <c r="H66" s="21">
        <v>0.3888888888888889</v>
      </c>
      <c r="I66" s="22">
        <v>7464.3</v>
      </c>
      <c r="J66" s="23"/>
      <c r="K66" s="45"/>
      <c r="L66" s="21"/>
      <c r="M66" s="25">
        <f t="shared" si="15"/>
        <v>46141.61806</v>
      </c>
      <c r="N66" s="25">
        <f t="shared" si="16"/>
        <v>46144.38889</v>
      </c>
      <c r="O66" s="25">
        <f t="shared" si="17"/>
        <v>2.770833333</v>
      </c>
      <c r="P66" s="127">
        <f t="shared" si="18"/>
        <v>66.5</v>
      </c>
      <c r="Q66" s="12">
        <v>5.0</v>
      </c>
      <c r="R66" s="2"/>
    </row>
    <row r="67" ht="15.75" customHeight="1">
      <c r="A67" s="115">
        <v>6.0</v>
      </c>
      <c r="B67" s="126"/>
      <c r="C67" s="52" t="s">
        <v>216</v>
      </c>
      <c r="D67" s="19" t="s">
        <v>33</v>
      </c>
      <c r="E67" s="20">
        <v>46144.0</v>
      </c>
      <c r="F67" s="21">
        <v>0.5388888888888889</v>
      </c>
      <c r="G67" s="20">
        <v>46147.0</v>
      </c>
      <c r="H67" s="21">
        <v>0.625</v>
      </c>
      <c r="I67" s="22">
        <v>8216.72</v>
      </c>
      <c r="J67" s="23"/>
      <c r="K67" s="45"/>
      <c r="L67" s="21"/>
      <c r="M67" s="25">
        <f t="shared" si="15"/>
        <v>46144.53889</v>
      </c>
      <c r="N67" s="25">
        <f t="shared" si="16"/>
        <v>46147.625</v>
      </c>
      <c r="O67" s="25">
        <f t="shared" si="17"/>
        <v>3.086111111</v>
      </c>
      <c r="P67" s="127">
        <f t="shared" si="18"/>
        <v>74.06666667</v>
      </c>
      <c r="Q67" s="12">
        <v>5.0</v>
      </c>
      <c r="R67" s="2"/>
    </row>
    <row r="68" ht="15.75" customHeight="1">
      <c r="A68" s="115"/>
      <c r="B68" s="126"/>
      <c r="C68" s="52" t="s">
        <v>543</v>
      </c>
      <c r="D68" s="19" t="s">
        <v>33</v>
      </c>
      <c r="E68" s="20">
        <v>46147.0</v>
      </c>
      <c r="F68" s="21">
        <v>0.3611111111111111</v>
      </c>
      <c r="G68" s="20">
        <v>46150.0</v>
      </c>
      <c r="H68" s="21">
        <v>0.6493055555555556</v>
      </c>
      <c r="I68" s="22">
        <v>10408.82</v>
      </c>
      <c r="J68" s="23"/>
      <c r="K68" s="45"/>
      <c r="L68" s="21"/>
      <c r="M68" s="25">
        <f t="shared" si="15"/>
        <v>46147.36111</v>
      </c>
      <c r="N68" s="25">
        <f t="shared" si="16"/>
        <v>46150.64931</v>
      </c>
      <c r="O68" s="25">
        <f t="shared" si="17"/>
        <v>3.288194444</v>
      </c>
      <c r="P68" s="127">
        <f t="shared" si="18"/>
        <v>78.91666667</v>
      </c>
      <c r="Q68" s="12">
        <v>5.0</v>
      </c>
      <c r="R68" s="2"/>
    </row>
    <row r="69" ht="15.75" customHeight="1">
      <c r="A69" s="115"/>
      <c r="B69" s="126"/>
      <c r="C69" s="52" t="s">
        <v>544</v>
      </c>
      <c r="D69" s="19" t="s">
        <v>33</v>
      </c>
      <c r="E69" s="20">
        <v>46150.0</v>
      </c>
      <c r="F69" s="21">
        <v>0.6875</v>
      </c>
      <c r="G69" s="20">
        <v>46154.0</v>
      </c>
      <c r="H69" s="21">
        <v>0.4479166666666667</v>
      </c>
      <c r="I69" s="22">
        <v>10165.54</v>
      </c>
      <c r="J69" s="23"/>
      <c r="K69" s="45"/>
      <c r="L69" s="21"/>
      <c r="M69" s="25">
        <f t="shared" si="15"/>
        <v>46150.6875</v>
      </c>
      <c r="N69" s="25">
        <f t="shared" si="16"/>
        <v>46154.44792</v>
      </c>
      <c r="O69" s="25">
        <f t="shared" si="17"/>
        <v>3.760416667</v>
      </c>
      <c r="P69" s="127">
        <f t="shared" si="18"/>
        <v>90.25</v>
      </c>
      <c r="Q69" s="12">
        <v>5.0</v>
      </c>
      <c r="R69" s="2"/>
    </row>
    <row r="70" ht="15.75" customHeight="1">
      <c r="A70" s="115"/>
      <c r="B70" s="126"/>
      <c r="C70" s="52" t="s">
        <v>166</v>
      </c>
      <c r="D70" s="19" t="s">
        <v>33</v>
      </c>
      <c r="E70" s="20">
        <v>46154.0</v>
      </c>
      <c r="F70" s="21">
        <v>0.6458333333333334</v>
      </c>
      <c r="G70" s="20">
        <v>46158.0</v>
      </c>
      <c r="H70" s="21">
        <v>0.4701388888888889</v>
      </c>
      <c r="I70" s="22">
        <v>7384.62</v>
      </c>
      <c r="J70" s="23"/>
      <c r="K70" s="45"/>
      <c r="L70" s="21"/>
      <c r="M70" s="25">
        <f t="shared" si="15"/>
        <v>46154.64583</v>
      </c>
      <c r="N70" s="25">
        <f t="shared" si="16"/>
        <v>46158.47014</v>
      </c>
      <c r="O70" s="25">
        <f t="shared" si="17"/>
        <v>3.824305556</v>
      </c>
      <c r="P70" s="127">
        <f t="shared" si="18"/>
        <v>91.78333333</v>
      </c>
      <c r="Q70" s="12">
        <v>5.0</v>
      </c>
      <c r="R70" s="2"/>
    </row>
    <row r="71" ht="15.75" customHeight="1">
      <c r="A71" s="115"/>
      <c r="B71" s="126"/>
      <c r="C71" s="30"/>
      <c r="D71" s="19"/>
      <c r="E71" s="20"/>
      <c r="F71" s="21"/>
      <c r="G71" s="20"/>
      <c r="H71" s="21"/>
      <c r="I71" s="22"/>
      <c r="J71" s="23"/>
      <c r="K71" s="45"/>
      <c r="L71" s="21"/>
      <c r="M71" s="25">
        <f t="shared" si="15"/>
        <v>0</v>
      </c>
      <c r="N71" s="25">
        <f t="shared" si="16"/>
        <v>0</v>
      </c>
      <c r="O71" s="25">
        <f t="shared" si="17"/>
        <v>0</v>
      </c>
      <c r="P71" s="127">
        <f t="shared" si="18"/>
        <v>0</v>
      </c>
      <c r="Q71" s="12"/>
      <c r="R71" s="2"/>
    </row>
    <row r="72" ht="15.75" customHeight="1">
      <c r="A72" s="115"/>
      <c r="B72" s="126"/>
      <c r="C72" s="30"/>
      <c r="D72" s="19"/>
      <c r="E72" s="20"/>
      <c r="F72" s="21"/>
      <c r="G72" s="20"/>
      <c r="H72" s="21"/>
      <c r="I72" s="22"/>
      <c r="J72" s="23"/>
      <c r="K72" s="45"/>
      <c r="L72" s="50"/>
      <c r="M72" s="46"/>
      <c r="N72" s="46"/>
      <c r="O72" s="46"/>
      <c r="P72" s="128"/>
      <c r="Q72" s="12"/>
      <c r="R72" s="2"/>
    </row>
    <row r="73" ht="15.75" customHeight="1">
      <c r="A73" s="115"/>
      <c r="B73" s="126"/>
      <c r="C73" s="30"/>
      <c r="D73" s="19"/>
      <c r="E73" s="20"/>
      <c r="F73" s="21"/>
      <c r="G73" s="20"/>
      <c r="H73" s="21"/>
      <c r="I73" s="22"/>
      <c r="J73" s="29"/>
      <c r="K73" s="137"/>
      <c r="L73" s="50"/>
      <c r="M73" s="46"/>
      <c r="N73" s="46"/>
      <c r="O73" s="46"/>
      <c r="P73" s="128"/>
      <c r="Q73" s="12"/>
      <c r="R73" s="2"/>
    </row>
    <row r="74" ht="15.75" customHeight="1">
      <c r="A74" s="115"/>
      <c r="B74" s="126"/>
      <c r="C74" s="30"/>
      <c r="D74" s="19"/>
      <c r="E74" s="20"/>
      <c r="F74" s="21"/>
      <c r="G74" s="20"/>
      <c r="H74" s="21"/>
      <c r="I74" s="22"/>
      <c r="J74" s="23"/>
      <c r="K74" s="45"/>
      <c r="L74" s="50"/>
      <c r="M74" s="46"/>
      <c r="N74" s="46"/>
      <c r="O74" s="46"/>
      <c r="P74" s="128"/>
      <c r="Q74" s="12"/>
      <c r="R74" s="2"/>
    </row>
    <row r="75" ht="15.75" customHeight="1">
      <c r="A75" s="129"/>
      <c r="B75" s="130"/>
      <c r="C75" s="141"/>
      <c r="D75" s="34"/>
      <c r="E75" s="35"/>
      <c r="F75" s="36"/>
      <c r="G75" s="35"/>
      <c r="H75" s="36"/>
      <c r="I75" s="131">
        <f t="shared" ref="I75:J75" si="19">SUM(I62:I74)</f>
        <v>72804.18</v>
      </c>
      <c r="J75" s="86">
        <f t="shared" si="19"/>
        <v>0</v>
      </c>
      <c r="K75" s="39">
        <f>+(P75)/(31*24)</f>
        <v>0.9861335125</v>
      </c>
      <c r="L75" s="40"/>
      <c r="M75" s="41"/>
      <c r="N75" s="41"/>
      <c r="O75" s="41"/>
      <c r="P75" s="42">
        <f>SUM(P62:P74)</f>
        <v>733.6833333</v>
      </c>
      <c r="Q75" s="12"/>
      <c r="R75" s="2"/>
    </row>
    <row r="76" ht="15.75" customHeight="1">
      <c r="A76" s="1"/>
      <c r="B76" s="12"/>
      <c r="C76" s="67"/>
      <c r="D76" s="12"/>
      <c r="E76" s="13"/>
      <c r="F76" s="14"/>
      <c r="G76" s="13"/>
      <c r="H76" s="14"/>
      <c r="I76" s="55"/>
      <c r="J76" s="56"/>
      <c r="K76" s="16"/>
      <c r="L76" s="14"/>
      <c r="M76" s="2"/>
      <c r="N76" s="2"/>
      <c r="O76" s="2"/>
      <c r="P76" s="2"/>
      <c r="Q76" s="12"/>
      <c r="R76" s="2"/>
    </row>
    <row r="77" ht="15.75" customHeight="1">
      <c r="A77" s="1"/>
      <c r="B77" s="12"/>
      <c r="C77" s="67"/>
      <c r="D77" s="12"/>
      <c r="E77" s="13"/>
      <c r="F77" s="14"/>
      <c r="G77" s="13"/>
      <c r="H77" s="14"/>
      <c r="I77" s="55"/>
      <c r="J77" s="56"/>
      <c r="K77" s="16"/>
      <c r="L77" s="14"/>
      <c r="M77" s="2"/>
      <c r="N77" s="2"/>
      <c r="O77" s="2"/>
      <c r="P77" s="2"/>
      <c r="Q77" s="2"/>
      <c r="R77" s="2"/>
    </row>
    <row r="78" ht="15.75" customHeight="1">
      <c r="A78" s="1"/>
      <c r="B78" s="12"/>
      <c r="C78" s="67"/>
      <c r="D78" s="12"/>
      <c r="E78" s="13"/>
      <c r="F78" s="14"/>
      <c r="G78" s="13"/>
      <c r="H78" s="14"/>
      <c r="I78" s="55"/>
      <c r="J78" s="56"/>
      <c r="K78" s="16"/>
      <c r="L78" s="14"/>
      <c r="M78" s="2"/>
      <c r="N78" s="2"/>
      <c r="O78" s="2"/>
      <c r="P78" s="2"/>
      <c r="Q78" s="2"/>
      <c r="R78" s="2"/>
    </row>
    <row r="79" ht="15.75" customHeight="1">
      <c r="A79" s="1"/>
      <c r="B79" s="12"/>
      <c r="C79" s="67"/>
      <c r="D79" s="12"/>
      <c r="E79" s="13"/>
      <c r="F79" s="14"/>
      <c r="G79" s="13"/>
      <c r="H79" s="14"/>
      <c r="I79" s="55"/>
      <c r="J79" s="56"/>
      <c r="K79" s="16"/>
      <c r="L79" s="14"/>
      <c r="M79" s="2"/>
      <c r="N79" s="2"/>
      <c r="O79" s="2"/>
      <c r="P79" s="2"/>
      <c r="Q79" s="2"/>
      <c r="R79" s="2"/>
    </row>
    <row r="80" ht="15.75" customHeight="1">
      <c r="A80" s="115">
        <v>1.0</v>
      </c>
      <c r="B80" s="116" t="s">
        <v>69</v>
      </c>
      <c r="C80" s="52" t="s">
        <v>528</v>
      </c>
      <c r="D80" s="19" t="s">
        <v>148</v>
      </c>
      <c r="E80" s="20">
        <v>46135.0</v>
      </c>
      <c r="F80" s="21">
        <v>0.09722222222222222</v>
      </c>
      <c r="G80" s="20">
        <v>46139.0</v>
      </c>
      <c r="H80" s="21">
        <v>0.25</v>
      </c>
      <c r="I80" s="22">
        <v>30025.86</v>
      </c>
      <c r="J80" s="23"/>
      <c r="K80" s="88"/>
      <c r="L80" s="146"/>
      <c r="M80" s="124">
        <f t="shared" ref="M80:M86" si="20">INT(E80)+MOD(F80,1)</f>
        <v>46135.09722</v>
      </c>
      <c r="N80" s="124">
        <f t="shared" ref="N80:N86" si="21">INT(G80)+MOD(H80,1)</f>
        <v>46139.25</v>
      </c>
      <c r="O80" s="124">
        <f t="shared" ref="O80:O86" si="22">N80-M80</f>
        <v>4.152777778</v>
      </c>
      <c r="P80" s="125">
        <f t="shared" ref="P80:P86" si="23">O80*24</f>
        <v>99.66666667</v>
      </c>
      <c r="Q80" s="12">
        <v>6.0</v>
      </c>
      <c r="R80" s="12"/>
    </row>
    <row r="81" ht="15.75" customHeight="1">
      <c r="A81" s="115">
        <v>2.0</v>
      </c>
      <c r="B81" s="126"/>
      <c r="C81" s="52" t="s">
        <v>545</v>
      </c>
      <c r="D81" s="19" t="s">
        <v>74</v>
      </c>
      <c r="E81" s="20">
        <v>46139.0</v>
      </c>
      <c r="F81" s="21">
        <v>0.44166666666666665</v>
      </c>
      <c r="G81" s="20">
        <v>46144.0</v>
      </c>
      <c r="H81" s="21">
        <v>0.9368055555555556</v>
      </c>
      <c r="I81" s="22">
        <v>57146.88</v>
      </c>
      <c r="J81" s="23"/>
      <c r="K81" s="88"/>
      <c r="L81" s="46"/>
      <c r="M81" s="25">
        <f t="shared" si="20"/>
        <v>46139.44167</v>
      </c>
      <c r="N81" s="25">
        <f t="shared" si="21"/>
        <v>46144.93681</v>
      </c>
      <c r="O81" s="25">
        <f t="shared" si="22"/>
        <v>5.495138889</v>
      </c>
      <c r="P81" s="127">
        <f t="shared" si="23"/>
        <v>131.8833333</v>
      </c>
      <c r="Q81" s="12">
        <v>6.0</v>
      </c>
      <c r="R81" s="12"/>
    </row>
    <row r="82" ht="15.75" customHeight="1">
      <c r="A82" s="115">
        <v>3.0</v>
      </c>
      <c r="B82" s="126"/>
      <c r="C82" s="52" t="s">
        <v>546</v>
      </c>
      <c r="D82" s="19" t="s">
        <v>148</v>
      </c>
      <c r="E82" s="20">
        <v>46145.0</v>
      </c>
      <c r="F82" s="21">
        <v>0.020833333333333332</v>
      </c>
      <c r="G82" s="20">
        <v>46147.0</v>
      </c>
      <c r="H82" s="21">
        <v>0.6631944444444444</v>
      </c>
      <c r="I82" s="22">
        <v>14485.54</v>
      </c>
      <c r="J82" s="23"/>
      <c r="K82" s="88"/>
      <c r="L82" s="46"/>
      <c r="M82" s="25">
        <f t="shared" si="20"/>
        <v>46145.02083</v>
      </c>
      <c r="N82" s="25">
        <f t="shared" si="21"/>
        <v>46147.66319</v>
      </c>
      <c r="O82" s="25">
        <f t="shared" si="22"/>
        <v>2.642361111</v>
      </c>
      <c r="P82" s="127">
        <f t="shared" si="23"/>
        <v>63.41666667</v>
      </c>
      <c r="Q82" s="12">
        <v>6.0</v>
      </c>
      <c r="R82" s="12"/>
    </row>
    <row r="83" ht="15.75" customHeight="1">
      <c r="A83" s="115">
        <v>4.0</v>
      </c>
      <c r="B83" s="126"/>
      <c r="C83" s="30" t="s">
        <v>302</v>
      </c>
      <c r="D83" s="19" t="s">
        <v>148</v>
      </c>
      <c r="E83" s="20">
        <v>46159.0</v>
      </c>
      <c r="F83" s="21">
        <v>0.4041666666666666</v>
      </c>
      <c r="G83" s="20">
        <v>46160.0</v>
      </c>
      <c r="H83" s="21">
        <v>0.7569444444444445</v>
      </c>
      <c r="I83" s="87">
        <v>10061.68</v>
      </c>
      <c r="J83" s="23"/>
      <c r="K83" s="88"/>
      <c r="L83" s="46"/>
      <c r="M83" s="25">
        <f t="shared" si="20"/>
        <v>46159.40417</v>
      </c>
      <c r="N83" s="25">
        <f t="shared" si="21"/>
        <v>46160.75694</v>
      </c>
      <c r="O83" s="25">
        <f t="shared" si="22"/>
        <v>1.352777778</v>
      </c>
      <c r="P83" s="127">
        <f t="shared" si="23"/>
        <v>32.46666667</v>
      </c>
      <c r="Q83" s="12">
        <v>6.0</v>
      </c>
      <c r="R83" s="12"/>
    </row>
    <row r="84" ht="15.75" customHeight="1">
      <c r="A84" s="115"/>
      <c r="B84" s="126"/>
      <c r="C84" s="30"/>
      <c r="D84" s="19"/>
      <c r="E84" s="20"/>
      <c r="F84" s="21"/>
      <c r="G84" s="20"/>
      <c r="H84" s="21"/>
      <c r="I84" s="22"/>
      <c r="J84" s="23"/>
      <c r="K84" s="88"/>
      <c r="L84" s="46"/>
      <c r="M84" s="25">
        <f t="shared" si="20"/>
        <v>0</v>
      </c>
      <c r="N84" s="25">
        <f t="shared" si="21"/>
        <v>0</v>
      </c>
      <c r="O84" s="25">
        <f t="shared" si="22"/>
        <v>0</v>
      </c>
      <c r="P84" s="127">
        <f t="shared" si="23"/>
        <v>0</v>
      </c>
      <c r="Q84" s="12"/>
      <c r="R84" s="12"/>
    </row>
    <row r="85" ht="15.75" customHeight="1">
      <c r="A85" s="115"/>
      <c r="B85" s="126"/>
      <c r="C85" s="30"/>
      <c r="D85" s="19"/>
      <c r="E85" s="20"/>
      <c r="F85" s="21"/>
      <c r="G85" s="20"/>
      <c r="H85" s="21"/>
      <c r="I85" s="22"/>
      <c r="J85" s="23"/>
      <c r="K85" s="88"/>
      <c r="L85" s="46"/>
      <c r="M85" s="25">
        <f t="shared" si="20"/>
        <v>0</v>
      </c>
      <c r="N85" s="25">
        <f t="shared" si="21"/>
        <v>0</v>
      </c>
      <c r="O85" s="25">
        <f t="shared" si="22"/>
        <v>0</v>
      </c>
      <c r="P85" s="127">
        <f t="shared" si="23"/>
        <v>0</v>
      </c>
      <c r="Q85" s="12"/>
      <c r="R85" s="12"/>
    </row>
    <row r="86" ht="15.75" customHeight="1">
      <c r="A86" s="115"/>
      <c r="B86" s="126"/>
      <c r="C86" s="30"/>
      <c r="D86" s="19"/>
      <c r="E86" s="20"/>
      <c r="F86" s="21"/>
      <c r="G86" s="20"/>
      <c r="H86" s="21"/>
      <c r="I86" s="22"/>
      <c r="J86" s="74"/>
      <c r="K86" s="88"/>
      <c r="L86" s="46"/>
      <c r="M86" s="25">
        <f t="shared" si="20"/>
        <v>0</v>
      </c>
      <c r="N86" s="25">
        <f t="shared" si="21"/>
        <v>0</v>
      </c>
      <c r="O86" s="25">
        <f t="shared" si="22"/>
        <v>0</v>
      </c>
      <c r="P86" s="127">
        <f t="shared" si="23"/>
        <v>0</v>
      </c>
      <c r="Q86" s="12"/>
      <c r="R86" s="12"/>
    </row>
    <row r="87" ht="15.75" customHeight="1">
      <c r="A87" s="115"/>
      <c r="B87" s="126"/>
      <c r="C87" s="30"/>
      <c r="D87" s="19"/>
      <c r="E87" s="20"/>
      <c r="F87" s="21"/>
      <c r="G87" s="20"/>
      <c r="H87" s="21"/>
      <c r="I87" s="22"/>
      <c r="J87" s="74"/>
      <c r="K87" s="88"/>
      <c r="L87" s="82"/>
      <c r="M87" s="46"/>
      <c r="N87" s="46"/>
      <c r="O87" s="46"/>
      <c r="P87" s="128"/>
      <c r="Q87" s="12"/>
      <c r="R87" s="12"/>
    </row>
    <row r="88" ht="15.75" customHeight="1">
      <c r="A88" s="115"/>
      <c r="B88" s="133"/>
      <c r="C88" s="30"/>
      <c r="D88" s="19"/>
      <c r="E88" s="20"/>
      <c r="F88" s="21"/>
      <c r="G88" s="20"/>
      <c r="H88" s="21"/>
      <c r="I88" s="22"/>
      <c r="J88" s="74"/>
      <c r="K88" s="45"/>
      <c r="L88" s="50"/>
      <c r="M88" s="46"/>
      <c r="N88" s="46"/>
      <c r="O88" s="46"/>
      <c r="P88" s="128"/>
      <c r="Q88" s="12"/>
      <c r="R88" s="12"/>
    </row>
    <row r="89" ht="15.75" customHeight="1">
      <c r="A89" s="147"/>
      <c r="B89" s="148"/>
      <c r="C89" s="91"/>
      <c r="D89" s="91"/>
      <c r="E89" s="91"/>
      <c r="F89" s="91"/>
      <c r="G89" s="91"/>
      <c r="H89" s="91"/>
      <c r="I89" s="92">
        <f t="shared" ref="I89:J89" si="24">SUM(I80:I88)</f>
        <v>111719.96</v>
      </c>
      <c r="J89" s="157">
        <f t="shared" si="24"/>
        <v>0</v>
      </c>
      <c r="K89" s="64">
        <f>+(P89)/(31*24)</f>
        <v>0.4400985663</v>
      </c>
      <c r="L89" s="41"/>
      <c r="M89" s="41"/>
      <c r="N89" s="41"/>
      <c r="O89" s="41"/>
      <c r="P89" s="42">
        <f>SUM(P80:P88)</f>
        <v>327.4333333</v>
      </c>
      <c r="Q89" s="12"/>
      <c r="R89" s="1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12"/>
      <c r="R90" s="1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94"/>
      <c r="J91" s="95"/>
      <c r="K91" s="3"/>
      <c r="L91" s="2"/>
      <c r="M91" s="2"/>
      <c r="N91" s="2"/>
      <c r="O91" s="2"/>
      <c r="P91" s="2"/>
      <c r="Q91" s="1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12"/>
      <c r="R92" s="2"/>
    </row>
    <row r="93" ht="15.75" customHeight="1">
      <c r="A93" s="96" t="s">
        <v>80</v>
      </c>
      <c r="B93" s="96"/>
      <c r="C93" s="96" t="s">
        <v>81</v>
      </c>
      <c r="D93" s="96" t="s">
        <v>82</v>
      </c>
      <c r="E93" s="96" t="s">
        <v>18</v>
      </c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12"/>
      <c r="R93" s="2"/>
    </row>
    <row r="94" ht="15.75" customHeight="1">
      <c r="A94" s="96" t="s">
        <v>83</v>
      </c>
      <c r="B94" s="96"/>
      <c r="C94" s="96"/>
      <c r="D94" s="96" t="s">
        <v>84</v>
      </c>
      <c r="E94" s="96" t="s">
        <v>31</v>
      </c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96"/>
      <c r="B95" s="96"/>
      <c r="C95" s="96"/>
      <c r="D95" s="96" t="s">
        <v>85</v>
      </c>
      <c r="E95" s="96" t="s">
        <v>41</v>
      </c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96"/>
      <c r="B96" s="96"/>
      <c r="C96" s="96"/>
      <c r="D96" s="96" t="s">
        <v>86</v>
      </c>
      <c r="E96" s="96" t="s">
        <v>62</v>
      </c>
      <c r="F96" s="2"/>
      <c r="G96" s="2"/>
      <c r="H96" s="2"/>
      <c r="I96" s="2"/>
      <c r="J96" s="2"/>
      <c r="K96" s="3"/>
      <c r="L96" s="97"/>
      <c r="M96" s="2"/>
      <c r="N96" s="2"/>
      <c r="O96" s="2"/>
      <c r="P96" s="2"/>
      <c r="Q96" s="2"/>
      <c r="R96" s="2"/>
    </row>
    <row r="97" ht="15.75" customHeight="1">
      <c r="A97" s="96"/>
      <c r="B97" s="96"/>
      <c r="C97" s="96"/>
      <c r="D97" s="96" t="s">
        <v>87</v>
      </c>
      <c r="E97" s="96" t="s">
        <v>69</v>
      </c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96"/>
      <c r="B98" s="96"/>
      <c r="C98" s="96"/>
      <c r="D98" s="96"/>
      <c r="E98" s="96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7"/>
    <mergeCell ref="B30:B39"/>
    <mergeCell ref="B42:B57"/>
    <mergeCell ref="B62:B74"/>
    <mergeCell ref="B80:B8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.38"/>
    <col customWidth="1" min="3" max="3" width="23.38"/>
    <col customWidth="1" min="4" max="4" width="20.88"/>
    <col customWidth="1" min="5" max="5" width="12.63"/>
    <col customWidth="1" min="6" max="6" width="9.0"/>
    <col customWidth="1" min="7" max="7" width="11.38"/>
    <col customWidth="1" min="8" max="8" width="8.88"/>
    <col customWidth="1" min="9" max="9" width="15.0"/>
    <col customWidth="1" min="10" max="10" width="12.13"/>
    <col customWidth="1" min="11" max="11" width="12.75"/>
    <col customWidth="1" min="12" max="12" width="8.88"/>
    <col customWidth="1" min="13" max="13" width="13.13"/>
    <col customWidth="1" min="14" max="16" width="12.0"/>
    <col customWidth="1" min="17" max="17" width="4.38"/>
    <col customWidth="1" min="18" max="18" width="9.13"/>
    <col customWidth="1" min="19" max="2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</row>
    <row r="2" ht="18.75" customHeight="1">
      <c r="A2" s="1"/>
      <c r="B2" s="4" t="s">
        <v>0</v>
      </c>
      <c r="Q2" s="2"/>
      <c r="R2" s="2"/>
    </row>
    <row r="3">
      <c r="A3" s="1" t="s">
        <v>547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</row>
    <row r="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8" t="s">
        <v>7</v>
      </c>
      <c r="G5" s="7" t="s">
        <v>8</v>
      </c>
      <c r="H5" s="6" t="s">
        <v>9</v>
      </c>
      <c r="I5" s="9" t="s">
        <v>10</v>
      </c>
      <c r="J5" s="9" t="s">
        <v>11</v>
      </c>
      <c r="K5" s="10" t="s">
        <v>12</v>
      </c>
      <c r="L5" s="6"/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2"/>
    </row>
    <row r="6">
      <c r="A6" s="1"/>
      <c r="B6" s="12"/>
      <c r="C6" s="12"/>
      <c r="D6" s="12"/>
      <c r="E6" s="13"/>
      <c r="F6" s="14"/>
      <c r="G6" s="13"/>
      <c r="H6" s="12"/>
      <c r="I6" s="15"/>
      <c r="J6" s="15"/>
      <c r="K6" s="16"/>
      <c r="L6" s="12"/>
      <c r="M6" s="12"/>
      <c r="N6" s="12"/>
      <c r="O6" s="12"/>
      <c r="P6" s="12"/>
      <c r="Q6" s="2"/>
      <c r="R6" s="2"/>
    </row>
    <row r="7">
      <c r="A7" s="5">
        <v>1.0</v>
      </c>
      <c r="B7" s="17" t="s">
        <v>18</v>
      </c>
      <c r="C7" s="30" t="s">
        <v>548</v>
      </c>
      <c r="D7" s="19" t="s">
        <v>143</v>
      </c>
      <c r="E7" s="20">
        <v>46167.0</v>
      </c>
      <c r="F7" s="21">
        <v>0.6701388888888888</v>
      </c>
      <c r="G7" s="20">
        <v>46172.0</v>
      </c>
      <c r="H7" s="21">
        <v>0.3909722222222222</v>
      </c>
      <c r="I7" s="87"/>
      <c r="J7" s="155"/>
      <c r="K7" s="45"/>
      <c r="L7" s="21"/>
      <c r="M7" s="25">
        <f t="shared" ref="M7:M17" si="1">INT(E7)+MOD(F7,1)</f>
        <v>46167.67014</v>
      </c>
      <c r="N7" s="25">
        <f t="shared" ref="N7:N17" si="2">INT(G7)+MOD(H7,1)</f>
        <v>46172.39097</v>
      </c>
      <c r="O7" s="25">
        <f t="shared" ref="O7:O17" si="3">N7-M7</f>
        <v>4.720833333</v>
      </c>
      <c r="P7" s="25">
        <f t="shared" ref="P7:P17" si="4">O7*24</f>
        <v>113.3</v>
      </c>
      <c r="Q7" s="12">
        <v>1.0</v>
      </c>
      <c r="R7" s="2"/>
    </row>
    <row r="8">
      <c r="A8" s="5">
        <v>2.0</v>
      </c>
      <c r="B8" s="26"/>
      <c r="C8" s="30" t="s">
        <v>549</v>
      </c>
      <c r="D8" s="19" t="s">
        <v>464</v>
      </c>
      <c r="E8" s="20">
        <v>46172.0</v>
      </c>
      <c r="F8" s="21">
        <v>0.47500000000000003</v>
      </c>
      <c r="G8" s="20">
        <v>46173.0</v>
      </c>
      <c r="H8" s="21">
        <v>0.012499999999999999</v>
      </c>
      <c r="I8" s="29">
        <v>46.0</v>
      </c>
      <c r="J8" s="155">
        <v>108.0</v>
      </c>
      <c r="K8" s="45"/>
      <c r="L8" s="21"/>
      <c r="M8" s="25">
        <f t="shared" si="1"/>
        <v>46172.475</v>
      </c>
      <c r="N8" s="25">
        <f t="shared" si="2"/>
        <v>46173.0125</v>
      </c>
      <c r="O8" s="25">
        <f t="shared" si="3"/>
        <v>0.5375</v>
      </c>
      <c r="P8" s="25">
        <f t="shared" si="4"/>
        <v>12.9</v>
      </c>
      <c r="Q8" s="12">
        <v>1.0</v>
      </c>
      <c r="R8" s="2"/>
    </row>
    <row r="9">
      <c r="A9" s="5">
        <v>3.0</v>
      </c>
      <c r="B9" s="26"/>
      <c r="C9" s="30" t="s">
        <v>486</v>
      </c>
      <c r="D9" s="19" t="s">
        <v>277</v>
      </c>
      <c r="E9" s="20">
        <v>46172.0</v>
      </c>
      <c r="F9" s="21">
        <v>0.44097222222222227</v>
      </c>
      <c r="G9" s="20">
        <v>46173.0</v>
      </c>
      <c r="H9" s="21">
        <v>0.9340277777777778</v>
      </c>
      <c r="I9" s="22">
        <v>868.76</v>
      </c>
      <c r="J9" s="23"/>
      <c r="K9" s="45"/>
      <c r="L9" s="21"/>
      <c r="M9" s="25">
        <f t="shared" si="1"/>
        <v>46172.44097</v>
      </c>
      <c r="N9" s="25">
        <f t="shared" si="2"/>
        <v>46173.93403</v>
      </c>
      <c r="O9" s="25">
        <f t="shared" si="3"/>
        <v>1.493055556</v>
      </c>
      <c r="P9" s="25">
        <f t="shared" si="4"/>
        <v>35.83333333</v>
      </c>
      <c r="Q9" s="12">
        <v>2.0</v>
      </c>
      <c r="R9" s="2"/>
    </row>
    <row r="10">
      <c r="A10" s="5">
        <v>4.0</v>
      </c>
      <c r="B10" s="26"/>
      <c r="C10" s="30" t="s">
        <v>486</v>
      </c>
      <c r="D10" s="19" t="s">
        <v>277</v>
      </c>
      <c r="E10" s="20">
        <v>46176.0</v>
      </c>
      <c r="F10" s="21">
        <v>0.9930555555555555</v>
      </c>
      <c r="G10" s="20">
        <v>46177.0</v>
      </c>
      <c r="H10" s="21">
        <v>0.607638888888889</v>
      </c>
      <c r="I10" s="22">
        <v>874.21</v>
      </c>
      <c r="J10" s="23"/>
      <c r="K10" s="45"/>
      <c r="L10" s="21"/>
      <c r="M10" s="25">
        <f t="shared" si="1"/>
        <v>46176.99306</v>
      </c>
      <c r="N10" s="25">
        <f t="shared" si="2"/>
        <v>46177.60764</v>
      </c>
      <c r="O10" s="25">
        <f t="shared" si="3"/>
        <v>0.6145833333</v>
      </c>
      <c r="P10" s="25">
        <f t="shared" si="4"/>
        <v>14.75</v>
      </c>
      <c r="Q10" s="12">
        <v>2.0</v>
      </c>
      <c r="R10" s="2"/>
    </row>
    <row r="11">
      <c r="A11" s="5">
        <v>5.0</v>
      </c>
      <c r="B11" s="26"/>
      <c r="C11" s="30" t="s">
        <v>494</v>
      </c>
      <c r="D11" s="19" t="s">
        <v>25</v>
      </c>
      <c r="E11" s="20">
        <v>46180.0</v>
      </c>
      <c r="F11" s="21">
        <v>0.3611111111111111</v>
      </c>
      <c r="G11" s="20">
        <v>46181.0</v>
      </c>
      <c r="H11" s="21">
        <v>0.7569444444444445</v>
      </c>
      <c r="I11" s="22">
        <v>4966.0</v>
      </c>
      <c r="J11" s="23"/>
      <c r="K11" s="45"/>
      <c r="L11" s="21"/>
      <c r="M11" s="25">
        <f t="shared" si="1"/>
        <v>46180.36111</v>
      </c>
      <c r="N11" s="25">
        <f t="shared" si="2"/>
        <v>46181.75694</v>
      </c>
      <c r="O11" s="25">
        <f t="shared" si="3"/>
        <v>1.395833333</v>
      </c>
      <c r="P11" s="25">
        <f t="shared" si="4"/>
        <v>33.5</v>
      </c>
      <c r="Q11" s="12">
        <v>1.0</v>
      </c>
      <c r="R11" s="2"/>
    </row>
    <row r="12">
      <c r="A12" s="5">
        <v>6.0</v>
      </c>
      <c r="B12" s="26"/>
      <c r="C12" s="30" t="s">
        <v>486</v>
      </c>
      <c r="D12" s="19" t="s">
        <v>277</v>
      </c>
      <c r="E12" s="168">
        <v>46182.0</v>
      </c>
      <c r="F12" s="21">
        <v>0.5625</v>
      </c>
      <c r="G12" s="168">
        <v>46183.0</v>
      </c>
      <c r="H12" s="21">
        <v>0.375</v>
      </c>
      <c r="I12" s="22">
        <v>861.939</v>
      </c>
      <c r="J12" s="23"/>
      <c r="K12" s="45"/>
      <c r="L12" s="21"/>
      <c r="M12" s="25">
        <f t="shared" si="1"/>
        <v>46182.5625</v>
      </c>
      <c r="N12" s="25">
        <f t="shared" si="2"/>
        <v>46183.375</v>
      </c>
      <c r="O12" s="25">
        <f t="shared" si="3"/>
        <v>0.8125</v>
      </c>
      <c r="P12" s="25">
        <f t="shared" si="4"/>
        <v>19.5</v>
      </c>
      <c r="Q12" s="12">
        <v>2.0</v>
      </c>
      <c r="R12" s="2"/>
    </row>
    <row r="13">
      <c r="A13" s="5">
        <v>7.0</v>
      </c>
      <c r="B13" s="26"/>
      <c r="C13" s="30" t="s">
        <v>550</v>
      </c>
      <c r="D13" s="19" t="s">
        <v>25</v>
      </c>
      <c r="E13" s="168">
        <v>46190.0</v>
      </c>
      <c r="F13" s="21">
        <v>0.6041666666666666</v>
      </c>
      <c r="G13" s="168">
        <v>46191.0</v>
      </c>
      <c r="H13" s="21">
        <v>0.8125</v>
      </c>
      <c r="I13" s="22">
        <v>3997.503</v>
      </c>
      <c r="J13" s="23"/>
      <c r="K13" s="45"/>
      <c r="L13" s="21"/>
      <c r="M13" s="25">
        <f t="shared" si="1"/>
        <v>46190.60417</v>
      </c>
      <c r="N13" s="25">
        <f t="shared" si="2"/>
        <v>46191.8125</v>
      </c>
      <c r="O13" s="25">
        <f t="shared" si="3"/>
        <v>1.208333333</v>
      </c>
      <c r="P13" s="25">
        <f t="shared" si="4"/>
        <v>29</v>
      </c>
      <c r="Q13" s="12">
        <v>1.0</v>
      </c>
      <c r="R13" s="2"/>
    </row>
    <row r="14">
      <c r="A14" s="5">
        <v>8.0</v>
      </c>
      <c r="B14" s="26"/>
      <c r="C14" s="30" t="s">
        <v>276</v>
      </c>
      <c r="D14" s="19" t="s">
        <v>277</v>
      </c>
      <c r="E14" s="168">
        <v>46190.0</v>
      </c>
      <c r="F14" s="21">
        <v>0.9166666666666666</v>
      </c>
      <c r="G14" s="168">
        <v>46191.0</v>
      </c>
      <c r="H14" s="21">
        <v>0.8472222222222222</v>
      </c>
      <c r="I14" s="22">
        <v>1168.817</v>
      </c>
      <c r="J14" s="23"/>
      <c r="K14" s="45"/>
      <c r="L14" s="21"/>
      <c r="M14" s="25">
        <f t="shared" si="1"/>
        <v>46190.91667</v>
      </c>
      <c r="N14" s="25">
        <f t="shared" si="2"/>
        <v>46191.84722</v>
      </c>
      <c r="O14" s="25">
        <f t="shared" si="3"/>
        <v>0.9305555556</v>
      </c>
      <c r="P14" s="25">
        <f t="shared" si="4"/>
        <v>22.33333333</v>
      </c>
      <c r="Q14" s="12">
        <v>2.0</v>
      </c>
      <c r="R14" s="2"/>
    </row>
    <row r="15">
      <c r="A15" s="5">
        <v>9.0</v>
      </c>
      <c r="B15" s="26"/>
      <c r="C15" s="30" t="s">
        <v>551</v>
      </c>
      <c r="D15" s="19" t="s">
        <v>25</v>
      </c>
      <c r="E15" s="168">
        <v>46196.0</v>
      </c>
      <c r="F15" s="21">
        <v>0.4583333333333333</v>
      </c>
      <c r="G15" s="168">
        <v>46197.0</v>
      </c>
      <c r="H15" s="21">
        <v>0.3055555555555555</v>
      </c>
      <c r="I15" s="22">
        <v>2938.113</v>
      </c>
      <c r="J15" s="23"/>
      <c r="K15" s="45"/>
      <c r="L15" s="21"/>
      <c r="M15" s="25">
        <f t="shared" si="1"/>
        <v>46196.45833</v>
      </c>
      <c r="N15" s="25">
        <f t="shared" si="2"/>
        <v>46197.30556</v>
      </c>
      <c r="O15" s="25">
        <f t="shared" si="3"/>
        <v>0.8472222222</v>
      </c>
      <c r="P15" s="25">
        <f t="shared" si="4"/>
        <v>20.33333333</v>
      </c>
      <c r="Q15" s="12">
        <v>1.0</v>
      </c>
      <c r="R15" s="2"/>
    </row>
    <row r="16">
      <c r="A16" s="5">
        <v>10.0</v>
      </c>
      <c r="B16" s="26"/>
      <c r="C16" s="30" t="s">
        <v>552</v>
      </c>
      <c r="D16" s="19" t="s">
        <v>464</v>
      </c>
      <c r="E16" s="20">
        <v>46195.0</v>
      </c>
      <c r="F16" s="21">
        <v>0.48194444444444445</v>
      </c>
      <c r="G16" s="20">
        <v>46196.0</v>
      </c>
      <c r="H16" s="21">
        <v>0.13749999999999998</v>
      </c>
      <c r="I16" s="29">
        <v>27.0</v>
      </c>
      <c r="J16" s="155">
        <v>108.0</v>
      </c>
      <c r="K16" s="45"/>
      <c r="L16" s="21"/>
      <c r="M16" s="25">
        <f t="shared" si="1"/>
        <v>46195.48194</v>
      </c>
      <c r="N16" s="25">
        <f t="shared" si="2"/>
        <v>46196.1375</v>
      </c>
      <c r="O16" s="25">
        <f t="shared" si="3"/>
        <v>0.6555555556</v>
      </c>
      <c r="P16" s="25">
        <f t="shared" si="4"/>
        <v>15.73333333</v>
      </c>
      <c r="Q16" s="12">
        <v>1.0</v>
      </c>
      <c r="R16" s="2"/>
    </row>
    <row r="17">
      <c r="A17" s="5">
        <v>11.0</v>
      </c>
      <c r="B17" s="26"/>
      <c r="C17" s="30" t="s">
        <v>553</v>
      </c>
      <c r="D17" s="19" t="s">
        <v>277</v>
      </c>
      <c r="E17" s="168">
        <v>46197.0</v>
      </c>
      <c r="F17" s="21">
        <v>0.5034722222222222</v>
      </c>
      <c r="G17" s="168">
        <v>46198.0</v>
      </c>
      <c r="H17" s="21">
        <v>0.6458333333333334</v>
      </c>
      <c r="I17" s="22">
        <v>1442.291</v>
      </c>
      <c r="J17" s="23"/>
      <c r="K17" s="45"/>
      <c r="L17" s="21"/>
      <c r="M17" s="25">
        <f t="shared" si="1"/>
        <v>46197.50347</v>
      </c>
      <c r="N17" s="25">
        <f t="shared" si="2"/>
        <v>46198.64583</v>
      </c>
      <c r="O17" s="25">
        <f t="shared" si="3"/>
        <v>1.142361111</v>
      </c>
      <c r="P17" s="25">
        <f t="shared" si="4"/>
        <v>27.41666667</v>
      </c>
      <c r="Q17" s="12">
        <v>1.0</v>
      </c>
      <c r="R17" s="2"/>
    </row>
    <row r="18">
      <c r="A18" s="5"/>
      <c r="B18" s="26"/>
      <c r="C18" s="30"/>
      <c r="D18" s="19"/>
      <c r="E18" s="20"/>
      <c r="F18" s="21"/>
      <c r="G18" s="20"/>
      <c r="H18" s="21"/>
      <c r="I18" s="22"/>
      <c r="J18" s="23"/>
      <c r="K18" s="45"/>
      <c r="L18" s="21"/>
      <c r="M18" s="46"/>
      <c r="N18" s="46"/>
      <c r="O18" s="46"/>
      <c r="P18" s="46"/>
      <c r="Q18" s="12"/>
      <c r="R18" s="2"/>
    </row>
    <row r="19">
      <c r="A19" s="5"/>
      <c r="B19" s="26"/>
      <c r="C19" s="30"/>
      <c r="D19" s="19"/>
      <c r="E19" s="20"/>
      <c r="F19" s="21"/>
      <c r="G19" s="20"/>
      <c r="H19" s="21"/>
      <c r="I19" s="22"/>
      <c r="J19" s="23"/>
      <c r="K19" s="45"/>
      <c r="L19" s="21"/>
      <c r="M19" s="46"/>
      <c r="N19" s="46"/>
      <c r="O19" s="46"/>
      <c r="P19" s="46"/>
      <c r="Q19" s="12"/>
      <c r="R19" s="2"/>
    </row>
    <row r="20">
      <c r="A20" s="5"/>
      <c r="B20" s="26"/>
      <c r="C20" s="30"/>
      <c r="D20" s="19"/>
      <c r="E20" s="20"/>
      <c r="F20" s="21"/>
      <c r="G20" s="20"/>
      <c r="H20" s="21"/>
      <c r="I20" s="22"/>
      <c r="J20" s="23"/>
      <c r="K20" s="45"/>
      <c r="L20" s="21"/>
      <c r="M20" s="46"/>
      <c r="N20" s="46"/>
      <c r="O20" s="46"/>
      <c r="P20" s="46"/>
      <c r="Q20" s="12"/>
      <c r="R20" s="2"/>
    </row>
    <row r="21" ht="15.75" customHeight="1">
      <c r="A21" s="5"/>
      <c r="B21" s="26"/>
      <c r="C21" s="30"/>
      <c r="D21" s="19"/>
      <c r="E21" s="20"/>
      <c r="F21" s="21"/>
      <c r="G21" s="20"/>
      <c r="H21" s="21"/>
      <c r="I21" s="22"/>
      <c r="J21" s="23"/>
      <c r="K21" s="45"/>
      <c r="L21" s="21"/>
      <c r="M21" s="46"/>
      <c r="N21" s="46"/>
      <c r="O21" s="46"/>
      <c r="P21" s="46"/>
      <c r="Q21" s="12"/>
      <c r="R21" s="2"/>
    </row>
    <row r="22" ht="15.75" customHeight="1">
      <c r="A22" s="5"/>
      <c r="B22" s="26"/>
      <c r="C22" s="30"/>
      <c r="D22" s="19"/>
      <c r="E22" s="20"/>
      <c r="F22" s="21"/>
      <c r="G22" s="20"/>
      <c r="H22" s="21"/>
      <c r="I22" s="22"/>
      <c r="J22" s="23"/>
      <c r="K22" s="45"/>
      <c r="L22" s="21"/>
      <c r="M22" s="46"/>
      <c r="N22" s="46"/>
      <c r="O22" s="46"/>
      <c r="P22" s="46"/>
      <c r="Q22" s="12"/>
      <c r="R22" s="2"/>
    </row>
    <row r="23" ht="15.75" customHeight="1">
      <c r="A23" s="5"/>
      <c r="B23" s="26"/>
      <c r="C23" s="30"/>
      <c r="D23" s="19"/>
      <c r="E23" s="20"/>
      <c r="F23" s="21"/>
      <c r="G23" s="20"/>
      <c r="H23" s="21"/>
      <c r="I23" s="22"/>
      <c r="J23" s="23"/>
      <c r="K23" s="45"/>
      <c r="L23" s="21"/>
      <c r="M23" s="46"/>
      <c r="N23" s="46"/>
      <c r="O23" s="46"/>
      <c r="P23" s="46"/>
      <c r="Q23" s="12"/>
      <c r="R23" s="2"/>
    </row>
    <row r="24" ht="15.75" customHeight="1">
      <c r="A24" s="5"/>
      <c r="B24" s="26"/>
      <c r="C24" s="30"/>
      <c r="D24" s="19"/>
      <c r="E24" s="20"/>
      <c r="F24" s="21"/>
      <c r="G24" s="20"/>
      <c r="H24" s="21"/>
      <c r="I24" s="22"/>
      <c r="J24" s="23"/>
      <c r="K24" s="45"/>
      <c r="L24" s="21"/>
      <c r="M24" s="46"/>
      <c r="N24" s="46"/>
      <c r="O24" s="46"/>
      <c r="P24" s="46"/>
      <c r="Q24" s="12"/>
      <c r="R24" s="2"/>
    </row>
    <row r="25" ht="15.75" customHeight="1">
      <c r="A25" s="5"/>
      <c r="B25" s="26"/>
      <c r="C25" s="30"/>
      <c r="D25" s="27"/>
      <c r="E25" s="20"/>
      <c r="F25" s="21"/>
      <c r="G25" s="20"/>
      <c r="H25" s="21"/>
      <c r="I25" s="100"/>
      <c r="J25" s="87"/>
      <c r="K25" s="45"/>
      <c r="L25" s="21"/>
      <c r="M25" s="46"/>
      <c r="N25" s="46"/>
      <c r="O25" s="46"/>
      <c r="P25" s="46"/>
      <c r="Q25" s="12"/>
      <c r="R25" s="2"/>
    </row>
    <row r="26" ht="15.75" customHeight="1">
      <c r="A26" s="5"/>
      <c r="B26" s="26"/>
      <c r="C26" s="30"/>
      <c r="D26" s="27"/>
      <c r="E26" s="20"/>
      <c r="F26" s="21"/>
      <c r="G26" s="20"/>
      <c r="H26" s="21"/>
      <c r="I26" s="28"/>
      <c r="J26" s="29"/>
      <c r="K26" s="24"/>
      <c r="L26" s="21"/>
      <c r="M26" s="46"/>
      <c r="N26" s="46"/>
      <c r="O26" s="46"/>
      <c r="P26" s="46"/>
      <c r="Q26" s="12"/>
      <c r="R26" s="2"/>
    </row>
    <row r="27" ht="15.75" customHeight="1">
      <c r="A27" s="5"/>
      <c r="B27" s="26"/>
      <c r="C27" s="30"/>
      <c r="D27" s="19"/>
      <c r="E27" s="20"/>
      <c r="F27" s="21"/>
      <c r="G27" s="20"/>
      <c r="H27" s="21"/>
      <c r="I27" s="22"/>
      <c r="J27" s="23"/>
      <c r="K27" s="24"/>
      <c r="L27" s="21"/>
      <c r="M27" s="46"/>
      <c r="N27" s="46"/>
      <c r="O27" s="46"/>
      <c r="P27" s="46"/>
      <c r="Q27" s="12"/>
      <c r="R27" s="2"/>
    </row>
    <row r="28" ht="15.75" customHeight="1">
      <c r="A28" s="31"/>
      <c r="B28" s="32"/>
      <c r="C28" s="33"/>
      <c r="D28" s="34"/>
      <c r="E28" s="35"/>
      <c r="F28" s="36"/>
      <c r="G28" s="35"/>
      <c r="H28" s="36"/>
      <c r="I28" s="37">
        <f t="shared" ref="I28:J28" si="5">SUM(I7:I27)</f>
        <v>17190.633</v>
      </c>
      <c r="J28" s="113">
        <f t="shared" si="5"/>
        <v>216</v>
      </c>
      <c r="K28" s="39">
        <f>+(P28)/(31*24)</f>
        <v>0.463172043</v>
      </c>
      <c r="L28" s="40"/>
      <c r="M28" s="41"/>
      <c r="N28" s="41"/>
      <c r="O28" s="41"/>
      <c r="P28" s="42">
        <f>SUM(P7:P27)</f>
        <v>344.6</v>
      </c>
      <c r="Q28" s="2"/>
      <c r="R28" s="2"/>
    </row>
    <row r="29" ht="15.75" customHeight="1">
      <c r="A29" s="1"/>
      <c r="B29" s="12"/>
      <c r="C29" s="43"/>
      <c r="D29" s="12"/>
      <c r="E29" s="13"/>
      <c r="F29" s="14"/>
      <c r="G29" s="13"/>
      <c r="H29" s="14"/>
      <c r="I29" s="44"/>
      <c r="J29" s="15"/>
      <c r="K29" s="16"/>
      <c r="L29" s="14"/>
      <c r="M29" s="2"/>
      <c r="N29" s="2"/>
      <c r="O29" s="2"/>
      <c r="P29" s="2"/>
      <c r="Q29" s="2"/>
      <c r="R29" s="2"/>
    </row>
    <row r="30" ht="15.75" customHeight="1">
      <c r="A30" s="115">
        <v>1.0</v>
      </c>
      <c r="B30" s="116" t="s">
        <v>31</v>
      </c>
      <c r="C30" s="30" t="s">
        <v>331</v>
      </c>
      <c r="D30" s="19" t="s">
        <v>33</v>
      </c>
      <c r="E30" s="20">
        <v>46162.0</v>
      </c>
      <c r="F30" s="21">
        <v>0.4548611111111111</v>
      </c>
      <c r="G30" s="20">
        <v>46175.0</v>
      </c>
      <c r="H30" s="21">
        <v>0.4444444444444444</v>
      </c>
      <c r="I30" s="87">
        <v>7407.063</v>
      </c>
      <c r="J30" s="23"/>
      <c r="K30" s="45"/>
      <c r="L30" s="21"/>
      <c r="M30" s="25">
        <f t="shared" ref="M30:M38" si="6">INT(E30)+MOD(F30,1)</f>
        <v>46162.45486</v>
      </c>
      <c r="N30" s="124">
        <f t="shared" ref="N30:N38" si="7">INT(G30)+MOD(H30,1)</f>
        <v>46175.44444</v>
      </c>
      <c r="O30" s="124">
        <f t="shared" ref="O30:O38" si="8">N30-M30</f>
        <v>12.98958333</v>
      </c>
      <c r="P30" s="125">
        <f t="shared" ref="P30:P38" si="9">O30*24</f>
        <v>311.75</v>
      </c>
      <c r="Q30" s="12">
        <v>3.0</v>
      </c>
      <c r="R30" s="2"/>
    </row>
    <row r="31" ht="15.75" customHeight="1">
      <c r="A31" s="115">
        <v>2.0</v>
      </c>
      <c r="B31" s="126"/>
      <c r="C31" s="52" t="s">
        <v>554</v>
      </c>
      <c r="D31" s="19" t="s">
        <v>33</v>
      </c>
      <c r="E31" s="20">
        <v>46175.0</v>
      </c>
      <c r="F31" s="21">
        <v>0.5972222222222222</v>
      </c>
      <c r="G31" s="20">
        <v>46178.0</v>
      </c>
      <c r="H31" s="21">
        <v>0.3263888888888889</v>
      </c>
      <c r="I31" s="22">
        <v>8013.76</v>
      </c>
      <c r="J31" s="23"/>
      <c r="K31" s="45"/>
      <c r="L31" s="21"/>
      <c r="M31" s="25">
        <f t="shared" si="6"/>
        <v>46175.59722</v>
      </c>
      <c r="N31" s="124">
        <f t="shared" si="7"/>
        <v>46178.32639</v>
      </c>
      <c r="O31" s="124">
        <f t="shared" si="8"/>
        <v>2.729166667</v>
      </c>
      <c r="P31" s="125">
        <f t="shared" si="9"/>
        <v>65.5</v>
      </c>
      <c r="Q31" s="12">
        <v>3.0</v>
      </c>
      <c r="R31" s="2"/>
    </row>
    <row r="32" ht="15.75" customHeight="1">
      <c r="A32" s="115">
        <v>3.0</v>
      </c>
      <c r="B32" s="126"/>
      <c r="C32" s="52"/>
      <c r="D32" s="19"/>
      <c r="E32" s="20"/>
      <c r="F32" s="21"/>
      <c r="G32" s="20"/>
      <c r="H32" s="21"/>
      <c r="I32" s="22"/>
      <c r="J32" s="23"/>
      <c r="K32" s="45"/>
      <c r="L32" s="21"/>
      <c r="M32" s="25">
        <f t="shared" si="6"/>
        <v>0</v>
      </c>
      <c r="N32" s="124">
        <f t="shared" si="7"/>
        <v>0</v>
      </c>
      <c r="O32" s="124">
        <f t="shared" si="8"/>
        <v>0</v>
      </c>
      <c r="P32" s="125">
        <f t="shared" si="9"/>
        <v>0</v>
      </c>
      <c r="Q32" s="12"/>
      <c r="R32" s="2"/>
    </row>
    <row r="33" ht="15.75" customHeight="1">
      <c r="A33" s="115">
        <v>4.0</v>
      </c>
      <c r="B33" s="126"/>
      <c r="C33" s="52"/>
      <c r="D33" s="19"/>
      <c r="E33" s="20"/>
      <c r="F33" s="21"/>
      <c r="G33" s="20"/>
      <c r="H33" s="21"/>
      <c r="I33" s="22"/>
      <c r="J33" s="23"/>
      <c r="K33" s="45"/>
      <c r="L33" s="21"/>
      <c r="M33" s="25">
        <f t="shared" si="6"/>
        <v>0</v>
      </c>
      <c r="N33" s="124">
        <f t="shared" si="7"/>
        <v>0</v>
      </c>
      <c r="O33" s="124">
        <f t="shared" si="8"/>
        <v>0</v>
      </c>
      <c r="P33" s="125">
        <f t="shared" si="9"/>
        <v>0</v>
      </c>
      <c r="Q33" s="12"/>
      <c r="R33" s="2"/>
    </row>
    <row r="34" ht="15.75" customHeight="1">
      <c r="A34" s="115">
        <v>5.0</v>
      </c>
      <c r="B34" s="126"/>
      <c r="C34" s="30"/>
      <c r="D34" s="19"/>
      <c r="E34" s="20"/>
      <c r="F34" s="21"/>
      <c r="G34" s="20"/>
      <c r="H34" s="21"/>
      <c r="I34" s="22"/>
      <c r="J34" s="23"/>
      <c r="K34" s="45"/>
      <c r="L34" s="21"/>
      <c r="M34" s="25">
        <f t="shared" si="6"/>
        <v>0</v>
      </c>
      <c r="N34" s="124">
        <f t="shared" si="7"/>
        <v>0</v>
      </c>
      <c r="O34" s="124">
        <f t="shared" si="8"/>
        <v>0</v>
      </c>
      <c r="P34" s="125">
        <f t="shared" si="9"/>
        <v>0</v>
      </c>
      <c r="Q34" s="12"/>
      <c r="R34" s="2"/>
    </row>
    <row r="35" ht="15.75" customHeight="1">
      <c r="A35" s="115"/>
      <c r="B35" s="126"/>
      <c r="C35" s="30"/>
      <c r="D35" s="19"/>
      <c r="E35" s="20"/>
      <c r="F35" s="21"/>
      <c r="G35" s="20"/>
      <c r="H35" s="21"/>
      <c r="I35" s="22"/>
      <c r="J35" s="23"/>
      <c r="K35" s="45"/>
      <c r="L35" s="21"/>
      <c r="M35" s="25">
        <f t="shared" si="6"/>
        <v>0</v>
      </c>
      <c r="N35" s="124">
        <f t="shared" si="7"/>
        <v>0</v>
      </c>
      <c r="O35" s="124">
        <f t="shared" si="8"/>
        <v>0</v>
      </c>
      <c r="P35" s="125">
        <f t="shared" si="9"/>
        <v>0</v>
      </c>
      <c r="Q35" s="12"/>
      <c r="R35" s="2"/>
    </row>
    <row r="36" ht="15.75" customHeight="1">
      <c r="A36" s="115"/>
      <c r="B36" s="126"/>
      <c r="C36" s="30"/>
      <c r="D36" s="19"/>
      <c r="E36" s="20"/>
      <c r="F36" s="21"/>
      <c r="G36" s="20"/>
      <c r="H36" s="21"/>
      <c r="I36" s="22"/>
      <c r="J36" s="23"/>
      <c r="K36" s="45"/>
      <c r="L36" s="21"/>
      <c r="M36" s="25">
        <f t="shared" si="6"/>
        <v>0</v>
      </c>
      <c r="N36" s="124">
        <f t="shared" si="7"/>
        <v>0</v>
      </c>
      <c r="O36" s="124">
        <f t="shared" si="8"/>
        <v>0</v>
      </c>
      <c r="P36" s="125">
        <f t="shared" si="9"/>
        <v>0</v>
      </c>
      <c r="Q36" s="12"/>
      <c r="R36" s="2"/>
    </row>
    <row r="37" ht="15.75" customHeight="1">
      <c r="A37" s="115"/>
      <c r="B37" s="126"/>
      <c r="C37" s="30"/>
      <c r="D37" s="19"/>
      <c r="E37" s="20"/>
      <c r="F37" s="21"/>
      <c r="G37" s="20"/>
      <c r="H37" s="21"/>
      <c r="I37" s="22"/>
      <c r="J37" s="23"/>
      <c r="K37" s="45"/>
      <c r="L37" s="21"/>
      <c r="M37" s="25">
        <f t="shared" si="6"/>
        <v>0</v>
      </c>
      <c r="N37" s="124">
        <f t="shared" si="7"/>
        <v>0</v>
      </c>
      <c r="O37" s="124">
        <f t="shared" si="8"/>
        <v>0</v>
      </c>
      <c r="P37" s="125">
        <f t="shared" si="9"/>
        <v>0</v>
      </c>
      <c r="Q37" s="12"/>
      <c r="R37" s="2"/>
    </row>
    <row r="38" ht="15.75" customHeight="1">
      <c r="A38" s="115"/>
      <c r="B38" s="126"/>
      <c r="C38" s="30"/>
      <c r="D38" s="19"/>
      <c r="E38" s="20"/>
      <c r="F38" s="21"/>
      <c r="G38" s="20"/>
      <c r="H38" s="21"/>
      <c r="I38" s="22"/>
      <c r="J38" s="23"/>
      <c r="K38" s="45"/>
      <c r="L38" s="21"/>
      <c r="M38" s="25">
        <f t="shared" si="6"/>
        <v>0</v>
      </c>
      <c r="N38" s="124">
        <f t="shared" si="7"/>
        <v>0</v>
      </c>
      <c r="O38" s="124">
        <f t="shared" si="8"/>
        <v>0</v>
      </c>
      <c r="P38" s="125">
        <f t="shared" si="9"/>
        <v>0</v>
      </c>
      <c r="Q38" s="12"/>
      <c r="R38" s="2"/>
    </row>
    <row r="39" ht="15.75" customHeight="1">
      <c r="A39" s="115"/>
      <c r="B39" s="126"/>
      <c r="C39" s="77"/>
      <c r="D39" s="158"/>
      <c r="E39" s="79"/>
      <c r="F39" s="50"/>
      <c r="G39" s="79"/>
      <c r="H39" s="50"/>
      <c r="I39" s="159"/>
      <c r="J39" s="160"/>
      <c r="K39" s="49"/>
      <c r="L39" s="50"/>
      <c r="M39" s="82"/>
      <c r="N39" s="46"/>
      <c r="O39" s="46"/>
      <c r="P39" s="128"/>
      <c r="Q39" s="12"/>
      <c r="R39" s="2"/>
    </row>
    <row r="40" ht="15.75" customHeight="1">
      <c r="A40" s="129"/>
      <c r="B40" s="130"/>
      <c r="C40" s="161"/>
      <c r="D40" s="32"/>
      <c r="E40" s="84"/>
      <c r="F40" s="40"/>
      <c r="G40" s="84"/>
      <c r="H40" s="40"/>
      <c r="I40" s="85">
        <f t="shared" ref="I40:J40" si="10">SUM(I30:I39)</f>
        <v>15420.823</v>
      </c>
      <c r="J40" s="86">
        <f t="shared" si="10"/>
        <v>0</v>
      </c>
      <c r="K40" s="39">
        <f>+(P40)/(31*24)</f>
        <v>0.5070564516</v>
      </c>
      <c r="L40" s="40"/>
      <c r="M40" s="162"/>
      <c r="N40" s="163"/>
      <c r="O40" s="41"/>
      <c r="P40" s="42">
        <f>SUM(P30:P39)</f>
        <v>377.25</v>
      </c>
      <c r="Q40" s="2"/>
      <c r="R40" s="2"/>
    </row>
    <row r="41" ht="15.75" customHeight="1">
      <c r="A41" s="1"/>
      <c r="B41" s="12"/>
      <c r="C41" s="164"/>
      <c r="D41" s="103"/>
      <c r="E41" s="104"/>
      <c r="F41" s="72"/>
      <c r="G41" s="104"/>
      <c r="H41" s="72"/>
      <c r="I41" s="105"/>
      <c r="J41" s="165"/>
      <c r="K41" s="137"/>
      <c r="L41" s="14"/>
      <c r="M41" s="2"/>
      <c r="N41" s="2"/>
      <c r="O41" s="2"/>
      <c r="P41" s="2"/>
      <c r="Q41" s="2"/>
      <c r="R41" s="2"/>
    </row>
    <row r="42" ht="15.75" customHeight="1">
      <c r="A42" s="115">
        <v>1.0</v>
      </c>
      <c r="B42" s="116" t="s">
        <v>41</v>
      </c>
      <c r="C42" s="30" t="s">
        <v>132</v>
      </c>
      <c r="D42" s="19" t="s">
        <v>33</v>
      </c>
      <c r="E42" s="20">
        <v>46160.0</v>
      </c>
      <c r="F42" s="21">
        <v>0.545138888888889</v>
      </c>
      <c r="G42" s="20">
        <v>46166.0</v>
      </c>
      <c r="H42" s="21">
        <v>0.3819444444444444</v>
      </c>
      <c r="I42" s="22">
        <v>7271.88</v>
      </c>
      <c r="J42" s="23"/>
      <c r="K42" s="45"/>
      <c r="L42" s="166"/>
      <c r="M42" s="124">
        <f t="shared" ref="M42:M52" si="11">INT(E42)+MOD(F42,1)</f>
        <v>46160.54514</v>
      </c>
      <c r="N42" s="124">
        <f t="shared" ref="N42:N52" si="12">INT(G42)+MOD(H42,1)</f>
        <v>46166.38194</v>
      </c>
      <c r="O42" s="132">
        <f t="shared" ref="O42:O52" si="13">N42-M42</f>
        <v>5.836805556</v>
      </c>
      <c r="P42" s="125">
        <f t="shared" ref="P42:P52" si="14">O42*24</f>
        <v>140.0833333</v>
      </c>
      <c r="Q42" s="12">
        <v>4.0</v>
      </c>
      <c r="R42" s="2"/>
    </row>
    <row r="43" ht="15.75" customHeight="1">
      <c r="A43" s="115">
        <v>2.0</v>
      </c>
      <c r="B43" s="126"/>
      <c r="C43" s="30" t="s">
        <v>305</v>
      </c>
      <c r="D43" s="19" t="s">
        <v>33</v>
      </c>
      <c r="E43" s="20">
        <v>46162.0</v>
      </c>
      <c r="F43" s="21">
        <v>0.48194444444444445</v>
      </c>
      <c r="G43" s="20">
        <v>46168.0</v>
      </c>
      <c r="H43" s="21">
        <v>0.3263888888888889</v>
      </c>
      <c r="I43" s="22">
        <v>8092.76</v>
      </c>
      <c r="J43" s="23"/>
      <c r="K43" s="45"/>
      <c r="L43" s="167"/>
      <c r="M43" s="25">
        <f t="shared" si="11"/>
        <v>46162.48194</v>
      </c>
      <c r="N43" s="25">
        <f t="shared" si="12"/>
        <v>46168.32639</v>
      </c>
      <c r="O43" s="60">
        <f t="shared" si="13"/>
        <v>5.844444444</v>
      </c>
      <c r="P43" s="127">
        <f t="shared" si="14"/>
        <v>140.2666667</v>
      </c>
      <c r="Q43" s="12">
        <v>4.0</v>
      </c>
      <c r="R43" s="2"/>
    </row>
    <row r="44" ht="15.75" customHeight="1">
      <c r="A44" s="115">
        <v>3.0</v>
      </c>
      <c r="B44" s="126"/>
      <c r="C44" s="30" t="s">
        <v>555</v>
      </c>
      <c r="D44" s="19" t="s">
        <v>33</v>
      </c>
      <c r="E44" s="20">
        <v>46165.0</v>
      </c>
      <c r="F44" s="21">
        <v>0.36944444444444446</v>
      </c>
      <c r="G44" s="20">
        <v>46167.0</v>
      </c>
      <c r="H44" s="21">
        <v>0.5590277777777778</v>
      </c>
      <c r="I44" s="87">
        <v>7716.14</v>
      </c>
      <c r="J44" s="23"/>
      <c r="K44" s="45"/>
      <c r="L44" s="167"/>
      <c r="M44" s="25">
        <f t="shared" si="11"/>
        <v>46165.36944</v>
      </c>
      <c r="N44" s="25">
        <f t="shared" si="12"/>
        <v>46167.55903</v>
      </c>
      <c r="O44" s="60">
        <f t="shared" si="13"/>
        <v>2.189583333</v>
      </c>
      <c r="P44" s="127">
        <f t="shared" si="14"/>
        <v>52.55</v>
      </c>
      <c r="Q44" s="12">
        <v>4.0</v>
      </c>
      <c r="R44" s="2"/>
    </row>
    <row r="45" ht="15.75" customHeight="1">
      <c r="A45" s="115">
        <v>4.0</v>
      </c>
      <c r="B45" s="126"/>
      <c r="C45" s="30" t="s">
        <v>124</v>
      </c>
      <c r="D45" s="19" t="s">
        <v>33</v>
      </c>
      <c r="E45" s="20">
        <v>46167.0</v>
      </c>
      <c r="F45" s="21">
        <v>0.59375</v>
      </c>
      <c r="G45" s="20">
        <v>46173.0</v>
      </c>
      <c r="H45" s="21">
        <v>0.6493055555555556</v>
      </c>
      <c r="I45" s="87">
        <v>7170.14</v>
      </c>
      <c r="J45" s="23"/>
      <c r="K45" s="45"/>
      <c r="L45" s="167"/>
      <c r="M45" s="25">
        <f t="shared" si="11"/>
        <v>46167.59375</v>
      </c>
      <c r="N45" s="25">
        <f t="shared" si="12"/>
        <v>46173.64931</v>
      </c>
      <c r="O45" s="60">
        <f t="shared" si="13"/>
        <v>6.055555556</v>
      </c>
      <c r="P45" s="127">
        <f t="shared" si="14"/>
        <v>145.3333333</v>
      </c>
      <c r="Q45" s="12">
        <v>4.0</v>
      </c>
      <c r="R45" s="2"/>
    </row>
    <row r="46" ht="15.75" customHeight="1">
      <c r="A46" s="115">
        <v>5.0</v>
      </c>
      <c r="B46" s="126"/>
      <c r="C46" s="30" t="s">
        <v>556</v>
      </c>
      <c r="D46" s="19" t="s">
        <v>33</v>
      </c>
      <c r="E46" s="20">
        <v>46171.0</v>
      </c>
      <c r="F46" s="21">
        <v>0.65625</v>
      </c>
      <c r="G46" s="20">
        <v>46177.0</v>
      </c>
      <c r="H46" s="21">
        <v>0.45625</v>
      </c>
      <c r="I46" s="87">
        <v>7637.4</v>
      </c>
      <c r="J46" s="23"/>
      <c r="K46" s="45"/>
      <c r="L46" s="167"/>
      <c r="M46" s="25">
        <f t="shared" si="11"/>
        <v>46171.65625</v>
      </c>
      <c r="N46" s="25">
        <f t="shared" si="12"/>
        <v>46177.45625</v>
      </c>
      <c r="O46" s="60">
        <f t="shared" si="13"/>
        <v>5.8</v>
      </c>
      <c r="P46" s="127">
        <f t="shared" si="14"/>
        <v>139.2</v>
      </c>
      <c r="Q46" s="12">
        <v>4.0</v>
      </c>
      <c r="R46" s="2"/>
    </row>
    <row r="47" ht="15.75" customHeight="1">
      <c r="A47" s="115">
        <v>6.0</v>
      </c>
      <c r="B47" s="126"/>
      <c r="C47" s="52" t="s">
        <v>162</v>
      </c>
      <c r="D47" s="19" t="s">
        <v>33</v>
      </c>
      <c r="E47" s="20">
        <v>46174.0</v>
      </c>
      <c r="F47" s="21">
        <v>0.7756944444444445</v>
      </c>
      <c r="G47" s="20">
        <v>46180.0</v>
      </c>
      <c r="H47" s="21">
        <v>0.3020833333333333</v>
      </c>
      <c r="I47" s="22">
        <v>7277.6</v>
      </c>
      <c r="J47" s="23"/>
      <c r="K47" s="45"/>
      <c r="L47" s="167"/>
      <c r="M47" s="25">
        <f t="shared" si="11"/>
        <v>46174.77569</v>
      </c>
      <c r="N47" s="25">
        <f t="shared" si="12"/>
        <v>46180.30208</v>
      </c>
      <c r="O47" s="60">
        <f t="shared" si="13"/>
        <v>5.526388889</v>
      </c>
      <c r="P47" s="127">
        <f t="shared" si="14"/>
        <v>132.6333333</v>
      </c>
      <c r="Q47" s="12">
        <v>4.0</v>
      </c>
      <c r="R47" s="2"/>
    </row>
    <row r="48" ht="15.75" customHeight="1">
      <c r="A48" s="115">
        <v>7.0</v>
      </c>
      <c r="B48" s="126"/>
      <c r="C48" s="30" t="s">
        <v>360</v>
      </c>
      <c r="D48" s="19" t="s">
        <v>33</v>
      </c>
      <c r="E48" s="20">
        <v>46180.0</v>
      </c>
      <c r="F48" s="21">
        <v>0.3923611111111111</v>
      </c>
      <c r="G48" s="168">
        <v>46186.0</v>
      </c>
      <c r="H48" s="21">
        <v>0.5069444444444444</v>
      </c>
      <c r="I48" s="22">
        <v>7096.28</v>
      </c>
      <c r="J48" s="23"/>
      <c r="K48" s="45"/>
      <c r="L48" s="167"/>
      <c r="M48" s="25">
        <f t="shared" si="11"/>
        <v>46180.39236</v>
      </c>
      <c r="N48" s="25">
        <f t="shared" si="12"/>
        <v>46186.50694</v>
      </c>
      <c r="O48" s="60">
        <f t="shared" si="13"/>
        <v>6.114583333</v>
      </c>
      <c r="P48" s="127">
        <f t="shared" si="14"/>
        <v>146.75</v>
      </c>
      <c r="Q48" s="12">
        <v>4.0</v>
      </c>
      <c r="R48" s="2"/>
    </row>
    <row r="49" ht="15.75" customHeight="1">
      <c r="A49" s="115">
        <v>8.0</v>
      </c>
      <c r="B49" s="126"/>
      <c r="C49" s="52"/>
      <c r="D49" s="19"/>
      <c r="E49" s="20"/>
      <c r="F49" s="21"/>
      <c r="G49" s="20"/>
      <c r="H49" s="21"/>
      <c r="I49" s="22"/>
      <c r="J49" s="23"/>
      <c r="K49" s="45"/>
      <c r="L49" s="167"/>
      <c r="M49" s="25">
        <f t="shared" si="11"/>
        <v>0</v>
      </c>
      <c r="N49" s="25">
        <f t="shared" si="12"/>
        <v>0</v>
      </c>
      <c r="O49" s="60">
        <f t="shared" si="13"/>
        <v>0</v>
      </c>
      <c r="P49" s="127">
        <f t="shared" si="14"/>
        <v>0</v>
      </c>
      <c r="Q49" s="12"/>
      <c r="R49" s="2"/>
    </row>
    <row r="50" ht="15.75" customHeight="1">
      <c r="A50" s="115">
        <v>9.0</v>
      </c>
      <c r="B50" s="126"/>
      <c r="C50" s="30"/>
      <c r="D50" s="19"/>
      <c r="E50" s="20"/>
      <c r="F50" s="21"/>
      <c r="G50" s="20"/>
      <c r="H50" s="21"/>
      <c r="I50" s="22"/>
      <c r="J50" s="23"/>
      <c r="K50" s="45"/>
      <c r="L50" s="167"/>
      <c r="M50" s="25">
        <f t="shared" si="11"/>
        <v>0</v>
      </c>
      <c r="N50" s="25">
        <f t="shared" si="12"/>
        <v>0</v>
      </c>
      <c r="O50" s="60">
        <f t="shared" si="13"/>
        <v>0</v>
      </c>
      <c r="P50" s="127">
        <f t="shared" si="14"/>
        <v>0</v>
      </c>
      <c r="Q50" s="12"/>
      <c r="R50" s="2"/>
    </row>
    <row r="51" ht="15.75" customHeight="1">
      <c r="A51" s="115">
        <v>10.0</v>
      </c>
      <c r="B51" s="126"/>
      <c r="C51" s="52"/>
      <c r="D51" s="19"/>
      <c r="E51" s="20"/>
      <c r="F51" s="21"/>
      <c r="G51" s="20"/>
      <c r="H51" s="21"/>
      <c r="I51" s="22"/>
      <c r="J51" s="23"/>
      <c r="K51" s="45"/>
      <c r="L51" s="167"/>
      <c r="M51" s="25">
        <f t="shared" si="11"/>
        <v>0</v>
      </c>
      <c r="N51" s="25">
        <f t="shared" si="12"/>
        <v>0</v>
      </c>
      <c r="O51" s="60">
        <f t="shared" si="13"/>
        <v>0</v>
      </c>
      <c r="P51" s="127">
        <f t="shared" si="14"/>
        <v>0</v>
      </c>
      <c r="Q51" s="12"/>
      <c r="R51" s="2"/>
    </row>
    <row r="52" ht="15.75" customHeight="1">
      <c r="A52" s="115">
        <v>11.0</v>
      </c>
      <c r="B52" s="126"/>
      <c r="C52" s="30"/>
      <c r="D52" s="19"/>
      <c r="E52" s="20"/>
      <c r="F52" s="21"/>
      <c r="G52" s="20"/>
      <c r="H52" s="21"/>
      <c r="I52" s="87"/>
      <c r="J52" s="23"/>
      <c r="K52" s="45"/>
      <c r="L52" s="167"/>
      <c r="M52" s="25">
        <f t="shared" si="11"/>
        <v>0</v>
      </c>
      <c r="N52" s="25">
        <f t="shared" si="12"/>
        <v>0</v>
      </c>
      <c r="O52" s="60">
        <f t="shared" si="13"/>
        <v>0</v>
      </c>
      <c r="P52" s="127">
        <f t="shared" si="14"/>
        <v>0</v>
      </c>
      <c r="Q52" s="12"/>
      <c r="R52" s="2"/>
    </row>
    <row r="53" ht="15.75" customHeight="1">
      <c r="A53" s="115"/>
      <c r="B53" s="126"/>
      <c r="C53" s="30"/>
      <c r="D53" s="19"/>
      <c r="E53" s="20"/>
      <c r="F53" s="21"/>
      <c r="G53" s="20"/>
      <c r="H53" s="21"/>
      <c r="I53" s="22"/>
      <c r="J53" s="23"/>
      <c r="K53" s="45"/>
      <c r="L53" s="167"/>
      <c r="M53" s="46"/>
      <c r="N53" s="46"/>
      <c r="O53" s="61"/>
      <c r="P53" s="128"/>
      <c r="Q53" s="12"/>
      <c r="R53" s="2"/>
    </row>
    <row r="54" ht="15.75" customHeight="1">
      <c r="A54" s="115"/>
      <c r="B54" s="126"/>
      <c r="C54" s="30"/>
      <c r="D54" s="19"/>
      <c r="E54" s="20"/>
      <c r="F54" s="21"/>
      <c r="G54" s="20"/>
      <c r="H54" s="21"/>
      <c r="I54" s="22"/>
      <c r="J54" s="23"/>
      <c r="K54" s="45"/>
      <c r="L54" s="50"/>
      <c r="M54" s="46"/>
      <c r="N54" s="46"/>
      <c r="O54" s="61"/>
      <c r="P54" s="128"/>
      <c r="Q54" s="12"/>
      <c r="R54" s="2"/>
    </row>
    <row r="55" ht="15.75" customHeight="1">
      <c r="A55" s="115"/>
      <c r="B55" s="126"/>
      <c r="C55" s="30"/>
      <c r="D55" s="19"/>
      <c r="E55" s="20"/>
      <c r="F55" s="21"/>
      <c r="G55" s="20"/>
      <c r="H55" s="21"/>
      <c r="I55" s="22"/>
      <c r="J55" s="29"/>
      <c r="K55" s="45"/>
      <c r="L55" s="50"/>
      <c r="M55" s="46"/>
      <c r="N55" s="46"/>
      <c r="O55" s="61"/>
      <c r="P55" s="128"/>
      <c r="Q55" s="12"/>
      <c r="R55" s="2"/>
    </row>
    <row r="56" ht="15.75" customHeight="1">
      <c r="A56" s="115"/>
      <c r="B56" s="126"/>
      <c r="C56" s="67"/>
      <c r="D56" s="108"/>
      <c r="E56" s="104"/>
      <c r="F56" s="72"/>
      <c r="G56" s="104"/>
      <c r="H56" s="72"/>
      <c r="I56" s="109"/>
      <c r="J56" s="111"/>
      <c r="K56" s="45"/>
      <c r="L56" s="50"/>
      <c r="M56" s="46"/>
      <c r="N56" s="46"/>
      <c r="O56" s="61"/>
      <c r="P56" s="128"/>
      <c r="Q56" s="12"/>
      <c r="R56" s="2"/>
    </row>
    <row r="57" ht="15.75" customHeight="1">
      <c r="A57" s="115"/>
      <c r="B57" s="133"/>
      <c r="C57" s="30"/>
      <c r="D57" s="19"/>
      <c r="E57" s="20"/>
      <c r="F57" s="21"/>
      <c r="G57" s="20"/>
      <c r="H57" s="21"/>
      <c r="I57" s="22"/>
      <c r="J57" s="29"/>
      <c r="K57" s="45"/>
      <c r="L57" s="50"/>
      <c r="M57" s="46"/>
      <c r="N57" s="46"/>
      <c r="O57" s="61"/>
      <c r="P57" s="128"/>
      <c r="Q57" s="12"/>
      <c r="R57" s="2"/>
    </row>
    <row r="58" ht="18.0" customHeight="1">
      <c r="A58" s="115"/>
      <c r="B58" s="134"/>
      <c r="C58" s="30"/>
      <c r="D58" s="19"/>
      <c r="E58" s="20"/>
      <c r="F58" s="21"/>
      <c r="G58" s="20"/>
      <c r="H58" s="21"/>
      <c r="I58" s="22"/>
      <c r="J58" s="29"/>
      <c r="K58" s="45"/>
      <c r="L58" s="21"/>
      <c r="M58" s="46"/>
      <c r="N58" s="46"/>
      <c r="O58" s="61"/>
      <c r="P58" s="128"/>
      <c r="Q58" s="12"/>
      <c r="R58" s="2"/>
    </row>
    <row r="59" ht="18.75" customHeight="1">
      <c r="A59" s="135"/>
      <c r="B59" s="134"/>
      <c r="C59" s="102"/>
      <c r="D59" s="108"/>
      <c r="E59" s="104"/>
      <c r="F59" s="72"/>
      <c r="G59" s="104"/>
      <c r="H59" s="72"/>
      <c r="I59" s="109"/>
      <c r="J59" s="136"/>
      <c r="K59" s="137"/>
      <c r="L59" s="69"/>
      <c r="M59" s="70"/>
      <c r="N59" s="70"/>
      <c r="O59" s="110"/>
      <c r="P59" s="138"/>
      <c r="Q59" s="12"/>
      <c r="R59" s="2"/>
    </row>
    <row r="60" ht="15.75" customHeight="1">
      <c r="A60" s="139"/>
      <c r="B60" s="140"/>
      <c r="C60" s="141"/>
      <c r="D60" s="34"/>
      <c r="E60" s="35"/>
      <c r="F60" s="36"/>
      <c r="G60" s="35"/>
      <c r="H60" s="36"/>
      <c r="I60" s="131">
        <f>SUM(I42:I59)</f>
        <v>52262.2</v>
      </c>
      <c r="J60" s="142">
        <f>SUM(J42:J57)</f>
        <v>0</v>
      </c>
      <c r="K60" s="64">
        <f>+(P60)/(31*24)</f>
        <v>1.205398746</v>
      </c>
      <c r="L60" s="40"/>
      <c r="M60" s="41"/>
      <c r="N60" s="41"/>
      <c r="O60" s="41"/>
      <c r="P60" s="42">
        <f>SUM(P42:P57)</f>
        <v>896.8166667</v>
      </c>
      <c r="Q60" s="12"/>
      <c r="R60" s="2"/>
    </row>
    <row r="61" ht="15.75" customHeight="1">
      <c r="A61" s="65"/>
      <c r="B61" s="66"/>
      <c r="C61" s="67"/>
      <c r="D61" s="12"/>
      <c r="E61" s="13"/>
      <c r="F61" s="14"/>
      <c r="G61" s="13"/>
      <c r="H61" s="14"/>
      <c r="I61" s="55"/>
      <c r="J61" s="56"/>
      <c r="K61" s="68"/>
      <c r="L61" s="69"/>
      <c r="M61" s="70"/>
      <c r="N61" s="70"/>
      <c r="O61" s="70"/>
      <c r="P61" s="71"/>
      <c r="Q61" s="12"/>
      <c r="R61" s="2"/>
    </row>
    <row r="62" ht="15.75" customHeight="1">
      <c r="A62" s="115">
        <v>1.0</v>
      </c>
      <c r="B62" s="116" t="s">
        <v>62</v>
      </c>
      <c r="C62" s="30" t="s">
        <v>557</v>
      </c>
      <c r="D62" s="19" t="s">
        <v>33</v>
      </c>
      <c r="E62" s="20">
        <v>46158.0</v>
      </c>
      <c r="F62" s="21">
        <v>0.5625</v>
      </c>
      <c r="G62" s="20">
        <v>46165.0</v>
      </c>
      <c r="H62" s="21">
        <v>0.34027777777777773</v>
      </c>
      <c r="I62" s="22">
        <v>10143.04</v>
      </c>
      <c r="J62" s="23"/>
      <c r="K62" s="123"/>
      <c r="L62" s="120"/>
      <c r="M62" s="124">
        <f t="shared" ref="M62:M71" si="15">INT(E62)+MOD(F62,1)</f>
        <v>46158.5625</v>
      </c>
      <c r="N62" s="124">
        <f t="shared" ref="N62:N71" si="16">INT(G62)+MOD(H62,1)</f>
        <v>46165.34028</v>
      </c>
      <c r="O62" s="124">
        <f t="shared" ref="O62:O71" si="17">N62-M62</f>
        <v>6.777777778</v>
      </c>
      <c r="P62" s="125">
        <f t="shared" ref="P62:P71" si="18">O62*24</f>
        <v>162.6666667</v>
      </c>
      <c r="Q62" s="12">
        <v>5.0</v>
      </c>
      <c r="R62" s="2"/>
    </row>
    <row r="63" ht="15.75" customHeight="1">
      <c r="A63" s="115">
        <v>2.0</v>
      </c>
      <c r="B63" s="126"/>
      <c r="C63" s="30" t="s">
        <v>558</v>
      </c>
      <c r="D63" s="19" t="s">
        <v>33</v>
      </c>
      <c r="E63" s="20">
        <v>46166.0</v>
      </c>
      <c r="F63" s="21">
        <v>0.44097222222222227</v>
      </c>
      <c r="G63" s="20">
        <v>46171.0</v>
      </c>
      <c r="H63" s="21">
        <v>0.59375</v>
      </c>
      <c r="I63" s="87">
        <v>7558.26</v>
      </c>
      <c r="J63" s="23"/>
      <c r="K63" s="45"/>
      <c r="L63" s="21"/>
      <c r="M63" s="25">
        <f t="shared" si="15"/>
        <v>46166.44097</v>
      </c>
      <c r="N63" s="25">
        <f t="shared" si="16"/>
        <v>46171.59375</v>
      </c>
      <c r="O63" s="25">
        <f t="shared" si="17"/>
        <v>5.152777778</v>
      </c>
      <c r="P63" s="127">
        <f t="shared" si="18"/>
        <v>123.6666667</v>
      </c>
      <c r="Q63" s="12">
        <v>5.0</v>
      </c>
      <c r="R63" s="2"/>
    </row>
    <row r="64" ht="15.75" customHeight="1">
      <c r="A64" s="115">
        <v>3.0</v>
      </c>
      <c r="B64" s="126"/>
      <c r="C64" s="30" t="s">
        <v>396</v>
      </c>
      <c r="D64" s="19" t="s">
        <v>33</v>
      </c>
      <c r="E64" s="20">
        <v>46168.0</v>
      </c>
      <c r="F64" s="21">
        <v>0.4513888888888889</v>
      </c>
      <c r="G64" s="20">
        <v>46174.0</v>
      </c>
      <c r="H64" s="21">
        <v>0.7430555555555555</v>
      </c>
      <c r="I64" s="87">
        <v>7311.72</v>
      </c>
      <c r="J64" s="156"/>
      <c r="K64" s="45"/>
      <c r="L64" s="21"/>
      <c r="M64" s="25">
        <f t="shared" si="15"/>
        <v>46168.45139</v>
      </c>
      <c r="N64" s="25">
        <f t="shared" si="16"/>
        <v>46174.74306</v>
      </c>
      <c r="O64" s="25">
        <f t="shared" si="17"/>
        <v>6.291666667</v>
      </c>
      <c r="P64" s="127">
        <f t="shared" si="18"/>
        <v>151</v>
      </c>
      <c r="Q64" s="12">
        <v>5.0</v>
      </c>
      <c r="R64" s="2"/>
    </row>
    <row r="65" ht="15.75" customHeight="1">
      <c r="A65" s="115">
        <v>4.0</v>
      </c>
      <c r="B65" s="126"/>
      <c r="C65" s="30" t="s">
        <v>559</v>
      </c>
      <c r="D65" s="19" t="s">
        <v>33</v>
      </c>
      <c r="E65" s="20">
        <v>46173.0</v>
      </c>
      <c r="F65" s="21">
        <v>0.6840277777777778</v>
      </c>
      <c r="G65" s="20">
        <v>46179.0</v>
      </c>
      <c r="H65" s="21">
        <v>0.37847222222222227</v>
      </c>
      <c r="I65" s="87">
        <v>7943.92</v>
      </c>
      <c r="J65" s="23"/>
      <c r="K65" s="45"/>
      <c r="L65" s="21"/>
      <c r="M65" s="25">
        <f t="shared" si="15"/>
        <v>46173.68403</v>
      </c>
      <c r="N65" s="25">
        <f t="shared" si="16"/>
        <v>46179.37847</v>
      </c>
      <c r="O65" s="25">
        <f t="shared" si="17"/>
        <v>5.694444444</v>
      </c>
      <c r="P65" s="127">
        <f t="shared" si="18"/>
        <v>136.6666667</v>
      </c>
      <c r="Q65" s="12">
        <v>5.0</v>
      </c>
      <c r="R65" s="2"/>
    </row>
    <row r="66" ht="15.75" customHeight="1">
      <c r="A66" s="115">
        <v>5.0</v>
      </c>
      <c r="B66" s="126"/>
      <c r="C66" s="169" t="s">
        <v>560</v>
      </c>
      <c r="D66" s="19" t="s">
        <v>33</v>
      </c>
      <c r="E66" s="20">
        <v>46178.0</v>
      </c>
      <c r="F66" s="21">
        <v>0.37847222222222227</v>
      </c>
      <c r="G66" s="20">
        <v>46183.0</v>
      </c>
      <c r="H66" s="21">
        <v>0.3833333333333333</v>
      </c>
      <c r="I66" s="170">
        <v>10133.64</v>
      </c>
      <c r="J66" s="23"/>
      <c r="K66" s="45"/>
      <c r="L66" s="21"/>
      <c r="M66" s="25">
        <f t="shared" si="15"/>
        <v>46178.37847</v>
      </c>
      <c r="N66" s="25">
        <f t="shared" si="16"/>
        <v>46183.38333</v>
      </c>
      <c r="O66" s="25">
        <f t="shared" si="17"/>
        <v>5.004861111</v>
      </c>
      <c r="P66" s="127">
        <f t="shared" si="18"/>
        <v>120.1166667</v>
      </c>
      <c r="Q66" s="171">
        <v>5.0</v>
      </c>
      <c r="R66" s="2"/>
    </row>
    <row r="67" ht="15.75" customHeight="1">
      <c r="A67" s="115">
        <v>6.0</v>
      </c>
      <c r="B67" s="126"/>
      <c r="C67" s="30" t="s">
        <v>59</v>
      </c>
      <c r="D67" s="19" t="s">
        <v>33</v>
      </c>
      <c r="E67" s="20">
        <v>46179.0</v>
      </c>
      <c r="F67" s="21">
        <v>0.548611111111111</v>
      </c>
      <c r="G67" s="20">
        <v>46184.0</v>
      </c>
      <c r="H67" s="21">
        <v>0.3597222222222222</v>
      </c>
      <c r="I67" s="22">
        <v>7208.26</v>
      </c>
      <c r="J67" s="23"/>
      <c r="K67" s="45"/>
      <c r="L67" s="21"/>
      <c r="M67" s="25">
        <f t="shared" si="15"/>
        <v>46179.54861</v>
      </c>
      <c r="N67" s="25">
        <f t="shared" si="16"/>
        <v>46184.35972</v>
      </c>
      <c r="O67" s="25">
        <f t="shared" si="17"/>
        <v>4.811111111</v>
      </c>
      <c r="P67" s="127">
        <f t="shared" si="18"/>
        <v>115.4666667</v>
      </c>
      <c r="Q67" s="12">
        <v>5.0</v>
      </c>
      <c r="R67" s="2"/>
    </row>
    <row r="68" ht="15.75" customHeight="1">
      <c r="A68" s="115"/>
      <c r="B68" s="126"/>
      <c r="C68" s="30" t="s">
        <v>166</v>
      </c>
      <c r="D68" s="19" t="s">
        <v>33</v>
      </c>
      <c r="E68" s="20">
        <v>46183.0</v>
      </c>
      <c r="F68" s="21">
        <v>0.5104166666666666</v>
      </c>
      <c r="G68" s="168">
        <v>46188.0</v>
      </c>
      <c r="H68" s="21">
        <v>0.4305555555555556</v>
      </c>
      <c r="I68" s="22">
        <v>7338.92</v>
      </c>
      <c r="J68" s="23"/>
      <c r="K68" s="45"/>
      <c r="L68" s="21"/>
      <c r="M68" s="25">
        <f t="shared" si="15"/>
        <v>46183.51042</v>
      </c>
      <c r="N68" s="25">
        <f t="shared" si="16"/>
        <v>46188.43056</v>
      </c>
      <c r="O68" s="25">
        <f t="shared" si="17"/>
        <v>4.920138889</v>
      </c>
      <c r="P68" s="127">
        <f t="shared" si="18"/>
        <v>118.0833333</v>
      </c>
      <c r="Q68" s="12">
        <v>5.0</v>
      </c>
      <c r="R68" s="2"/>
    </row>
    <row r="69" ht="15.75" customHeight="1">
      <c r="A69" s="115"/>
      <c r="B69" s="126"/>
      <c r="C69" s="52"/>
      <c r="D69" s="19"/>
      <c r="E69" s="20"/>
      <c r="F69" s="21"/>
      <c r="G69" s="20"/>
      <c r="H69" s="21"/>
      <c r="I69" s="22"/>
      <c r="J69" s="23"/>
      <c r="K69" s="45"/>
      <c r="L69" s="21"/>
      <c r="M69" s="25">
        <f t="shared" si="15"/>
        <v>0</v>
      </c>
      <c r="N69" s="25">
        <f t="shared" si="16"/>
        <v>0</v>
      </c>
      <c r="O69" s="25">
        <f t="shared" si="17"/>
        <v>0</v>
      </c>
      <c r="P69" s="127">
        <f t="shared" si="18"/>
        <v>0</v>
      </c>
      <c r="Q69" s="12"/>
      <c r="R69" s="2"/>
    </row>
    <row r="70" ht="15.75" customHeight="1">
      <c r="A70" s="115"/>
      <c r="B70" s="126"/>
      <c r="C70" s="52"/>
      <c r="D70" s="19"/>
      <c r="E70" s="20"/>
      <c r="F70" s="21"/>
      <c r="G70" s="20"/>
      <c r="H70" s="21"/>
      <c r="I70" s="22"/>
      <c r="J70" s="23"/>
      <c r="K70" s="45"/>
      <c r="L70" s="21"/>
      <c r="M70" s="25">
        <f t="shared" si="15"/>
        <v>0</v>
      </c>
      <c r="N70" s="25">
        <f t="shared" si="16"/>
        <v>0</v>
      </c>
      <c r="O70" s="25">
        <f t="shared" si="17"/>
        <v>0</v>
      </c>
      <c r="P70" s="127">
        <f t="shared" si="18"/>
        <v>0</v>
      </c>
      <c r="Q70" s="12"/>
      <c r="R70" s="2"/>
    </row>
    <row r="71" ht="15.75" customHeight="1">
      <c r="A71" s="115"/>
      <c r="B71" s="126"/>
      <c r="C71" s="30"/>
      <c r="D71" s="19"/>
      <c r="E71" s="20"/>
      <c r="F71" s="21"/>
      <c r="G71" s="20"/>
      <c r="H71" s="21"/>
      <c r="I71" s="22"/>
      <c r="J71" s="23"/>
      <c r="K71" s="45"/>
      <c r="L71" s="21"/>
      <c r="M71" s="25">
        <f t="shared" si="15"/>
        <v>0</v>
      </c>
      <c r="N71" s="25">
        <f t="shared" si="16"/>
        <v>0</v>
      </c>
      <c r="O71" s="25">
        <f t="shared" si="17"/>
        <v>0</v>
      </c>
      <c r="P71" s="127">
        <f t="shared" si="18"/>
        <v>0</v>
      </c>
      <c r="Q71" s="12"/>
      <c r="R71" s="2"/>
    </row>
    <row r="72" ht="15.75" customHeight="1">
      <c r="A72" s="115"/>
      <c r="B72" s="126"/>
      <c r="C72" s="30"/>
      <c r="D72" s="19"/>
      <c r="E72" s="20"/>
      <c r="F72" s="21"/>
      <c r="G72" s="20"/>
      <c r="H72" s="21"/>
      <c r="I72" s="22"/>
      <c r="J72" s="23"/>
      <c r="K72" s="45"/>
      <c r="L72" s="50"/>
      <c r="M72" s="46"/>
      <c r="N72" s="46"/>
      <c r="O72" s="46"/>
      <c r="P72" s="128"/>
      <c r="Q72" s="12"/>
      <c r="R72" s="2"/>
    </row>
    <row r="73" ht="15.75" customHeight="1">
      <c r="A73" s="115"/>
      <c r="B73" s="126"/>
      <c r="C73" s="30"/>
      <c r="D73" s="19"/>
      <c r="E73" s="20"/>
      <c r="F73" s="21"/>
      <c r="G73" s="20"/>
      <c r="H73" s="21"/>
      <c r="I73" s="22"/>
      <c r="J73" s="29"/>
      <c r="K73" s="137"/>
      <c r="L73" s="50"/>
      <c r="M73" s="46"/>
      <c r="N73" s="46"/>
      <c r="O73" s="46"/>
      <c r="P73" s="128"/>
      <c r="Q73" s="12"/>
      <c r="R73" s="2"/>
    </row>
    <row r="74" ht="15.75" customHeight="1">
      <c r="A74" s="115"/>
      <c r="B74" s="126"/>
      <c r="C74" s="30"/>
      <c r="D74" s="19"/>
      <c r="E74" s="20"/>
      <c r="F74" s="21"/>
      <c r="G74" s="20"/>
      <c r="H74" s="21"/>
      <c r="I74" s="22"/>
      <c r="J74" s="23"/>
      <c r="K74" s="45"/>
      <c r="L74" s="50"/>
      <c r="M74" s="46"/>
      <c r="N74" s="46"/>
      <c r="O74" s="46"/>
      <c r="P74" s="128"/>
      <c r="Q74" s="12"/>
      <c r="R74" s="2"/>
    </row>
    <row r="75" ht="15.75" customHeight="1">
      <c r="A75" s="129"/>
      <c r="B75" s="130"/>
      <c r="C75" s="141"/>
      <c r="D75" s="34"/>
      <c r="E75" s="35"/>
      <c r="F75" s="36"/>
      <c r="G75" s="35"/>
      <c r="H75" s="36"/>
      <c r="I75" s="131">
        <f t="shared" ref="I75:J75" si="19">SUM(I62:I74)</f>
        <v>57637.76</v>
      </c>
      <c r="J75" s="86">
        <f t="shared" si="19"/>
        <v>0</v>
      </c>
      <c r="K75" s="39">
        <f>+(P75)/(31*24)</f>
        <v>1.246863799</v>
      </c>
      <c r="L75" s="40"/>
      <c r="M75" s="41"/>
      <c r="N75" s="41"/>
      <c r="O75" s="41"/>
      <c r="P75" s="42">
        <f>SUM(P62:P74)</f>
        <v>927.6666667</v>
      </c>
      <c r="Q75" s="12"/>
      <c r="R75" s="2"/>
    </row>
    <row r="76" ht="15.75" customHeight="1">
      <c r="A76" s="1"/>
      <c r="B76" s="12"/>
      <c r="C76" s="67"/>
      <c r="D76" s="12"/>
      <c r="E76" s="13"/>
      <c r="F76" s="14"/>
      <c r="G76" s="13"/>
      <c r="H76" s="14"/>
      <c r="I76" s="55"/>
      <c r="J76" s="56"/>
      <c r="K76" s="16"/>
      <c r="L76" s="14"/>
      <c r="M76" s="2"/>
      <c r="N76" s="2"/>
      <c r="O76" s="2"/>
      <c r="P76" s="2"/>
      <c r="Q76" s="12"/>
      <c r="R76" s="2"/>
    </row>
    <row r="77" ht="15.75" customHeight="1">
      <c r="A77" s="1"/>
      <c r="B77" s="12"/>
      <c r="C77" s="67"/>
      <c r="D77" s="12"/>
      <c r="E77" s="13"/>
      <c r="F77" s="14"/>
      <c r="G77" s="13"/>
      <c r="H77" s="14"/>
      <c r="I77" s="55"/>
      <c r="J77" s="56"/>
      <c r="K77" s="16"/>
      <c r="L77" s="14"/>
      <c r="M77" s="2"/>
      <c r="N77" s="2"/>
      <c r="O77" s="2"/>
      <c r="P77" s="2"/>
      <c r="Q77" s="2"/>
      <c r="R77" s="2"/>
    </row>
    <row r="78" ht="15.75" customHeight="1">
      <c r="A78" s="1"/>
      <c r="B78" s="12"/>
      <c r="C78" s="67"/>
      <c r="D78" s="12"/>
      <c r="E78" s="13"/>
      <c r="F78" s="14"/>
      <c r="G78" s="13"/>
      <c r="H78" s="14"/>
      <c r="I78" s="55"/>
      <c r="J78" s="56"/>
      <c r="K78" s="16"/>
      <c r="L78" s="14"/>
      <c r="M78" s="2"/>
      <c r="N78" s="2"/>
      <c r="O78" s="2"/>
      <c r="P78" s="2"/>
      <c r="Q78" s="2"/>
      <c r="R78" s="2"/>
    </row>
    <row r="79" ht="15.75" customHeight="1">
      <c r="A79" s="1"/>
      <c r="B79" s="12"/>
      <c r="C79" s="67"/>
      <c r="D79" s="12"/>
      <c r="E79" s="13"/>
      <c r="F79" s="14"/>
      <c r="G79" s="13"/>
      <c r="H79" s="14"/>
      <c r="I79" s="55"/>
      <c r="J79" s="56"/>
      <c r="K79" s="16"/>
      <c r="L79" s="14"/>
      <c r="M79" s="2"/>
      <c r="N79" s="2"/>
      <c r="O79" s="2"/>
      <c r="P79" s="2"/>
      <c r="Q79" s="2"/>
      <c r="R79" s="2"/>
    </row>
    <row r="80" ht="15.75" customHeight="1">
      <c r="A80" s="115">
        <v>1.0</v>
      </c>
      <c r="B80" s="116" t="s">
        <v>69</v>
      </c>
      <c r="C80" s="30" t="s">
        <v>548</v>
      </c>
      <c r="D80" s="19" t="s">
        <v>143</v>
      </c>
      <c r="E80" s="20">
        <v>46164.0</v>
      </c>
      <c r="F80" s="21">
        <v>0.90625</v>
      </c>
      <c r="G80" s="20">
        <v>46167.0</v>
      </c>
      <c r="H80" s="21">
        <v>0.6493055555555556</v>
      </c>
      <c r="I80" s="87">
        <v>50101.86</v>
      </c>
      <c r="J80" s="23"/>
      <c r="K80" s="88"/>
      <c r="L80" s="146"/>
      <c r="M80" s="124">
        <f t="shared" ref="M80:M86" si="20">INT(E80)+MOD(F80,1)</f>
        <v>46164.90625</v>
      </c>
      <c r="N80" s="124">
        <f t="shared" ref="N80:N86" si="21">INT(G80)+MOD(H80,1)</f>
        <v>46167.64931</v>
      </c>
      <c r="O80" s="124">
        <f t="shared" ref="O80:O86" si="22">N80-M80</f>
        <v>2.743055556</v>
      </c>
      <c r="P80" s="125">
        <f t="shared" ref="P80:P86" si="23">O80*24</f>
        <v>65.83333333</v>
      </c>
      <c r="Q80" s="12">
        <v>6.0</v>
      </c>
      <c r="R80" s="12"/>
    </row>
    <row r="81" ht="15.75" customHeight="1">
      <c r="A81" s="115">
        <v>2.0</v>
      </c>
      <c r="B81" s="126"/>
      <c r="C81" s="30" t="s">
        <v>561</v>
      </c>
      <c r="D81" s="19" t="s">
        <v>74</v>
      </c>
      <c r="E81" s="20">
        <v>46167.0</v>
      </c>
      <c r="F81" s="21">
        <v>0.7951388888888888</v>
      </c>
      <c r="G81" s="20">
        <v>46173.0</v>
      </c>
      <c r="H81" s="21">
        <v>0.40625</v>
      </c>
      <c r="I81" s="87">
        <v>54258.94</v>
      </c>
      <c r="J81" s="23"/>
      <c r="K81" s="88"/>
      <c r="L81" s="46"/>
      <c r="M81" s="25">
        <f t="shared" si="20"/>
        <v>46167.79514</v>
      </c>
      <c r="N81" s="25">
        <f t="shared" si="21"/>
        <v>46173.40625</v>
      </c>
      <c r="O81" s="25">
        <f t="shared" si="22"/>
        <v>5.611111111</v>
      </c>
      <c r="P81" s="127">
        <f t="shared" si="23"/>
        <v>134.6666667</v>
      </c>
      <c r="Q81" s="12">
        <v>6.0</v>
      </c>
      <c r="R81" s="12"/>
    </row>
    <row r="82" ht="15.75" customHeight="1">
      <c r="A82" s="115">
        <v>3.0</v>
      </c>
      <c r="B82" s="126"/>
      <c r="C82" s="30" t="s">
        <v>561</v>
      </c>
      <c r="D82" s="19" t="s">
        <v>74</v>
      </c>
      <c r="E82" s="20">
        <v>46185.0</v>
      </c>
      <c r="F82" s="21">
        <v>0.6840277777777778</v>
      </c>
      <c r="G82" s="20">
        <v>46190.0</v>
      </c>
      <c r="H82" s="21">
        <v>0.4270833333333333</v>
      </c>
      <c r="I82" s="87"/>
      <c r="J82" s="23"/>
      <c r="K82" s="88"/>
      <c r="L82" s="46"/>
      <c r="M82" s="25">
        <f t="shared" si="20"/>
        <v>46185.68403</v>
      </c>
      <c r="N82" s="25">
        <f t="shared" si="21"/>
        <v>46190.42708</v>
      </c>
      <c r="O82" s="25">
        <f t="shared" si="22"/>
        <v>4.743055556</v>
      </c>
      <c r="P82" s="127">
        <f t="shared" si="23"/>
        <v>113.8333333</v>
      </c>
      <c r="Q82" s="12">
        <v>6.0</v>
      </c>
      <c r="R82" s="12"/>
    </row>
    <row r="83" ht="15.75" customHeight="1">
      <c r="A83" s="115">
        <v>4.0</v>
      </c>
      <c r="B83" s="126"/>
      <c r="C83" s="30" t="s">
        <v>562</v>
      </c>
      <c r="D83" s="19" t="s">
        <v>148</v>
      </c>
      <c r="E83" s="20">
        <v>46174.0</v>
      </c>
      <c r="F83" s="21">
        <v>0.8458333333333333</v>
      </c>
      <c r="G83" s="20">
        <v>46178.0</v>
      </c>
      <c r="H83" s="21">
        <v>0.9618055555555555</v>
      </c>
      <c r="I83" s="87">
        <v>8290.702</v>
      </c>
      <c r="J83" s="23"/>
      <c r="K83" s="88"/>
      <c r="L83" s="46"/>
      <c r="M83" s="25">
        <f t="shared" si="20"/>
        <v>46174.84583</v>
      </c>
      <c r="N83" s="25">
        <f t="shared" si="21"/>
        <v>46178.96181</v>
      </c>
      <c r="O83" s="25">
        <f t="shared" si="22"/>
        <v>4.115972222</v>
      </c>
      <c r="P83" s="127">
        <f t="shared" si="23"/>
        <v>98.78333333</v>
      </c>
      <c r="Q83" s="12">
        <v>6.0</v>
      </c>
      <c r="R83" s="12"/>
    </row>
    <row r="84" ht="15.75" customHeight="1">
      <c r="A84" s="115"/>
      <c r="B84" s="126"/>
      <c r="C84" s="30" t="s">
        <v>562</v>
      </c>
      <c r="D84" s="19" t="s">
        <v>148</v>
      </c>
      <c r="E84" s="20">
        <v>46174.0</v>
      </c>
      <c r="F84" s="21">
        <v>0.8458333333333333</v>
      </c>
      <c r="G84" s="20">
        <v>46178.0</v>
      </c>
      <c r="H84" s="21">
        <v>0.9618055555555555</v>
      </c>
      <c r="I84" s="87">
        <v>10364.436</v>
      </c>
      <c r="J84" s="23"/>
      <c r="K84" s="88"/>
      <c r="L84" s="46"/>
      <c r="M84" s="25">
        <f t="shared" si="20"/>
        <v>46174.84583</v>
      </c>
      <c r="N84" s="25">
        <f t="shared" si="21"/>
        <v>46178.96181</v>
      </c>
      <c r="O84" s="25">
        <f t="shared" si="22"/>
        <v>4.115972222</v>
      </c>
      <c r="P84" s="127">
        <f t="shared" si="23"/>
        <v>98.78333333</v>
      </c>
      <c r="Q84" s="12">
        <v>6.0</v>
      </c>
      <c r="R84" s="12"/>
    </row>
    <row r="85" ht="15.75" customHeight="1">
      <c r="A85" s="115"/>
      <c r="B85" s="126"/>
      <c r="C85" s="30" t="s">
        <v>563</v>
      </c>
      <c r="D85" s="19" t="s">
        <v>139</v>
      </c>
      <c r="E85" s="20">
        <v>46179.0</v>
      </c>
      <c r="F85" s="21">
        <v>0.03125</v>
      </c>
      <c r="G85" s="20">
        <v>46185.0</v>
      </c>
      <c r="H85" s="21">
        <v>0.006944444444444444</v>
      </c>
      <c r="I85" s="22">
        <v>50341.02</v>
      </c>
      <c r="J85" s="23"/>
      <c r="K85" s="88"/>
      <c r="L85" s="46"/>
      <c r="M85" s="25">
        <f t="shared" si="20"/>
        <v>46179.03125</v>
      </c>
      <c r="N85" s="25">
        <f t="shared" si="21"/>
        <v>46185.00694</v>
      </c>
      <c r="O85" s="25">
        <f t="shared" si="22"/>
        <v>5.975694444</v>
      </c>
      <c r="P85" s="127">
        <f t="shared" si="23"/>
        <v>143.4166667</v>
      </c>
      <c r="Q85" s="12">
        <v>6.0</v>
      </c>
      <c r="R85" s="12"/>
    </row>
    <row r="86" ht="15.75" customHeight="1">
      <c r="A86" s="115"/>
      <c r="B86" s="126"/>
      <c r="C86" s="30"/>
      <c r="D86" s="19"/>
      <c r="E86" s="20"/>
      <c r="F86" s="21"/>
      <c r="G86" s="20"/>
      <c r="H86" s="21"/>
      <c r="I86" s="22"/>
      <c r="J86" s="74"/>
      <c r="K86" s="88"/>
      <c r="L86" s="46"/>
      <c r="M86" s="25">
        <f t="shared" si="20"/>
        <v>0</v>
      </c>
      <c r="N86" s="25">
        <f t="shared" si="21"/>
        <v>0</v>
      </c>
      <c r="O86" s="25">
        <f t="shared" si="22"/>
        <v>0</v>
      </c>
      <c r="P86" s="127">
        <f t="shared" si="23"/>
        <v>0</v>
      </c>
      <c r="Q86" s="12"/>
      <c r="R86" s="12"/>
    </row>
    <row r="87" ht="15.75" customHeight="1">
      <c r="A87" s="115"/>
      <c r="B87" s="126"/>
      <c r="C87" s="30"/>
      <c r="D87" s="19"/>
      <c r="E87" s="20"/>
      <c r="F87" s="21"/>
      <c r="G87" s="20"/>
      <c r="H87" s="21"/>
      <c r="I87" s="22"/>
      <c r="J87" s="74"/>
      <c r="K87" s="88"/>
      <c r="L87" s="82"/>
      <c r="M87" s="46"/>
      <c r="N87" s="46"/>
      <c r="O87" s="46"/>
      <c r="P87" s="128"/>
      <c r="Q87" s="12"/>
      <c r="R87" s="12"/>
    </row>
    <row r="88" ht="15.75" customHeight="1">
      <c r="A88" s="115"/>
      <c r="B88" s="133"/>
      <c r="C88" s="30"/>
      <c r="D88" s="19"/>
      <c r="E88" s="20"/>
      <c r="F88" s="21"/>
      <c r="G88" s="20"/>
      <c r="H88" s="21"/>
      <c r="I88" s="22"/>
      <c r="J88" s="74"/>
      <c r="K88" s="45"/>
      <c r="L88" s="50"/>
      <c r="M88" s="46"/>
      <c r="N88" s="46"/>
      <c r="O88" s="46"/>
      <c r="P88" s="128"/>
      <c r="Q88" s="12"/>
      <c r="R88" s="12"/>
    </row>
    <row r="89" ht="15.75" customHeight="1">
      <c r="A89" s="147"/>
      <c r="B89" s="148"/>
      <c r="C89" s="91"/>
      <c r="D89" s="91"/>
      <c r="E89" s="91"/>
      <c r="F89" s="91"/>
      <c r="G89" s="91"/>
      <c r="H89" s="91"/>
      <c r="I89" s="92">
        <f t="shared" ref="I89:J89" si="24">SUM(I80:I88)</f>
        <v>173356.958</v>
      </c>
      <c r="J89" s="157">
        <f t="shared" si="24"/>
        <v>0</v>
      </c>
      <c r="K89" s="64">
        <f>+(P89)/(31*24)</f>
        <v>0.8808019713</v>
      </c>
      <c r="L89" s="41"/>
      <c r="M89" s="41"/>
      <c r="N89" s="41"/>
      <c r="O89" s="41"/>
      <c r="P89" s="42">
        <f>SUM(P80:P88)</f>
        <v>655.3166667</v>
      </c>
      <c r="Q89" s="12"/>
      <c r="R89" s="1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2"/>
      <c r="N90" s="2"/>
      <c r="O90" s="2"/>
      <c r="P90" s="2"/>
      <c r="Q90" s="12"/>
      <c r="R90" s="1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94"/>
      <c r="J91" s="95"/>
      <c r="K91" s="3"/>
      <c r="L91" s="2"/>
      <c r="M91" s="2"/>
      <c r="N91" s="2"/>
      <c r="O91" s="2"/>
      <c r="P91" s="2"/>
      <c r="Q91" s="12"/>
      <c r="R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2"/>
      <c r="N92" s="2"/>
      <c r="O92" s="2"/>
      <c r="P92" s="2"/>
      <c r="Q92" s="12"/>
      <c r="R92" s="2"/>
    </row>
    <row r="93" ht="15.75" customHeight="1">
      <c r="A93" s="96" t="s">
        <v>80</v>
      </c>
      <c r="B93" s="96"/>
      <c r="C93" s="96" t="s">
        <v>81</v>
      </c>
      <c r="D93" s="96" t="s">
        <v>82</v>
      </c>
      <c r="E93" s="96" t="s">
        <v>18</v>
      </c>
      <c r="F93" s="2"/>
      <c r="G93" s="2"/>
      <c r="H93" s="2"/>
      <c r="I93" s="2"/>
      <c r="J93" s="2"/>
      <c r="K93" s="3"/>
      <c r="L93" s="2"/>
      <c r="M93" s="2"/>
      <c r="N93" s="2"/>
      <c r="O93" s="2"/>
      <c r="P93" s="2"/>
      <c r="Q93" s="12"/>
      <c r="R93" s="2"/>
    </row>
    <row r="94" ht="15.75" customHeight="1">
      <c r="A94" s="96" t="s">
        <v>83</v>
      </c>
      <c r="B94" s="96"/>
      <c r="C94" s="96"/>
      <c r="D94" s="96" t="s">
        <v>84</v>
      </c>
      <c r="E94" s="96" t="s">
        <v>31</v>
      </c>
      <c r="F94" s="2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</row>
    <row r="95" ht="15.75" customHeight="1">
      <c r="A95" s="96"/>
      <c r="B95" s="96"/>
      <c r="C95" s="96"/>
      <c r="D95" s="96" t="s">
        <v>85</v>
      </c>
      <c r="E95" s="96" t="s">
        <v>41</v>
      </c>
      <c r="F95" s="2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</row>
    <row r="96" ht="15.75" customHeight="1">
      <c r="A96" s="96"/>
      <c r="B96" s="96"/>
      <c r="C96" s="96"/>
      <c r="D96" s="96" t="s">
        <v>86</v>
      </c>
      <c r="E96" s="96" t="s">
        <v>62</v>
      </c>
      <c r="F96" s="2"/>
      <c r="G96" s="2"/>
      <c r="H96" s="2"/>
      <c r="I96" s="2"/>
      <c r="J96" s="2"/>
      <c r="K96" s="3"/>
      <c r="L96" s="97"/>
      <c r="M96" s="2"/>
      <c r="N96" s="2"/>
      <c r="O96" s="2"/>
      <c r="P96" s="2"/>
      <c r="Q96" s="2"/>
      <c r="R96" s="2"/>
    </row>
    <row r="97" ht="15.75" customHeight="1">
      <c r="A97" s="96"/>
      <c r="B97" s="96"/>
      <c r="C97" s="96"/>
      <c r="D97" s="96" t="s">
        <v>87</v>
      </c>
      <c r="E97" s="96" t="s">
        <v>69</v>
      </c>
      <c r="F97" s="2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</row>
    <row r="98" ht="15.75" customHeight="1">
      <c r="A98" s="96"/>
      <c r="B98" s="96"/>
      <c r="C98" s="96"/>
      <c r="D98" s="96"/>
      <c r="E98" s="96"/>
      <c r="F98" s="2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P2"/>
    <mergeCell ref="B7:B27"/>
    <mergeCell ref="B30:B39"/>
    <mergeCell ref="B42:B57"/>
    <mergeCell ref="B62:B74"/>
    <mergeCell ref="B80:B8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2017-08-04T07:32:38Z</dcterms:created>
  <dc:creator>Merak Port</dc:creator>
</cp:coreProperties>
</file>