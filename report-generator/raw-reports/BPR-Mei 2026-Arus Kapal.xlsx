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 GREEI GANAP\Downloads\"/>
    </mc:Choice>
  </mc:AlternateContent>
  <xr:revisionPtr revIDLastSave="0" documentId="8_{04515615-5DDD-47B5-B403-2EE6F163AA89}" xr6:coauthVersionLast="45" xr6:coauthVersionMax="45" xr10:uidLastSave="{00000000-0000-0000-0000-000000000000}"/>
  <bookViews>
    <workbookView xWindow="-108" yWindow="-108" windowWidth="23256" windowHeight="12456" xr2:uid="{9C66484A-6AB6-476A-9F0E-F30DDD76BDDB}"/>
  </bookViews>
  <sheets>
    <sheet name="KPL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35" i="2" l="1"/>
  <c r="AY35" i="2"/>
  <c r="AV35" i="2"/>
  <c r="AU35" i="2"/>
  <c r="AR35" i="2"/>
  <c r="AQ35" i="2"/>
  <c r="AI35" i="2"/>
  <c r="AH35" i="2"/>
  <c r="AE35" i="2"/>
  <c r="AD35" i="2"/>
  <c r="AA35" i="2"/>
  <c r="Z35" i="2"/>
  <c r="V35" i="2"/>
  <c r="U35" i="2"/>
  <c r="R35" i="2"/>
  <c r="Q35" i="2"/>
  <c r="N35" i="2"/>
  <c r="M35" i="2"/>
  <c r="AZ34" i="2"/>
  <c r="AY34" i="2"/>
  <c r="AV34" i="2"/>
  <c r="AU34" i="2"/>
  <c r="AR34" i="2"/>
  <c r="AQ34" i="2"/>
  <c r="AI34" i="2"/>
  <c r="AH34" i="2"/>
  <c r="AE34" i="2"/>
  <c r="AD34" i="2"/>
  <c r="AA34" i="2"/>
  <c r="Z34" i="2"/>
  <c r="V34" i="2"/>
  <c r="U34" i="2"/>
  <c r="R34" i="2"/>
  <c r="Q34" i="2"/>
  <c r="N34" i="2"/>
  <c r="M34" i="2"/>
  <c r="F33" i="2"/>
  <c r="D33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BB32" i="2" s="1"/>
  <c r="D32" i="2" s="1"/>
  <c r="AK32" i="2"/>
  <c r="AJ32" i="2"/>
  <c r="AI32" i="2"/>
  <c r="AH32" i="2"/>
  <c r="AG32" i="2"/>
  <c r="AF32" i="2"/>
  <c r="AE32" i="2"/>
  <c r="AD32" i="2"/>
  <c r="AC32" i="2"/>
  <c r="AL32" i="2" s="1"/>
  <c r="AB32" i="2"/>
  <c r="AM32" i="2" s="1"/>
  <c r="F32" i="2" s="1"/>
  <c r="AA32" i="2"/>
  <c r="Z32" i="2"/>
  <c r="W32" i="2"/>
  <c r="V32" i="2"/>
  <c r="U32" i="2"/>
  <c r="T32" i="2"/>
  <c r="S32" i="2"/>
  <c r="R32" i="2"/>
  <c r="Q32" i="2"/>
  <c r="P32" i="2"/>
  <c r="O32" i="2"/>
  <c r="N32" i="2"/>
  <c r="M32" i="2"/>
  <c r="L32" i="2"/>
  <c r="X32" i="2" s="1"/>
  <c r="AZ31" i="2"/>
  <c r="AY31" i="2"/>
  <c r="AX31" i="2"/>
  <c r="AW31" i="2"/>
  <c r="AV31" i="2"/>
  <c r="AU31" i="2"/>
  <c r="AT31" i="2"/>
  <c r="AS31" i="2"/>
  <c r="AR31" i="2"/>
  <c r="AQ31" i="2"/>
  <c r="AP31" i="2"/>
  <c r="AO31" i="2"/>
  <c r="BB31" i="2" s="1"/>
  <c r="D31" i="2" s="1"/>
  <c r="AK31" i="2"/>
  <c r="AJ31" i="2"/>
  <c r="AI31" i="2"/>
  <c r="AH31" i="2"/>
  <c r="AG31" i="2"/>
  <c r="AF31" i="2"/>
  <c r="AE31" i="2"/>
  <c r="AD31" i="2"/>
  <c r="AC31" i="2"/>
  <c r="AL31" i="2" s="1"/>
  <c r="AB31" i="2"/>
  <c r="AM31" i="2" s="1"/>
  <c r="F31" i="2" s="1"/>
  <c r="AA31" i="2"/>
  <c r="Z31" i="2"/>
  <c r="W31" i="2"/>
  <c r="V31" i="2"/>
  <c r="U31" i="2"/>
  <c r="T31" i="2"/>
  <c r="S31" i="2"/>
  <c r="R31" i="2"/>
  <c r="Q31" i="2"/>
  <c r="P31" i="2"/>
  <c r="O31" i="2"/>
  <c r="N31" i="2"/>
  <c r="M31" i="2"/>
  <c r="L31" i="2"/>
  <c r="X31" i="2" s="1"/>
  <c r="AZ30" i="2"/>
  <c r="AY30" i="2"/>
  <c r="AX30" i="2"/>
  <c r="AX35" i="2" s="1"/>
  <c r="AW30" i="2"/>
  <c r="AW35" i="2" s="1"/>
  <c r="AV30" i="2"/>
  <c r="AU30" i="2"/>
  <c r="AT30" i="2"/>
  <c r="AT35" i="2" s="1"/>
  <c r="AS30" i="2"/>
  <c r="AS35" i="2" s="1"/>
  <c r="AR30" i="2"/>
  <c r="AQ30" i="2"/>
  <c r="AP30" i="2"/>
  <c r="AP35" i="2" s="1"/>
  <c r="AO30" i="2"/>
  <c r="BB30" i="2" s="1"/>
  <c r="AK30" i="2"/>
  <c r="AK35" i="2" s="1"/>
  <c r="AJ30" i="2"/>
  <c r="AJ35" i="2" s="1"/>
  <c r="AI30" i="2"/>
  <c r="AH30" i="2"/>
  <c r="AG30" i="2"/>
  <c r="AG35" i="2" s="1"/>
  <c r="AF30" i="2"/>
  <c r="AF35" i="2" s="1"/>
  <c r="AE30" i="2"/>
  <c r="AD30" i="2"/>
  <c r="AC30" i="2"/>
  <c r="AC35" i="2" s="1"/>
  <c r="AB30" i="2"/>
  <c r="AM30" i="2" s="1"/>
  <c r="AA30" i="2"/>
  <c r="Z30" i="2"/>
  <c r="W30" i="2"/>
  <c r="W35" i="2" s="1"/>
  <c r="V30" i="2"/>
  <c r="U30" i="2"/>
  <c r="T30" i="2"/>
  <c r="T35" i="2" s="1"/>
  <c r="S30" i="2"/>
  <c r="S35" i="2" s="1"/>
  <c r="R30" i="2"/>
  <c r="Q30" i="2"/>
  <c r="P30" i="2"/>
  <c r="P35" i="2" s="1"/>
  <c r="O30" i="2"/>
  <c r="O35" i="2" s="1"/>
  <c r="N30" i="2"/>
  <c r="M30" i="2"/>
  <c r="L30" i="2"/>
  <c r="L35" i="2" s="1"/>
  <c r="AZ29" i="2"/>
  <c r="AY29" i="2"/>
  <c r="AX29" i="2"/>
  <c r="AX34" i="2" s="1"/>
  <c r="AW29" i="2"/>
  <c r="AW34" i="2" s="1"/>
  <c r="AV29" i="2"/>
  <c r="AU29" i="2"/>
  <c r="AT29" i="2"/>
  <c r="AT34" i="2" s="1"/>
  <c r="AS29" i="2"/>
  <c r="AS34" i="2" s="1"/>
  <c r="AR29" i="2"/>
  <c r="AQ29" i="2"/>
  <c r="AP29" i="2"/>
  <c r="AP34" i="2" s="1"/>
  <c r="AO29" i="2"/>
  <c r="BB29" i="2" s="1"/>
  <c r="AK29" i="2"/>
  <c r="AK34" i="2" s="1"/>
  <c r="AJ29" i="2"/>
  <c r="AJ34" i="2" s="1"/>
  <c r="AI29" i="2"/>
  <c r="AH29" i="2"/>
  <c r="AG29" i="2"/>
  <c r="AG34" i="2" s="1"/>
  <c r="AF29" i="2"/>
  <c r="AF34" i="2" s="1"/>
  <c r="AE29" i="2"/>
  <c r="AD29" i="2"/>
  <c r="AC29" i="2"/>
  <c r="AC34" i="2" s="1"/>
  <c r="AB29" i="2"/>
  <c r="AM29" i="2" s="1"/>
  <c r="AA29" i="2"/>
  <c r="Z29" i="2"/>
  <c r="W29" i="2"/>
  <c r="W34" i="2" s="1"/>
  <c r="V29" i="2"/>
  <c r="U29" i="2"/>
  <c r="T29" i="2"/>
  <c r="T34" i="2" s="1"/>
  <c r="S29" i="2"/>
  <c r="S34" i="2" s="1"/>
  <c r="R29" i="2"/>
  <c r="Q29" i="2"/>
  <c r="P29" i="2"/>
  <c r="P34" i="2" s="1"/>
  <c r="O29" i="2"/>
  <c r="O34" i="2" s="1"/>
  <c r="N29" i="2"/>
  <c r="M29" i="2"/>
  <c r="L29" i="2"/>
  <c r="L34" i="2" s="1"/>
  <c r="F28" i="2"/>
  <c r="D28" i="2"/>
  <c r="F27" i="2"/>
  <c r="D27" i="2"/>
  <c r="F26" i="2"/>
  <c r="D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W25" i="2"/>
  <c r="V25" i="2"/>
  <c r="U25" i="2"/>
  <c r="T25" i="2"/>
  <c r="S25" i="2"/>
  <c r="R25" i="2"/>
  <c r="Q25" i="2"/>
  <c r="P25" i="2"/>
  <c r="O25" i="2"/>
  <c r="N25" i="2"/>
  <c r="M25" i="2"/>
  <c r="L25" i="2"/>
  <c r="E25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W24" i="2"/>
  <c r="V24" i="2"/>
  <c r="U24" i="2"/>
  <c r="T24" i="2"/>
  <c r="S24" i="2"/>
  <c r="R24" i="2"/>
  <c r="Q24" i="2"/>
  <c r="P24" i="2"/>
  <c r="O24" i="2"/>
  <c r="N24" i="2"/>
  <c r="M24" i="2"/>
  <c r="L24" i="2"/>
  <c r="F23" i="2"/>
  <c r="D23" i="2"/>
  <c r="BB22" i="2"/>
  <c r="D22" i="2" s="1"/>
  <c r="BA22" i="2"/>
  <c r="AM22" i="2"/>
  <c r="AL22" i="2"/>
  <c r="X22" i="2"/>
  <c r="G22" i="2"/>
  <c r="I22" i="2" s="1"/>
  <c r="F22" i="2"/>
  <c r="E22" i="2"/>
  <c r="BB21" i="2"/>
  <c r="D21" i="2" s="1"/>
  <c r="BA21" i="2"/>
  <c r="AM21" i="2"/>
  <c r="AL21" i="2"/>
  <c r="E21" i="2" s="1"/>
  <c r="X21" i="2"/>
  <c r="G21" i="2" s="1"/>
  <c r="F21" i="2"/>
  <c r="BB20" i="2"/>
  <c r="BB25" i="2" s="1"/>
  <c r="BA20" i="2"/>
  <c r="AM20" i="2"/>
  <c r="AL20" i="2"/>
  <c r="X20" i="2"/>
  <c r="X25" i="2" s="1"/>
  <c r="G20" i="2"/>
  <c r="I20" i="2" s="1"/>
  <c r="F20" i="2"/>
  <c r="F25" i="2" s="1"/>
  <c r="E20" i="2"/>
  <c r="BB19" i="2"/>
  <c r="BB24" i="2" s="1"/>
  <c r="BA19" i="2"/>
  <c r="BA24" i="2" s="1"/>
  <c r="AM19" i="2"/>
  <c r="AL19" i="2"/>
  <c r="E19" i="2" s="1"/>
  <c r="X19" i="2"/>
  <c r="X24" i="2" s="1"/>
  <c r="F19" i="2"/>
  <c r="F24" i="2" s="1"/>
  <c r="F18" i="2"/>
  <c r="D18" i="2"/>
  <c r="F17" i="2"/>
  <c r="D17" i="2"/>
  <c r="F16" i="2"/>
  <c r="D16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W15" i="2"/>
  <c r="V15" i="2"/>
  <c r="U15" i="2"/>
  <c r="T15" i="2"/>
  <c r="S15" i="2"/>
  <c r="R15" i="2"/>
  <c r="Q15" i="2"/>
  <c r="P15" i="2"/>
  <c r="O15" i="2"/>
  <c r="N15" i="2"/>
  <c r="M15" i="2"/>
  <c r="L15" i="2"/>
  <c r="D15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M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W14" i="2"/>
  <c r="V14" i="2"/>
  <c r="U14" i="2"/>
  <c r="T14" i="2"/>
  <c r="S14" i="2"/>
  <c r="R14" i="2"/>
  <c r="Q14" i="2"/>
  <c r="P14" i="2"/>
  <c r="O14" i="2"/>
  <c r="N14" i="2"/>
  <c r="M14" i="2"/>
  <c r="L14" i="2"/>
  <c r="AM13" i="2"/>
  <c r="F13" i="2"/>
  <c r="D13" i="2"/>
  <c r="BB12" i="2"/>
  <c r="BA12" i="2"/>
  <c r="AM12" i="2"/>
  <c r="AL12" i="2"/>
  <c r="E12" i="2" s="1"/>
  <c r="E32" i="2" s="1"/>
  <c r="X12" i="2"/>
  <c r="G12" i="2" s="1"/>
  <c r="F12" i="2"/>
  <c r="D12" i="2"/>
  <c r="BB11" i="2"/>
  <c r="BA11" i="2"/>
  <c r="AM11" i="2"/>
  <c r="F11" i="2" s="1"/>
  <c r="AL11" i="2"/>
  <c r="E11" i="2" s="1"/>
  <c r="X11" i="2"/>
  <c r="G11" i="2"/>
  <c r="D11" i="2"/>
  <c r="BB10" i="2"/>
  <c r="BB15" i="2" s="1"/>
  <c r="BA10" i="2"/>
  <c r="AM10" i="2"/>
  <c r="AL10" i="2"/>
  <c r="E10" i="2" s="1"/>
  <c r="X10" i="2"/>
  <c r="G10" i="2" s="1"/>
  <c r="F10" i="2"/>
  <c r="F15" i="2" s="1"/>
  <c r="D10" i="2"/>
  <c r="BB9" i="2"/>
  <c r="BB14" i="2" s="1"/>
  <c r="BA9" i="2"/>
  <c r="AM9" i="2"/>
  <c r="F9" i="2" s="1"/>
  <c r="AL9" i="2"/>
  <c r="E9" i="2" s="1"/>
  <c r="X9" i="2"/>
  <c r="X14" i="2" s="1"/>
  <c r="G9" i="2"/>
  <c r="G14" i="2" s="1"/>
  <c r="D9" i="2"/>
  <c r="D14" i="2" s="1"/>
  <c r="BB5" i="2"/>
  <c r="AO5" i="2"/>
  <c r="AM5" i="2"/>
  <c r="Z5" i="2"/>
  <c r="L5" i="2"/>
  <c r="G5" i="2"/>
  <c r="F5" i="2"/>
  <c r="E5" i="2"/>
  <c r="D5" i="2"/>
  <c r="E30" i="2" l="1"/>
  <c r="E35" i="2" s="1"/>
  <c r="E15" i="2"/>
  <c r="E29" i="2"/>
  <c r="E14" i="2"/>
  <c r="AM34" i="2"/>
  <c r="F29" i="2"/>
  <c r="F34" i="2" s="1"/>
  <c r="F14" i="2"/>
  <c r="E24" i="2"/>
  <c r="BB34" i="2"/>
  <c r="D29" i="2"/>
  <c r="D34" i="2" s="1"/>
  <c r="J11" i="2"/>
  <c r="J12" i="2"/>
  <c r="I12" i="2"/>
  <c r="H12" i="2"/>
  <c r="G32" i="2"/>
  <c r="AM35" i="2"/>
  <c r="F30" i="2"/>
  <c r="F35" i="2" s="1"/>
  <c r="J21" i="2"/>
  <c r="I21" i="2"/>
  <c r="H21" i="2"/>
  <c r="J14" i="2"/>
  <c r="I14" i="2"/>
  <c r="H14" i="2"/>
  <c r="J10" i="2"/>
  <c r="I10" i="2"/>
  <c r="H10" i="2"/>
  <c r="G15" i="2"/>
  <c r="G30" i="2"/>
  <c r="E31" i="2"/>
  <c r="BB35" i="2"/>
  <c r="D30" i="2"/>
  <c r="D35" i="2" s="1"/>
  <c r="G29" i="2"/>
  <c r="X29" i="2"/>
  <c r="X34" i="2" s="1"/>
  <c r="I9" i="2"/>
  <c r="I11" i="2"/>
  <c r="D20" i="2"/>
  <c r="D25" i="2" s="1"/>
  <c r="AO34" i="2"/>
  <c r="AO35" i="2"/>
  <c r="H9" i="2"/>
  <c r="H11" i="2"/>
  <c r="G19" i="2"/>
  <c r="X30" i="2"/>
  <c r="X35" i="2" s="1"/>
  <c r="G31" i="2"/>
  <c r="J9" i="2"/>
  <c r="X15" i="2"/>
  <c r="G25" i="2"/>
  <c r="AL14" i="2"/>
  <c r="J20" i="2"/>
  <c r="J22" i="2"/>
  <c r="BA29" i="2"/>
  <c r="BA34" i="2" s="1"/>
  <c r="BA30" i="2"/>
  <c r="BA31" i="2"/>
  <c r="BA32" i="2"/>
  <c r="D19" i="2"/>
  <c r="D24" i="2" s="1"/>
  <c r="H20" i="2"/>
  <c r="H22" i="2"/>
  <c r="AL29" i="2"/>
  <c r="AL34" i="2" s="1"/>
  <c r="AL30" i="2"/>
  <c r="AL35" i="2" s="1"/>
  <c r="AB34" i="2"/>
  <c r="AB35" i="2"/>
  <c r="J29" i="2" l="1"/>
  <c r="G34" i="2"/>
  <c r="I29" i="2"/>
  <c r="H29" i="2"/>
  <c r="J32" i="2"/>
  <c r="I32" i="2"/>
  <c r="H32" i="2"/>
  <c r="J25" i="2"/>
  <c r="I25" i="2"/>
  <c r="H25" i="2"/>
  <c r="J30" i="2"/>
  <c r="G35" i="2"/>
  <c r="I30" i="2"/>
  <c r="H30" i="2"/>
  <c r="BA35" i="2"/>
  <c r="J31" i="2"/>
  <c r="I31" i="2"/>
  <c r="H31" i="2"/>
  <c r="J15" i="2"/>
  <c r="I15" i="2"/>
  <c r="H15" i="2"/>
  <c r="E34" i="2"/>
  <c r="J19" i="2"/>
  <c r="G24" i="2"/>
  <c r="I19" i="2"/>
  <c r="H19" i="2"/>
  <c r="I34" i="2" l="1"/>
  <c r="J34" i="2"/>
  <c r="H34" i="2"/>
  <c r="J24" i="2"/>
  <c r="I24" i="2"/>
  <c r="H24" i="2"/>
  <c r="I35" i="2"/>
  <c r="J35" i="2"/>
  <c r="H35" i="2"/>
  <c r="G38" i="2"/>
</calcChain>
</file>

<file path=xl/sharedStrings.xml><?xml version="1.0" encoding="utf-8"?>
<sst xmlns="http://schemas.openxmlformats.org/spreadsheetml/2006/main" count="79" uniqueCount="33">
  <si>
    <t>Uraian</t>
  </si>
  <si>
    <t>Satuan</t>
  </si>
  <si>
    <t>Perbandingan (%)</t>
  </si>
  <si>
    <t>1</t>
  </si>
  <si>
    <t>2</t>
  </si>
  <si>
    <t>3</t>
  </si>
  <si>
    <t>4</t>
  </si>
  <si>
    <t>5 = 4 : 1</t>
  </si>
  <si>
    <t>6 = 4 : 2</t>
  </si>
  <si>
    <t>7 = 4 : 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</si>
  <si>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</si>
  <si>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</si>
  <si>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</si>
  <si>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</si>
  <si>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</si>
  <si>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</si>
  <si>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</si>
  <si>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</si>
  <si>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</si>
  <si>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</si>
  <si>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</si>
  <si>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</si>
  <si>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JML</t>
  </si>
  <si>
    <t>Dermaga Umum</t>
  </si>
  <si>
    <t>Luar Negeri</t>
  </si>
  <si>
    <t>Unit</t>
  </si>
  <si>
    <t>GT</t>
  </si>
  <si>
    <t>Dalam Negeri</t>
  </si>
  <si>
    <t>JUMLAH DERUM</t>
  </si>
  <si>
    <t>TUKS</t>
  </si>
  <si>
    <t>JUMLAH TUKS</t>
  </si>
  <si>
    <t>TOTAL ARUS KAPAL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</si>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</sst>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_);_(@_)"/>
    <numFmt numFmtId="165" formatCode="_-* #,##0_-;\-* #,##0_-;_-* &quot;-&quot;??_-;_-@"/>
    <numFmt numFmtId="166" formatCode="0.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Pragmatica book"/>
    </font>
    <font>
      <i/>
      <sz val="11"/>
      <color theme="1"/>
      <name val="Pragmatica book"/>
    </font>
    <font>
      <sz val="10"/>
      <color theme="1"/>
      <name val="Pragmatica book"/>
    </font>
    <font>
      <sz val="10"/>
      <color theme="0"/>
      <name val="Pragmatica book"/>
    </font>
    <font>
      <sz val="11"/>
      <name val="Calibri"/>
    </font>
    <font>
      <i/>
      <sz val="10"/>
      <color theme="1"/>
      <name val="Pragmatica book"/>
    </font>
    <font>
      <sz val="11"/>
      <color rgb="FF0000FF"/>
      <name val="Pragmatica book"/>
    </font>
    <font>
      <sz val="11"/>
      <color theme="1"/>
      <name val="Calibri"/>
    </font>
    <font>
      <i/>
      <sz val="11"/>
      <color rgb="FF0000FF"/>
      <name val="Pragmatica book"/>
    </font>
    <font>
      <b/>
      <sz val="11"/>
      <color theme="1"/>
      <name val="Pragmatica book"/>
    </font>
    <font>
      <b/>
      <i/>
      <sz val="11"/>
      <color rgb="FF0000FF"/>
      <name val="Pragmatica book"/>
    </font>
  </fonts>
  <fills count="10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11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/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/>
    <xf numFmtId="10" fontId="2" fillId="0" borderId="0" xfId="1" applyNumberFormat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6" fillId="0" borderId="4" xfId="1" applyFont="1" applyBorder="1"/>
    <xf numFmtId="0" fontId="6" fillId="0" borderId="5" xfId="1" applyFont="1" applyBorder="1"/>
    <xf numFmtId="164" fontId="5" fillId="2" borderId="6" xfId="1" applyNumberFormat="1" applyFont="1" applyFill="1" applyBorder="1" applyAlignment="1">
      <alignment horizontal="center" vertical="center" wrapText="1"/>
    </xf>
    <xf numFmtId="0" fontId="6" fillId="0" borderId="7" xfId="1" applyFont="1" applyBorder="1"/>
    <xf numFmtId="165" fontId="7" fillId="3" borderId="0" xfId="1" applyNumberFormat="1" applyFont="1" applyFill="1" applyAlignment="1">
      <alignment horizontal="center" vertical="center" wrapText="1"/>
    </xf>
    <xf numFmtId="0" fontId="6" fillId="0" borderId="8" xfId="1" applyFont="1" applyBorder="1"/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8" fillId="4" borderId="0" xfId="1" applyFont="1" applyFill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165" fontId="2" fillId="0" borderId="10" xfId="1" applyNumberFormat="1" applyFont="1" applyBorder="1" applyAlignment="1">
      <alignment vertical="center"/>
    </xf>
    <xf numFmtId="165" fontId="2" fillId="5" borderId="10" xfId="1" applyNumberFormat="1" applyFont="1" applyFill="1" applyBorder="1" applyAlignment="1">
      <alignment vertical="center"/>
    </xf>
    <xf numFmtId="166" fontId="2" fillId="6" borderId="10" xfId="1" applyNumberFormat="1" applyFont="1" applyFill="1" applyBorder="1" applyAlignment="1">
      <alignment vertical="center"/>
    </xf>
    <xf numFmtId="4" fontId="9" fillId="0" borderId="0" xfId="1" applyNumberFormat="1" applyFont="1" applyAlignment="1">
      <alignment horizontal="right"/>
    </xf>
    <xf numFmtId="165" fontId="8" fillId="7" borderId="0" xfId="1" applyNumberFormat="1" applyFont="1" applyFill="1" applyAlignment="1">
      <alignment vertical="center"/>
    </xf>
    <xf numFmtId="165" fontId="10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8" fillId="8" borderId="0" xfId="1" applyFont="1" applyFill="1" applyAlignment="1">
      <alignment horizontal="center" vertical="center"/>
    </xf>
    <xf numFmtId="0" fontId="2" fillId="8" borderId="0" xfId="1" applyFont="1" applyFill="1" applyAlignment="1">
      <alignment horizontal="center" vertical="center"/>
    </xf>
    <xf numFmtId="165" fontId="11" fillId="8" borderId="0" xfId="1" applyNumberFormat="1" applyFont="1" applyFill="1" applyAlignment="1">
      <alignment vertical="center"/>
    </xf>
    <xf numFmtId="166" fontId="11" fillId="8" borderId="2" xfId="1" applyNumberFormat="1" applyFont="1" applyFill="1" applyBorder="1" applyAlignment="1">
      <alignment vertical="center"/>
    </xf>
    <xf numFmtId="165" fontId="11" fillId="7" borderId="0" xfId="1" applyNumberFormat="1" applyFont="1" applyFill="1" applyAlignment="1">
      <alignment vertical="center"/>
    </xf>
    <xf numFmtId="165" fontId="12" fillId="9" borderId="0" xfId="1" applyNumberFormat="1" applyFont="1" applyFill="1" applyAlignment="1">
      <alignment vertical="center"/>
    </xf>
    <xf numFmtId="0" fontId="6" fillId="0" borderId="0" xfId="1" applyFont="1"/>
  </cellXfs>
  <cellStyles count="2">
    <cellStyle name="Normal" xfId="0" builtinId="0"/>
    <cellStyle name="Normal 2" xfId="1" xr:uid="{EFCF9D15-22BD-491E-B850-A42B64338E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BPR%20Non%20Keuangan%20Reg%202%20Banten%20Mei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 Share"/>
      <sheetName val="Lap Publikasi"/>
      <sheetName val="Investasi"/>
      <sheetName val="KPL"/>
      <sheetName val="BRG"/>
      <sheetName val="Kinerja"/>
      <sheetName val="Summary Ops"/>
      <sheetName val="Mitigasi Inv"/>
      <sheetName val="SDM"/>
      <sheetName val="Progress Inv"/>
      <sheetName val="Keluhan Pelanggan"/>
      <sheetName val="GM Forum"/>
      <sheetName val="Audit"/>
      <sheetName val="Value Creation"/>
      <sheetName val="Issue Strategis"/>
      <sheetName val="Lap HSSE"/>
      <sheetName val="Keg HSSE"/>
      <sheetName val="Memori HSSE"/>
    </sheetNames>
    <sheetDataSet>
      <sheetData sheetId="0"/>
      <sheetData sheetId="1"/>
      <sheetData sheetId="2"/>
      <sheetData sheetId="3"/>
      <sheetData sheetId="4">
        <row r="8">
          <cell r="D8" t="str">
            <v>REAL s.d. Mei 2025</v>
          </cell>
          <cell r="E8" t="str">
            <v>RKAP 
2026</v>
          </cell>
          <cell r="F8" t="str">
            <v>RKAP s.d. Mei 2026</v>
          </cell>
          <cell r="G8" t="str">
            <v>REAL s.d. 
Mei 2026</v>
          </cell>
          <cell r="L8" t="str">
            <v>REALISASI TAHUN 2026</v>
          </cell>
          <cell r="Z8" t="str">
            <v>RKAP TAHUN 2026</v>
          </cell>
          <cell r="AM8" t="str">
            <v>RKAP s/d MEI 2026</v>
          </cell>
          <cell r="AO8" t="str">
            <v>REALISASI TAHUN 2025</v>
          </cell>
          <cell r="BB8" t="str">
            <v>REAL s/d MEI 2025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ECC0-661F-4580-A196-4BBA20016F54}">
  <sheetPr>
    <tabColor rgb="FF0066CC"/>
  </sheetPr>
  <dimension ref="A1:BB1000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/>
  <cols>
    <col min="1" max="1" width="3.109375" style="3" customWidth="1"/>
    <col min="2" max="2" width="21.109375" style="3" customWidth="1"/>
    <col min="3" max="3" width="11.44140625" style="3" customWidth="1"/>
    <col min="4" max="4" width="17.109375" style="3" customWidth="1"/>
    <col min="5" max="7" width="17.44140625" style="3" customWidth="1"/>
    <col min="8" max="8" width="10" style="3" customWidth="1"/>
    <col min="9" max="9" width="8.33203125" style="3" customWidth="1"/>
    <col min="10" max="10" width="9.33203125" style="3" customWidth="1"/>
    <col min="11" max="11" width="9.109375" style="3" customWidth="1"/>
    <col min="12" max="12" width="15.88671875" style="3" customWidth="1"/>
    <col min="13" max="13" width="15.44140625" style="3" customWidth="1"/>
    <col min="14" max="21" width="15.88671875" style="3" customWidth="1"/>
    <col min="22" max="22" width="16.6640625" style="3" customWidth="1"/>
    <col min="23" max="23" width="15.88671875" style="3" customWidth="1"/>
    <col min="24" max="24" width="17.44140625" style="3" customWidth="1"/>
    <col min="25" max="25" width="17.6640625" style="3" customWidth="1"/>
    <col min="26" max="37" width="15.88671875" style="3" customWidth="1"/>
    <col min="38" max="39" width="17.44140625" style="3" customWidth="1"/>
    <col min="40" max="40" width="1.88671875" style="3" customWidth="1"/>
    <col min="41" max="46" width="15.88671875" style="3" customWidth="1"/>
    <col min="47" max="47" width="15.44140625" style="3" customWidth="1"/>
    <col min="48" max="52" width="15.88671875" style="3" customWidth="1"/>
    <col min="53" max="53" width="17.44140625" style="3" customWidth="1"/>
    <col min="54" max="54" width="18.109375" style="3" customWidth="1"/>
    <col min="55" max="16384" width="14.44140625" style="3"/>
  </cols>
  <sheetData>
    <row r="1" spans="1:54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</row>
    <row r="2" spans="1:54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</row>
    <row r="3" spans="1:54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</row>
    <row r="4" spans="1:5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</row>
    <row r="5" spans="1:54" ht="25.5" customHeight="1">
      <c r="A5" s="5"/>
      <c r="B5" s="6" t="s">
        <v>0</v>
      </c>
      <c r="C5" s="6" t="s">
        <v>1</v>
      </c>
      <c r="D5" s="7" t="str">
        <f>[1]BRG!D8</f>
        <v>REAL s.d. Mei 2025</v>
      </c>
      <c r="E5" s="7" t="str">
        <f>[1]BRG!E8</f>
        <v>RKAP 
2026</v>
      </c>
      <c r="F5" s="7" t="str">
        <f>[1]BRG!F8</f>
        <v>RKAP s.d. Mei 2026</v>
      </c>
      <c r="G5" s="7" t="str">
        <f>[1]BRG!G8</f>
        <v>REAL s.d. 
Mei 2026</v>
      </c>
      <c r="H5" s="8" t="s">
        <v>2</v>
      </c>
      <c r="I5" s="9"/>
      <c r="J5" s="10"/>
      <c r="K5" s="5"/>
      <c r="L5" s="11" t="str">
        <f>[1]BRG!L8</f>
        <v>REALISASI TAHUN 2026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5"/>
      <c r="Z5" s="11" t="str">
        <f>[1]BRG!Z8</f>
        <v>RKAP TAHUN 2026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 t="str">
        <f>[1]BRG!AM8</f>
        <v>RKAP s/d MEI 2026</v>
      </c>
      <c r="AN5" s="5"/>
      <c r="AO5" s="11" t="str">
        <f>[1]BRG!AO8</f>
        <v>REALISASI TAHUN 2025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3" t="str">
        <f>[1]BRG!BB8</f>
        <v>REAL s/d MEI 2025</v>
      </c>
    </row>
    <row r="6" spans="1:54" ht="25.5" customHeight="1">
      <c r="A6" s="5"/>
      <c r="B6" s="14"/>
      <c r="C6" s="14"/>
      <c r="D6" s="7" t="s">
        <v>3</v>
      </c>
      <c r="E6" s="7" t="s">
        <v>4</v>
      </c>
      <c r="F6" s="7" t="s">
        <v>5</v>
      </c>
      <c r="G6" s="7" t="s">
        <v>6</v>
      </c>
      <c r="H6" s="15" t="s">
        <v>7</v>
      </c>
      <c r="I6" s="15" t="s">
        <v>8</v>
      </c>
      <c r="J6" s="15" t="s">
        <v>9</v>
      </c>
      <c r="K6" s="5"/>
      <c r="L6" s="16" t="s">
        <v>10</v>
      </c>
      <c r="M6" s="16" t="s">
        <v>11</v>
      </c>
      <c r="N6" s="16" t="s">
        <v>12</v>
      </c>
      <c r="O6" s="16" t="s">
        <v>13</v>
      </c>
      <c r="P6" s="16" t="s">
        <v>14</v>
      </c>
      <c r="Q6" s="16" t="s">
        <v>15</v>
      </c>
      <c r="R6" s="16" t="s">
        <v>16</v>
      </c>
      <c r="S6" s="16" t="s">
        <v>17</v>
      </c>
      <c r="T6" s="16" t="s">
        <v>18</v>
      </c>
      <c r="U6" s="16" t="s">
        <v>19</v>
      </c>
      <c r="V6" s="16" t="s">
        <v>20</v>
      </c>
      <c r="W6" s="16" t="s">
        <v>21</v>
      </c>
      <c r="X6" s="16" t="s">
        <v>22</v>
      </c>
      <c r="Y6" s="5"/>
      <c r="Z6" s="16" t="s">
        <v>10</v>
      </c>
      <c r="AA6" s="16" t="s">
        <v>11</v>
      </c>
      <c r="AB6" s="16" t="s">
        <v>12</v>
      </c>
      <c r="AC6" s="16" t="s">
        <v>13</v>
      </c>
      <c r="AD6" s="16" t="s">
        <v>14</v>
      </c>
      <c r="AE6" s="16" t="s">
        <v>15</v>
      </c>
      <c r="AF6" s="16" t="s">
        <v>16</v>
      </c>
      <c r="AG6" s="16" t="s">
        <v>17</v>
      </c>
      <c r="AH6" s="16" t="s">
        <v>18</v>
      </c>
      <c r="AI6" s="16" t="s">
        <v>19</v>
      </c>
      <c r="AJ6" s="16" t="s">
        <v>20</v>
      </c>
      <c r="AK6" s="16" t="s">
        <v>21</v>
      </c>
      <c r="AL6" s="16" t="s">
        <v>22</v>
      </c>
      <c r="AM6" s="17"/>
      <c r="AN6" s="5"/>
      <c r="AO6" s="16" t="s">
        <v>10</v>
      </c>
      <c r="AP6" s="16" t="s">
        <v>11</v>
      </c>
      <c r="AQ6" s="16" t="s">
        <v>12</v>
      </c>
      <c r="AR6" s="16" t="s">
        <v>13</v>
      </c>
      <c r="AS6" s="16" t="s">
        <v>14</v>
      </c>
      <c r="AT6" s="16" t="s">
        <v>15</v>
      </c>
      <c r="AU6" s="16" t="s">
        <v>16</v>
      </c>
      <c r="AV6" s="16" t="s">
        <v>17</v>
      </c>
      <c r="AW6" s="16" t="s">
        <v>18</v>
      </c>
      <c r="AX6" s="16" t="s">
        <v>19</v>
      </c>
      <c r="AY6" s="16" t="s">
        <v>20</v>
      </c>
      <c r="AZ6" s="16" t="s">
        <v>21</v>
      </c>
      <c r="BA6" s="16" t="s">
        <v>22</v>
      </c>
      <c r="BB6" s="17"/>
    </row>
    <row r="7" spans="1:54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2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</row>
    <row r="8" spans="1:54" ht="14.4">
      <c r="A8" s="1"/>
      <c r="B8" s="18" t="s">
        <v>23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</row>
    <row r="9" spans="1:54" ht="15.75" customHeight="1">
      <c r="A9" s="1"/>
      <c r="B9" s="19" t="s">
        <v>24</v>
      </c>
      <c r="C9" s="20" t="s">
        <v>25</v>
      </c>
      <c r="D9" s="21">
        <f t="shared" ref="D9:D13" si="0">BB9</f>
        <v>53</v>
      </c>
      <c r="E9" s="21">
        <f t="shared" ref="E9:F12" si="1">AL9</f>
        <v>180</v>
      </c>
      <c r="F9" s="21">
        <f t="shared" si="1"/>
        <v>72</v>
      </c>
      <c r="G9" s="22">
        <f t="shared" ref="G9:G12" si="2">X9</f>
        <v>98</v>
      </c>
      <c r="H9" s="23">
        <f t="shared" ref="H9:H12" si="3">G9/D9</f>
        <v>1.8490566037735849</v>
      </c>
      <c r="I9" s="23">
        <f t="shared" ref="I9:I12" si="4">G9/E9</f>
        <v>0.5444444444444444</v>
      </c>
      <c r="J9" s="23">
        <f t="shared" ref="J9:J12" si="5">G9/F9</f>
        <v>1.3611111111111112</v>
      </c>
      <c r="K9" s="1"/>
      <c r="L9" s="24">
        <v>8</v>
      </c>
      <c r="M9" s="24">
        <v>21</v>
      </c>
      <c r="N9" s="24">
        <v>25</v>
      </c>
      <c r="O9" s="24">
        <v>24</v>
      </c>
      <c r="P9" s="24">
        <v>20</v>
      </c>
      <c r="Q9" s="24"/>
      <c r="R9" s="24"/>
      <c r="S9" s="24"/>
      <c r="T9" s="24"/>
      <c r="U9" s="24"/>
      <c r="V9" s="24"/>
      <c r="W9" s="24"/>
      <c r="X9" s="25">
        <f t="shared" ref="X9:X12" si="6">SUM(L9:W9)</f>
        <v>98</v>
      </c>
      <c r="Y9" s="1"/>
      <c r="Z9" s="24">
        <v>18</v>
      </c>
      <c r="AA9" s="24">
        <v>17</v>
      </c>
      <c r="AB9" s="24">
        <v>10</v>
      </c>
      <c r="AC9" s="24">
        <v>13</v>
      </c>
      <c r="AD9" s="24">
        <v>14</v>
      </c>
      <c r="AE9" s="24">
        <v>13</v>
      </c>
      <c r="AF9" s="24">
        <v>18</v>
      </c>
      <c r="AG9" s="24">
        <v>20</v>
      </c>
      <c r="AH9" s="24">
        <v>14</v>
      </c>
      <c r="AI9" s="24">
        <v>16</v>
      </c>
      <c r="AJ9" s="24">
        <v>16</v>
      </c>
      <c r="AK9" s="24">
        <v>11</v>
      </c>
      <c r="AL9" s="25">
        <f t="shared" ref="AL9:AL12" si="7">SUM(Z9:AK9)</f>
        <v>180</v>
      </c>
      <c r="AM9" s="25">
        <f t="shared" ref="AM9:AM12" si="8">SUM(Z9:AD9)</f>
        <v>72</v>
      </c>
      <c r="AN9" s="1"/>
      <c r="AO9" s="24">
        <v>17</v>
      </c>
      <c r="AP9" s="24">
        <v>15</v>
      </c>
      <c r="AQ9" s="24">
        <v>11</v>
      </c>
      <c r="AR9" s="24">
        <v>10</v>
      </c>
      <c r="AS9" s="24">
        <v>11</v>
      </c>
      <c r="AT9" s="24">
        <v>10</v>
      </c>
      <c r="AU9" s="24">
        <v>13</v>
      </c>
      <c r="AV9" s="24">
        <v>15</v>
      </c>
      <c r="AW9" s="24">
        <v>13</v>
      </c>
      <c r="AX9" s="24">
        <v>18</v>
      </c>
      <c r="AY9" s="24">
        <v>21</v>
      </c>
      <c r="AZ9" s="24">
        <v>30</v>
      </c>
      <c r="BA9" s="25">
        <f t="shared" ref="BA9:BA12" si="9">SUM(AO9:AZ9)</f>
        <v>184</v>
      </c>
      <c r="BB9" s="26">
        <f t="shared" ref="BB9:BB12" si="10">SUM(AO9:AR9)</f>
        <v>53</v>
      </c>
    </row>
    <row r="10" spans="1:54" ht="15.75" customHeight="1">
      <c r="A10" s="1"/>
      <c r="B10" s="19"/>
      <c r="C10" s="20" t="s">
        <v>26</v>
      </c>
      <c r="D10" s="21">
        <f t="shared" si="0"/>
        <v>1128943</v>
      </c>
      <c r="E10" s="21">
        <f t="shared" si="1"/>
        <v>3556185.78</v>
      </c>
      <c r="F10" s="21">
        <f t="shared" si="1"/>
        <v>1329754.81</v>
      </c>
      <c r="G10" s="22">
        <f t="shared" si="2"/>
        <v>1964950</v>
      </c>
      <c r="H10" s="23">
        <f t="shared" si="3"/>
        <v>1.7405218864017049</v>
      </c>
      <c r="I10" s="23">
        <f t="shared" si="4"/>
        <v>0.55254424868658014</v>
      </c>
      <c r="J10" s="23">
        <f t="shared" si="5"/>
        <v>1.4776784300558385</v>
      </c>
      <c r="K10" s="1"/>
      <c r="L10" s="24">
        <v>237879</v>
      </c>
      <c r="M10" s="24">
        <v>408723</v>
      </c>
      <c r="N10" s="24">
        <v>443842</v>
      </c>
      <c r="O10" s="24">
        <v>479387</v>
      </c>
      <c r="P10" s="24">
        <v>395119</v>
      </c>
      <c r="Q10" s="24"/>
      <c r="R10" s="24"/>
      <c r="S10" s="24"/>
      <c r="T10" s="24"/>
      <c r="U10" s="24"/>
      <c r="V10" s="24"/>
      <c r="W10" s="24"/>
      <c r="X10" s="25">
        <f t="shared" si="6"/>
        <v>1964950</v>
      </c>
      <c r="Y10" s="1"/>
      <c r="Z10" s="24">
        <v>398188</v>
      </c>
      <c r="AA10" s="24">
        <v>394114</v>
      </c>
      <c r="AB10" s="24">
        <v>176193.64</v>
      </c>
      <c r="AC10" s="24">
        <v>214017.67</v>
      </c>
      <c r="AD10" s="24">
        <v>147241.5</v>
      </c>
      <c r="AE10" s="24">
        <v>192415</v>
      </c>
      <c r="AF10" s="24">
        <v>433287</v>
      </c>
      <c r="AG10" s="24">
        <v>407802</v>
      </c>
      <c r="AH10" s="24">
        <v>288751.8</v>
      </c>
      <c r="AI10" s="24">
        <v>316222.5</v>
      </c>
      <c r="AJ10" s="24">
        <v>285676</v>
      </c>
      <c r="AK10" s="24">
        <v>302276.67</v>
      </c>
      <c r="AL10" s="25">
        <f t="shared" si="7"/>
        <v>3556185.78</v>
      </c>
      <c r="AM10" s="25">
        <f t="shared" si="8"/>
        <v>1329754.81</v>
      </c>
      <c r="AN10" s="1"/>
      <c r="AO10" s="24">
        <v>389265</v>
      </c>
      <c r="AP10" s="24">
        <v>376941</v>
      </c>
      <c r="AQ10" s="24">
        <v>161057</v>
      </c>
      <c r="AR10" s="24">
        <v>201680</v>
      </c>
      <c r="AS10" s="24">
        <v>134969</v>
      </c>
      <c r="AT10" s="24">
        <v>181706</v>
      </c>
      <c r="AU10" s="24">
        <v>249499</v>
      </c>
      <c r="AV10" s="24">
        <v>215717</v>
      </c>
      <c r="AW10" s="24">
        <v>278282</v>
      </c>
      <c r="AX10" s="24">
        <v>415958</v>
      </c>
      <c r="AY10" s="24">
        <v>493810</v>
      </c>
      <c r="AZ10" s="24">
        <v>592560</v>
      </c>
      <c r="BA10" s="25">
        <f t="shared" si="9"/>
        <v>3691444</v>
      </c>
      <c r="BB10" s="26">
        <f t="shared" si="10"/>
        <v>1128943</v>
      </c>
    </row>
    <row r="11" spans="1:54" ht="15.75" customHeight="1">
      <c r="A11" s="1"/>
      <c r="B11" s="19" t="s">
        <v>27</v>
      </c>
      <c r="C11" s="20" t="s">
        <v>25</v>
      </c>
      <c r="D11" s="21">
        <f t="shared" si="0"/>
        <v>278</v>
      </c>
      <c r="E11" s="21">
        <f t="shared" si="1"/>
        <v>674</v>
      </c>
      <c r="F11" s="21">
        <f t="shared" si="1"/>
        <v>318</v>
      </c>
      <c r="G11" s="22">
        <f t="shared" si="2"/>
        <v>634</v>
      </c>
      <c r="H11" s="23">
        <f t="shared" si="3"/>
        <v>2.2805755395683454</v>
      </c>
      <c r="I11" s="23">
        <f t="shared" si="4"/>
        <v>0.94065281899109787</v>
      </c>
      <c r="J11" s="23">
        <f t="shared" si="5"/>
        <v>1.9937106918238994</v>
      </c>
      <c r="K11" s="1"/>
      <c r="L11" s="24">
        <v>61</v>
      </c>
      <c r="M11" s="24">
        <v>97</v>
      </c>
      <c r="N11" s="24">
        <v>119</v>
      </c>
      <c r="O11" s="24">
        <v>186</v>
      </c>
      <c r="P11" s="24">
        <v>171</v>
      </c>
      <c r="Q11" s="24"/>
      <c r="R11" s="24"/>
      <c r="S11" s="24"/>
      <c r="T11" s="24"/>
      <c r="U11" s="24"/>
      <c r="V11" s="24"/>
      <c r="W11" s="24"/>
      <c r="X11" s="25">
        <f t="shared" si="6"/>
        <v>634</v>
      </c>
      <c r="Y11" s="1"/>
      <c r="Z11" s="24">
        <v>44</v>
      </c>
      <c r="AA11" s="24">
        <v>38</v>
      </c>
      <c r="AB11" s="24">
        <v>162</v>
      </c>
      <c r="AC11" s="24">
        <v>38</v>
      </c>
      <c r="AD11" s="24">
        <v>36</v>
      </c>
      <c r="AE11" s="24">
        <v>55</v>
      </c>
      <c r="AF11" s="24">
        <v>54</v>
      </c>
      <c r="AG11" s="24">
        <v>51</v>
      </c>
      <c r="AH11" s="24">
        <v>48</v>
      </c>
      <c r="AI11" s="24">
        <v>49</v>
      </c>
      <c r="AJ11" s="24">
        <v>51</v>
      </c>
      <c r="AK11" s="24">
        <v>48</v>
      </c>
      <c r="AL11" s="25">
        <f t="shared" si="7"/>
        <v>674</v>
      </c>
      <c r="AM11" s="25">
        <f t="shared" si="8"/>
        <v>318</v>
      </c>
      <c r="AN11" s="1"/>
      <c r="AO11" s="24">
        <v>38</v>
      </c>
      <c r="AP11" s="24">
        <v>35</v>
      </c>
      <c r="AQ11" s="24">
        <v>169</v>
      </c>
      <c r="AR11" s="24">
        <v>36</v>
      </c>
      <c r="AS11" s="24">
        <v>28</v>
      </c>
      <c r="AT11" s="24">
        <v>59</v>
      </c>
      <c r="AU11" s="24">
        <v>38</v>
      </c>
      <c r="AV11" s="24">
        <v>33</v>
      </c>
      <c r="AW11" s="24">
        <v>42</v>
      </c>
      <c r="AX11" s="24">
        <v>102</v>
      </c>
      <c r="AY11" s="24">
        <v>104</v>
      </c>
      <c r="AZ11" s="24">
        <v>122</v>
      </c>
      <c r="BA11" s="25">
        <f t="shared" si="9"/>
        <v>806</v>
      </c>
      <c r="BB11" s="26">
        <f t="shared" si="10"/>
        <v>278</v>
      </c>
    </row>
    <row r="12" spans="1:54" ht="15.75" customHeight="1">
      <c r="A12" s="1"/>
      <c r="B12" s="19"/>
      <c r="C12" s="20" t="s">
        <v>26</v>
      </c>
      <c r="D12" s="21">
        <f t="shared" si="0"/>
        <v>1409906</v>
      </c>
      <c r="E12" s="21">
        <f t="shared" si="1"/>
        <v>2508863.23</v>
      </c>
      <c r="F12" s="21">
        <f t="shared" si="1"/>
        <v>1566616.23</v>
      </c>
      <c r="G12" s="22">
        <f t="shared" si="2"/>
        <v>1338067</v>
      </c>
      <c r="H12" s="23">
        <f t="shared" si="3"/>
        <v>0.94904695774044512</v>
      </c>
      <c r="I12" s="23">
        <f t="shared" si="4"/>
        <v>0.53333596825842122</v>
      </c>
      <c r="J12" s="23">
        <f t="shared" si="5"/>
        <v>0.85411281612983159</v>
      </c>
      <c r="K12" s="1"/>
      <c r="L12" s="24">
        <v>140878</v>
      </c>
      <c r="M12" s="24">
        <v>196329</v>
      </c>
      <c r="N12" s="24">
        <v>252421</v>
      </c>
      <c r="O12" s="24">
        <v>366641</v>
      </c>
      <c r="P12" s="24">
        <v>381798</v>
      </c>
      <c r="Q12" s="24"/>
      <c r="R12" s="24"/>
      <c r="S12" s="24"/>
      <c r="T12" s="24"/>
      <c r="U12" s="24"/>
      <c r="V12" s="24"/>
      <c r="W12" s="24"/>
      <c r="X12" s="25">
        <f t="shared" si="6"/>
        <v>1338067</v>
      </c>
      <c r="Y12" s="1"/>
      <c r="Z12" s="24">
        <v>78283</v>
      </c>
      <c r="AA12" s="24">
        <v>111711</v>
      </c>
      <c r="AB12" s="24">
        <v>1217990.23</v>
      </c>
      <c r="AC12" s="24">
        <v>77015</v>
      </c>
      <c r="AD12" s="24">
        <v>81617</v>
      </c>
      <c r="AE12" s="24">
        <v>141116</v>
      </c>
      <c r="AF12" s="24">
        <v>132527</v>
      </c>
      <c r="AG12" s="24">
        <v>133063</v>
      </c>
      <c r="AH12" s="24">
        <v>142388</v>
      </c>
      <c r="AI12" s="24">
        <v>125520</v>
      </c>
      <c r="AJ12" s="24">
        <v>125043</v>
      </c>
      <c r="AK12" s="24">
        <v>142590</v>
      </c>
      <c r="AL12" s="25">
        <f t="shared" si="7"/>
        <v>2508863.23</v>
      </c>
      <c r="AM12" s="25">
        <f t="shared" si="8"/>
        <v>1566616.23</v>
      </c>
      <c r="AN12" s="1"/>
      <c r="AO12" s="24">
        <v>68379</v>
      </c>
      <c r="AP12" s="24">
        <v>100262</v>
      </c>
      <c r="AQ12" s="24">
        <v>1170101</v>
      </c>
      <c r="AR12" s="24">
        <v>71164</v>
      </c>
      <c r="AS12" s="24">
        <v>56069</v>
      </c>
      <c r="AT12" s="24">
        <v>173332</v>
      </c>
      <c r="AU12" s="24">
        <v>100361</v>
      </c>
      <c r="AV12" s="24">
        <v>63520</v>
      </c>
      <c r="AW12" s="24">
        <v>107207</v>
      </c>
      <c r="AX12" s="24">
        <v>202382</v>
      </c>
      <c r="AY12" s="24">
        <v>159285</v>
      </c>
      <c r="AZ12" s="24">
        <v>275160</v>
      </c>
      <c r="BA12" s="25">
        <f t="shared" si="9"/>
        <v>2547222</v>
      </c>
      <c r="BB12" s="26">
        <f t="shared" si="10"/>
        <v>1409906</v>
      </c>
    </row>
    <row r="13" spans="1:54" ht="14.25" customHeight="1">
      <c r="A13" s="1"/>
      <c r="B13" s="1"/>
      <c r="C13" s="1"/>
      <c r="D13" s="27">
        <f t="shared" si="0"/>
        <v>0</v>
      </c>
      <c r="E13" s="1"/>
      <c r="F13" s="27">
        <f>AM13</f>
        <v>0</v>
      </c>
      <c r="G13" s="1"/>
      <c r="H13" s="1"/>
      <c r="I13" s="1"/>
      <c r="J13" s="1"/>
      <c r="K13" s="1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26">
        <f>SUM(Z13:AB13)</f>
        <v>0</v>
      </c>
      <c r="AN13" s="1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1"/>
      <c r="BB13" s="26"/>
    </row>
    <row r="14" spans="1:54" ht="14.4">
      <c r="A14" s="1"/>
      <c r="B14" s="28" t="s">
        <v>28</v>
      </c>
      <c r="C14" s="29" t="s">
        <v>25</v>
      </c>
      <c r="D14" s="30">
        <f t="shared" ref="D14:G15" si="11">D9+D11</f>
        <v>331</v>
      </c>
      <c r="E14" s="30">
        <f t="shared" si="11"/>
        <v>854</v>
      </c>
      <c r="F14" s="30">
        <f t="shared" si="11"/>
        <v>390</v>
      </c>
      <c r="G14" s="30">
        <f t="shared" si="11"/>
        <v>732</v>
      </c>
      <c r="H14" s="31">
        <f t="shared" ref="H14:H15" si="12">G14/D14</f>
        <v>2.2114803625377641</v>
      </c>
      <c r="I14" s="31">
        <f t="shared" ref="I14:I15" si="13">G14/E14</f>
        <v>0.8571428571428571</v>
      </c>
      <c r="J14" s="31">
        <f t="shared" ref="J14:J15" si="14">G14/F14</f>
        <v>1.8769230769230769</v>
      </c>
      <c r="K14" s="1"/>
      <c r="L14" s="32">
        <f t="shared" ref="L14:X15" si="15">L9+L11</f>
        <v>69</v>
      </c>
      <c r="M14" s="32">
        <f t="shared" si="15"/>
        <v>118</v>
      </c>
      <c r="N14" s="32">
        <f t="shared" si="15"/>
        <v>144</v>
      </c>
      <c r="O14" s="32">
        <f t="shared" si="15"/>
        <v>210</v>
      </c>
      <c r="P14" s="32">
        <f t="shared" si="15"/>
        <v>191</v>
      </c>
      <c r="Q14" s="32">
        <f t="shared" si="15"/>
        <v>0</v>
      </c>
      <c r="R14" s="32">
        <f t="shared" si="15"/>
        <v>0</v>
      </c>
      <c r="S14" s="32">
        <f t="shared" si="15"/>
        <v>0</v>
      </c>
      <c r="T14" s="32">
        <f t="shared" si="15"/>
        <v>0</v>
      </c>
      <c r="U14" s="32">
        <f t="shared" si="15"/>
        <v>0</v>
      </c>
      <c r="V14" s="32">
        <f t="shared" si="15"/>
        <v>0</v>
      </c>
      <c r="W14" s="32">
        <f t="shared" si="15"/>
        <v>0</v>
      </c>
      <c r="X14" s="32">
        <f t="shared" si="15"/>
        <v>732</v>
      </c>
      <c r="Y14" s="1"/>
      <c r="Z14" s="32">
        <f t="shared" ref="Z14:AM15" si="16">Z9+Z11</f>
        <v>62</v>
      </c>
      <c r="AA14" s="32">
        <f t="shared" si="16"/>
        <v>55</v>
      </c>
      <c r="AB14" s="32">
        <f t="shared" si="16"/>
        <v>172</v>
      </c>
      <c r="AC14" s="32">
        <f t="shared" si="16"/>
        <v>51</v>
      </c>
      <c r="AD14" s="32">
        <f t="shared" si="16"/>
        <v>50</v>
      </c>
      <c r="AE14" s="32">
        <f t="shared" si="16"/>
        <v>68</v>
      </c>
      <c r="AF14" s="32">
        <f t="shared" si="16"/>
        <v>72</v>
      </c>
      <c r="AG14" s="32">
        <f t="shared" si="16"/>
        <v>71</v>
      </c>
      <c r="AH14" s="32">
        <f t="shared" si="16"/>
        <v>62</v>
      </c>
      <c r="AI14" s="32">
        <f t="shared" si="16"/>
        <v>65</v>
      </c>
      <c r="AJ14" s="32">
        <f t="shared" si="16"/>
        <v>67</v>
      </c>
      <c r="AK14" s="32">
        <f t="shared" si="16"/>
        <v>59</v>
      </c>
      <c r="AL14" s="32">
        <f t="shared" si="16"/>
        <v>854</v>
      </c>
      <c r="AM14" s="33">
        <f t="shared" si="16"/>
        <v>390</v>
      </c>
      <c r="AN14" s="1"/>
      <c r="AO14" s="32">
        <f t="shared" ref="AO14:BB15" si="17">AO9+AO11</f>
        <v>55</v>
      </c>
      <c r="AP14" s="32">
        <f t="shared" si="17"/>
        <v>50</v>
      </c>
      <c r="AQ14" s="32">
        <f t="shared" si="17"/>
        <v>180</v>
      </c>
      <c r="AR14" s="32">
        <f t="shared" si="17"/>
        <v>46</v>
      </c>
      <c r="AS14" s="32">
        <f t="shared" si="17"/>
        <v>39</v>
      </c>
      <c r="AT14" s="32">
        <f t="shared" si="17"/>
        <v>69</v>
      </c>
      <c r="AU14" s="32">
        <f t="shared" si="17"/>
        <v>51</v>
      </c>
      <c r="AV14" s="32">
        <f t="shared" si="17"/>
        <v>48</v>
      </c>
      <c r="AW14" s="32">
        <f t="shared" si="17"/>
        <v>55</v>
      </c>
      <c r="AX14" s="32">
        <f t="shared" si="17"/>
        <v>120</v>
      </c>
      <c r="AY14" s="32">
        <f t="shared" si="17"/>
        <v>125</v>
      </c>
      <c r="AZ14" s="32">
        <f t="shared" si="17"/>
        <v>152</v>
      </c>
      <c r="BA14" s="32">
        <f t="shared" si="17"/>
        <v>990</v>
      </c>
      <c r="BB14" s="33">
        <f t="shared" si="17"/>
        <v>331</v>
      </c>
    </row>
    <row r="15" spans="1:54" ht="14.4">
      <c r="A15" s="1"/>
      <c r="B15" s="34"/>
      <c r="C15" s="29" t="s">
        <v>26</v>
      </c>
      <c r="D15" s="30">
        <f t="shared" si="11"/>
        <v>2538849</v>
      </c>
      <c r="E15" s="30">
        <f t="shared" si="11"/>
        <v>6065049.0099999998</v>
      </c>
      <c r="F15" s="30">
        <f t="shared" si="11"/>
        <v>2896371.04</v>
      </c>
      <c r="G15" s="30">
        <f t="shared" si="11"/>
        <v>3303017</v>
      </c>
      <c r="H15" s="31">
        <f t="shared" si="12"/>
        <v>1.3009899367784379</v>
      </c>
      <c r="I15" s="31">
        <f t="shared" si="13"/>
        <v>0.54459856706087861</v>
      </c>
      <c r="J15" s="31">
        <f t="shared" si="14"/>
        <v>1.1403984345873035</v>
      </c>
      <c r="K15" s="1"/>
      <c r="L15" s="32">
        <f t="shared" si="15"/>
        <v>378757</v>
      </c>
      <c r="M15" s="32">
        <f t="shared" si="15"/>
        <v>605052</v>
      </c>
      <c r="N15" s="32">
        <f t="shared" si="15"/>
        <v>696263</v>
      </c>
      <c r="O15" s="32">
        <f t="shared" si="15"/>
        <v>846028</v>
      </c>
      <c r="P15" s="32">
        <f t="shared" si="15"/>
        <v>776917</v>
      </c>
      <c r="Q15" s="32">
        <f t="shared" si="15"/>
        <v>0</v>
      </c>
      <c r="R15" s="32">
        <f t="shared" si="15"/>
        <v>0</v>
      </c>
      <c r="S15" s="32">
        <f t="shared" si="15"/>
        <v>0</v>
      </c>
      <c r="T15" s="32">
        <f t="shared" si="15"/>
        <v>0</v>
      </c>
      <c r="U15" s="32">
        <f t="shared" si="15"/>
        <v>0</v>
      </c>
      <c r="V15" s="32">
        <f t="shared" si="15"/>
        <v>0</v>
      </c>
      <c r="W15" s="32">
        <f t="shared" si="15"/>
        <v>0</v>
      </c>
      <c r="X15" s="32">
        <f t="shared" si="15"/>
        <v>3303017</v>
      </c>
      <c r="Y15" s="1"/>
      <c r="Z15" s="32">
        <f t="shared" si="16"/>
        <v>476471</v>
      </c>
      <c r="AA15" s="32">
        <f t="shared" si="16"/>
        <v>505825</v>
      </c>
      <c r="AB15" s="32">
        <f t="shared" si="16"/>
        <v>1394183.87</v>
      </c>
      <c r="AC15" s="32">
        <f t="shared" si="16"/>
        <v>291032.67000000004</v>
      </c>
      <c r="AD15" s="32">
        <f t="shared" si="16"/>
        <v>228858.5</v>
      </c>
      <c r="AE15" s="32">
        <f t="shared" si="16"/>
        <v>333531</v>
      </c>
      <c r="AF15" s="32">
        <f t="shared" si="16"/>
        <v>565814</v>
      </c>
      <c r="AG15" s="32">
        <f t="shared" si="16"/>
        <v>540865</v>
      </c>
      <c r="AH15" s="32">
        <f t="shared" si="16"/>
        <v>431139.8</v>
      </c>
      <c r="AI15" s="32">
        <f t="shared" si="16"/>
        <v>441742.5</v>
      </c>
      <c r="AJ15" s="32">
        <f t="shared" si="16"/>
        <v>410719</v>
      </c>
      <c r="AK15" s="32">
        <f t="shared" si="16"/>
        <v>444866.67</v>
      </c>
      <c r="AL15" s="32">
        <f t="shared" si="16"/>
        <v>6065049.0099999998</v>
      </c>
      <c r="AM15" s="33">
        <f t="shared" si="16"/>
        <v>2896371.04</v>
      </c>
      <c r="AN15" s="1"/>
      <c r="AO15" s="32">
        <f t="shared" si="17"/>
        <v>457644</v>
      </c>
      <c r="AP15" s="32">
        <f t="shared" si="17"/>
        <v>477203</v>
      </c>
      <c r="AQ15" s="32">
        <f t="shared" si="17"/>
        <v>1331158</v>
      </c>
      <c r="AR15" s="32">
        <f t="shared" si="17"/>
        <v>272844</v>
      </c>
      <c r="AS15" s="32">
        <f t="shared" si="17"/>
        <v>191038</v>
      </c>
      <c r="AT15" s="32">
        <f t="shared" si="17"/>
        <v>355038</v>
      </c>
      <c r="AU15" s="32">
        <f t="shared" si="17"/>
        <v>349860</v>
      </c>
      <c r="AV15" s="32">
        <f t="shared" si="17"/>
        <v>279237</v>
      </c>
      <c r="AW15" s="32">
        <f t="shared" si="17"/>
        <v>385489</v>
      </c>
      <c r="AX15" s="32">
        <f t="shared" si="17"/>
        <v>618340</v>
      </c>
      <c r="AY15" s="32">
        <f t="shared" si="17"/>
        <v>653095</v>
      </c>
      <c r="AZ15" s="32">
        <f t="shared" si="17"/>
        <v>867720</v>
      </c>
      <c r="BA15" s="32">
        <f t="shared" si="17"/>
        <v>6238666</v>
      </c>
      <c r="BB15" s="33">
        <f t="shared" si="17"/>
        <v>2538849</v>
      </c>
    </row>
    <row r="16" spans="1:54" ht="15.75" customHeight="1">
      <c r="A16" s="1"/>
      <c r="B16" s="1"/>
      <c r="C16" s="1"/>
      <c r="D16" s="27">
        <f t="shared" ref="D16:D23" si="18">BB16</f>
        <v>0</v>
      </c>
      <c r="E16" s="1"/>
      <c r="F16" s="27">
        <f t="shared" ref="F16:F18" si="19">AM16</f>
        <v>0</v>
      </c>
      <c r="G16" s="1"/>
      <c r="H16" s="1"/>
      <c r="I16" s="1"/>
      <c r="J16" s="1"/>
      <c r="K16" s="1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26"/>
      <c r="AN16" s="1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1"/>
      <c r="BB16" s="26"/>
    </row>
    <row r="17" spans="1:54" ht="15.75" customHeight="1">
      <c r="A17" s="1"/>
      <c r="B17" s="1"/>
      <c r="C17" s="1"/>
      <c r="D17" s="27">
        <f t="shared" si="18"/>
        <v>0</v>
      </c>
      <c r="E17" s="1"/>
      <c r="F17" s="27">
        <f t="shared" si="19"/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26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6"/>
    </row>
    <row r="18" spans="1:54" ht="14.4">
      <c r="A18" s="1"/>
      <c r="B18" s="18" t="s">
        <v>29</v>
      </c>
      <c r="C18" s="1"/>
      <c r="D18" s="27">
        <f t="shared" si="18"/>
        <v>0</v>
      </c>
      <c r="E18" s="1"/>
      <c r="F18" s="27">
        <f t="shared" si="19"/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26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6"/>
    </row>
    <row r="19" spans="1:54" ht="15.75" customHeight="1">
      <c r="A19" s="1"/>
      <c r="B19" s="19" t="s">
        <v>24</v>
      </c>
      <c r="C19" s="20" t="s">
        <v>25</v>
      </c>
      <c r="D19" s="21">
        <f t="shared" si="18"/>
        <v>156</v>
      </c>
      <c r="E19" s="21">
        <f t="shared" ref="E19:F22" si="20">AL19</f>
        <v>558</v>
      </c>
      <c r="F19" s="21">
        <f t="shared" si="20"/>
        <v>209</v>
      </c>
      <c r="G19" s="22">
        <f t="shared" ref="G19:G22" si="21">X19</f>
        <v>247</v>
      </c>
      <c r="H19" s="23">
        <f t="shared" ref="H19:H22" si="22">G19/D19</f>
        <v>1.5833333333333333</v>
      </c>
      <c r="I19" s="23">
        <f t="shared" ref="I19:I22" si="23">G19/E19</f>
        <v>0.44265232974910396</v>
      </c>
      <c r="J19" s="23">
        <f t="shared" ref="J19:J22" si="24">G19/F19</f>
        <v>1.1818181818181819</v>
      </c>
      <c r="K19" s="1"/>
      <c r="L19" s="24">
        <v>42</v>
      </c>
      <c r="M19" s="24">
        <v>54</v>
      </c>
      <c r="N19" s="24">
        <v>55</v>
      </c>
      <c r="O19" s="24">
        <v>40</v>
      </c>
      <c r="P19" s="24">
        <v>56</v>
      </c>
      <c r="Q19" s="24"/>
      <c r="R19" s="24"/>
      <c r="S19" s="24"/>
      <c r="T19" s="24"/>
      <c r="U19" s="24"/>
      <c r="V19" s="24"/>
      <c r="W19" s="24"/>
      <c r="X19" s="25">
        <f t="shared" ref="X19:X22" si="25">SUM(L19:W19)</f>
        <v>247</v>
      </c>
      <c r="Y19" s="1"/>
      <c r="Z19" s="24">
        <v>47</v>
      </c>
      <c r="AA19" s="24">
        <v>45</v>
      </c>
      <c r="AB19" s="24">
        <v>33</v>
      </c>
      <c r="AC19" s="24">
        <v>50</v>
      </c>
      <c r="AD19" s="24">
        <v>34</v>
      </c>
      <c r="AE19" s="24">
        <v>54</v>
      </c>
      <c r="AF19" s="24">
        <v>52</v>
      </c>
      <c r="AG19" s="24">
        <v>49</v>
      </c>
      <c r="AH19" s="24">
        <v>39</v>
      </c>
      <c r="AI19" s="24">
        <v>54</v>
      </c>
      <c r="AJ19" s="24">
        <v>36</v>
      </c>
      <c r="AK19" s="24">
        <v>65</v>
      </c>
      <c r="AL19" s="25">
        <f t="shared" ref="AL19:AL22" si="26">SUM(Z19:AK19)</f>
        <v>558</v>
      </c>
      <c r="AM19" s="25">
        <f t="shared" ref="AM19:AM22" si="27">SUM(Z19:AD19)</f>
        <v>209</v>
      </c>
      <c r="AN19" s="1"/>
      <c r="AO19" s="24">
        <v>42</v>
      </c>
      <c r="AP19" s="24">
        <v>39</v>
      </c>
      <c r="AQ19" s="24">
        <v>34</v>
      </c>
      <c r="AR19" s="24">
        <v>41</v>
      </c>
      <c r="AS19" s="24">
        <v>28</v>
      </c>
      <c r="AT19" s="24">
        <v>46</v>
      </c>
      <c r="AU19" s="24">
        <v>53</v>
      </c>
      <c r="AV19" s="24">
        <v>60</v>
      </c>
      <c r="AW19" s="24">
        <v>47</v>
      </c>
      <c r="AX19" s="24">
        <v>46</v>
      </c>
      <c r="AY19" s="24">
        <v>46</v>
      </c>
      <c r="AZ19" s="24">
        <v>61</v>
      </c>
      <c r="BA19" s="25">
        <f t="shared" ref="BA19:BA22" si="28">SUM(AO19:AZ19)</f>
        <v>543</v>
      </c>
      <c r="BB19" s="26">
        <f t="shared" ref="BB19:BB22" si="29">SUM(AO19:AR19)</f>
        <v>156</v>
      </c>
    </row>
    <row r="20" spans="1:54" ht="15.75" customHeight="1">
      <c r="A20" s="1"/>
      <c r="B20" s="19"/>
      <c r="C20" s="20" t="s">
        <v>26</v>
      </c>
      <c r="D20" s="21">
        <f t="shared" si="18"/>
        <v>2961610</v>
      </c>
      <c r="E20" s="21">
        <f t="shared" si="20"/>
        <v>10386516.999999998</v>
      </c>
      <c r="F20" s="21">
        <f t="shared" si="20"/>
        <v>3925095.6299999994</v>
      </c>
      <c r="G20" s="22">
        <f t="shared" si="21"/>
        <v>4308561</v>
      </c>
      <c r="H20" s="23">
        <f t="shared" si="22"/>
        <v>1.4548036372108415</v>
      </c>
      <c r="I20" s="23">
        <f t="shared" si="23"/>
        <v>0.41482250498410589</v>
      </c>
      <c r="J20" s="23">
        <f t="shared" si="24"/>
        <v>1.0976958031465849</v>
      </c>
      <c r="K20" s="1"/>
      <c r="L20" s="24">
        <v>775467</v>
      </c>
      <c r="M20" s="24">
        <v>898075</v>
      </c>
      <c r="N20" s="24">
        <v>897928</v>
      </c>
      <c r="O20" s="24">
        <v>707336</v>
      </c>
      <c r="P20" s="24">
        <v>1029755</v>
      </c>
      <c r="Q20" s="24"/>
      <c r="R20" s="24"/>
      <c r="S20" s="24"/>
      <c r="T20" s="24"/>
      <c r="U20" s="24"/>
      <c r="V20" s="24"/>
      <c r="W20" s="24"/>
      <c r="X20" s="25">
        <f t="shared" si="25"/>
        <v>4308561</v>
      </c>
      <c r="Y20" s="1"/>
      <c r="Z20" s="24">
        <v>818334</v>
      </c>
      <c r="AA20" s="24">
        <v>831636.32</v>
      </c>
      <c r="AB20" s="24">
        <v>544942.4</v>
      </c>
      <c r="AC20" s="24">
        <v>1020029.51</v>
      </c>
      <c r="AD20" s="24">
        <v>710153.4</v>
      </c>
      <c r="AE20" s="24">
        <v>1038716.6</v>
      </c>
      <c r="AF20" s="24">
        <v>907674.72</v>
      </c>
      <c r="AG20" s="24">
        <v>930650.1</v>
      </c>
      <c r="AH20" s="24">
        <v>673225.27</v>
      </c>
      <c r="AI20" s="24">
        <v>1123718.8700000001</v>
      </c>
      <c r="AJ20" s="24">
        <v>714364.55</v>
      </c>
      <c r="AK20" s="24">
        <v>1073071.26</v>
      </c>
      <c r="AL20" s="25">
        <f t="shared" si="26"/>
        <v>10386516.999999998</v>
      </c>
      <c r="AM20" s="25">
        <f t="shared" si="27"/>
        <v>3925095.6299999994</v>
      </c>
      <c r="AN20" s="1"/>
      <c r="AO20" s="24">
        <v>751064</v>
      </c>
      <c r="AP20" s="24">
        <v>793643</v>
      </c>
      <c r="AQ20" s="24">
        <v>638452</v>
      </c>
      <c r="AR20" s="24">
        <v>778451</v>
      </c>
      <c r="AS20" s="24">
        <v>471189</v>
      </c>
      <c r="AT20" s="24">
        <v>860023</v>
      </c>
      <c r="AU20" s="24">
        <v>931908</v>
      </c>
      <c r="AV20" s="24">
        <v>954947</v>
      </c>
      <c r="AW20" s="24">
        <v>882950</v>
      </c>
      <c r="AX20" s="24">
        <v>886889</v>
      </c>
      <c r="AY20" s="24">
        <v>692057</v>
      </c>
      <c r="AZ20" s="24">
        <v>1247528</v>
      </c>
      <c r="BA20" s="25">
        <f t="shared" si="28"/>
        <v>9889101</v>
      </c>
      <c r="BB20" s="26">
        <f t="shared" si="29"/>
        <v>2961610</v>
      </c>
    </row>
    <row r="21" spans="1:54" ht="15.75" customHeight="1">
      <c r="A21" s="1"/>
      <c r="B21" s="19" t="s">
        <v>27</v>
      </c>
      <c r="C21" s="20" t="s">
        <v>25</v>
      </c>
      <c r="D21" s="21">
        <f t="shared" si="18"/>
        <v>1265</v>
      </c>
      <c r="E21" s="21">
        <f t="shared" si="20"/>
        <v>4260</v>
      </c>
      <c r="F21" s="21">
        <f t="shared" si="20"/>
        <v>1670</v>
      </c>
      <c r="G21" s="22">
        <f t="shared" si="21"/>
        <v>1218</v>
      </c>
      <c r="H21" s="23">
        <f t="shared" si="22"/>
        <v>0.96284584980237153</v>
      </c>
      <c r="I21" s="23">
        <f t="shared" si="23"/>
        <v>0.28591549295774649</v>
      </c>
      <c r="J21" s="23">
        <f t="shared" si="24"/>
        <v>0.72934131736526941</v>
      </c>
      <c r="K21" s="1"/>
      <c r="L21" s="24">
        <v>214</v>
      </c>
      <c r="M21" s="24">
        <v>212</v>
      </c>
      <c r="N21" s="24">
        <v>323</v>
      </c>
      <c r="O21" s="24">
        <v>233</v>
      </c>
      <c r="P21" s="24">
        <v>236</v>
      </c>
      <c r="Q21" s="24"/>
      <c r="R21" s="24"/>
      <c r="S21" s="24"/>
      <c r="T21" s="24"/>
      <c r="U21" s="24"/>
      <c r="V21" s="24"/>
      <c r="W21" s="24"/>
      <c r="X21" s="25">
        <f t="shared" si="25"/>
        <v>1218</v>
      </c>
      <c r="Y21" s="1"/>
      <c r="Z21" s="24">
        <v>326</v>
      </c>
      <c r="AA21" s="24">
        <v>307</v>
      </c>
      <c r="AB21" s="24">
        <v>310</v>
      </c>
      <c r="AC21" s="24">
        <v>365</v>
      </c>
      <c r="AD21" s="24">
        <v>362</v>
      </c>
      <c r="AE21" s="24">
        <v>338</v>
      </c>
      <c r="AF21" s="24">
        <v>367</v>
      </c>
      <c r="AG21" s="24">
        <v>348</v>
      </c>
      <c r="AH21" s="24">
        <v>352</v>
      </c>
      <c r="AI21" s="24">
        <v>399</v>
      </c>
      <c r="AJ21" s="24">
        <v>406</v>
      </c>
      <c r="AK21" s="24">
        <v>380</v>
      </c>
      <c r="AL21" s="25">
        <f t="shared" si="26"/>
        <v>4260</v>
      </c>
      <c r="AM21" s="25">
        <f t="shared" si="27"/>
        <v>1670</v>
      </c>
      <c r="AN21" s="1"/>
      <c r="AO21" s="24">
        <v>316</v>
      </c>
      <c r="AP21" s="24">
        <v>296</v>
      </c>
      <c r="AQ21" s="24">
        <v>302</v>
      </c>
      <c r="AR21" s="24">
        <v>351</v>
      </c>
      <c r="AS21" s="24">
        <v>356</v>
      </c>
      <c r="AT21" s="24">
        <v>319</v>
      </c>
      <c r="AU21" s="24">
        <v>303</v>
      </c>
      <c r="AV21" s="24">
        <v>340</v>
      </c>
      <c r="AW21" s="24">
        <v>320</v>
      </c>
      <c r="AX21" s="24">
        <v>254</v>
      </c>
      <c r="AY21" s="24">
        <v>213</v>
      </c>
      <c r="AZ21" s="24">
        <v>269</v>
      </c>
      <c r="BA21" s="25">
        <f t="shared" si="28"/>
        <v>3639</v>
      </c>
      <c r="BB21" s="26">
        <f t="shared" si="29"/>
        <v>1265</v>
      </c>
    </row>
    <row r="22" spans="1:54" ht="15.75" customHeight="1">
      <c r="A22" s="1"/>
      <c r="B22" s="19"/>
      <c r="C22" s="20" t="s">
        <v>26</v>
      </c>
      <c r="D22" s="21">
        <f t="shared" si="18"/>
        <v>8040449</v>
      </c>
      <c r="E22" s="21">
        <f t="shared" si="20"/>
        <v>26036137</v>
      </c>
      <c r="F22" s="21">
        <f t="shared" si="20"/>
        <v>10355196</v>
      </c>
      <c r="G22" s="22">
        <f t="shared" si="21"/>
        <v>9771942</v>
      </c>
      <c r="H22" s="23">
        <f t="shared" si="22"/>
        <v>1.2153477996067135</v>
      </c>
      <c r="I22" s="23">
        <f t="shared" si="23"/>
        <v>0.37532226843022065</v>
      </c>
      <c r="J22" s="23">
        <f t="shared" si="24"/>
        <v>0.94367523318728108</v>
      </c>
      <c r="K22" s="1"/>
      <c r="L22" s="24">
        <v>2919461</v>
      </c>
      <c r="M22" s="24">
        <v>1809127</v>
      </c>
      <c r="N22" s="24">
        <v>1706268</v>
      </c>
      <c r="O22" s="24">
        <v>1730829</v>
      </c>
      <c r="P22" s="24">
        <v>1606257</v>
      </c>
      <c r="Q22" s="24"/>
      <c r="R22" s="24"/>
      <c r="S22" s="24"/>
      <c r="T22" s="24"/>
      <c r="U22" s="24"/>
      <c r="V22" s="24"/>
      <c r="W22" s="24"/>
      <c r="X22" s="25">
        <f t="shared" si="25"/>
        <v>9771942</v>
      </c>
      <c r="Y22" s="1"/>
      <c r="Z22" s="24">
        <v>2177774</v>
      </c>
      <c r="AA22" s="24">
        <v>1979321</v>
      </c>
      <c r="AB22" s="24">
        <v>1907462</v>
      </c>
      <c r="AC22" s="24">
        <v>2258463</v>
      </c>
      <c r="AD22" s="24">
        <v>2032176</v>
      </c>
      <c r="AE22" s="24">
        <v>2092176</v>
      </c>
      <c r="AF22" s="24">
        <v>2367673</v>
      </c>
      <c r="AG22" s="24">
        <v>2174331</v>
      </c>
      <c r="AH22" s="24">
        <v>2104503</v>
      </c>
      <c r="AI22" s="24">
        <v>2422255</v>
      </c>
      <c r="AJ22" s="24">
        <v>2341317</v>
      </c>
      <c r="AK22" s="24">
        <v>2178686</v>
      </c>
      <c r="AL22" s="25">
        <f t="shared" si="26"/>
        <v>26036137</v>
      </c>
      <c r="AM22" s="25">
        <f t="shared" si="27"/>
        <v>10355196</v>
      </c>
      <c r="AN22" s="1"/>
      <c r="AO22" s="24">
        <v>2145496</v>
      </c>
      <c r="AP22" s="24">
        <v>1902910</v>
      </c>
      <c r="AQ22" s="24">
        <v>1836467</v>
      </c>
      <c r="AR22" s="24">
        <v>2155576</v>
      </c>
      <c r="AS22" s="24">
        <v>2102098</v>
      </c>
      <c r="AT22" s="24">
        <v>1980220</v>
      </c>
      <c r="AU22" s="24">
        <v>1971105</v>
      </c>
      <c r="AV22" s="24">
        <v>1960654</v>
      </c>
      <c r="AW22" s="24">
        <v>1787095</v>
      </c>
      <c r="AX22" s="24">
        <v>1650808</v>
      </c>
      <c r="AY22" s="24">
        <v>1582875</v>
      </c>
      <c r="AZ22" s="24">
        <v>1598269</v>
      </c>
      <c r="BA22" s="25">
        <f t="shared" si="28"/>
        <v>22673573</v>
      </c>
      <c r="BB22" s="26">
        <f t="shared" si="29"/>
        <v>8040449</v>
      </c>
    </row>
    <row r="23" spans="1:54" ht="14.25" customHeight="1">
      <c r="A23" s="1"/>
      <c r="B23" s="1"/>
      <c r="C23" s="1"/>
      <c r="D23" s="21">
        <f t="shared" si="18"/>
        <v>0</v>
      </c>
      <c r="E23" s="1"/>
      <c r="F23" s="27">
        <f>AM23</f>
        <v>0</v>
      </c>
      <c r="G23" s="1"/>
      <c r="H23" s="1"/>
      <c r="I23" s="1"/>
      <c r="J23" s="1"/>
      <c r="K23" s="1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26"/>
      <c r="AN23" s="1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1"/>
      <c r="BB23" s="26"/>
    </row>
    <row r="24" spans="1:54" ht="15.75" customHeight="1">
      <c r="A24" s="1"/>
      <c r="B24" s="28" t="s">
        <v>30</v>
      </c>
      <c r="C24" s="29" t="s">
        <v>25</v>
      </c>
      <c r="D24" s="30">
        <f t="shared" ref="D24:G25" si="30">D19+D21</f>
        <v>1421</v>
      </c>
      <c r="E24" s="30">
        <f t="shared" si="30"/>
        <v>4818</v>
      </c>
      <c r="F24" s="30">
        <f t="shared" si="30"/>
        <v>1879</v>
      </c>
      <c r="G24" s="30">
        <f t="shared" si="30"/>
        <v>1465</v>
      </c>
      <c r="H24" s="31">
        <f t="shared" ref="H24:H25" si="31">G24/D24</f>
        <v>1.0309641097818438</v>
      </c>
      <c r="I24" s="31">
        <f t="shared" ref="I24:I25" si="32">G24/E24</f>
        <v>0.30406807804068076</v>
      </c>
      <c r="J24" s="31">
        <f t="shared" ref="J24:J25" si="33">G24/F24</f>
        <v>0.77967003725385842</v>
      </c>
      <c r="K24" s="1"/>
      <c r="L24" s="32">
        <f t="shared" ref="L24:X25" si="34">L19+L21</f>
        <v>256</v>
      </c>
      <c r="M24" s="32">
        <f t="shared" si="34"/>
        <v>266</v>
      </c>
      <c r="N24" s="32">
        <f t="shared" si="34"/>
        <v>378</v>
      </c>
      <c r="O24" s="32">
        <f t="shared" si="34"/>
        <v>273</v>
      </c>
      <c r="P24" s="32">
        <f t="shared" si="34"/>
        <v>292</v>
      </c>
      <c r="Q24" s="32">
        <f t="shared" si="34"/>
        <v>0</v>
      </c>
      <c r="R24" s="32">
        <f t="shared" si="34"/>
        <v>0</v>
      </c>
      <c r="S24" s="32">
        <f t="shared" si="34"/>
        <v>0</v>
      </c>
      <c r="T24" s="32">
        <f t="shared" si="34"/>
        <v>0</v>
      </c>
      <c r="U24" s="32">
        <f t="shared" si="34"/>
        <v>0</v>
      </c>
      <c r="V24" s="32">
        <f t="shared" si="34"/>
        <v>0</v>
      </c>
      <c r="W24" s="32">
        <f t="shared" si="34"/>
        <v>0</v>
      </c>
      <c r="X24" s="32">
        <f t="shared" si="34"/>
        <v>1465</v>
      </c>
      <c r="Y24" s="1"/>
      <c r="Z24" s="32">
        <f t="shared" ref="Z24:AM25" si="35">Z19+Z21</f>
        <v>373</v>
      </c>
      <c r="AA24" s="32">
        <f t="shared" si="35"/>
        <v>352</v>
      </c>
      <c r="AB24" s="32">
        <f t="shared" si="35"/>
        <v>343</v>
      </c>
      <c r="AC24" s="32">
        <f t="shared" si="35"/>
        <v>415</v>
      </c>
      <c r="AD24" s="32">
        <f t="shared" si="35"/>
        <v>396</v>
      </c>
      <c r="AE24" s="32">
        <f t="shared" si="35"/>
        <v>392</v>
      </c>
      <c r="AF24" s="32">
        <f t="shared" si="35"/>
        <v>419</v>
      </c>
      <c r="AG24" s="32">
        <f t="shared" si="35"/>
        <v>397</v>
      </c>
      <c r="AH24" s="32">
        <f t="shared" si="35"/>
        <v>391</v>
      </c>
      <c r="AI24" s="32">
        <f t="shared" si="35"/>
        <v>453</v>
      </c>
      <c r="AJ24" s="32">
        <f t="shared" si="35"/>
        <v>442</v>
      </c>
      <c r="AK24" s="32">
        <f t="shared" si="35"/>
        <v>445</v>
      </c>
      <c r="AL24" s="32">
        <f t="shared" si="35"/>
        <v>4818</v>
      </c>
      <c r="AM24" s="33">
        <f t="shared" si="35"/>
        <v>1879</v>
      </c>
      <c r="AN24" s="1"/>
      <c r="AO24" s="32">
        <f t="shared" ref="AO24:BB25" si="36">AO19+AO21</f>
        <v>358</v>
      </c>
      <c r="AP24" s="32">
        <f t="shared" si="36"/>
        <v>335</v>
      </c>
      <c r="AQ24" s="32">
        <f t="shared" si="36"/>
        <v>336</v>
      </c>
      <c r="AR24" s="32">
        <f t="shared" si="36"/>
        <v>392</v>
      </c>
      <c r="AS24" s="32">
        <f t="shared" si="36"/>
        <v>384</v>
      </c>
      <c r="AT24" s="32">
        <f t="shared" si="36"/>
        <v>365</v>
      </c>
      <c r="AU24" s="32">
        <f t="shared" si="36"/>
        <v>356</v>
      </c>
      <c r="AV24" s="32">
        <f t="shared" si="36"/>
        <v>400</v>
      </c>
      <c r="AW24" s="32">
        <f t="shared" si="36"/>
        <v>367</v>
      </c>
      <c r="AX24" s="32">
        <f t="shared" si="36"/>
        <v>300</v>
      </c>
      <c r="AY24" s="32">
        <f t="shared" si="36"/>
        <v>259</v>
      </c>
      <c r="AZ24" s="32">
        <f t="shared" si="36"/>
        <v>330</v>
      </c>
      <c r="BA24" s="32">
        <f t="shared" si="36"/>
        <v>4182</v>
      </c>
      <c r="BB24" s="33">
        <f t="shared" si="36"/>
        <v>1421</v>
      </c>
    </row>
    <row r="25" spans="1:54" ht="15.75" customHeight="1">
      <c r="A25" s="1"/>
      <c r="B25" s="34"/>
      <c r="C25" s="29" t="s">
        <v>26</v>
      </c>
      <c r="D25" s="30">
        <f t="shared" si="30"/>
        <v>11002059</v>
      </c>
      <c r="E25" s="30">
        <f t="shared" si="30"/>
        <v>36422654</v>
      </c>
      <c r="F25" s="30">
        <f t="shared" si="30"/>
        <v>14280291.629999999</v>
      </c>
      <c r="G25" s="30">
        <f t="shared" si="30"/>
        <v>14080503</v>
      </c>
      <c r="H25" s="31">
        <f t="shared" si="31"/>
        <v>1.2798061708267516</v>
      </c>
      <c r="I25" s="31">
        <f t="shared" si="32"/>
        <v>0.38658640855770698</v>
      </c>
      <c r="J25" s="31">
        <f t="shared" si="33"/>
        <v>0.98600948529788546</v>
      </c>
      <c r="K25" s="1"/>
      <c r="L25" s="32">
        <f t="shared" si="34"/>
        <v>3694928</v>
      </c>
      <c r="M25" s="32">
        <f t="shared" si="34"/>
        <v>2707202</v>
      </c>
      <c r="N25" s="32">
        <f t="shared" si="34"/>
        <v>2604196</v>
      </c>
      <c r="O25" s="32">
        <f t="shared" si="34"/>
        <v>2438165</v>
      </c>
      <c r="P25" s="32">
        <f t="shared" si="34"/>
        <v>2636012</v>
      </c>
      <c r="Q25" s="32">
        <f t="shared" si="34"/>
        <v>0</v>
      </c>
      <c r="R25" s="32">
        <f t="shared" si="34"/>
        <v>0</v>
      </c>
      <c r="S25" s="32">
        <f t="shared" si="34"/>
        <v>0</v>
      </c>
      <c r="T25" s="32">
        <f t="shared" si="34"/>
        <v>0</v>
      </c>
      <c r="U25" s="32">
        <f t="shared" si="34"/>
        <v>0</v>
      </c>
      <c r="V25" s="32">
        <f t="shared" si="34"/>
        <v>0</v>
      </c>
      <c r="W25" s="32">
        <f t="shared" si="34"/>
        <v>0</v>
      </c>
      <c r="X25" s="32">
        <f t="shared" si="34"/>
        <v>14080503</v>
      </c>
      <c r="Y25" s="1"/>
      <c r="Z25" s="32">
        <f t="shared" si="35"/>
        <v>2996108</v>
      </c>
      <c r="AA25" s="32">
        <f t="shared" si="35"/>
        <v>2810957.32</v>
      </c>
      <c r="AB25" s="32">
        <f t="shared" si="35"/>
        <v>2452404.4</v>
      </c>
      <c r="AC25" s="32">
        <f t="shared" si="35"/>
        <v>3278492.51</v>
      </c>
      <c r="AD25" s="32">
        <f t="shared" si="35"/>
        <v>2742329.4</v>
      </c>
      <c r="AE25" s="32">
        <f t="shared" si="35"/>
        <v>3130892.6</v>
      </c>
      <c r="AF25" s="32">
        <f t="shared" si="35"/>
        <v>3275347.7199999997</v>
      </c>
      <c r="AG25" s="32">
        <f t="shared" si="35"/>
        <v>3104981.1</v>
      </c>
      <c r="AH25" s="32">
        <f t="shared" si="35"/>
        <v>2777728.27</v>
      </c>
      <c r="AI25" s="32">
        <f t="shared" si="35"/>
        <v>3545973.87</v>
      </c>
      <c r="AJ25" s="32">
        <f t="shared" si="35"/>
        <v>3055681.55</v>
      </c>
      <c r="AK25" s="32">
        <f t="shared" si="35"/>
        <v>3251757.26</v>
      </c>
      <c r="AL25" s="32">
        <f t="shared" si="35"/>
        <v>36422654</v>
      </c>
      <c r="AM25" s="33">
        <f t="shared" si="35"/>
        <v>14280291.629999999</v>
      </c>
      <c r="AN25" s="1"/>
      <c r="AO25" s="32">
        <f t="shared" si="36"/>
        <v>2896560</v>
      </c>
      <c r="AP25" s="32">
        <f t="shared" si="36"/>
        <v>2696553</v>
      </c>
      <c r="AQ25" s="32">
        <f t="shared" si="36"/>
        <v>2474919</v>
      </c>
      <c r="AR25" s="32">
        <f t="shared" si="36"/>
        <v>2934027</v>
      </c>
      <c r="AS25" s="32">
        <f t="shared" si="36"/>
        <v>2573287</v>
      </c>
      <c r="AT25" s="32">
        <f t="shared" si="36"/>
        <v>2840243</v>
      </c>
      <c r="AU25" s="32">
        <f t="shared" si="36"/>
        <v>2903013</v>
      </c>
      <c r="AV25" s="32">
        <f t="shared" si="36"/>
        <v>2915601</v>
      </c>
      <c r="AW25" s="32">
        <f t="shared" si="36"/>
        <v>2670045</v>
      </c>
      <c r="AX25" s="32">
        <f t="shared" si="36"/>
        <v>2537697</v>
      </c>
      <c r="AY25" s="32">
        <f t="shared" si="36"/>
        <v>2274932</v>
      </c>
      <c r="AZ25" s="32">
        <f t="shared" si="36"/>
        <v>2845797</v>
      </c>
      <c r="BA25" s="32">
        <f t="shared" si="36"/>
        <v>32562674</v>
      </c>
      <c r="BB25" s="33">
        <f t="shared" si="36"/>
        <v>11002059</v>
      </c>
    </row>
    <row r="26" spans="1:54" ht="15.75" customHeight="1">
      <c r="A26" s="1"/>
      <c r="B26" s="1"/>
      <c r="C26" s="1"/>
      <c r="D26" s="27">
        <f t="shared" ref="D26:D33" si="37">BB26</f>
        <v>0</v>
      </c>
      <c r="E26" s="1"/>
      <c r="F26" s="27">
        <f t="shared" ref="F26:F33" si="38">AM26</f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6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26"/>
    </row>
    <row r="27" spans="1:54" ht="15.75" customHeight="1">
      <c r="A27" s="1"/>
      <c r="B27" s="1"/>
      <c r="C27" s="1"/>
      <c r="D27" s="27">
        <f t="shared" si="37"/>
        <v>0</v>
      </c>
      <c r="E27" s="1"/>
      <c r="F27" s="27">
        <f t="shared" si="38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6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26"/>
    </row>
    <row r="28" spans="1:54" ht="15.75" customHeight="1">
      <c r="A28" s="1"/>
      <c r="B28" s="18" t="s">
        <v>31</v>
      </c>
      <c r="C28" s="1"/>
      <c r="D28" s="27">
        <f t="shared" si="37"/>
        <v>0</v>
      </c>
      <c r="E28" s="1"/>
      <c r="F28" s="27">
        <f t="shared" si="38"/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6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26"/>
    </row>
    <row r="29" spans="1:54" ht="15.75" customHeight="1">
      <c r="A29" s="1"/>
      <c r="B29" s="19" t="s">
        <v>24</v>
      </c>
      <c r="C29" s="20" t="s">
        <v>25</v>
      </c>
      <c r="D29" s="21">
        <f t="shared" si="37"/>
        <v>209</v>
      </c>
      <c r="E29" s="21">
        <f t="shared" ref="E29:E32" si="39">E9+E19</f>
        <v>738</v>
      </c>
      <c r="F29" s="21">
        <f t="shared" si="38"/>
        <v>281</v>
      </c>
      <c r="G29" s="22">
        <f t="shared" ref="G29:G32" si="40">G9+G19</f>
        <v>345</v>
      </c>
      <c r="H29" s="23">
        <f t="shared" ref="H29:H32" si="41">G29/D29</f>
        <v>1.6507177033492824</v>
      </c>
      <c r="I29" s="23">
        <f t="shared" ref="I29:I32" si="42">G29/E29</f>
        <v>0.46747967479674796</v>
      </c>
      <c r="J29" s="23">
        <f t="shared" ref="J29:J32" si="43">G29/F29</f>
        <v>1.2277580071174377</v>
      </c>
      <c r="K29" s="1"/>
      <c r="L29" s="27">
        <f t="shared" ref="L29:W32" si="44">L9+L19</f>
        <v>50</v>
      </c>
      <c r="M29" s="27">
        <f t="shared" si="44"/>
        <v>75</v>
      </c>
      <c r="N29" s="27">
        <f t="shared" si="44"/>
        <v>80</v>
      </c>
      <c r="O29" s="27">
        <f t="shared" si="44"/>
        <v>64</v>
      </c>
      <c r="P29" s="27">
        <f t="shared" si="44"/>
        <v>76</v>
      </c>
      <c r="Q29" s="27">
        <f t="shared" si="44"/>
        <v>0</v>
      </c>
      <c r="R29" s="27">
        <f t="shared" si="44"/>
        <v>0</v>
      </c>
      <c r="S29" s="27">
        <f t="shared" si="44"/>
        <v>0</v>
      </c>
      <c r="T29" s="27">
        <f t="shared" si="44"/>
        <v>0</v>
      </c>
      <c r="U29" s="27">
        <f t="shared" si="44"/>
        <v>0</v>
      </c>
      <c r="V29" s="27">
        <f t="shared" si="44"/>
        <v>0</v>
      </c>
      <c r="W29" s="27">
        <f t="shared" si="44"/>
        <v>0</v>
      </c>
      <c r="X29" s="25">
        <f t="shared" ref="X29:X32" si="45">SUM(L29:W29)</f>
        <v>345</v>
      </c>
      <c r="Y29" s="1"/>
      <c r="Z29" s="27">
        <f t="shared" ref="Z29:AK32" si="46">Z9+Z19</f>
        <v>65</v>
      </c>
      <c r="AA29" s="27">
        <f t="shared" si="46"/>
        <v>62</v>
      </c>
      <c r="AB29" s="27">
        <f t="shared" si="46"/>
        <v>43</v>
      </c>
      <c r="AC29" s="27">
        <f t="shared" si="46"/>
        <v>63</v>
      </c>
      <c r="AD29" s="27">
        <f t="shared" si="46"/>
        <v>48</v>
      </c>
      <c r="AE29" s="27">
        <f t="shared" si="46"/>
        <v>67</v>
      </c>
      <c r="AF29" s="27">
        <f t="shared" si="46"/>
        <v>70</v>
      </c>
      <c r="AG29" s="27">
        <f t="shared" si="46"/>
        <v>69</v>
      </c>
      <c r="AH29" s="27">
        <f t="shared" si="46"/>
        <v>53</v>
      </c>
      <c r="AI29" s="27">
        <f t="shared" si="46"/>
        <v>70</v>
      </c>
      <c r="AJ29" s="27">
        <f t="shared" si="46"/>
        <v>52</v>
      </c>
      <c r="AK29" s="27">
        <f t="shared" si="46"/>
        <v>76</v>
      </c>
      <c r="AL29" s="25">
        <f t="shared" ref="AL29:AL32" si="47">SUM(Z29:AK29)</f>
        <v>738</v>
      </c>
      <c r="AM29" s="25">
        <f t="shared" ref="AM29:AM32" si="48">SUM(Z29:AD29)</f>
        <v>281</v>
      </c>
      <c r="AN29" s="1"/>
      <c r="AO29" s="27">
        <f t="shared" ref="AO29:AZ32" si="49">AO9+AO19</f>
        <v>59</v>
      </c>
      <c r="AP29" s="27">
        <f t="shared" si="49"/>
        <v>54</v>
      </c>
      <c r="AQ29" s="27">
        <f t="shared" si="49"/>
        <v>45</v>
      </c>
      <c r="AR29" s="27">
        <f t="shared" si="49"/>
        <v>51</v>
      </c>
      <c r="AS29" s="27">
        <f t="shared" si="49"/>
        <v>39</v>
      </c>
      <c r="AT29" s="27">
        <f t="shared" si="49"/>
        <v>56</v>
      </c>
      <c r="AU29" s="27">
        <f t="shared" si="49"/>
        <v>66</v>
      </c>
      <c r="AV29" s="27">
        <f t="shared" si="49"/>
        <v>75</v>
      </c>
      <c r="AW29" s="27">
        <f t="shared" si="49"/>
        <v>60</v>
      </c>
      <c r="AX29" s="27">
        <f t="shared" si="49"/>
        <v>64</v>
      </c>
      <c r="AY29" s="27">
        <f t="shared" si="49"/>
        <v>67</v>
      </c>
      <c r="AZ29" s="27">
        <f t="shared" si="49"/>
        <v>91</v>
      </c>
      <c r="BA29" s="25">
        <f t="shared" ref="BA29:BA32" si="50">SUM(AO29:AZ29)</f>
        <v>727</v>
      </c>
      <c r="BB29" s="26">
        <f t="shared" ref="BB29:BB32" si="51">SUM(AO29:AR29)</f>
        <v>209</v>
      </c>
    </row>
    <row r="30" spans="1:54" ht="15.75" customHeight="1">
      <c r="A30" s="1"/>
      <c r="B30" s="19"/>
      <c r="C30" s="20" t="s">
        <v>26</v>
      </c>
      <c r="D30" s="21">
        <f t="shared" si="37"/>
        <v>4090553</v>
      </c>
      <c r="E30" s="21">
        <f t="shared" si="39"/>
        <v>13942702.779999997</v>
      </c>
      <c r="F30" s="21">
        <f t="shared" si="38"/>
        <v>5254850.4400000004</v>
      </c>
      <c r="G30" s="22">
        <f t="shared" si="40"/>
        <v>6273511</v>
      </c>
      <c r="H30" s="23">
        <f t="shared" si="41"/>
        <v>1.5336584075551642</v>
      </c>
      <c r="I30" s="23">
        <f t="shared" si="42"/>
        <v>0.44994941791336107</v>
      </c>
      <c r="J30" s="23">
        <f t="shared" si="43"/>
        <v>1.1938514847627137</v>
      </c>
      <c r="K30" s="1"/>
      <c r="L30" s="27">
        <f t="shared" si="44"/>
        <v>1013346</v>
      </c>
      <c r="M30" s="27">
        <f t="shared" si="44"/>
        <v>1306798</v>
      </c>
      <c r="N30" s="27">
        <f t="shared" si="44"/>
        <v>1341770</v>
      </c>
      <c r="O30" s="27">
        <f t="shared" si="44"/>
        <v>1186723</v>
      </c>
      <c r="P30" s="27">
        <f t="shared" si="44"/>
        <v>1424874</v>
      </c>
      <c r="Q30" s="27">
        <f t="shared" si="44"/>
        <v>0</v>
      </c>
      <c r="R30" s="27">
        <f t="shared" si="44"/>
        <v>0</v>
      </c>
      <c r="S30" s="27">
        <f t="shared" si="44"/>
        <v>0</v>
      </c>
      <c r="T30" s="27">
        <f t="shared" si="44"/>
        <v>0</v>
      </c>
      <c r="U30" s="27">
        <f t="shared" si="44"/>
        <v>0</v>
      </c>
      <c r="V30" s="27">
        <f t="shared" si="44"/>
        <v>0</v>
      </c>
      <c r="W30" s="27">
        <f t="shared" si="44"/>
        <v>0</v>
      </c>
      <c r="X30" s="25">
        <f t="shared" si="45"/>
        <v>6273511</v>
      </c>
      <c r="Y30" s="1"/>
      <c r="Z30" s="27">
        <f t="shared" si="46"/>
        <v>1216522</v>
      </c>
      <c r="AA30" s="27">
        <f t="shared" si="46"/>
        <v>1225750.3199999998</v>
      </c>
      <c r="AB30" s="27">
        <f t="shared" si="46"/>
        <v>721136.04</v>
      </c>
      <c r="AC30" s="27">
        <f t="shared" si="46"/>
        <v>1234047.18</v>
      </c>
      <c r="AD30" s="27">
        <f t="shared" si="46"/>
        <v>857394.9</v>
      </c>
      <c r="AE30" s="27">
        <f t="shared" si="46"/>
        <v>1231131.6000000001</v>
      </c>
      <c r="AF30" s="27">
        <f t="shared" si="46"/>
        <v>1340961.72</v>
      </c>
      <c r="AG30" s="27">
        <f t="shared" si="46"/>
        <v>1338452.1000000001</v>
      </c>
      <c r="AH30" s="27">
        <f t="shared" si="46"/>
        <v>961977.07000000007</v>
      </c>
      <c r="AI30" s="27">
        <f t="shared" si="46"/>
        <v>1439941.37</v>
      </c>
      <c r="AJ30" s="27">
        <f t="shared" si="46"/>
        <v>1000040.55</v>
      </c>
      <c r="AK30" s="27">
        <f t="shared" si="46"/>
        <v>1375347.93</v>
      </c>
      <c r="AL30" s="25">
        <f t="shared" si="47"/>
        <v>13942702.780000001</v>
      </c>
      <c r="AM30" s="25">
        <f t="shared" si="48"/>
        <v>5254850.4400000004</v>
      </c>
      <c r="AN30" s="1"/>
      <c r="AO30" s="27">
        <f t="shared" si="49"/>
        <v>1140329</v>
      </c>
      <c r="AP30" s="27">
        <f t="shared" si="49"/>
        <v>1170584</v>
      </c>
      <c r="AQ30" s="27">
        <f t="shared" si="49"/>
        <v>799509</v>
      </c>
      <c r="AR30" s="27">
        <f t="shared" si="49"/>
        <v>980131</v>
      </c>
      <c r="AS30" s="27">
        <f t="shared" si="49"/>
        <v>606158</v>
      </c>
      <c r="AT30" s="27">
        <f t="shared" si="49"/>
        <v>1041729</v>
      </c>
      <c r="AU30" s="27">
        <f t="shared" si="49"/>
        <v>1181407</v>
      </c>
      <c r="AV30" s="27">
        <f t="shared" si="49"/>
        <v>1170664</v>
      </c>
      <c r="AW30" s="27">
        <f t="shared" si="49"/>
        <v>1161232</v>
      </c>
      <c r="AX30" s="27">
        <f t="shared" si="49"/>
        <v>1302847</v>
      </c>
      <c r="AY30" s="27">
        <f t="shared" si="49"/>
        <v>1185867</v>
      </c>
      <c r="AZ30" s="27">
        <f t="shared" si="49"/>
        <v>1840088</v>
      </c>
      <c r="BA30" s="25">
        <f t="shared" si="50"/>
        <v>13580545</v>
      </c>
      <c r="BB30" s="26">
        <f t="shared" si="51"/>
        <v>4090553</v>
      </c>
    </row>
    <row r="31" spans="1:54" ht="15.75" customHeight="1">
      <c r="A31" s="1"/>
      <c r="B31" s="19" t="s">
        <v>27</v>
      </c>
      <c r="C31" s="20" t="s">
        <v>25</v>
      </c>
      <c r="D31" s="21">
        <f t="shared" si="37"/>
        <v>1543</v>
      </c>
      <c r="E31" s="21">
        <f t="shared" si="39"/>
        <v>4934</v>
      </c>
      <c r="F31" s="21">
        <f t="shared" si="38"/>
        <v>1988</v>
      </c>
      <c r="G31" s="22">
        <f t="shared" si="40"/>
        <v>1852</v>
      </c>
      <c r="H31" s="23">
        <f t="shared" si="41"/>
        <v>1.2002592352559949</v>
      </c>
      <c r="I31" s="23">
        <f t="shared" si="42"/>
        <v>0.37535468179975678</v>
      </c>
      <c r="J31" s="23">
        <f t="shared" si="43"/>
        <v>0.93158953722334004</v>
      </c>
      <c r="K31" s="1"/>
      <c r="L31" s="27">
        <f t="shared" si="44"/>
        <v>275</v>
      </c>
      <c r="M31" s="27">
        <f t="shared" si="44"/>
        <v>309</v>
      </c>
      <c r="N31" s="27">
        <f t="shared" si="44"/>
        <v>442</v>
      </c>
      <c r="O31" s="27">
        <f t="shared" si="44"/>
        <v>419</v>
      </c>
      <c r="P31" s="27">
        <f t="shared" si="44"/>
        <v>407</v>
      </c>
      <c r="Q31" s="27">
        <f t="shared" si="44"/>
        <v>0</v>
      </c>
      <c r="R31" s="27">
        <f t="shared" si="44"/>
        <v>0</v>
      </c>
      <c r="S31" s="27">
        <f t="shared" si="44"/>
        <v>0</v>
      </c>
      <c r="T31" s="27">
        <f t="shared" si="44"/>
        <v>0</v>
      </c>
      <c r="U31" s="27">
        <f t="shared" si="44"/>
        <v>0</v>
      </c>
      <c r="V31" s="27">
        <f t="shared" si="44"/>
        <v>0</v>
      </c>
      <c r="W31" s="27">
        <f t="shared" si="44"/>
        <v>0</v>
      </c>
      <c r="X31" s="25">
        <f t="shared" si="45"/>
        <v>1852</v>
      </c>
      <c r="Y31" s="1"/>
      <c r="Z31" s="27">
        <f t="shared" si="46"/>
        <v>370</v>
      </c>
      <c r="AA31" s="27">
        <f t="shared" si="46"/>
        <v>345</v>
      </c>
      <c r="AB31" s="27">
        <f t="shared" si="46"/>
        <v>472</v>
      </c>
      <c r="AC31" s="27">
        <f t="shared" si="46"/>
        <v>403</v>
      </c>
      <c r="AD31" s="27">
        <f t="shared" si="46"/>
        <v>398</v>
      </c>
      <c r="AE31" s="27">
        <f t="shared" si="46"/>
        <v>393</v>
      </c>
      <c r="AF31" s="27">
        <f t="shared" si="46"/>
        <v>421</v>
      </c>
      <c r="AG31" s="27">
        <f t="shared" si="46"/>
        <v>399</v>
      </c>
      <c r="AH31" s="27">
        <f t="shared" si="46"/>
        <v>400</v>
      </c>
      <c r="AI31" s="27">
        <f t="shared" si="46"/>
        <v>448</v>
      </c>
      <c r="AJ31" s="27">
        <f t="shared" si="46"/>
        <v>457</v>
      </c>
      <c r="AK31" s="27">
        <f t="shared" si="46"/>
        <v>428</v>
      </c>
      <c r="AL31" s="25">
        <f t="shared" si="47"/>
        <v>4934</v>
      </c>
      <c r="AM31" s="25">
        <f t="shared" si="48"/>
        <v>1988</v>
      </c>
      <c r="AN31" s="1"/>
      <c r="AO31" s="27">
        <f t="shared" si="49"/>
        <v>354</v>
      </c>
      <c r="AP31" s="27">
        <f t="shared" si="49"/>
        <v>331</v>
      </c>
      <c r="AQ31" s="27">
        <f t="shared" si="49"/>
        <v>471</v>
      </c>
      <c r="AR31" s="27">
        <f t="shared" si="49"/>
        <v>387</v>
      </c>
      <c r="AS31" s="27">
        <f t="shared" si="49"/>
        <v>384</v>
      </c>
      <c r="AT31" s="27">
        <f t="shared" si="49"/>
        <v>378</v>
      </c>
      <c r="AU31" s="27">
        <f t="shared" si="49"/>
        <v>341</v>
      </c>
      <c r="AV31" s="27">
        <f t="shared" si="49"/>
        <v>373</v>
      </c>
      <c r="AW31" s="27">
        <f t="shared" si="49"/>
        <v>362</v>
      </c>
      <c r="AX31" s="27">
        <f t="shared" si="49"/>
        <v>356</v>
      </c>
      <c r="AY31" s="27">
        <f t="shared" si="49"/>
        <v>317</v>
      </c>
      <c r="AZ31" s="27">
        <f t="shared" si="49"/>
        <v>391</v>
      </c>
      <c r="BA31" s="25">
        <f t="shared" si="50"/>
        <v>4445</v>
      </c>
      <c r="BB31" s="26">
        <f t="shared" si="51"/>
        <v>1543</v>
      </c>
    </row>
    <row r="32" spans="1:54" ht="15.75" customHeight="1">
      <c r="A32" s="1"/>
      <c r="B32" s="19"/>
      <c r="C32" s="20" t="s">
        <v>26</v>
      </c>
      <c r="D32" s="21">
        <f t="shared" si="37"/>
        <v>9450355</v>
      </c>
      <c r="E32" s="21">
        <f t="shared" si="39"/>
        <v>28545000.23</v>
      </c>
      <c r="F32" s="21">
        <f t="shared" si="38"/>
        <v>11921812.23</v>
      </c>
      <c r="G32" s="22">
        <f t="shared" si="40"/>
        <v>11110009</v>
      </c>
      <c r="H32" s="23">
        <f t="shared" si="41"/>
        <v>1.175618164608631</v>
      </c>
      <c r="I32" s="23">
        <f t="shared" si="42"/>
        <v>0.38921033142342348</v>
      </c>
      <c r="J32" s="23">
        <f t="shared" si="43"/>
        <v>0.93190605468880128</v>
      </c>
      <c r="K32" s="1"/>
      <c r="L32" s="27">
        <f t="shared" si="44"/>
        <v>3060339</v>
      </c>
      <c r="M32" s="27">
        <f t="shared" si="44"/>
        <v>2005456</v>
      </c>
      <c r="N32" s="27">
        <f t="shared" si="44"/>
        <v>1958689</v>
      </c>
      <c r="O32" s="27">
        <f t="shared" si="44"/>
        <v>2097470</v>
      </c>
      <c r="P32" s="27">
        <f t="shared" si="44"/>
        <v>1988055</v>
      </c>
      <c r="Q32" s="27">
        <f t="shared" si="44"/>
        <v>0</v>
      </c>
      <c r="R32" s="27">
        <f t="shared" si="44"/>
        <v>0</v>
      </c>
      <c r="S32" s="27">
        <f t="shared" si="44"/>
        <v>0</v>
      </c>
      <c r="T32" s="27">
        <f t="shared" si="44"/>
        <v>0</v>
      </c>
      <c r="U32" s="27">
        <f t="shared" si="44"/>
        <v>0</v>
      </c>
      <c r="V32" s="27">
        <f t="shared" si="44"/>
        <v>0</v>
      </c>
      <c r="W32" s="27">
        <f t="shared" si="44"/>
        <v>0</v>
      </c>
      <c r="X32" s="25">
        <f t="shared" si="45"/>
        <v>11110009</v>
      </c>
      <c r="Y32" s="1"/>
      <c r="Z32" s="27">
        <f t="shared" si="46"/>
        <v>2256057</v>
      </c>
      <c r="AA32" s="27">
        <f t="shared" si="46"/>
        <v>2091032</v>
      </c>
      <c r="AB32" s="27">
        <f t="shared" si="46"/>
        <v>3125452.23</v>
      </c>
      <c r="AC32" s="27">
        <f t="shared" si="46"/>
        <v>2335478</v>
      </c>
      <c r="AD32" s="27">
        <f t="shared" si="46"/>
        <v>2113793</v>
      </c>
      <c r="AE32" s="27">
        <f t="shared" si="46"/>
        <v>2233292</v>
      </c>
      <c r="AF32" s="27">
        <f t="shared" si="46"/>
        <v>2500200</v>
      </c>
      <c r="AG32" s="27">
        <f t="shared" si="46"/>
        <v>2307394</v>
      </c>
      <c r="AH32" s="27">
        <f t="shared" si="46"/>
        <v>2246891</v>
      </c>
      <c r="AI32" s="27">
        <f t="shared" si="46"/>
        <v>2547775</v>
      </c>
      <c r="AJ32" s="27">
        <f t="shared" si="46"/>
        <v>2466360</v>
      </c>
      <c r="AK32" s="27">
        <f t="shared" si="46"/>
        <v>2321276</v>
      </c>
      <c r="AL32" s="25">
        <f t="shared" si="47"/>
        <v>28545000.23</v>
      </c>
      <c r="AM32" s="25">
        <f t="shared" si="48"/>
        <v>11921812.23</v>
      </c>
      <c r="AN32" s="1"/>
      <c r="AO32" s="27">
        <f t="shared" si="49"/>
        <v>2213875</v>
      </c>
      <c r="AP32" s="27">
        <f t="shared" si="49"/>
        <v>2003172</v>
      </c>
      <c r="AQ32" s="27">
        <f t="shared" si="49"/>
        <v>3006568</v>
      </c>
      <c r="AR32" s="27">
        <f t="shared" si="49"/>
        <v>2226740</v>
      </c>
      <c r="AS32" s="27">
        <f t="shared" si="49"/>
        <v>2158167</v>
      </c>
      <c r="AT32" s="27">
        <f t="shared" si="49"/>
        <v>2153552</v>
      </c>
      <c r="AU32" s="27">
        <f t="shared" si="49"/>
        <v>2071466</v>
      </c>
      <c r="AV32" s="27">
        <f t="shared" si="49"/>
        <v>2024174</v>
      </c>
      <c r="AW32" s="27">
        <f t="shared" si="49"/>
        <v>1894302</v>
      </c>
      <c r="AX32" s="27">
        <f t="shared" si="49"/>
        <v>1853190</v>
      </c>
      <c r="AY32" s="27">
        <f t="shared" si="49"/>
        <v>1742160</v>
      </c>
      <c r="AZ32" s="27">
        <f t="shared" si="49"/>
        <v>1873429</v>
      </c>
      <c r="BA32" s="25">
        <f t="shared" si="50"/>
        <v>25220795</v>
      </c>
      <c r="BB32" s="26">
        <f t="shared" si="51"/>
        <v>9450355</v>
      </c>
    </row>
    <row r="33" spans="1:54" ht="14.25" customHeight="1">
      <c r="A33" s="1"/>
      <c r="B33" s="1"/>
      <c r="C33" s="1"/>
      <c r="D33" s="27">
        <f t="shared" si="37"/>
        <v>0</v>
      </c>
      <c r="E33" s="1"/>
      <c r="F33" s="27">
        <f t="shared" si="38"/>
        <v>0</v>
      </c>
      <c r="G33" s="1"/>
      <c r="H33" s="1"/>
      <c r="I33" s="1"/>
      <c r="J33" s="1"/>
      <c r="K33" s="1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6"/>
      <c r="AN33" s="1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1"/>
      <c r="BB33" s="26"/>
    </row>
    <row r="34" spans="1:54" ht="15.75" customHeight="1">
      <c r="A34" s="1"/>
      <c r="B34" s="28" t="s">
        <v>32</v>
      </c>
      <c r="C34" s="29" t="s">
        <v>25</v>
      </c>
      <c r="D34" s="30">
        <f t="shared" ref="D34:G35" si="52">D29+D31</f>
        <v>1752</v>
      </c>
      <c r="E34" s="30">
        <f t="shared" si="52"/>
        <v>5672</v>
      </c>
      <c r="F34" s="30">
        <f t="shared" si="52"/>
        <v>2269</v>
      </c>
      <c r="G34" s="30">
        <f t="shared" si="52"/>
        <v>2197</v>
      </c>
      <c r="H34" s="31">
        <f t="shared" ref="H34:H35" si="53">G34/D34</f>
        <v>1.2539954337899544</v>
      </c>
      <c r="I34" s="31">
        <f t="shared" ref="I34:I35" si="54">G34/E34</f>
        <v>0.38734132581100139</v>
      </c>
      <c r="J34" s="31">
        <f t="shared" ref="J34:J35" si="55">G34/F34</f>
        <v>0.96826795945350375</v>
      </c>
      <c r="K34" s="1"/>
      <c r="L34" s="32">
        <f t="shared" ref="L34:X35" si="56">L29+L31</f>
        <v>325</v>
      </c>
      <c r="M34" s="32">
        <f t="shared" si="56"/>
        <v>384</v>
      </c>
      <c r="N34" s="32">
        <f t="shared" si="56"/>
        <v>522</v>
      </c>
      <c r="O34" s="32">
        <f t="shared" si="56"/>
        <v>483</v>
      </c>
      <c r="P34" s="32">
        <f t="shared" si="56"/>
        <v>483</v>
      </c>
      <c r="Q34" s="32">
        <f t="shared" si="56"/>
        <v>0</v>
      </c>
      <c r="R34" s="32">
        <f t="shared" si="56"/>
        <v>0</v>
      </c>
      <c r="S34" s="32">
        <f t="shared" si="56"/>
        <v>0</v>
      </c>
      <c r="T34" s="32">
        <f t="shared" si="56"/>
        <v>0</v>
      </c>
      <c r="U34" s="32">
        <f t="shared" si="56"/>
        <v>0</v>
      </c>
      <c r="V34" s="32">
        <f t="shared" si="56"/>
        <v>0</v>
      </c>
      <c r="W34" s="32">
        <f t="shared" si="56"/>
        <v>0</v>
      </c>
      <c r="X34" s="32">
        <f t="shared" si="56"/>
        <v>2197</v>
      </c>
      <c r="Y34" s="1"/>
      <c r="Z34" s="32">
        <f t="shared" ref="Z34:AM35" si="57">Z29+Z31</f>
        <v>435</v>
      </c>
      <c r="AA34" s="32">
        <f t="shared" si="57"/>
        <v>407</v>
      </c>
      <c r="AB34" s="32">
        <f t="shared" si="57"/>
        <v>515</v>
      </c>
      <c r="AC34" s="32">
        <f t="shared" si="57"/>
        <v>466</v>
      </c>
      <c r="AD34" s="32">
        <f t="shared" si="57"/>
        <v>446</v>
      </c>
      <c r="AE34" s="32">
        <f t="shared" si="57"/>
        <v>460</v>
      </c>
      <c r="AF34" s="32">
        <f t="shared" si="57"/>
        <v>491</v>
      </c>
      <c r="AG34" s="32">
        <f t="shared" si="57"/>
        <v>468</v>
      </c>
      <c r="AH34" s="32">
        <f t="shared" si="57"/>
        <v>453</v>
      </c>
      <c r="AI34" s="32">
        <f t="shared" si="57"/>
        <v>518</v>
      </c>
      <c r="AJ34" s="32">
        <f t="shared" si="57"/>
        <v>509</v>
      </c>
      <c r="AK34" s="32">
        <f t="shared" si="57"/>
        <v>504</v>
      </c>
      <c r="AL34" s="32">
        <f t="shared" si="57"/>
        <v>5672</v>
      </c>
      <c r="AM34" s="33">
        <f t="shared" si="57"/>
        <v>2269</v>
      </c>
      <c r="AN34" s="1"/>
      <c r="AO34" s="32">
        <f t="shared" ref="AO34:BB35" si="58">AO29+AO31</f>
        <v>413</v>
      </c>
      <c r="AP34" s="32">
        <f t="shared" si="58"/>
        <v>385</v>
      </c>
      <c r="AQ34" s="32">
        <f t="shared" si="58"/>
        <v>516</v>
      </c>
      <c r="AR34" s="32">
        <f t="shared" si="58"/>
        <v>438</v>
      </c>
      <c r="AS34" s="32">
        <f t="shared" si="58"/>
        <v>423</v>
      </c>
      <c r="AT34" s="32">
        <f t="shared" si="58"/>
        <v>434</v>
      </c>
      <c r="AU34" s="32">
        <f t="shared" si="58"/>
        <v>407</v>
      </c>
      <c r="AV34" s="32">
        <f t="shared" si="58"/>
        <v>448</v>
      </c>
      <c r="AW34" s="32">
        <f t="shared" si="58"/>
        <v>422</v>
      </c>
      <c r="AX34" s="32">
        <f t="shared" si="58"/>
        <v>420</v>
      </c>
      <c r="AY34" s="32">
        <f t="shared" si="58"/>
        <v>384</v>
      </c>
      <c r="AZ34" s="32">
        <f t="shared" si="58"/>
        <v>482</v>
      </c>
      <c r="BA34" s="32">
        <f t="shared" si="58"/>
        <v>5172</v>
      </c>
      <c r="BB34" s="33">
        <f t="shared" si="58"/>
        <v>1752</v>
      </c>
    </row>
    <row r="35" spans="1:54" ht="15.75" customHeight="1">
      <c r="A35" s="1"/>
      <c r="B35" s="34"/>
      <c r="C35" s="29" t="s">
        <v>26</v>
      </c>
      <c r="D35" s="30">
        <f t="shared" si="52"/>
        <v>13540908</v>
      </c>
      <c r="E35" s="30">
        <f t="shared" si="52"/>
        <v>42487703.009999998</v>
      </c>
      <c r="F35" s="30">
        <f t="shared" si="52"/>
        <v>17176662.670000002</v>
      </c>
      <c r="G35" s="30">
        <f t="shared" si="52"/>
        <v>17383520</v>
      </c>
      <c r="H35" s="31">
        <f t="shared" si="53"/>
        <v>1.2837780154772487</v>
      </c>
      <c r="I35" s="31">
        <f t="shared" si="54"/>
        <v>0.40914238164177946</v>
      </c>
      <c r="J35" s="31">
        <f t="shared" si="55"/>
        <v>1.0120429290586981</v>
      </c>
      <c r="K35" s="1"/>
      <c r="L35" s="32">
        <f t="shared" si="56"/>
        <v>4073685</v>
      </c>
      <c r="M35" s="32">
        <f t="shared" si="56"/>
        <v>3312254</v>
      </c>
      <c r="N35" s="32">
        <f t="shared" si="56"/>
        <v>3300459</v>
      </c>
      <c r="O35" s="32">
        <f t="shared" si="56"/>
        <v>3284193</v>
      </c>
      <c r="P35" s="32">
        <f t="shared" si="56"/>
        <v>3412929</v>
      </c>
      <c r="Q35" s="32">
        <f t="shared" si="56"/>
        <v>0</v>
      </c>
      <c r="R35" s="32">
        <f t="shared" si="56"/>
        <v>0</v>
      </c>
      <c r="S35" s="32">
        <f t="shared" si="56"/>
        <v>0</v>
      </c>
      <c r="T35" s="32">
        <f t="shared" si="56"/>
        <v>0</v>
      </c>
      <c r="U35" s="32">
        <f t="shared" si="56"/>
        <v>0</v>
      </c>
      <c r="V35" s="32">
        <f t="shared" si="56"/>
        <v>0</v>
      </c>
      <c r="W35" s="32">
        <f t="shared" si="56"/>
        <v>0</v>
      </c>
      <c r="X35" s="32">
        <f t="shared" si="56"/>
        <v>17383520</v>
      </c>
      <c r="Y35" s="1"/>
      <c r="Z35" s="32">
        <f t="shared" si="57"/>
        <v>3472579</v>
      </c>
      <c r="AA35" s="32">
        <f t="shared" si="57"/>
        <v>3316782.32</v>
      </c>
      <c r="AB35" s="32">
        <f t="shared" si="57"/>
        <v>3846588.27</v>
      </c>
      <c r="AC35" s="32">
        <f t="shared" si="57"/>
        <v>3569525.1799999997</v>
      </c>
      <c r="AD35" s="32">
        <f t="shared" si="57"/>
        <v>2971187.9</v>
      </c>
      <c r="AE35" s="32">
        <f t="shared" si="57"/>
        <v>3464423.6</v>
      </c>
      <c r="AF35" s="32">
        <f t="shared" si="57"/>
        <v>3841161.7199999997</v>
      </c>
      <c r="AG35" s="32">
        <f t="shared" si="57"/>
        <v>3645846.1</v>
      </c>
      <c r="AH35" s="32">
        <f t="shared" si="57"/>
        <v>3208868.0700000003</v>
      </c>
      <c r="AI35" s="32">
        <f t="shared" si="57"/>
        <v>3987716.37</v>
      </c>
      <c r="AJ35" s="32">
        <f t="shared" si="57"/>
        <v>3466400.55</v>
      </c>
      <c r="AK35" s="32">
        <f t="shared" si="57"/>
        <v>3696623.9299999997</v>
      </c>
      <c r="AL35" s="32">
        <f t="shared" si="57"/>
        <v>42487703.010000005</v>
      </c>
      <c r="AM35" s="33">
        <f t="shared" si="57"/>
        <v>17176662.670000002</v>
      </c>
      <c r="AN35" s="1"/>
      <c r="AO35" s="32">
        <f t="shared" si="58"/>
        <v>3354204</v>
      </c>
      <c r="AP35" s="32">
        <f t="shared" si="58"/>
        <v>3173756</v>
      </c>
      <c r="AQ35" s="32">
        <f t="shared" si="58"/>
        <v>3806077</v>
      </c>
      <c r="AR35" s="32">
        <f t="shared" si="58"/>
        <v>3206871</v>
      </c>
      <c r="AS35" s="32">
        <f t="shared" si="58"/>
        <v>2764325</v>
      </c>
      <c r="AT35" s="32">
        <f t="shared" si="58"/>
        <v>3195281</v>
      </c>
      <c r="AU35" s="32">
        <f t="shared" si="58"/>
        <v>3252873</v>
      </c>
      <c r="AV35" s="32">
        <f t="shared" si="58"/>
        <v>3194838</v>
      </c>
      <c r="AW35" s="32">
        <f t="shared" si="58"/>
        <v>3055534</v>
      </c>
      <c r="AX35" s="32">
        <f t="shared" si="58"/>
        <v>3156037</v>
      </c>
      <c r="AY35" s="32">
        <f t="shared" si="58"/>
        <v>2928027</v>
      </c>
      <c r="AZ35" s="32">
        <f t="shared" si="58"/>
        <v>3713517</v>
      </c>
      <c r="BA35" s="32">
        <f t="shared" si="58"/>
        <v>38801340</v>
      </c>
      <c r="BB35" s="33">
        <f t="shared" si="58"/>
        <v>13540908</v>
      </c>
    </row>
    <row r="36" spans="1:54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2"/>
    </row>
    <row r="37" spans="1:54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2"/>
    </row>
    <row r="38" spans="1:54" ht="14.25" customHeight="1">
      <c r="A38" s="1"/>
      <c r="B38" s="1"/>
      <c r="C38" s="1"/>
      <c r="D38" s="1"/>
      <c r="E38" s="1"/>
      <c r="F38" s="1"/>
      <c r="G38" s="27">
        <f>G35-F35</f>
        <v>206857.32999999821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2"/>
    </row>
    <row r="39" spans="1:54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2"/>
    </row>
    <row r="40" spans="1:54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2"/>
    </row>
    <row r="41" spans="1:54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2"/>
    </row>
    <row r="42" spans="1:54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2"/>
    </row>
    <row r="43" spans="1:54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2"/>
    </row>
    <row r="44" spans="1:5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2"/>
    </row>
    <row r="45" spans="1:54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2"/>
    </row>
    <row r="46" spans="1:54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2"/>
    </row>
    <row r="47" spans="1:54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2"/>
    </row>
    <row r="48" spans="1:54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2"/>
    </row>
    <row r="49" spans="1:54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2"/>
    </row>
    <row r="50" spans="1:54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2"/>
    </row>
    <row r="51" spans="1:54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2"/>
    </row>
    <row r="52" spans="1:54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2"/>
    </row>
    <row r="53" spans="1:54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2"/>
    </row>
    <row r="54" spans="1: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2"/>
    </row>
    <row r="55" spans="1:54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2"/>
    </row>
    <row r="56" spans="1:54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2"/>
    </row>
    <row r="57" spans="1:54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2"/>
    </row>
    <row r="58" spans="1:54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2"/>
    </row>
    <row r="59" spans="1:54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2"/>
    </row>
    <row r="60" spans="1:54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2"/>
    </row>
    <row r="61" spans="1:54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2"/>
    </row>
    <row r="62" spans="1:54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2"/>
    </row>
    <row r="63" spans="1:54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2"/>
    </row>
    <row r="64" spans="1:5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2"/>
    </row>
    <row r="65" spans="1:54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2"/>
    </row>
    <row r="66" spans="1:54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2"/>
    </row>
    <row r="67" spans="1:54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2"/>
    </row>
    <row r="68" spans="1:54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2"/>
    </row>
    <row r="69" spans="1:54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2"/>
    </row>
    <row r="70" spans="1:54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2"/>
    </row>
    <row r="71" spans="1:54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2"/>
    </row>
    <row r="72" spans="1:54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2"/>
    </row>
    <row r="73" spans="1:54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2"/>
    </row>
    <row r="74" spans="1:5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2"/>
    </row>
    <row r="75" spans="1:54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2"/>
    </row>
    <row r="76" spans="1:54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2"/>
    </row>
    <row r="77" spans="1:54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2"/>
    </row>
    <row r="78" spans="1:54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2"/>
    </row>
    <row r="79" spans="1:54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2"/>
    </row>
    <row r="80" spans="1:54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2"/>
    </row>
    <row r="81" spans="1:54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2"/>
    </row>
    <row r="82" spans="1:54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2"/>
    </row>
    <row r="83" spans="1:54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2"/>
    </row>
    <row r="84" spans="1:5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2"/>
    </row>
    <row r="85" spans="1:54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2"/>
    </row>
    <row r="86" spans="1:54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2"/>
    </row>
    <row r="87" spans="1:54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2"/>
    </row>
    <row r="88" spans="1:54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2"/>
    </row>
    <row r="89" spans="1:54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2"/>
    </row>
    <row r="90" spans="1:54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2"/>
    </row>
    <row r="91" spans="1:54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2"/>
    </row>
    <row r="92" spans="1:54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2"/>
    </row>
    <row r="93" spans="1:54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2"/>
    </row>
    <row r="94" spans="1:5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2"/>
    </row>
    <row r="95" spans="1:54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2"/>
    </row>
    <row r="96" spans="1:54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2"/>
    </row>
    <row r="97" spans="1:54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2"/>
    </row>
    <row r="98" spans="1:54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2"/>
    </row>
    <row r="99" spans="1:54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2"/>
    </row>
    <row r="100" spans="1:54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2"/>
    </row>
    <row r="101" spans="1:54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2"/>
    </row>
    <row r="102" spans="1:54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2"/>
    </row>
    <row r="103" spans="1:54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2"/>
    </row>
    <row r="104" spans="1:5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2"/>
    </row>
    <row r="105" spans="1:54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2"/>
    </row>
    <row r="106" spans="1:54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2"/>
    </row>
    <row r="107" spans="1:54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2"/>
    </row>
    <row r="108" spans="1:54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2"/>
    </row>
    <row r="109" spans="1:54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2"/>
    </row>
    <row r="110" spans="1:54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2"/>
    </row>
    <row r="111" spans="1:54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2"/>
    </row>
    <row r="112" spans="1:54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2"/>
    </row>
    <row r="113" spans="1:54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2"/>
    </row>
    <row r="114" spans="1:5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2"/>
    </row>
    <row r="115" spans="1:54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2"/>
    </row>
    <row r="116" spans="1:54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2"/>
    </row>
    <row r="117" spans="1:54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2"/>
    </row>
    <row r="118" spans="1:54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2"/>
    </row>
    <row r="119" spans="1:54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2"/>
    </row>
    <row r="120" spans="1:54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2"/>
    </row>
    <row r="121" spans="1:54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2"/>
    </row>
    <row r="122" spans="1:54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2"/>
    </row>
    <row r="123" spans="1:54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2"/>
    </row>
    <row r="124" spans="1:5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2"/>
    </row>
    <row r="125" spans="1:54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2"/>
    </row>
    <row r="126" spans="1:54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2"/>
    </row>
    <row r="127" spans="1:54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2"/>
    </row>
    <row r="128" spans="1:54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2"/>
    </row>
    <row r="129" spans="1:54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2"/>
    </row>
    <row r="130" spans="1:54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2"/>
    </row>
    <row r="131" spans="1:54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2"/>
    </row>
    <row r="132" spans="1:54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2"/>
    </row>
    <row r="133" spans="1:54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2"/>
    </row>
    <row r="134" spans="1:5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2"/>
    </row>
    <row r="135" spans="1:54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2"/>
    </row>
    <row r="136" spans="1:54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2"/>
    </row>
    <row r="137" spans="1:54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2"/>
    </row>
    <row r="138" spans="1:54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2"/>
    </row>
    <row r="139" spans="1:54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2"/>
    </row>
    <row r="140" spans="1:54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2"/>
    </row>
    <row r="141" spans="1:54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2"/>
    </row>
    <row r="142" spans="1:54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2"/>
    </row>
    <row r="143" spans="1:54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2"/>
    </row>
    <row r="144" spans="1:5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2"/>
    </row>
    <row r="145" spans="1:54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2"/>
    </row>
    <row r="146" spans="1:54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2"/>
    </row>
    <row r="147" spans="1:54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2"/>
    </row>
    <row r="148" spans="1:54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2"/>
    </row>
    <row r="149" spans="1:54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2"/>
    </row>
    <row r="150" spans="1:54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2"/>
    </row>
    <row r="151" spans="1:54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2"/>
    </row>
    <row r="152" spans="1:54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2"/>
    </row>
    <row r="153" spans="1:54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2"/>
    </row>
    <row r="154" spans="1: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2"/>
    </row>
    <row r="155" spans="1:54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2"/>
    </row>
    <row r="156" spans="1:54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2"/>
    </row>
    <row r="157" spans="1:54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2"/>
    </row>
    <row r="158" spans="1:54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2"/>
    </row>
    <row r="159" spans="1:54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2"/>
    </row>
    <row r="160" spans="1:54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2"/>
    </row>
    <row r="161" spans="1:54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2"/>
    </row>
    <row r="162" spans="1:54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2"/>
    </row>
    <row r="163" spans="1:54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2"/>
    </row>
    <row r="164" spans="1:5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2"/>
    </row>
    <row r="165" spans="1:54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2"/>
    </row>
    <row r="166" spans="1:54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2"/>
    </row>
    <row r="167" spans="1:54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2"/>
    </row>
    <row r="168" spans="1:54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2"/>
    </row>
    <row r="169" spans="1:54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2"/>
    </row>
    <row r="170" spans="1:54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2"/>
    </row>
    <row r="171" spans="1:54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2"/>
    </row>
    <row r="172" spans="1:54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2"/>
    </row>
    <row r="173" spans="1:54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2"/>
    </row>
    <row r="174" spans="1:5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2"/>
    </row>
    <row r="175" spans="1:54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2"/>
    </row>
    <row r="176" spans="1:54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2"/>
    </row>
    <row r="177" spans="1:54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2"/>
    </row>
    <row r="178" spans="1:54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2"/>
    </row>
    <row r="179" spans="1:54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2"/>
    </row>
    <row r="180" spans="1:54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2"/>
    </row>
    <row r="181" spans="1:54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2"/>
    </row>
    <row r="182" spans="1:54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2"/>
    </row>
    <row r="183" spans="1:54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2"/>
    </row>
    <row r="184" spans="1:5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2"/>
    </row>
    <row r="185" spans="1:54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2"/>
    </row>
    <row r="186" spans="1:54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2"/>
    </row>
    <row r="187" spans="1:54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2"/>
    </row>
    <row r="188" spans="1:54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2"/>
    </row>
    <row r="189" spans="1:54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2"/>
    </row>
    <row r="190" spans="1:54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2"/>
    </row>
    <row r="191" spans="1:54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2"/>
    </row>
    <row r="192" spans="1:54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2"/>
    </row>
    <row r="193" spans="1:54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2"/>
    </row>
    <row r="194" spans="1:5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2"/>
    </row>
    <row r="195" spans="1:54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2"/>
    </row>
    <row r="196" spans="1:54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2"/>
    </row>
    <row r="197" spans="1:54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2"/>
    </row>
    <row r="198" spans="1:54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2"/>
    </row>
    <row r="199" spans="1:54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2"/>
    </row>
    <row r="200" spans="1:54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2"/>
    </row>
    <row r="201" spans="1:54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2"/>
    </row>
    <row r="202" spans="1:54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2"/>
    </row>
    <row r="203" spans="1:54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2"/>
    </row>
    <row r="204" spans="1:5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2"/>
    </row>
    <row r="205" spans="1:54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2"/>
    </row>
    <row r="206" spans="1:54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2"/>
    </row>
    <row r="207" spans="1:54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2"/>
    </row>
    <row r="208" spans="1:54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2"/>
    </row>
    <row r="209" spans="1:54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2"/>
    </row>
    <row r="210" spans="1:54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2"/>
    </row>
    <row r="211" spans="1:54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2"/>
    </row>
    <row r="212" spans="1:54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2"/>
    </row>
    <row r="213" spans="1:54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2"/>
    </row>
    <row r="214" spans="1:5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2"/>
    </row>
    <row r="215" spans="1:54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2"/>
    </row>
    <row r="216" spans="1:54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2"/>
    </row>
    <row r="217" spans="1:54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2"/>
    </row>
    <row r="218" spans="1:54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2"/>
    </row>
    <row r="219" spans="1:54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2"/>
    </row>
    <row r="220" spans="1:54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2"/>
    </row>
    <row r="221" spans="1:54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2"/>
    </row>
    <row r="222" spans="1:54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2"/>
    </row>
    <row r="223" spans="1:54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2"/>
    </row>
    <row r="224" spans="1:5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2"/>
    </row>
    <row r="225" spans="1:54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2"/>
    </row>
    <row r="226" spans="1:54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2"/>
    </row>
    <row r="227" spans="1:54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2"/>
    </row>
    <row r="228" spans="1:54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2"/>
    </row>
    <row r="229" spans="1:54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2"/>
    </row>
    <row r="230" spans="1:54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2"/>
    </row>
    <row r="231" spans="1:54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2"/>
    </row>
    <row r="232" spans="1:54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2"/>
    </row>
    <row r="233" spans="1:54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2"/>
    </row>
    <row r="234" spans="1:5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2"/>
    </row>
    <row r="235" spans="1:54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2"/>
    </row>
    <row r="236" spans="1:54" ht="15.75" customHeight="1"/>
    <row r="237" spans="1:54" ht="15.75" customHeight="1"/>
    <row r="238" spans="1:54" ht="15.75" customHeight="1"/>
    <row r="239" spans="1:54" ht="15.75" customHeight="1"/>
    <row r="240" spans="1:5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B15"/>
    <mergeCell ref="B24:B25"/>
    <mergeCell ref="B34:B35"/>
    <mergeCell ref="B5:B6"/>
    <mergeCell ref="C5:C6"/>
    <mergeCell ref="H5:J5"/>
    <mergeCell ref="L5:X5"/>
    <mergeCell ref="Z5:AL5"/>
    <mergeCell ref="AO5:BA5"/>
  </mergeCells>
  <pageMargins left="0.7" right="0.7" top="0.75" bottom="0.75" header="0" footer="0"/>
  <pageSetup orientation="landscape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0D5-F20E-48B5-A147-2F72CD496122}">
  <dimension ref="A1"/>
  <sheetViews>
    <sheetView workbookViewId="0"/>
  </sheetViews>
  <sheetFormatPr defaultRowHeight="14.4"/>
  <sheetData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GREEI GANAP</dc:creator>
  <cp:lastModifiedBy>JIMMY GREEI GANAP</cp:lastModifiedBy>
  <dcterms:created xsi:type="dcterms:W3CDTF">2026-06-30T06:48:21Z</dcterms:created>
  <dcterms:modified xsi:type="dcterms:W3CDTF">2026-06-30T06:50:14Z</dcterms:modified>
</cp:coreProperties>
</file>