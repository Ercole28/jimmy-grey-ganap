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ARUS" sheetId="2" r:id="rId5"/>
    <sheet state="visible" name="KINERJA" sheetId="3" r:id="rId6"/>
    <sheet state="visible" name="UTILISASI" sheetId="4" r:id="rId7"/>
    <sheet state="visible" name="PRODUKSI" sheetId="5" r:id="rId8"/>
  </sheets>
  <definedNames/>
  <calcPr/>
  <extLst>
    <ext uri="GoogleSheetsCustomDataVersion2">
      <go:sheetsCustomData xmlns:go="http://customooxmlschemas.google.com/" r:id="rId9" roundtripDataChecksum="bAGH2LjIqGRuvcy9VybfUzAfPC9dmn9E7oJMI4WJEW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601">
      <text>
        <t xml:space="preserve">======
ID#AAABnMtyClY
rendal ops    (2025-07-09 11:48:11)
Angka seharusnya</t>
      </text>
    </comment>
  </commentList>
  <extLst>
    <ext uri="GoogleSheetsCustomDataVersion2">
      <go:sheetsCustomData xmlns:go="http://customooxmlschemas.google.com/" r:id="rId1" roundtripDataSignature="AMtx7mg3N6i/uqHBN1Y3EdZbMrH3A1jhRQ=="/>
    </ext>
  </extLst>
</comments>
</file>

<file path=xl/sharedStrings.xml><?xml version="1.0" encoding="utf-8"?>
<sst xmlns="http://schemas.openxmlformats.org/spreadsheetml/2006/main" count="3864" uniqueCount="1439">
  <si>
    <t>NM_REGIONAL</t>
  </si>
  <si>
    <t>KD_REGIONAL</t>
  </si>
  <si>
    <t>REGCODE</t>
  </si>
  <si>
    <t>Regional.1</t>
  </si>
  <si>
    <t>KdRegP1</t>
  </si>
  <si>
    <t>Regional.2</t>
  </si>
  <si>
    <t>KdRegP2</t>
  </si>
  <si>
    <t>Regional.3</t>
  </si>
  <si>
    <t>KdRegP3</t>
  </si>
  <si>
    <t>Regional.4</t>
  </si>
  <si>
    <t>KdRegp4</t>
  </si>
  <si>
    <t>SPTP</t>
  </si>
  <si>
    <t>KdSPTP</t>
  </si>
  <si>
    <t>SPMT</t>
  </si>
  <si>
    <t>KdSPMT</t>
  </si>
  <si>
    <t>SPJM</t>
  </si>
  <si>
    <t>KdSPJM</t>
  </si>
  <si>
    <t>SPSL</t>
  </si>
  <si>
    <t>KdSPSL</t>
  </si>
  <si>
    <t>001</t>
  </si>
  <si>
    <t>RegP1</t>
  </si>
  <si>
    <t>Belawan</t>
  </si>
  <si>
    <t>Tanjung Priok</t>
  </si>
  <si>
    <t>Tanjung Perak</t>
  </si>
  <si>
    <t>Makassar</t>
  </si>
  <si>
    <t>TPK Nilam</t>
  </si>
  <si>
    <t>Dumai</t>
  </si>
  <si>
    <t>PIL - Belawan</t>
  </si>
  <si>
    <t>002</t>
  </si>
  <si>
    <t>RegP2</t>
  </si>
  <si>
    <t>Prima Terminal Petikemas - Belawan</t>
  </si>
  <si>
    <t>IPC TPK TP1</t>
  </si>
  <si>
    <t>Jamrud - Tanjung Perak</t>
  </si>
  <si>
    <t>MNP - Makassar</t>
  </si>
  <si>
    <t>TPK Belawan</t>
  </si>
  <si>
    <t>Batam</t>
  </si>
  <si>
    <t>PIL - Sei Mangkei</t>
  </si>
  <si>
    <t>003</t>
  </si>
  <si>
    <t>RegP3</t>
  </si>
  <si>
    <t>TPK - Belawan</t>
  </si>
  <si>
    <t>IPC TPK TP2</t>
  </si>
  <si>
    <t>Nilam Mirah - Tanjung Perak</t>
  </si>
  <si>
    <t>TPM - Makassar</t>
  </si>
  <si>
    <t>TPK Semarang</t>
  </si>
  <si>
    <t>Tanjung Intan</t>
  </si>
  <si>
    <t>Sei Pakning</t>
  </si>
  <si>
    <t>PIL - Kuala Tanjung</t>
  </si>
  <si>
    <t>004</t>
  </si>
  <si>
    <t>RegP4</t>
  </si>
  <si>
    <t>JICT - Tanjung Priok</t>
  </si>
  <si>
    <t>Kalimas - Tanjung Perak</t>
  </si>
  <si>
    <t>Samarinda</t>
  </si>
  <si>
    <t>TPK Banjarmasin</t>
  </si>
  <si>
    <t>Bumiharjo</t>
  </si>
  <si>
    <t>PIL - Dumai</t>
  </si>
  <si>
    <t>005</t>
  </si>
  <si>
    <t>Pekanbaru</t>
  </si>
  <si>
    <t>TPK Koja - Tanjung Priok</t>
  </si>
  <si>
    <t>TPS - Tanjung Perak</t>
  </si>
  <si>
    <t>Balikpapan</t>
  </si>
  <si>
    <t>TPK Makassar</t>
  </si>
  <si>
    <t>Bagendang</t>
  </si>
  <si>
    <t>Tg. Balai Karimun</t>
  </si>
  <si>
    <t>PIL - Perawang</t>
  </si>
  <si>
    <t>006</t>
  </si>
  <si>
    <t>Malahayati</t>
  </si>
  <si>
    <t>NPCT1 - Tanjung Priok</t>
  </si>
  <si>
    <t>BJTI - Tanjung Perak</t>
  </si>
  <si>
    <t>TPK KKT - Balikpapan</t>
  </si>
  <si>
    <t>Makassar New Port</t>
  </si>
  <si>
    <t>Tanjung Wangi</t>
  </si>
  <si>
    <t>Tanjung Pinang</t>
  </si>
  <si>
    <t>PIL - Tanjung Pinang</t>
  </si>
  <si>
    <t>007</t>
  </si>
  <si>
    <t>Tanjung Balai Karimun</t>
  </si>
  <si>
    <t>MTI (MAL) - Tanjung Priok</t>
  </si>
  <si>
    <t>TTL - Tanjung Perak</t>
  </si>
  <si>
    <t>Bitung</t>
  </si>
  <si>
    <t>TPK Bitung</t>
  </si>
  <si>
    <t>Trisakti</t>
  </si>
  <si>
    <t>Lhokseumawe</t>
  </si>
  <si>
    <t>MTI - Jambi</t>
  </si>
  <si>
    <t>008</t>
  </si>
  <si>
    <t>PTP - Tanjung Priok</t>
  </si>
  <si>
    <t>Gresik</t>
  </si>
  <si>
    <t>TPK - Bitung</t>
  </si>
  <si>
    <t>Ambon</t>
  </si>
  <si>
    <t>Jamrud</t>
  </si>
  <si>
    <t>MTI - Palembang</t>
  </si>
  <si>
    <t>IKT - Tanjung Priok</t>
  </si>
  <si>
    <t>Kalianget</t>
  </si>
  <si>
    <t>Kendari</t>
  </si>
  <si>
    <t>Mekar Putih</t>
  </si>
  <si>
    <t>Kuala Tanjung</t>
  </si>
  <si>
    <t>MTI - Panjang</t>
  </si>
  <si>
    <t>Panjang</t>
  </si>
  <si>
    <t>Tanjung Tembaga</t>
  </si>
  <si>
    <t>Sorong</t>
  </si>
  <si>
    <t>Pantoloan</t>
  </si>
  <si>
    <t>MTI - Tanjung Pandan</t>
  </si>
  <si>
    <t>Sibolga</t>
  </si>
  <si>
    <t>IPC TPK - Panjang</t>
  </si>
  <si>
    <t>Jayapura</t>
  </si>
  <si>
    <t>TPK Perawang</t>
  </si>
  <si>
    <t>MTI - Natuna</t>
  </si>
  <si>
    <t>Gunung Sitoli</t>
  </si>
  <si>
    <t>IKT - Panjang</t>
  </si>
  <si>
    <t>Tanjung Emas</t>
  </si>
  <si>
    <t>Tarakan</t>
  </si>
  <si>
    <t>MTI - Pontianak</t>
  </si>
  <si>
    <t>Tembilahan</t>
  </si>
  <si>
    <t>Palembang</t>
  </si>
  <si>
    <t>TPKS - Tanjung Emas</t>
  </si>
  <si>
    <t>PTP - Banten</t>
  </si>
  <si>
    <t>MTI - Jakarta</t>
  </si>
  <si>
    <t>Tanjung Balai Asahan</t>
  </si>
  <si>
    <t>IPC TPK - Palembang</t>
  </si>
  <si>
    <t>Tegal</t>
  </si>
  <si>
    <t>Ternate</t>
  </si>
  <si>
    <t>PTP - Bengkulu</t>
  </si>
  <si>
    <t>MTI - Semarang</t>
  </si>
  <si>
    <t>Teluk Bayur</t>
  </si>
  <si>
    <t>TPK Kupang</t>
  </si>
  <si>
    <t>PTP - Cirebon</t>
  </si>
  <si>
    <t>Banjarmasin</t>
  </si>
  <si>
    <t>MTI - Surabaya</t>
  </si>
  <si>
    <t>Prima Multi Terminal - Kuala Tanjung</t>
  </si>
  <si>
    <t>IPC TPK - Teluk Bayur</t>
  </si>
  <si>
    <t>Bontang</t>
  </si>
  <si>
    <t>PT PTP</t>
  </si>
  <si>
    <t>PTP - Jambi</t>
  </si>
  <si>
    <t>Kotabaru</t>
  </si>
  <si>
    <t>MTI - Bali</t>
  </si>
  <si>
    <t>Pontianak</t>
  </si>
  <si>
    <t>TPKB - Trisakti</t>
  </si>
  <si>
    <t>Parepare</t>
  </si>
  <si>
    <t>IPC TPK - TP1</t>
  </si>
  <si>
    <t>PTP - Palembang</t>
  </si>
  <si>
    <t>Batulicin</t>
  </si>
  <si>
    <t>MTI - Nunukan</t>
  </si>
  <si>
    <t>IPC TPK - Pontianak</t>
  </si>
  <si>
    <t>Pulang Pisau</t>
  </si>
  <si>
    <t>Biak</t>
  </si>
  <si>
    <t>IPC TPK - TP2</t>
  </si>
  <si>
    <t>PTP - Pangkal Balam</t>
  </si>
  <si>
    <t>Sampit</t>
  </si>
  <si>
    <t>MTI - Tarakan</t>
  </si>
  <si>
    <t>Jambi</t>
  </si>
  <si>
    <t>Merauke</t>
  </si>
  <si>
    <t>PTP - Panjang</t>
  </si>
  <si>
    <t>Kumai</t>
  </si>
  <si>
    <t>MTI - Tanjung Redep</t>
  </si>
  <si>
    <t>IPC TPK - Jambi</t>
  </si>
  <si>
    <t>Manokwari</t>
  </si>
  <si>
    <t>PTP - Tanjung Pandan</t>
  </si>
  <si>
    <t>MTI - Sangatta</t>
  </si>
  <si>
    <t>Banten</t>
  </si>
  <si>
    <t>Nunukan</t>
  </si>
  <si>
    <t>PTP - Teluk Bayur</t>
  </si>
  <si>
    <t>Benoa</t>
  </si>
  <si>
    <t>MTI - Bontang</t>
  </si>
  <si>
    <t>Cirebon</t>
  </si>
  <si>
    <t>Tanjung Redeb</t>
  </si>
  <si>
    <t>PTP - Pontianak</t>
  </si>
  <si>
    <t>Lembar</t>
  </si>
  <si>
    <t>MTI - Samarinda</t>
  </si>
  <si>
    <t>Bengkulu</t>
  </si>
  <si>
    <t>Gorontalo</t>
  </si>
  <si>
    <t>PT TTL</t>
  </si>
  <si>
    <t>Kupang</t>
  </si>
  <si>
    <t>MTI - Balikpapan</t>
  </si>
  <si>
    <t>Sunda Kelapa</t>
  </si>
  <si>
    <t>Celukan Bawang</t>
  </si>
  <si>
    <t>Fakfak</t>
  </si>
  <si>
    <t>PT TPS</t>
  </si>
  <si>
    <t>MTI - Tolitoli</t>
  </si>
  <si>
    <t>Pangkal Balam</t>
  </si>
  <si>
    <t>Tolitoli</t>
  </si>
  <si>
    <t>MTI - Gorontalo</t>
  </si>
  <si>
    <t>Tanjung Pandan</t>
  </si>
  <si>
    <t>Maumere</t>
  </si>
  <si>
    <t>Manado</t>
  </si>
  <si>
    <t>PT BJTI</t>
  </si>
  <si>
    <t>IKT - Pontianak</t>
  </si>
  <si>
    <t>MTI - Bitung</t>
  </si>
  <si>
    <t>PN Panurjwan</t>
  </si>
  <si>
    <t>Bima</t>
  </si>
  <si>
    <t>Sangatta</t>
  </si>
  <si>
    <t>PT KKT</t>
  </si>
  <si>
    <t>IKT - Belawan</t>
  </si>
  <si>
    <t>MTI - Pantoloan</t>
  </si>
  <si>
    <t>Badas</t>
  </si>
  <si>
    <t>SBU Marine Luwuk Banggai</t>
  </si>
  <si>
    <t>TPK New Makassar</t>
  </si>
  <si>
    <t>IKT - Makassar</t>
  </si>
  <si>
    <t>MTI - Parepare</t>
  </si>
  <si>
    <t>Tenau</t>
  </si>
  <si>
    <t>SBU Marine Sangkulirang</t>
  </si>
  <si>
    <t>Nilam - Mirah</t>
  </si>
  <si>
    <t>MTI - Kendari</t>
  </si>
  <si>
    <t>Ende</t>
  </si>
  <si>
    <t>SBU Marine Tanah Grogot</t>
  </si>
  <si>
    <t>MTI - Ternate</t>
  </si>
  <si>
    <t>Waingapu</t>
  </si>
  <si>
    <t>SBU Marine Bontang Indominco</t>
  </si>
  <si>
    <t>MTI - Ambon</t>
  </si>
  <si>
    <t>Kalabahi</t>
  </si>
  <si>
    <t>SBU Marine Tg Santan</t>
  </si>
  <si>
    <t>MTI - Fak fak</t>
  </si>
  <si>
    <t>Labuan Bajo</t>
  </si>
  <si>
    <t>SBU Marine Lubuk Tutung</t>
  </si>
  <si>
    <t>MTI - Sorong</t>
  </si>
  <si>
    <t>MTI - Manokwari</t>
  </si>
  <si>
    <t>MTI - Biak</t>
  </si>
  <si>
    <t>MTI - Jayapura</t>
  </si>
  <si>
    <t>MTI - Merauke</t>
  </si>
  <si>
    <t>PPK - Belawan</t>
  </si>
  <si>
    <t>PPK - Kuala Tanjung</t>
  </si>
  <si>
    <t>MMI - Jakarta</t>
  </si>
  <si>
    <t>API - Jakarta</t>
  </si>
  <si>
    <t>API - Jawa Timur</t>
  </si>
  <si>
    <t xml:space="preserve">SBU Marine Tg Santan </t>
  </si>
  <si>
    <t>Version : 3.1</t>
  </si>
  <si>
    <t xml:space="preserve">TAHUN (YYYY) : </t>
  </si>
  <si>
    <t xml:space="preserve">REGIONAL : </t>
  </si>
  <si>
    <t xml:space="preserve">CABANG / TERMINAL : </t>
  </si>
  <si>
    <t>Kunjungan Kapal Berdasarkan Lokasi Sandar, Jenis Pelayaran dan Jenis Muatan Kapal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</si>
  <si>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</si>
  <si>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</si>
  <si>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</si>
  <si>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</si>
  <si>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</si>
  <si>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</si>
  <si>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</si>
  <si>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</si>
  <si>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</si>
  <si>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</si>
  <si>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</si>
  <si>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</si>
  <si>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</si>
  <si>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</si>
  <si>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</si>
  <si>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</si>
  <si>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</si>
  <si>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DERMAGA UMUM</t>
  </si>
  <si>
    <t>Pelayaran Luar Negeri</t>
  </si>
  <si>
    <t>Kapal</t>
  </si>
  <si>
    <t>A010101010000</t>
  </si>
  <si>
    <t>General Cargo</t>
  </si>
  <si>
    <t>Call</t>
  </si>
  <si>
    <t>GT</t>
  </si>
  <si>
    <t>A010101020000</t>
  </si>
  <si>
    <t>Curah Cair BBM</t>
  </si>
  <si>
    <t>A010101030000</t>
  </si>
  <si>
    <t>Gas</t>
  </si>
  <si>
    <t>A010101040000</t>
  </si>
  <si>
    <t>Curah Cair Non - BBM</t>
  </si>
  <si>
    <t>A010101050000</t>
  </si>
  <si>
    <t>Curah Kering</t>
  </si>
  <si>
    <t>A010101060000</t>
  </si>
  <si>
    <t>Petikemas</t>
  </si>
  <si>
    <t>A010101070000</t>
  </si>
  <si>
    <t>Ro - ro</t>
  </si>
  <si>
    <t>A010101080000</t>
  </si>
  <si>
    <t>Hewan</t>
  </si>
  <si>
    <t>A010101090000</t>
  </si>
  <si>
    <t>Cruise (Penumpang Wisata Asing)</t>
  </si>
  <si>
    <t>A010101100000</t>
  </si>
  <si>
    <t>Penumpang</t>
  </si>
  <si>
    <t>Tug Boat dan Tongkang</t>
  </si>
  <si>
    <t>A010102010000</t>
  </si>
  <si>
    <t>A010102020000</t>
  </si>
  <si>
    <t>A010102030000</t>
  </si>
  <si>
    <t>A010102040000</t>
  </si>
  <si>
    <t>A010102050000</t>
  </si>
  <si>
    <t>A010102060000</t>
  </si>
  <si>
    <t>A010102070000</t>
  </si>
  <si>
    <t>Tug Boat tanpa tongkang</t>
  </si>
  <si>
    <t>A010102080000</t>
  </si>
  <si>
    <t>Jumlah Tug Boat dan Tongkang</t>
  </si>
  <si>
    <t>(Jika data breakdown tidak tersedia)</t>
  </si>
  <si>
    <t>Pelayaran Dalam Negeri</t>
  </si>
  <si>
    <t>A010201010000</t>
  </si>
  <si>
    <t>A010201020000</t>
  </si>
  <si>
    <t>A010201030000</t>
  </si>
  <si>
    <t>A010201040000</t>
  </si>
  <si>
    <t>A010201050000</t>
  </si>
  <si>
    <t>A010201060000</t>
  </si>
  <si>
    <t>A010201070000</t>
  </si>
  <si>
    <t>A010201080000</t>
  </si>
  <si>
    <t>A010201090000</t>
  </si>
  <si>
    <t>A010202010000</t>
  </si>
  <si>
    <t>A010202020000</t>
  </si>
  <si>
    <t>A010202030000</t>
  </si>
  <si>
    <t>A010202040000</t>
  </si>
  <si>
    <t>A010202050000</t>
  </si>
  <si>
    <t>A010202060000</t>
  </si>
  <si>
    <t>A010202070000</t>
  </si>
  <si>
    <t>A010202080000</t>
  </si>
  <si>
    <t>A010300000000</t>
  </si>
  <si>
    <t>Pelayaran Perintis</t>
  </si>
  <si>
    <t>A010400000000</t>
  </si>
  <si>
    <t>Pelayaran Rakyat</t>
  </si>
  <si>
    <t>Pelayaran Lainnya</t>
  </si>
  <si>
    <t>A010501000000</t>
  </si>
  <si>
    <t>Kapal Negara</t>
  </si>
  <si>
    <t>A010502000000</t>
  </si>
  <si>
    <t>Kapal Survey</t>
  </si>
  <si>
    <t>A010503000000</t>
  </si>
  <si>
    <t>Kapal Utilitas / Suplai</t>
  </si>
  <si>
    <t>A010504000000</t>
  </si>
  <si>
    <t>Kapal Lainnya</t>
  </si>
  <si>
    <t>Jumlah kunjungan kapal di DERMAGA UMUM</t>
  </si>
  <si>
    <t>REDE TRANSPORT / LOADING POINT / DOLPHIN / PINGGIRAN</t>
  </si>
  <si>
    <t>A020101010000</t>
  </si>
  <si>
    <t>A020101020000</t>
  </si>
  <si>
    <t>A020101030000</t>
  </si>
  <si>
    <t>A020101040000</t>
  </si>
  <si>
    <t>A020101050000</t>
  </si>
  <si>
    <t>A020101060000</t>
  </si>
  <si>
    <t>A020101070000</t>
  </si>
  <si>
    <t>A020101080000</t>
  </si>
  <si>
    <t>Tug Boat dan atau Tongkang</t>
  </si>
  <si>
    <t>A020101090000</t>
  </si>
  <si>
    <t>A020201010000</t>
  </si>
  <si>
    <t>A020201020000</t>
  </si>
  <si>
    <t>A020201030000</t>
  </si>
  <si>
    <t>A020201040000</t>
  </si>
  <si>
    <t>A020201050000</t>
  </si>
  <si>
    <t>A020201060000</t>
  </si>
  <si>
    <t>A020201070000</t>
  </si>
  <si>
    <t>A020201080000</t>
  </si>
  <si>
    <t>A020201090000</t>
  </si>
  <si>
    <t>Jumlah kunjungan kapal di REDE TRANSPORT / LOADING POINT / DOLPHIN / PINGGIRAN</t>
  </si>
  <si>
    <t>TUKS / TERMINAL KHUSUS / UPP / BUP LAIN / PELABUHAN KHUSUS</t>
  </si>
  <si>
    <t>A030101010000</t>
  </si>
  <si>
    <t>A030101020000</t>
  </si>
  <si>
    <t>A030101030000</t>
  </si>
  <si>
    <t>A030101040000</t>
  </si>
  <si>
    <t>A030101050000</t>
  </si>
  <si>
    <t>A030101060000</t>
  </si>
  <si>
    <t>A030101070000</t>
  </si>
  <si>
    <t>A030101080000</t>
  </si>
  <si>
    <t>A030101090000</t>
  </si>
  <si>
    <t>A030201010000</t>
  </si>
  <si>
    <t>A030201020000</t>
  </si>
  <si>
    <t>A030201030000</t>
  </si>
  <si>
    <t>A030201040000</t>
  </si>
  <si>
    <t>A030201050000</t>
  </si>
  <si>
    <t>A030201060000</t>
  </si>
  <si>
    <t>A030201070000</t>
  </si>
  <si>
    <t>A030201080000</t>
  </si>
  <si>
    <t>A030201090000</t>
  </si>
  <si>
    <t>Jumlah kunjungan kapal di TUKS / TERMINAL KHUSUS / UPP / BUP LAIN / PELABUHAN KHUSUS</t>
  </si>
  <si>
    <t>LOADING POINT (DI LUAR DLKR)</t>
  </si>
  <si>
    <t>A050101010000</t>
  </si>
  <si>
    <t>A050101020000</t>
  </si>
  <si>
    <t>A050101030000</t>
  </si>
  <si>
    <t>A050101040000</t>
  </si>
  <si>
    <t>A050101050000</t>
  </si>
  <si>
    <t>A050101060000</t>
  </si>
  <si>
    <t>A050101070000</t>
  </si>
  <si>
    <t>A050101080000</t>
  </si>
  <si>
    <t>A050101090000</t>
  </si>
  <si>
    <t>A050201010000</t>
  </si>
  <si>
    <t>A050201020000</t>
  </si>
  <si>
    <t>A050201030000</t>
  </si>
  <si>
    <t>A050201040000</t>
  </si>
  <si>
    <t>A050201050000</t>
  </si>
  <si>
    <t>A050201060000</t>
  </si>
  <si>
    <t>A050201070000</t>
  </si>
  <si>
    <t>A050201080000</t>
  </si>
  <si>
    <t>A050201090000</t>
  </si>
  <si>
    <t>Jumlah kunjungan kapal di LOADING POINT (DI LUAR DLKR)</t>
  </si>
  <si>
    <t>Jumlah kunjungan kapal</t>
  </si>
  <si>
    <t>Arus Petikemas</t>
  </si>
  <si>
    <t>LUAR NEGERI</t>
  </si>
  <si>
    <t>Impor</t>
  </si>
  <si>
    <t>Full</t>
  </si>
  <si>
    <t>Dry</t>
  </si>
  <si>
    <t>B010101010100</t>
  </si>
  <si>
    <t>Box</t>
  </si>
  <si>
    <t>B010101010200</t>
  </si>
  <si>
    <t>B010101010300</t>
  </si>
  <si>
    <t>B010101010400</t>
  </si>
  <si>
    <t>20 OH / OW / OL</t>
  </si>
  <si>
    <t>B010101010500</t>
  </si>
  <si>
    <t>40 OH / OW / OL</t>
  </si>
  <si>
    <t>Reefer</t>
  </si>
  <si>
    <t>B010101020100</t>
  </si>
  <si>
    <t>B010101020200</t>
  </si>
  <si>
    <t>B010101020300</t>
  </si>
  <si>
    <t>Dangerous Good</t>
  </si>
  <si>
    <t>B010101030100</t>
  </si>
  <si>
    <t>B010101030200</t>
  </si>
  <si>
    <t>B010101030300</t>
  </si>
  <si>
    <t>B010101040000</t>
  </si>
  <si>
    <t>Uncontainerized</t>
  </si>
  <si>
    <t>Unit</t>
  </si>
  <si>
    <t>Empty</t>
  </si>
  <si>
    <t>B010102010100</t>
  </si>
  <si>
    <t>B010102010200</t>
  </si>
  <si>
    <t>B010102010300</t>
  </si>
  <si>
    <t>Ekspor</t>
  </si>
  <si>
    <t>B010201010100</t>
  </si>
  <si>
    <t>B010201010200</t>
  </si>
  <si>
    <t>B010201010300</t>
  </si>
  <si>
    <t>B010201010400</t>
  </si>
  <si>
    <t>B010201010500</t>
  </si>
  <si>
    <t>B010201020100</t>
  </si>
  <si>
    <t>B010201020200</t>
  </si>
  <si>
    <t>B010201020300</t>
  </si>
  <si>
    <t>B010201030100</t>
  </si>
  <si>
    <t>B010201030200</t>
  </si>
  <si>
    <t>B010201030300</t>
  </si>
  <si>
    <t>B010201040000</t>
  </si>
  <si>
    <t>B010202010100</t>
  </si>
  <si>
    <t>B010202010200</t>
  </si>
  <si>
    <t>B010202010300</t>
  </si>
  <si>
    <t>Transhipment</t>
  </si>
  <si>
    <t>B010301010100</t>
  </si>
  <si>
    <t>B010301010200</t>
  </si>
  <si>
    <t>B010301010300</t>
  </si>
  <si>
    <t>B010301010400</t>
  </si>
  <si>
    <t>B010301010500</t>
  </si>
  <si>
    <t>B010301020100</t>
  </si>
  <si>
    <t>B010301020200</t>
  </si>
  <si>
    <t>B010301020300</t>
  </si>
  <si>
    <t>B010301030100</t>
  </si>
  <si>
    <t>B010301030200</t>
  </si>
  <si>
    <t>B010301030300</t>
  </si>
  <si>
    <t>B010301040000</t>
  </si>
  <si>
    <t>B010302010100</t>
  </si>
  <si>
    <t>B010302010200</t>
  </si>
  <si>
    <t>B010302010300</t>
  </si>
  <si>
    <t>Jumlah Petikemas Luar Negeri</t>
  </si>
  <si>
    <t>Teus</t>
  </si>
  <si>
    <t>DALAM NEGERI</t>
  </si>
  <si>
    <t>Bongkar</t>
  </si>
  <si>
    <t>B020101010100</t>
  </si>
  <si>
    <t>B020101010200</t>
  </si>
  <si>
    <t>B020101010300</t>
  </si>
  <si>
    <t>B020101010400</t>
  </si>
  <si>
    <t>B020101010500</t>
  </si>
  <si>
    <t>B020101020100</t>
  </si>
  <si>
    <t>B020101020200</t>
  </si>
  <si>
    <t>B020101020300</t>
  </si>
  <si>
    <t>B020101030100</t>
  </si>
  <si>
    <t>B020101030200</t>
  </si>
  <si>
    <t>B020101030300</t>
  </si>
  <si>
    <t>B020101040000</t>
  </si>
  <si>
    <t>B020102010100</t>
  </si>
  <si>
    <t>B020102010200</t>
  </si>
  <si>
    <t>B020102010300</t>
  </si>
  <si>
    <t>Muat</t>
  </si>
  <si>
    <t>B020201010100</t>
  </si>
  <si>
    <t>B020201010200</t>
  </si>
  <si>
    <t>B020201010300</t>
  </si>
  <si>
    <t>B020201010400</t>
  </si>
  <si>
    <t>B020201010500</t>
  </si>
  <si>
    <t>B020201020100</t>
  </si>
  <si>
    <t>B020201020200</t>
  </si>
  <si>
    <t>B020201020300</t>
  </si>
  <si>
    <t>B020201030100</t>
  </si>
  <si>
    <t>B020201030200</t>
  </si>
  <si>
    <t>B020201030300</t>
  </si>
  <si>
    <t>B020201040000</t>
  </si>
  <si>
    <t>B020202010100</t>
  </si>
  <si>
    <t>B020202010200</t>
  </si>
  <si>
    <t>B020202010300</t>
  </si>
  <si>
    <t>B020301010100</t>
  </si>
  <si>
    <t>B020301010200</t>
  </si>
  <si>
    <t>B020301010300</t>
  </si>
  <si>
    <t>B020301010400</t>
  </si>
  <si>
    <t>B020301010500</t>
  </si>
  <si>
    <t>B020301020100</t>
  </si>
  <si>
    <t>B020301020200</t>
  </si>
  <si>
    <t>B020301020300</t>
  </si>
  <si>
    <t>B020301030100</t>
  </si>
  <si>
    <t>B020301030200</t>
  </si>
  <si>
    <t>B020301030300</t>
  </si>
  <si>
    <t>B020301040000</t>
  </si>
  <si>
    <t>B020302010100</t>
  </si>
  <si>
    <t>B020302010200</t>
  </si>
  <si>
    <t>B020302010300</t>
  </si>
  <si>
    <t>Jumlah Petikemas Dalam Negeri</t>
  </si>
  <si>
    <t>Jumlah Arus Petikemas</t>
  </si>
  <si>
    <t>Arus Barang Nonpetikemas (Dermaga Umum)</t>
  </si>
  <si>
    <t>D010101000000</t>
  </si>
  <si>
    <t>Ton</t>
  </si>
  <si>
    <t>M3</t>
  </si>
  <si>
    <t>D010102000000</t>
  </si>
  <si>
    <t>Bag Cargo</t>
  </si>
  <si>
    <t>D010103000000</t>
  </si>
  <si>
    <t>Curah Cair</t>
  </si>
  <si>
    <t>D010104000000</t>
  </si>
  <si>
    <t>D010105000000</t>
  </si>
  <si>
    <t>MMBTU</t>
  </si>
  <si>
    <t>D010106000000</t>
  </si>
  <si>
    <t>Kendaraan</t>
  </si>
  <si>
    <t>D010107000000</t>
  </si>
  <si>
    <t>Ekor</t>
  </si>
  <si>
    <t>x</t>
  </si>
  <si>
    <t>D010201000000</t>
  </si>
  <si>
    <t>D010202000000</t>
  </si>
  <si>
    <t>D010203000000</t>
  </si>
  <si>
    <t>D010204000000</t>
  </si>
  <si>
    <t>D010205000000</t>
  </si>
  <si>
    <t>D010206000000</t>
  </si>
  <si>
    <t>D010207000000</t>
  </si>
  <si>
    <t>Jumlah Barang Luar Negeri</t>
  </si>
  <si>
    <t>D020101000000</t>
  </si>
  <si>
    <t>D020102000000</t>
  </si>
  <si>
    <t>D020103000000</t>
  </si>
  <si>
    <t>D020104000000</t>
  </si>
  <si>
    <t>D020105000000</t>
  </si>
  <si>
    <t>D020106000000</t>
  </si>
  <si>
    <t>D020107000000</t>
  </si>
  <si>
    <t>D020201000000</t>
  </si>
  <si>
    <t>D020202000000</t>
  </si>
  <si>
    <t>D020203000000</t>
  </si>
  <si>
    <t>D020204000000</t>
  </si>
  <si>
    <t>D020205000000</t>
  </si>
  <si>
    <t>D020206000000</t>
  </si>
  <si>
    <t>D020207000000</t>
  </si>
  <si>
    <t>Jumlah Barang Dalam Negeri</t>
  </si>
  <si>
    <t>Jumlah Barang Berdasarkan Kemasan</t>
  </si>
  <si>
    <t>Arus Barang Nonpetikemas (Non Dermaga Umum)</t>
  </si>
  <si>
    <t>F010101000000</t>
  </si>
  <si>
    <t>F010102000000</t>
  </si>
  <si>
    <t>F010103000000</t>
  </si>
  <si>
    <t>F010104000000</t>
  </si>
  <si>
    <t>F010105000000</t>
  </si>
  <si>
    <t>F010106000000</t>
  </si>
  <si>
    <t>F010107000000</t>
  </si>
  <si>
    <t>F010201000000</t>
  </si>
  <si>
    <t>F010202000000</t>
  </si>
  <si>
    <t>F010203000000</t>
  </si>
  <si>
    <t>F010204000000</t>
  </si>
  <si>
    <t>F010205000000</t>
  </si>
  <si>
    <t>F010206000000</t>
  </si>
  <si>
    <t>F010207000000</t>
  </si>
  <si>
    <t>F020101000000</t>
  </si>
  <si>
    <t>F020102000000</t>
  </si>
  <si>
    <t>F020103000000</t>
  </si>
  <si>
    <t>F020104000000</t>
  </si>
  <si>
    <t>F020105000000</t>
  </si>
  <si>
    <t>F020106000000</t>
  </si>
  <si>
    <t>F020107000000</t>
  </si>
  <si>
    <t>F020201000000</t>
  </si>
  <si>
    <t>F020202000000</t>
  </si>
  <si>
    <t>F020203000000</t>
  </si>
  <si>
    <t>F020204000000</t>
  </si>
  <si>
    <t>F020205000000</t>
  </si>
  <si>
    <t>F020206000000</t>
  </si>
  <si>
    <t>F020207000000</t>
  </si>
  <si>
    <t>Arus Penumpang</t>
  </si>
  <si>
    <t>E010100000000</t>
  </si>
  <si>
    <t>Embarkasi</t>
  </si>
  <si>
    <t>Orang</t>
  </si>
  <si>
    <t>E010200000000</t>
  </si>
  <si>
    <t>Debarkasi</t>
  </si>
  <si>
    <t>Jumlah arus penumpang luar negeri</t>
  </si>
  <si>
    <t>E020100000000</t>
  </si>
  <si>
    <t>E020200000000</t>
  </si>
  <si>
    <t>Jumlah penumpang dalam negeri</t>
  </si>
  <si>
    <t>Jumlah arus penumpang</t>
  </si>
  <si>
    <t>Kinerja Pelayanan Kapal</t>
  </si>
  <si>
    <t>E110100000000</t>
  </si>
  <si>
    <t>Waiting Time (WT) for Pilot</t>
  </si>
  <si>
    <t>Jam</t>
  </si>
  <si>
    <t>E110200000000</t>
  </si>
  <si>
    <t>Waiting for Berth</t>
  </si>
  <si>
    <t>E110300000000</t>
  </si>
  <si>
    <t>Postpone Time (PT)</t>
  </si>
  <si>
    <t>E110400000000</t>
  </si>
  <si>
    <t>Approach Time (AT)</t>
  </si>
  <si>
    <t>E110500000000</t>
  </si>
  <si>
    <t>Turn Round Time (TRT)</t>
  </si>
  <si>
    <t>E120100000000</t>
  </si>
  <si>
    <t>E120200000000</t>
  </si>
  <si>
    <t>E120300000000</t>
  </si>
  <si>
    <t>E120400000000</t>
  </si>
  <si>
    <t>E120500000000</t>
  </si>
  <si>
    <t>KONSOLIDASI</t>
  </si>
  <si>
    <t>E130100000000</t>
  </si>
  <si>
    <t>E130200000000</t>
  </si>
  <si>
    <t>E130300000000</t>
  </si>
  <si>
    <t>E130400000000</t>
  </si>
  <si>
    <t>E130500000000</t>
  </si>
  <si>
    <t>KINERJA PELAYANAN DI DUKS / TUKS</t>
  </si>
  <si>
    <t>E140100000000</t>
  </si>
  <si>
    <t>E140200000000</t>
  </si>
  <si>
    <t>E140300000000</t>
  </si>
  <si>
    <t>E140400000000</t>
  </si>
  <si>
    <t>E140500000000</t>
  </si>
  <si>
    <t>Kinerja Pelayanan Tambatan</t>
  </si>
  <si>
    <t>Terminal Petikemas</t>
  </si>
  <si>
    <t>F110101000000</t>
  </si>
  <si>
    <t>Berthing Time (BT)</t>
  </si>
  <si>
    <t>F110102000000</t>
  </si>
  <si>
    <t>Berth Working Time (BWT)</t>
  </si>
  <si>
    <t>F110103000000</t>
  </si>
  <si>
    <t>Effective Time (ET)</t>
  </si>
  <si>
    <t>F110104000000</t>
  </si>
  <si>
    <t>Idle Time (IT)</t>
  </si>
  <si>
    <t>F110105000000</t>
  </si>
  <si>
    <t>Not Operation Time (NOT)</t>
  </si>
  <si>
    <t>F110106000000</t>
  </si>
  <si>
    <t>ET / BT</t>
  </si>
  <si>
    <t>%</t>
  </si>
  <si>
    <t>Terminal Multipurpose</t>
  </si>
  <si>
    <t>F110201000000</t>
  </si>
  <si>
    <t>F110202000000</t>
  </si>
  <si>
    <t>F110203000000</t>
  </si>
  <si>
    <t>F110204000000</t>
  </si>
  <si>
    <t>F110205000000</t>
  </si>
  <si>
    <t>F110206000000</t>
  </si>
  <si>
    <t>Terminal Curah Cair</t>
  </si>
  <si>
    <t>F110301000000</t>
  </si>
  <si>
    <t>F110302000000</t>
  </si>
  <si>
    <t>F110303000000</t>
  </si>
  <si>
    <t>F110304000000</t>
  </si>
  <si>
    <t>F110305000000</t>
  </si>
  <si>
    <t>F110306000000</t>
  </si>
  <si>
    <t>Terminal Curah Kering</t>
  </si>
  <si>
    <t>F110401000000</t>
  </si>
  <si>
    <t>F110402000000</t>
  </si>
  <si>
    <t>F110403000000</t>
  </si>
  <si>
    <t>F110404000000</t>
  </si>
  <si>
    <t>F110405000000</t>
  </si>
  <si>
    <t>F110406000000</t>
  </si>
  <si>
    <t>Terminal Kendaraan</t>
  </si>
  <si>
    <t>F110501000000</t>
  </si>
  <si>
    <t>F110502000000</t>
  </si>
  <si>
    <t>F110503000000</t>
  </si>
  <si>
    <t>F110504000000</t>
  </si>
  <si>
    <t>F110505000000</t>
  </si>
  <si>
    <t>F110506000000</t>
  </si>
  <si>
    <t>F120101000000</t>
  </si>
  <si>
    <t>F120102000000</t>
  </si>
  <si>
    <t>F120103000000</t>
  </si>
  <si>
    <t>F120104000000</t>
  </si>
  <si>
    <t>F120105000000</t>
  </si>
  <si>
    <t>F120106000000</t>
  </si>
  <si>
    <t>F120201000000</t>
  </si>
  <si>
    <t>F120202000000</t>
  </si>
  <si>
    <t>F120203000000</t>
  </si>
  <si>
    <t>F120204000000</t>
  </si>
  <si>
    <t>F120205000000</t>
  </si>
  <si>
    <t>F120206000000</t>
  </si>
  <si>
    <t>F120301000000</t>
  </si>
  <si>
    <t>F120302000000</t>
  </si>
  <si>
    <t>F120303000000</t>
  </si>
  <si>
    <t>F120304000000</t>
  </si>
  <si>
    <t>F120305000000</t>
  </si>
  <si>
    <t>F120306000000</t>
  </si>
  <si>
    <t>F120401000000</t>
  </si>
  <si>
    <t>F120402000000</t>
  </si>
  <si>
    <t>F120403000000</t>
  </si>
  <si>
    <t>F120404000000</t>
  </si>
  <si>
    <t>F120405000000</t>
  </si>
  <si>
    <t>F120406000000</t>
  </si>
  <si>
    <t>F120501000000</t>
  </si>
  <si>
    <t>F120502000000</t>
  </si>
  <si>
    <t>F120503000000</t>
  </si>
  <si>
    <t>F120504000000</t>
  </si>
  <si>
    <t>F120505000000</t>
  </si>
  <si>
    <t>F120506000000</t>
  </si>
  <si>
    <t>F130101000000</t>
  </si>
  <si>
    <t>F130102000000</t>
  </si>
  <si>
    <t>F130103000000</t>
  </si>
  <si>
    <t>F130104000000</t>
  </si>
  <si>
    <t>F130105000000</t>
  </si>
  <si>
    <t>F130106000000</t>
  </si>
  <si>
    <t>F130201000000</t>
  </si>
  <si>
    <t>F130202000000</t>
  </si>
  <si>
    <t>F130203000000</t>
  </si>
  <si>
    <t>F130204000000</t>
  </si>
  <si>
    <t>F130205000000</t>
  </si>
  <si>
    <t>F130206000000</t>
  </si>
  <si>
    <t>F130301000000</t>
  </si>
  <si>
    <t>F130302000000</t>
  </si>
  <si>
    <t>F130303000000</t>
  </si>
  <si>
    <t>F130304000000</t>
  </si>
  <si>
    <t>F130305000000</t>
  </si>
  <si>
    <t>F130306000000</t>
  </si>
  <si>
    <t>F130401000000</t>
  </si>
  <si>
    <t>F130402000000</t>
  </si>
  <si>
    <t>F130403000000</t>
  </si>
  <si>
    <t>F130404000000</t>
  </si>
  <si>
    <t>F130405000000</t>
  </si>
  <si>
    <t>F130406000000</t>
  </si>
  <si>
    <t>F130501000000</t>
  </si>
  <si>
    <t>F130502000000</t>
  </si>
  <si>
    <t>F130503000000</t>
  </si>
  <si>
    <t>F130504000000</t>
  </si>
  <si>
    <t>F130505000000</t>
  </si>
  <si>
    <t>F130506000000</t>
  </si>
  <si>
    <t>Kinerja Pelayanan Petikemas</t>
  </si>
  <si>
    <t>KINERJA OPERASI DERMAGA</t>
  </si>
  <si>
    <t>Luar negeri</t>
  </si>
  <si>
    <t>Bongkar muat per crane</t>
  </si>
  <si>
    <t>B110101010000</t>
  </si>
  <si>
    <t>BCH (ET)</t>
  </si>
  <si>
    <t>bph</t>
  </si>
  <si>
    <t>B110101020000</t>
  </si>
  <si>
    <t>BCH (BWT)</t>
  </si>
  <si>
    <t>B110101030000</t>
  </si>
  <si>
    <t>BCH Gross / GCR (BT)</t>
  </si>
  <si>
    <t>Bongkar muat per kapal</t>
  </si>
  <si>
    <t>B110102010000</t>
  </si>
  <si>
    <t>BSH (ET)</t>
  </si>
  <si>
    <t>B110102020000</t>
  </si>
  <si>
    <t>BSH (BWT)</t>
  </si>
  <si>
    <t>B110102030000</t>
  </si>
  <si>
    <t>BSH Gross / VOR (BT)</t>
  </si>
  <si>
    <t>Dalam negeri</t>
  </si>
  <si>
    <t>B110201010000</t>
  </si>
  <si>
    <t>B110201020000</t>
  </si>
  <si>
    <t>B110201030000</t>
  </si>
  <si>
    <t>B110202010000</t>
  </si>
  <si>
    <t>B110202020000</t>
  </si>
  <si>
    <t>B110202030000</t>
  </si>
  <si>
    <t>Kinerja non ship crane dalam negeri</t>
  </si>
  <si>
    <t>B110301010000</t>
  </si>
  <si>
    <t>B110301020000</t>
  </si>
  <si>
    <t>B110301030000</t>
  </si>
  <si>
    <t>B110302010000</t>
  </si>
  <si>
    <t>B110302020000</t>
  </si>
  <si>
    <t>B110302030000</t>
  </si>
  <si>
    <t>KINERJA OPERASI LAPANGAN</t>
  </si>
  <si>
    <t>Luar Negeri</t>
  </si>
  <si>
    <t>B120101010000</t>
  </si>
  <si>
    <t>Dwelling Time</t>
  </si>
  <si>
    <t>hari</t>
  </si>
  <si>
    <t>B120101010100</t>
  </si>
  <si>
    <t>B120101010200</t>
  </si>
  <si>
    <t>B120101020000</t>
  </si>
  <si>
    <t>External Truck Round Time</t>
  </si>
  <si>
    <t>menit</t>
  </si>
  <si>
    <t>B120101020100</t>
  </si>
  <si>
    <t>Delivery Full</t>
  </si>
  <si>
    <t>B120101020200</t>
  </si>
  <si>
    <t>Delivery Empty</t>
  </si>
  <si>
    <t>B120102010000</t>
  </si>
  <si>
    <t>B120102010100</t>
  </si>
  <si>
    <t>B120102010200</t>
  </si>
  <si>
    <t>B120102020000</t>
  </si>
  <si>
    <t>B120102020100</t>
  </si>
  <si>
    <t>Receiving Full</t>
  </si>
  <si>
    <t>B120102020200</t>
  </si>
  <si>
    <t>Receiving Empty</t>
  </si>
  <si>
    <t>B120103000000</t>
  </si>
  <si>
    <t>Dwelling Time Rekap Luar Negeri</t>
  </si>
  <si>
    <t>B120104000000</t>
  </si>
  <si>
    <t>External Truck Round Time Rekap Luar Negeri</t>
  </si>
  <si>
    <t>Dalam Negeri</t>
  </si>
  <si>
    <t>B120201010000</t>
  </si>
  <si>
    <t>B120201010100</t>
  </si>
  <si>
    <t>B120201010200</t>
  </si>
  <si>
    <t>B120201020000</t>
  </si>
  <si>
    <t>B120201020100</t>
  </si>
  <si>
    <t>B120201020200</t>
  </si>
  <si>
    <t>B120202010000</t>
  </si>
  <si>
    <t>B120202010100</t>
  </si>
  <si>
    <t>B120202010200</t>
  </si>
  <si>
    <t>B120202020000</t>
  </si>
  <si>
    <t>B120202020100</t>
  </si>
  <si>
    <t>B120202020200</t>
  </si>
  <si>
    <t>B120203000000</t>
  </si>
  <si>
    <t>Dwelling Time Dalam Negeri</t>
  </si>
  <si>
    <t>B120204000000</t>
  </si>
  <si>
    <t>External Truck Round Time Dalam Negeri</t>
  </si>
  <si>
    <t>B120300000000</t>
  </si>
  <si>
    <t>Dwelling Time Konsolidasi</t>
  </si>
  <si>
    <t>B120400000000</t>
  </si>
  <si>
    <t>External Truck Round Time Konsolidasi</t>
  </si>
  <si>
    <t>Kinerja Pelayanan Non Petikemas</t>
  </si>
  <si>
    <t>D110101000000</t>
  </si>
  <si>
    <t>T/G/H</t>
  </si>
  <si>
    <t>T/S/D</t>
  </si>
  <si>
    <t>D110102000000</t>
  </si>
  <si>
    <t>D110103000000</t>
  </si>
  <si>
    <t>D110103010000</t>
  </si>
  <si>
    <t>Melalui truk</t>
  </si>
  <si>
    <t>D110103020000</t>
  </si>
  <si>
    <t>Melalui pipa</t>
  </si>
  <si>
    <t>D110104000000</t>
  </si>
  <si>
    <t>D110104010000</t>
  </si>
  <si>
    <t>D110104020000</t>
  </si>
  <si>
    <t>D110104030000</t>
  </si>
  <si>
    <t>Melalui konveyor</t>
  </si>
  <si>
    <t>D110200000000</t>
  </si>
  <si>
    <t>D110201000000</t>
  </si>
  <si>
    <t>D110202000000</t>
  </si>
  <si>
    <t>D110300000000</t>
  </si>
  <si>
    <t>D110301000000</t>
  </si>
  <si>
    <t>D110302000000</t>
  </si>
  <si>
    <t>D110303000000</t>
  </si>
  <si>
    <t>D110400000000</t>
  </si>
  <si>
    <t>B/M Terminal Kendaraan</t>
  </si>
  <si>
    <t>U/G/H</t>
  </si>
  <si>
    <t>U/S/D</t>
  </si>
  <si>
    <t>D120101000000</t>
  </si>
  <si>
    <t>D120102000000</t>
  </si>
  <si>
    <t>D120103000000</t>
  </si>
  <si>
    <t>D120103010000</t>
  </si>
  <si>
    <t>D120103020000</t>
  </si>
  <si>
    <t>D120104000000</t>
  </si>
  <si>
    <t>D120104010000</t>
  </si>
  <si>
    <t>D120104020000</t>
  </si>
  <si>
    <t>D120104030000</t>
  </si>
  <si>
    <t>D120200000000</t>
  </si>
  <si>
    <t>D120201000000</t>
  </si>
  <si>
    <t>D120202000000</t>
  </si>
  <si>
    <t>D120300000000</t>
  </si>
  <si>
    <t>D120301000000</t>
  </si>
  <si>
    <t>D120302000000</t>
  </si>
  <si>
    <t>D120303000000</t>
  </si>
  <si>
    <t>D120400000000</t>
  </si>
  <si>
    <t>KONSOLIDASI CABANG</t>
  </si>
  <si>
    <t>D130101000000</t>
  </si>
  <si>
    <t>D130102000000</t>
  </si>
  <si>
    <t>D130103000000</t>
  </si>
  <si>
    <t>D130103010000</t>
  </si>
  <si>
    <t>D130103020000</t>
  </si>
  <si>
    <t>D130104000000</t>
  </si>
  <si>
    <t>D130104010000</t>
  </si>
  <si>
    <t>D130104020000</t>
  </si>
  <si>
    <t>D130104030000</t>
  </si>
  <si>
    <t>D130200000000</t>
  </si>
  <si>
    <t>D130201000000</t>
  </si>
  <si>
    <t>D130202000000</t>
  </si>
  <si>
    <t>D130300000000</t>
  </si>
  <si>
    <t>D130301000000</t>
  </si>
  <si>
    <t>D130302000000</t>
  </si>
  <si>
    <t>D130303000000</t>
  </si>
  <si>
    <t>D130400000000</t>
  </si>
  <si>
    <t>Utilisasi Infrastruktur</t>
  </si>
  <si>
    <t>A21010000</t>
  </si>
  <si>
    <t>BOR</t>
  </si>
  <si>
    <t>A21020000</t>
  </si>
  <si>
    <t>YOR</t>
  </si>
  <si>
    <t>A22010000</t>
  </si>
  <si>
    <t>A22030000</t>
  </si>
  <si>
    <t>A22050000</t>
  </si>
  <si>
    <t>SOR</t>
  </si>
  <si>
    <t>A23010000</t>
  </si>
  <si>
    <t>A24010000</t>
  </si>
  <si>
    <t>A24020000</t>
  </si>
  <si>
    <t>A24030000</t>
  </si>
  <si>
    <t>A25010000</t>
  </si>
  <si>
    <t>A25020000</t>
  </si>
  <si>
    <t>Terminal Pelra</t>
  </si>
  <si>
    <t>A26010000</t>
  </si>
  <si>
    <t>A26020000</t>
  </si>
  <si>
    <t>A26030000</t>
  </si>
  <si>
    <t>SOR Gudang Multipurpose</t>
  </si>
  <si>
    <t>A26040000</t>
  </si>
  <si>
    <t>SOR Gudang CFS</t>
  </si>
  <si>
    <t>Utilisasi Suprastruktur</t>
  </si>
  <si>
    <t>Pelayanan Kapal</t>
  </si>
  <si>
    <t>Kesiapan alat apung</t>
  </si>
  <si>
    <t>B21010100</t>
  </si>
  <si>
    <t>Kapal Tunda</t>
  </si>
  <si>
    <t>B21010200</t>
  </si>
  <si>
    <t>Kapal Pandu</t>
  </si>
  <si>
    <t>B21010300</t>
  </si>
  <si>
    <t>Kapal Kepil</t>
  </si>
  <si>
    <t>B21010400</t>
  </si>
  <si>
    <t>Kapal Keruk</t>
  </si>
  <si>
    <t>B21010500</t>
  </si>
  <si>
    <t>Kapal Wisata</t>
  </si>
  <si>
    <t>B21010600</t>
  </si>
  <si>
    <t>Tongkang</t>
  </si>
  <si>
    <t>Utilisasi alat apung</t>
  </si>
  <si>
    <t>B21020100</t>
  </si>
  <si>
    <t>B21020200</t>
  </si>
  <si>
    <t>B21020300</t>
  </si>
  <si>
    <t>B21020400</t>
  </si>
  <si>
    <t>B21020500</t>
  </si>
  <si>
    <t>B21020600</t>
  </si>
  <si>
    <t>Konsumsi BBM / Energi Listrik</t>
  </si>
  <si>
    <t>B21030100</t>
  </si>
  <si>
    <t>L</t>
  </si>
  <si>
    <t>B21030200</t>
  </si>
  <si>
    <t>B21030300</t>
  </si>
  <si>
    <t>B21030400</t>
  </si>
  <si>
    <t>B21030500</t>
  </si>
  <si>
    <t>B21030600</t>
  </si>
  <si>
    <t>B21030700</t>
  </si>
  <si>
    <t>kWh</t>
  </si>
  <si>
    <t>B21030800</t>
  </si>
  <si>
    <t>B21030900</t>
  </si>
  <si>
    <t>B21031000</t>
  </si>
  <si>
    <t>B21031100</t>
  </si>
  <si>
    <t>B21031200</t>
  </si>
  <si>
    <t>Pelayanan Petikemas dan Non Petikemas</t>
  </si>
  <si>
    <t>Kesiapan alat bongkar muat</t>
  </si>
  <si>
    <t>B22010100</t>
  </si>
  <si>
    <t>Quay Container Crane</t>
  </si>
  <si>
    <t>B22010200</t>
  </si>
  <si>
    <t>Harbour Mobile Crane</t>
  </si>
  <si>
    <t>B22010300</t>
  </si>
  <si>
    <t>Gantry Jib Crane</t>
  </si>
  <si>
    <t>B22010400</t>
  </si>
  <si>
    <t>Gantry Luffing Crane</t>
  </si>
  <si>
    <t>B22010500</t>
  </si>
  <si>
    <t>Fixed Jib Crane</t>
  </si>
  <si>
    <t>B22010600</t>
  </si>
  <si>
    <t>Rail Mounted Gantry Crane</t>
  </si>
  <si>
    <t>B22010700</t>
  </si>
  <si>
    <t>Rubber Tyred Gantry Crane</t>
  </si>
  <si>
    <t>B22010800</t>
  </si>
  <si>
    <t>Automatic Stacking Crane</t>
  </si>
  <si>
    <t>B22010900</t>
  </si>
  <si>
    <t>Reach Stacker</t>
  </si>
  <si>
    <t>B22011000</t>
  </si>
  <si>
    <t>Side Loader</t>
  </si>
  <si>
    <t>B22011100</t>
  </si>
  <si>
    <t>Top Loader</t>
  </si>
  <si>
    <t>B22011200</t>
  </si>
  <si>
    <t>Head Truck</t>
  </si>
  <si>
    <t>B22011300</t>
  </si>
  <si>
    <t>Chassis</t>
  </si>
  <si>
    <t>B22011400</t>
  </si>
  <si>
    <t>Straddle Carrier</t>
  </si>
  <si>
    <t>B22011500</t>
  </si>
  <si>
    <t>Mobile Crane</t>
  </si>
  <si>
    <t>B22011600</t>
  </si>
  <si>
    <t>Fixed Crane</t>
  </si>
  <si>
    <t>B22011700</t>
  </si>
  <si>
    <t>Overhead Crane</t>
  </si>
  <si>
    <t>B22011800</t>
  </si>
  <si>
    <t>Hopper</t>
  </si>
  <si>
    <t>B22011900</t>
  </si>
  <si>
    <t>Excavator</t>
  </si>
  <si>
    <t>B22012000</t>
  </si>
  <si>
    <t>Ship to shore</t>
  </si>
  <si>
    <t>B22012100</t>
  </si>
  <si>
    <t>Conveyor</t>
  </si>
  <si>
    <t>B22012200</t>
  </si>
  <si>
    <t>Wheel Loader</t>
  </si>
  <si>
    <t>B22012300</t>
  </si>
  <si>
    <t>Bulldozer</t>
  </si>
  <si>
    <t>B22012400</t>
  </si>
  <si>
    <t>Dump Truck</t>
  </si>
  <si>
    <t>B22012500</t>
  </si>
  <si>
    <t>Tronton</t>
  </si>
  <si>
    <t>B22012600</t>
  </si>
  <si>
    <t>Forklift</t>
  </si>
  <si>
    <t>B22012700</t>
  </si>
  <si>
    <t>Trailer</t>
  </si>
  <si>
    <t>B22012800</t>
  </si>
  <si>
    <t>Alat lainnya</t>
  </si>
  <si>
    <t>Utilisasi alat bongkar muat</t>
  </si>
  <si>
    <t>B22020100</t>
  </si>
  <si>
    <t>B22020200</t>
  </si>
  <si>
    <t>B22020300</t>
  </si>
  <si>
    <t>B22020400</t>
  </si>
  <si>
    <t>B22020500</t>
  </si>
  <si>
    <t>B22020600</t>
  </si>
  <si>
    <t>B22020700</t>
  </si>
  <si>
    <t>B22020800</t>
  </si>
  <si>
    <t>B22020900</t>
  </si>
  <si>
    <t>B22021000</t>
  </si>
  <si>
    <t>B22021100</t>
  </si>
  <si>
    <t>B22021200</t>
  </si>
  <si>
    <t>B22021300</t>
  </si>
  <si>
    <t>B22021400</t>
  </si>
  <si>
    <t>B22021500</t>
  </si>
  <si>
    <t>B22021600</t>
  </si>
  <si>
    <t>B22021700</t>
  </si>
  <si>
    <t>B22021800</t>
  </si>
  <si>
    <t>B22021900</t>
  </si>
  <si>
    <t>B22022000</t>
  </si>
  <si>
    <t>B22022100</t>
  </si>
  <si>
    <t>B22022200</t>
  </si>
  <si>
    <t>B22022300</t>
  </si>
  <si>
    <t>B22022400</t>
  </si>
  <si>
    <t>B22022500</t>
  </si>
  <si>
    <t>B22022600</t>
  </si>
  <si>
    <t>B22022700</t>
  </si>
  <si>
    <t>B22022800</t>
  </si>
  <si>
    <t>PELAYANAN KAPAL</t>
  </si>
  <si>
    <t>401.01.00.00.00.00.00.00.00</t>
  </si>
  <si>
    <t>Pelayanan Labuh</t>
  </si>
  <si>
    <t>GT Masa</t>
  </si>
  <si>
    <t>401.02.00.00.00.00.00.00.00</t>
  </si>
  <si>
    <t>Pelayanan Pemanduan</t>
  </si>
  <si>
    <t>Kpl Grk</t>
  </si>
  <si>
    <t>GT Kpl Grk</t>
  </si>
  <si>
    <t>401.03.00.00.00.00.00.00.00</t>
  </si>
  <si>
    <t>Pelayanan Penundaan</t>
  </si>
  <si>
    <t>Kpl Jam</t>
  </si>
  <si>
    <t>GT Kpl Jam</t>
  </si>
  <si>
    <t>401.04.00.00.00.00.00.00.00</t>
  </si>
  <si>
    <t>Pelayanan Penambatan</t>
  </si>
  <si>
    <t>GT Etmal</t>
  </si>
  <si>
    <t>401.05.00.00.00.00.00.00.00</t>
  </si>
  <si>
    <t>Pelayanan Alur</t>
  </si>
  <si>
    <t>401.06.00.00.00.00.00.00.00</t>
  </si>
  <si>
    <t>Pelayanan Kepil</t>
  </si>
  <si>
    <t>Grk</t>
  </si>
  <si>
    <t>PELAYANAN PETIKEMAS</t>
  </si>
  <si>
    <t>Pelayanan Petikemas Internasional</t>
  </si>
  <si>
    <t>402.01.01.00.00.00.00.00.00</t>
  </si>
  <si>
    <t>Dermaga</t>
  </si>
  <si>
    <t xml:space="preserve">Ton </t>
  </si>
  <si>
    <t>Operasi Kapal</t>
  </si>
  <si>
    <t>402.01.02.01.00.00.00.00.00</t>
  </si>
  <si>
    <t>Stevedoring</t>
  </si>
  <si>
    <t>402.01.02.02.00.00.00.00.00</t>
  </si>
  <si>
    <t>Lift On/Lift Off</t>
  </si>
  <si>
    <t>402.01.02.03.00.00.00.00.00</t>
  </si>
  <si>
    <t>Haulage</t>
  </si>
  <si>
    <t>402.01.02.04.00.00.00.00.00</t>
  </si>
  <si>
    <t>Restowage/Shifting</t>
  </si>
  <si>
    <t>402.01.02.05.00.00.00.00.00</t>
  </si>
  <si>
    <t>Buka Tutup Palka</t>
  </si>
  <si>
    <t>Palka</t>
  </si>
  <si>
    <t>Kegiatan</t>
  </si>
  <si>
    <t>402.01.02.06.00.00.00.00.00</t>
  </si>
  <si>
    <t xml:space="preserve">Kerjasama Pelayanan B/M </t>
  </si>
  <si>
    <t>Operasi Lapangan</t>
  </si>
  <si>
    <t>402.01.03.01.00.00.00.00.00</t>
  </si>
  <si>
    <t>402.01.03.02.00.00.00.00.00</t>
  </si>
  <si>
    <t>Gerakan Ekstra</t>
  </si>
  <si>
    <t>402.01.03.03.00.00.00.00.00</t>
  </si>
  <si>
    <t>Penumpukan Petikemas</t>
  </si>
  <si>
    <t>Box Hari</t>
  </si>
  <si>
    <t>402.01.03.04.00.00.00.00.00</t>
  </si>
  <si>
    <t>Reefer (Suplai listrik dan monitoring)</t>
  </si>
  <si>
    <t>Box Shift</t>
  </si>
  <si>
    <t>Operasi CFS</t>
  </si>
  <si>
    <t>402.01.04.01.00.00.00.00.00</t>
  </si>
  <si>
    <t>Receiving/Delivery (Barang)</t>
  </si>
  <si>
    <t>402.01.04.02.00.00.00.00.00</t>
  </si>
  <si>
    <t>Rubah Status/LCL</t>
  </si>
  <si>
    <t>402.01.04.03.00.00.00.00.00</t>
  </si>
  <si>
    <t>402.01.04.04.00.00.00.00.00</t>
  </si>
  <si>
    <t>Stripping / Stuffing</t>
  </si>
  <si>
    <t>402.01.04.05.00.00.00.00.00</t>
  </si>
  <si>
    <t>Penumpukan</t>
  </si>
  <si>
    <t>Ton Hari</t>
  </si>
  <si>
    <t>M3 Hari</t>
  </si>
  <si>
    <t>Petikemas Transhipment</t>
  </si>
  <si>
    <t>402.01.05.01.00.00.00.00.00</t>
  </si>
  <si>
    <t>402.01.05.02.00.00.00.00.00</t>
  </si>
  <si>
    <t>402.01.05.03.00.00.00.00.00</t>
  </si>
  <si>
    <t xml:space="preserve">Petikemas Lainnya </t>
  </si>
  <si>
    <t>Behandle</t>
  </si>
  <si>
    <t>402.01.06.01.01.00.00.00.00</t>
  </si>
  <si>
    <t>402.01.06.01.02.00.00.00.00</t>
  </si>
  <si>
    <t>Tempat Pemeriksaan Fisik Terpadu</t>
  </si>
  <si>
    <t>402.01.06.02.01.00.00.00.00</t>
  </si>
  <si>
    <t>402.01.06.02.02.00.00.00.00</t>
  </si>
  <si>
    <t>402.01.06.03.00.00.00.00.00</t>
  </si>
  <si>
    <t>Fumigasi</t>
  </si>
  <si>
    <t>402.01.06.04.00.00.00.00.00</t>
  </si>
  <si>
    <t>Batal Muat</t>
  </si>
  <si>
    <t>402.01.06.05.00.00.00.00.00</t>
  </si>
  <si>
    <t>Pindah Kapal/alih kapal</t>
  </si>
  <si>
    <t>402.01.06.06.00.00.00.00.00</t>
  </si>
  <si>
    <t>Closing</t>
  </si>
  <si>
    <t>402.01.06.07.00.00.00.00.00</t>
  </si>
  <si>
    <t xml:space="preserve">Batal Dokumen </t>
  </si>
  <si>
    <t>402.01.06.08.00.00.00.00.00</t>
  </si>
  <si>
    <t xml:space="preserve">Labeling </t>
  </si>
  <si>
    <t>402.01.06.09.00.00.00.00.00</t>
  </si>
  <si>
    <t>Overbrengen</t>
  </si>
  <si>
    <t>Pelayanan Petikemas Domestik</t>
  </si>
  <si>
    <t>402.02.01.00.00.00.00.00.00</t>
  </si>
  <si>
    <t>402.02.02.01.00.00.00.00.00</t>
  </si>
  <si>
    <t>402.02.02.02.00.00.00.00.00</t>
  </si>
  <si>
    <t>402.02.02.03.00.00.00.00.00</t>
  </si>
  <si>
    <t>402.02.02.04.00.00.00.00.00</t>
  </si>
  <si>
    <t>402.02.02.05.00.00.00.00.00</t>
  </si>
  <si>
    <t>402.02.02.06.00.00.00.00.00</t>
  </si>
  <si>
    <t>402.02.02.07.00.00.00.00.00</t>
  </si>
  <si>
    <t>Kade Lossing</t>
  </si>
  <si>
    <t>402.02.03.01.00.00.00.00.00</t>
  </si>
  <si>
    <t>402.02.03.02.00.00.00.00.00</t>
  </si>
  <si>
    <t>402.02.03.03.00.00.00.00.00</t>
  </si>
  <si>
    <t>Unit Hari</t>
  </si>
  <si>
    <t>402.02.03.04.00.00.00.00.00</t>
  </si>
  <si>
    <t>Shift</t>
  </si>
  <si>
    <t>402.02.04.01.00.00.00.00.00</t>
  </si>
  <si>
    <t>402.02.04.02.00.00.00.00.00</t>
  </si>
  <si>
    <t>402.02.04.03.00.00.00.00.00</t>
  </si>
  <si>
    <t>402.02.05.01.01.00.00.00.00</t>
  </si>
  <si>
    <t>402.02.05.01.02.00.00.00.00</t>
  </si>
  <si>
    <t>402.02.05.02.00.00.00.00.00</t>
  </si>
  <si>
    <t>402.02.05.03.00.00.00.00.00</t>
  </si>
  <si>
    <t>402.02.05.04.00.00.00.00.00</t>
  </si>
  <si>
    <t>402.02.05.05.00.00.00.00.00</t>
  </si>
  <si>
    <t>402.02.05.06.00.00.00.00.00</t>
  </si>
  <si>
    <t>402.02.05.07.00.00.00.00.00</t>
  </si>
  <si>
    <t>PELAYANAN BARANG NON PETIKEMAS GENERAL CARGO</t>
  </si>
  <si>
    <t>403.01.01.00.00.00.00.00.00</t>
  </si>
  <si>
    <t>403.01.02.00.00.00.00.00.00</t>
  </si>
  <si>
    <t>Gudang Penumpukan Diusahakan</t>
  </si>
  <si>
    <t>403.01.03.00.00.00.00.00.00</t>
  </si>
  <si>
    <t>Lapangan Penumpukan Diusahakan</t>
  </si>
  <si>
    <t>Bongkar Muat</t>
  </si>
  <si>
    <t>Per Mata Rantai</t>
  </si>
  <si>
    <t>403.01.04.01.01.00.00.00.00</t>
  </si>
  <si>
    <t>403.01.04.01.02.00.00.00.00</t>
  </si>
  <si>
    <t>Cargodoring</t>
  </si>
  <si>
    <t>403.01.04.01.03.00.00.00.00</t>
  </si>
  <si>
    <t>Receiving/Delivery</t>
  </si>
  <si>
    <t>403.01.04.02.00.00.00.00.00</t>
  </si>
  <si>
    <t>Kerjasama Pelayanan B/M</t>
  </si>
  <si>
    <t>403.01.04.03.00.00.00.00.00</t>
  </si>
  <si>
    <t xml:space="preserve">Pelayanan Kade Lossing </t>
  </si>
  <si>
    <t>403.01.04.04.00.00.00.00.00</t>
  </si>
  <si>
    <t>403.01.04.05.00.00.00.00.00</t>
  </si>
  <si>
    <t>Roll On Roll Off (Ro Ro)</t>
  </si>
  <si>
    <t>PELAYANAN BARANG NON PETIKEMAS CURAH KERING</t>
  </si>
  <si>
    <t>403.02.01.00.00.00.00.00.00</t>
  </si>
  <si>
    <t>403.02.02.00.00.00.00.00.00</t>
  </si>
  <si>
    <t>403.02.03.00.00.00.00.00.00</t>
  </si>
  <si>
    <t>403.02.04.00.00.00.00.00.00</t>
  </si>
  <si>
    <t>Penyimpanan (Silo)</t>
  </si>
  <si>
    <t>403.02.05.01.01.00.00.00.00</t>
  </si>
  <si>
    <t>403.02.05.01.02.00.00.00.00</t>
  </si>
  <si>
    <t>403.02.05.01.03.00.00.00.00</t>
  </si>
  <si>
    <t>403.02.05.02.00.00.00.00.00</t>
  </si>
  <si>
    <t>PELAYANAN BARANG NON PETIKEMAS CURAH CAIR</t>
  </si>
  <si>
    <t>403.03.01.00.00.00.00.00.00</t>
  </si>
  <si>
    <t>403.03.02.00.00.00.00.00.00</t>
  </si>
  <si>
    <t>Penyimpanan (Tank Storage)</t>
  </si>
  <si>
    <t>403.03.03.01.01.00.00.00.00</t>
  </si>
  <si>
    <t>403.03.03.01.02.00.00.00.00</t>
  </si>
  <si>
    <t>403.03.03.01.03.00.00.00.00</t>
  </si>
  <si>
    <t>403.03.03.02.00.00.00.00.00</t>
  </si>
  <si>
    <t>403.03.03.03.00.00.00.00.00</t>
  </si>
  <si>
    <t>Kerjasama Pengangkutan</t>
  </si>
  <si>
    <t>PELAYANAN BARANG NON PETIKEMAS GAS</t>
  </si>
  <si>
    <t>403.04.01.00.00.00.00.00.00</t>
  </si>
  <si>
    <t>403.04.02.00.00.00.00.00.00</t>
  </si>
  <si>
    <t>Penyimpanan (Pipa)</t>
  </si>
  <si>
    <t>403.04.03.01.01.00.00.00.00</t>
  </si>
  <si>
    <t>403.04.03.01.02.00.00.00.00</t>
  </si>
  <si>
    <t>403.04.03.01.03.00.00.00.00</t>
  </si>
  <si>
    <t>403.04.03.02.00.00.00.00.00</t>
  </si>
  <si>
    <t>PELAYANAN BARANG NON PETIKEMAS CAR TERMINAL</t>
  </si>
  <si>
    <t>403.05.01.00.00.00.00.00.00</t>
  </si>
  <si>
    <t>403.05.02.00.00.00.00.00.00</t>
  </si>
  <si>
    <t>Lapangan Penumpukan</t>
  </si>
  <si>
    <t>403.05.03.01.01.00.00.00.00</t>
  </si>
  <si>
    <t>403.05.03.01.02.00.00.00.00</t>
  </si>
  <si>
    <t>403.05.03.01.03.00.00.00.00</t>
  </si>
  <si>
    <t>403.05.03.02.00.00.00.00.00</t>
  </si>
  <si>
    <t>PELAYANAN BARANG NON PETIKEMAS BAG CARGO</t>
  </si>
  <si>
    <t>403.06.01.00.00.00.00.00.00</t>
  </si>
  <si>
    <t>403.06.02.00.00.00.00.00.00</t>
  </si>
  <si>
    <t>403.06.03.01.01.00.00.00.00</t>
  </si>
  <si>
    <t>403.06.03.01.02.00.00.00.00</t>
  </si>
  <si>
    <t>403.06.03.01.03.00.00.00.00</t>
  </si>
  <si>
    <t>403.06.03.02.00.00.00.00.00</t>
  </si>
  <si>
    <t>404.01.01.00.00.00.00.00.00</t>
  </si>
  <si>
    <t>404.01.02.00.00.00.00.00.00</t>
  </si>
  <si>
    <t xml:space="preserve">Stuffing/Stripping </t>
  </si>
  <si>
    <t>404.01.03.00.00.00.00.00.00</t>
  </si>
  <si>
    <t>Unitasi/Paletasi</t>
  </si>
  <si>
    <t>404.01.04.00.00.00.00.00.00</t>
  </si>
  <si>
    <t>Packing</t>
  </si>
  <si>
    <t xml:space="preserve">Unit </t>
  </si>
  <si>
    <t>404.01.05.00.00.00.00.00.00</t>
  </si>
  <si>
    <t>Labeling</t>
  </si>
  <si>
    <t>404.01.06.00.00.00.00.00.00</t>
  </si>
  <si>
    <t>Sortasi</t>
  </si>
  <si>
    <t>404.01.07.00.00.00.00.00.00</t>
  </si>
  <si>
    <t>404.01.08.00.00.00.00.00.00</t>
  </si>
  <si>
    <t>404.01.09.00.00.00.00.00.00</t>
  </si>
  <si>
    <t>Repair/Cleaning Container</t>
  </si>
  <si>
    <t>404.01.10.00.00.00.00.00.00</t>
  </si>
  <si>
    <t>Monitoring Reefer Plug</t>
  </si>
  <si>
    <t>404.01.11.00.00.00.00.00.00</t>
  </si>
  <si>
    <t>PELAYANAN NON PETIKEMAS</t>
  </si>
  <si>
    <t>404.02.01.00.00.00.00.00.00</t>
  </si>
  <si>
    <t>Receiving delivery</t>
  </si>
  <si>
    <t>404.02.02.00.00.00.00.00.00</t>
  </si>
  <si>
    <t>404.02.03.00.00.00.00.00.00</t>
  </si>
  <si>
    <t>404.02.04.00.00.00.00.00.00</t>
  </si>
  <si>
    <t>404.02.05.00.00.00.00.00.00</t>
  </si>
  <si>
    <t>404.02.06.00.00.00.00.00.00</t>
  </si>
  <si>
    <t>Penumpukan Barang</t>
  </si>
  <si>
    <t>404.02.07.00.00.00.00.00.00</t>
  </si>
  <si>
    <t>PELAYANAN PELRA</t>
  </si>
  <si>
    <t>405.01.00.00.00.00.00.00.00</t>
  </si>
  <si>
    <t>PELAYANAN PAKET</t>
  </si>
  <si>
    <t>PELAYANAN NON PAKET</t>
  </si>
  <si>
    <t>405.02.01.00.00.00.00.00.00</t>
  </si>
  <si>
    <t>Labuh</t>
  </si>
  <si>
    <t>405.02.02.00.00.00.00.00.00</t>
  </si>
  <si>
    <t>Penambatan</t>
  </si>
  <si>
    <t>405.02.03.00.00.00.00.00.00</t>
  </si>
  <si>
    <t>Kepil</t>
  </si>
  <si>
    <t>405.02.04.00.00.00.00.00.00</t>
  </si>
  <si>
    <t>405.02.05.00.00.00.00.00.00</t>
  </si>
  <si>
    <t>405.02.06.00.00.00.00.00.00</t>
  </si>
  <si>
    <t>Ekor Hari</t>
  </si>
  <si>
    <t>405.02.07.01.01.00.00.00.00</t>
  </si>
  <si>
    <t>405.02.07.01.02.00.00.00.00</t>
  </si>
  <si>
    <t>405.02.07.01.03.00.00.00.00</t>
  </si>
  <si>
    <t>405.02.07.02.00.00.00.00.00</t>
  </si>
  <si>
    <t>405.02.07.03.00.00.00.00.00</t>
  </si>
  <si>
    <t>PENGUSAHAAN ALAT</t>
  </si>
  <si>
    <t>PRODUKSI ALAT ANGKAT DIUSAHAKAN</t>
  </si>
  <si>
    <t>406.01.01.00.00.00.00.00.00</t>
  </si>
  <si>
    <t>Container Crane</t>
  </si>
  <si>
    <t>406.01.02.00.00.00.00.00.00</t>
  </si>
  <si>
    <t xml:space="preserve">HMC </t>
  </si>
  <si>
    <t>406.01.03.00.00.00.00.00.00</t>
  </si>
  <si>
    <t>406.01.04.00.00.00.00.00.00</t>
  </si>
  <si>
    <t>406.01.05.00.00.00.00.00.00</t>
  </si>
  <si>
    <t>406.01.06.00.00.00.00.00.00</t>
  </si>
  <si>
    <t>Towing Tractor</t>
  </si>
  <si>
    <t>406.01.07.00.00.00.00.00.00</t>
  </si>
  <si>
    <t>RTG</t>
  </si>
  <si>
    <t>406.01.08.00.00.00.00.00.00</t>
  </si>
  <si>
    <t>406.01.09.00.00.00.00.00.00</t>
  </si>
  <si>
    <t>406.01.10.00.00.00.00.00.00</t>
  </si>
  <si>
    <t>406.01.11.00.00.00.00.00.00</t>
  </si>
  <si>
    <t>Luffing Crane</t>
  </si>
  <si>
    <t>406.01.12.00.00.00.00.00.00</t>
  </si>
  <si>
    <t>406.01.13.00.00.00.00.00.00</t>
  </si>
  <si>
    <t>406.01.14.00.00.00.00.00.00</t>
  </si>
  <si>
    <t>PRODUKSI ALAT ANGKUT DIUSAHAKAN</t>
  </si>
  <si>
    <t>406.02.01.00.00.00.00.00.00</t>
  </si>
  <si>
    <t>Hari</t>
  </si>
  <si>
    <t>406.02.02.00.00.00.00.00.00</t>
  </si>
  <si>
    <t>406.02.03.00.00.00.00.00.00</t>
  </si>
  <si>
    <t>Trailler</t>
  </si>
  <si>
    <t>406.02.04.00.00.00.00.00.00</t>
  </si>
  <si>
    <t>406.02.05.00.00.00.00.00.00</t>
  </si>
  <si>
    <t>406.02.06.00.00.00.00.00.00</t>
  </si>
  <si>
    <t>Straddlle Carrier</t>
  </si>
  <si>
    <t>PRODUKSI ALAT BANTU B/M DIUSAHAKAN</t>
  </si>
  <si>
    <t>406.03.01.00.00.00.00.00.00</t>
  </si>
  <si>
    <t>Timbangan</t>
  </si>
  <si>
    <t>406.03.02.00.00.00.00.00.00</t>
  </si>
  <si>
    <t>Grab</t>
  </si>
  <si>
    <t>406.03.03.00.00.00.00.00.00</t>
  </si>
  <si>
    <t>406.03.04.00.00.00.00.00.00</t>
  </si>
  <si>
    <t>Pemadam Kebakaran</t>
  </si>
  <si>
    <t>406.03.05.00.00.00.00.00.00</t>
  </si>
  <si>
    <t>Bucket</t>
  </si>
  <si>
    <t>406.03.06.00.00.00.00.00.00</t>
  </si>
  <si>
    <t>Ramp Door</t>
  </si>
  <si>
    <t>406.03.07.00.00.00.00.00.00</t>
  </si>
  <si>
    <t>Genset</t>
  </si>
  <si>
    <t>406.03.08.00.00.00.00.00.00</t>
  </si>
  <si>
    <t>Spreader</t>
  </si>
  <si>
    <t>PRODUKSI ALAT APUNG</t>
  </si>
  <si>
    <t>406.04.01.00.00.00.00.00.00</t>
  </si>
  <si>
    <t>Kapal Tongkang</t>
  </si>
  <si>
    <t>406.04.02.00.00.00.00.00.00</t>
  </si>
  <si>
    <t>406.04.03.00.00.00.00.00.00</t>
  </si>
  <si>
    <t>406.04.04.00.00.00.00.00.00</t>
  </si>
  <si>
    <t>406.04.05.00.00.00.00.00.00</t>
  </si>
  <si>
    <t>Jam / Ls</t>
  </si>
  <si>
    <t>406.04.06.00.00.00.00.00.00</t>
  </si>
  <si>
    <t>406.04.07.00.00.00.00.00.00</t>
  </si>
  <si>
    <t>Floating Jetty / Ponton</t>
  </si>
  <si>
    <t>PENGUSAHAAN PROPERTI</t>
  </si>
  <si>
    <t>Pengusahaan Lahan</t>
  </si>
  <si>
    <t>407.01.01.00.00.00.00.00.00</t>
  </si>
  <si>
    <t>Sewa</t>
  </si>
  <si>
    <t>M2</t>
  </si>
  <si>
    <t>407.01.02.00.00.00.00.00.00</t>
  </si>
  <si>
    <t>Throughput Fee  / Kontribusi</t>
  </si>
  <si>
    <t>407.02.00.00.00.00.00.00.00</t>
  </si>
  <si>
    <t>Pengusahaan Perairan</t>
  </si>
  <si>
    <t>407.03.00.00.00.00.00.00.00</t>
  </si>
  <si>
    <t>Pengusahaan Bangunan</t>
  </si>
  <si>
    <t>Kali</t>
  </si>
  <si>
    <t>407.04.00.00.00.00.00.00.00</t>
  </si>
  <si>
    <t>Konsolidasi dan Distribusi Barang</t>
  </si>
  <si>
    <t>Paket</t>
  </si>
  <si>
    <t>PENGUSAHAAN AIR / LISTRIK</t>
  </si>
  <si>
    <t>Pengusahaan Air</t>
  </si>
  <si>
    <t>Pengusahaan Air Kapal</t>
  </si>
  <si>
    <t>408.01.01.01.00.00.00.00.00</t>
  </si>
  <si>
    <t>Sumber yang diusahakan</t>
  </si>
  <si>
    <t>408.01.01.02.00.00.00.00.00</t>
  </si>
  <si>
    <t>Sumber yang dikerjasamakan</t>
  </si>
  <si>
    <t>Pengusahaan  Air Umum</t>
  </si>
  <si>
    <t>408.01.02.01.00.00.00.00.00</t>
  </si>
  <si>
    <t>408.01.02.02.00.00.00.00.00</t>
  </si>
  <si>
    <t>408.02.00.00.00.00.00.00.00</t>
  </si>
  <si>
    <t>Pengusahaan Listrik</t>
  </si>
  <si>
    <t>KWh</t>
  </si>
  <si>
    <t>PELAYANAN RUPA-RUPA USAHA</t>
  </si>
  <si>
    <t>Pas Terminal Penumpang</t>
  </si>
  <si>
    <t>409.01.01.00.00.00.00.00.00</t>
  </si>
  <si>
    <t>Pas Penumpang</t>
  </si>
  <si>
    <t>Pas Pelabuhan (Orang)</t>
  </si>
  <si>
    <t>409.02.01.00.00.00.00.00.00</t>
  </si>
  <si>
    <t>Pas Harian Orang</t>
  </si>
  <si>
    <t>409.02.02.00.00.00.00.00.00</t>
  </si>
  <si>
    <t>Pas Berlangganan Orang</t>
  </si>
  <si>
    <t>Pas Pelabuhan (Kendaraan)</t>
  </si>
  <si>
    <t>409.03.01.00.00.00.00.00.00</t>
  </si>
  <si>
    <t>Pas Harian Kendaraan</t>
  </si>
  <si>
    <t>409.03.02.00.00.00.00.00.00</t>
  </si>
  <si>
    <t>Pas Berlangganan Kendaraan</t>
  </si>
  <si>
    <t>Pas Berlangganan Kendaraan (Pas Barang)</t>
  </si>
  <si>
    <t>Fasilitas Repair / Docking Kapal</t>
  </si>
  <si>
    <t>409.04.01.00.00.00.00.00.00</t>
  </si>
  <si>
    <t>Fasilitas Repair/Docking Kapal</t>
  </si>
  <si>
    <t>Produksi Kerjasama</t>
  </si>
  <si>
    <t>409.05.01.00.00.00.00.00.00</t>
  </si>
  <si>
    <t>Kerjasama Alat</t>
  </si>
  <si>
    <t>409.05.02.00.00.00.00.00.00</t>
  </si>
  <si>
    <t>Kerjasama Kapal Khusus</t>
  </si>
  <si>
    <t>Gerak</t>
  </si>
  <si>
    <t>409.05.03.00.00.00.00.00.00</t>
  </si>
  <si>
    <t>Kerjasama Pelabuhan</t>
  </si>
  <si>
    <t>GT.Call</t>
  </si>
  <si>
    <t>409.05.04.00.00.00.00.00.00</t>
  </si>
  <si>
    <t>Kerjasama Jasa Air Kapal</t>
  </si>
  <si>
    <t>409.05.05.00.00.00.00.00.00</t>
  </si>
  <si>
    <t>Kerjasama Jasa Cold Processing / Ikan</t>
  </si>
  <si>
    <t>409.05.06.00.00.00.00.00.00</t>
  </si>
  <si>
    <t>Kerjasama Bunker BBM</t>
  </si>
  <si>
    <t>409.05.07.00.00.00.00.00.00</t>
  </si>
  <si>
    <t>Kerjasama Jasa Dock/Galangan</t>
  </si>
  <si>
    <t>409.05.08.00.00.00.00.00.00</t>
  </si>
  <si>
    <t>Kerjasama Jasa Dermaga Ikan</t>
  </si>
  <si>
    <t>409.05.09.00.00.00.00.00.00</t>
  </si>
  <si>
    <t>Kerjasama Jasa CPO/Bungkil/Minyak Goreng</t>
  </si>
  <si>
    <t>Ton / Liter</t>
  </si>
  <si>
    <t>409.05.10.00.00.00.00.00.00</t>
  </si>
  <si>
    <t>Kerjasama Jasa Penumpukan</t>
  </si>
  <si>
    <t>409.05.11.00.00.00.00.00.00</t>
  </si>
  <si>
    <t>Kerjasama Jasa SPBU</t>
  </si>
  <si>
    <t>409.05.12.00.00.00.00.00.00</t>
  </si>
  <si>
    <t>Kerjasama Jasa Taksi / Angkutan Penumpang</t>
  </si>
  <si>
    <t>409.05.14.00.00.00.00.00.00</t>
  </si>
  <si>
    <t>Kerjasama Pemeliharaan Fasilitas Pelabuhan</t>
  </si>
  <si>
    <t>409.06.00.00.00.00.00.00.00</t>
  </si>
  <si>
    <t>Fee For Service</t>
  </si>
  <si>
    <t>409.07.00.00.00.00.00.00.00</t>
  </si>
  <si>
    <t>Different Monthly Salary</t>
  </si>
  <si>
    <t>409.09.01.00.00.00.00.00.00</t>
  </si>
  <si>
    <t>Fuel Surcharge</t>
  </si>
  <si>
    <t>Ltr.Jam</t>
  </si>
  <si>
    <t>Ltr.Grk</t>
  </si>
  <si>
    <t>409.99.00.00.00.00.00.00.00</t>
  </si>
  <si>
    <t>Rupa-rupa lainnya</t>
  </si>
  <si>
    <t>PELAYANAN FORWARDING</t>
  </si>
  <si>
    <t>410.01.00.00.00.00.00.00.00</t>
  </si>
  <si>
    <t>Pemeriksaan Karantina</t>
  </si>
  <si>
    <t>410.02.00.00.00.00.00.00.00</t>
  </si>
  <si>
    <t>Pengurusan Dokumen</t>
  </si>
  <si>
    <t>Bendel</t>
  </si>
  <si>
    <t>410.03.00.00.00.00.00.00.00</t>
  </si>
  <si>
    <t>Intermoda</t>
  </si>
  <si>
    <t>410.04.00.00.00.00.00.00.00</t>
  </si>
  <si>
    <t>Transit</t>
  </si>
  <si>
    <t>410.05.00.00.00.00.00.00.00</t>
  </si>
  <si>
    <t xml:space="preserve">Trucking </t>
  </si>
  <si>
    <t>PELABUHAN KHUSUS/TUKS</t>
  </si>
  <si>
    <t>411.01.00.00.00.00.00.00.00</t>
  </si>
  <si>
    <t>411.02.00.00.00.00.00.00.00</t>
  </si>
  <si>
    <t>Pemanduan</t>
  </si>
  <si>
    <t>411.03.00.00.00.00.00.00.00</t>
  </si>
  <si>
    <t>Penundaan</t>
  </si>
  <si>
    <t>411.04.00.00.00.00.00.00.00</t>
  </si>
  <si>
    <t>411.05.00.00.00.00.00.00.00</t>
  </si>
  <si>
    <t>411.06.00.00.00.00.00.00.00</t>
  </si>
  <si>
    <t>Kerjasama pelayanan bongkar muat</t>
  </si>
  <si>
    <t>MARINE SERVICES</t>
  </si>
  <si>
    <t>Shipping</t>
  </si>
  <si>
    <t>412.01.01.00.00.00.00.00.00</t>
  </si>
  <si>
    <t>Keagenan</t>
  </si>
  <si>
    <t>412.01.02.00.00.00.00.00.00</t>
  </si>
  <si>
    <t>Yacht services</t>
  </si>
  <si>
    <t>Pilotage</t>
  </si>
  <si>
    <t>412.02.01.00.00.00.00.00.00</t>
  </si>
  <si>
    <t>Ls</t>
  </si>
  <si>
    <t>412.02.02.00.00.00.00.00.00</t>
  </si>
  <si>
    <t>412.02.03.00.00.00.00.00.00</t>
  </si>
  <si>
    <t>Jasa SBPP</t>
  </si>
  <si>
    <t>Unit Bulan</t>
  </si>
  <si>
    <t>Tug dan Assist</t>
  </si>
  <si>
    <t>412.03.01.00.00.00.00.00.00</t>
  </si>
  <si>
    <t>Assist Tug</t>
  </si>
  <si>
    <t>412.03.02.00.00.00.00.00.00</t>
  </si>
  <si>
    <t>Towing</t>
  </si>
  <si>
    <t>Various Ship Provider</t>
  </si>
  <si>
    <t>412.04.01.00.00.00.00.00.00</t>
  </si>
  <si>
    <t>Crew / Passanger Transport</t>
  </si>
  <si>
    <t>412.04.02.00.00.00.00.00.00</t>
  </si>
  <si>
    <t>Cruise Ship Provider (Artama)</t>
  </si>
  <si>
    <t>Various Ship Provider Lainnya</t>
  </si>
  <si>
    <t>412.04.03.01.00.00.00.00.00</t>
  </si>
  <si>
    <t>Alat Keruk</t>
  </si>
  <si>
    <t>412.04.03.02.00.00.00.00.00</t>
  </si>
  <si>
    <t>AHTS / Supply Vessel</t>
  </si>
  <si>
    <t>Docking Facility</t>
  </si>
  <si>
    <t>412.05.01.00.00.00.00.00.00</t>
  </si>
  <si>
    <t>Bengkel / Workshop</t>
  </si>
  <si>
    <t>412.05.02.00.00.00.00.00.00</t>
  </si>
  <si>
    <t>Fasilitas Lainnya</t>
  </si>
  <si>
    <t>Marine Logistik</t>
  </si>
  <si>
    <t>412.06.01.00.00.00.00.00.00</t>
  </si>
  <si>
    <t>Perbekalan BBM</t>
  </si>
  <si>
    <t>KL</t>
  </si>
  <si>
    <t>412.06.02.00.00.00.00.00.00</t>
  </si>
  <si>
    <t>Air Bersih (Fresh Water)</t>
  </si>
  <si>
    <t>412.06.03.01.00.00.00.00.00</t>
  </si>
  <si>
    <t>Listrik Kapal</t>
  </si>
  <si>
    <t>Kwh</t>
  </si>
  <si>
    <t>412.06.03.02.00.00.00.00.00</t>
  </si>
  <si>
    <t>Marine Power Supply</t>
  </si>
  <si>
    <t>KVA</t>
  </si>
  <si>
    <t>412.06.04.00.00.00.00.00.00</t>
  </si>
  <si>
    <t>Logistic, Distribusi Dan Terminal Energi Barang Pertambangan, Minyak Bumi dan Gas</t>
  </si>
  <si>
    <t>412.06.05.00.00.00.00.00.00</t>
  </si>
  <si>
    <t>Transportasi Dan Distribusi Barang Pertambangan, Minyak Bumi dan Gas</t>
  </si>
  <si>
    <t>Other Marine Service</t>
  </si>
  <si>
    <t>412.07.01.00.00.00.00.00.00</t>
  </si>
  <si>
    <t>Pemeliharaan Kolam Pelabuhan Dan Alur Pelayaran</t>
  </si>
  <si>
    <t>412.07.02.00.00.00.00.00.00</t>
  </si>
  <si>
    <t xml:space="preserve">Salvage </t>
  </si>
  <si>
    <t>412.07.03.00.00.00.00.00.00</t>
  </si>
  <si>
    <t>Pengembangan dan Pengelolaan Alur Pelayaran</t>
  </si>
  <si>
    <t>412.07.04.00.00.00.00.00.00</t>
  </si>
  <si>
    <t>Reception Facility</t>
  </si>
  <si>
    <t>Liter</t>
  </si>
  <si>
    <t>412.07.05.00.00.00.00.00.00</t>
  </si>
  <si>
    <t>Pendidikan Dan Pelatihan</t>
  </si>
  <si>
    <t>412.07.06.00.00.00.00.00.00</t>
  </si>
  <si>
    <t>Jasa Other Marine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</si>
</sst>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[Red]0"/>
    <numFmt numFmtId="165" formatCode="_-* #,##0_-;\-* #,##0_-;_-* &quot;-&quot;??_-;_-@"/>
    <numFmt numFmtId="166" formatCode="_-* #,##0_-;\-* #,##0_-;_-* &quot;-&quot;_-;_-@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b/>
      <sz val="11.0"/>
      <color theme="0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b/>
      <sz val="14.0"/>
      <color rgb="FF000000"/>
      <name val="Calibri"/>
    </font>
    <font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000000"/>
      <name val="Arial"/>
    </font>
    <font>
      <b/>
      <sz val="8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left" shrinkToFit="0" vertical="center" wrapText="0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49" xfId="0" applyFont="1" applyNumberFormat="1"/>
    <xf borderId="0" fillId="0" fontId="1" numFmtId="0" xfId="0" applyFont="1"/>
    <xf borderId="0" fillId="0" fontId="1" numFmtId="49" xfId="0" applyAlignment="1" applyFont="1" applyNumberFormat="1">
      <alignment shrinkToFit="0" vertical="center" wrapText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0" fillId="0" fontId="1" numFmtId="1" xfId="0" applyFont="1" applyNumberFormat="1"/>
    <xf borderId="1" fillId="3" fontId="5" numFmtId="0" xfId="0" applyAlignment="1" applyBorder="1" applyFill="1" applyFont="1">
      <alignment horizontal="right"/>
    </xf>
    <xf borderId="0" fillId="0" fontId="1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3" fillId="4" fontId="1" numFmtId="1" xfId="0" applyAlignment="1" applyBorder="1" applyFill="1" applyFont="1" applyNumberForma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3" fillId="4" fontId="1" numFmtId="0" xfId="0" applyAlignment="1" applyBorder="1" applyFont="1">
      <alignment horizontal="center" shrinkToFit="0" vertical="center" wrapText="1"/>
    </xf>
    <xf borderId="4" fillId="4" fontId="1" numFmtId="1" xfId="0" applyAlignment="1" applyBorder="1" applyFont="1" applyNumberForma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4" fontId="1" numFmtId="1" xfId="0" applyAlignment="1" applyBorder="1" applyFont="1" applyNumberForma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4" fillId="4" fontId="1" numFmtId="0" xfId="0" applyAlignment="1" applyBorder="1" applyFont="1">
      <alignment horizontal="center" shrinkToFit="0" vertical="center" wrapText="1"/>
    </xf>
    <xf borderId="18" fillId="4" fontId="1" numFmtId="1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4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left" vertical="center"/>
    </xf>
    <xf borderId="15" fillId="0" fontId="1" numFmtId="1" xfId="0" applyAlignment="1" applyBorder="1" applyFont="1" applyNumberFormat="1">
      <alignment vertical="center"/>
    </xf>
    <xf borderId="16" fillId="0" fontId="8" numFmtId="0" xfId="0" applyBorder="1" applyFont="1"/>
    <xf borderId="17" fillId="0" fontId="8" numFmtId="0" xfId="0" applyBorder="1" applyFont="1"/>
    <xf borderId="15" fillId="0" fontId="1" numFmtId="0" xfId="0" applyAlignment="1" applyBorder="1" applyFont="1">
      <alignment shrinkToFit="0" vertical="center" wrapText="1"/>
    </xf>
    <xf borderId="14" fillId="0" fontId="1" numFmtId="4" xfId="0" applyBorder="1" applyFont="1" applyNumberFormat="1"/>
    <xf borderId="14" fillId="0" fontId="1" numFmtId="1" xfId="0" applyAlignment="1" applyBorder="1" applyFont="1" applyNumberForma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4" fillId="5" fontId="1" numFmtId="4" xfId="0" applyAlignment="1" applyBorder="1" applyFill="1" applyFont="1" applyNumberFormat="1">
      <alignment horizontal="right" shrinkToFit="0" wrapText="1"/>
    </xf>
    <xf borderId="14" fillId="5" fontId="1" numFmtId="4" xfId="0" applyAlignment="1" applyBorder="1" applyFont="1" applyNumberFormat="1">
      <alignment horizontal="right" vertical="bottom"/>
    </xf>
    <xf borderId="14" fillId="5" fontId="1" numFmtId="4" xfId="0" applyAlignment="1" applyBorder="1" applyFont="1" applyNumberFormat="1">
      <alignment horizontal="right" shrinkToFit="0" vertical="bottom" wrapText="1"/>
    </xf>
    <xf borderId="14" fillId="5" fontId="9" numFmtId="4" xfId="0" applyAlignment="1" applyBorder="1" applyFont="1" applyNumberFormat="1">
      <alignment horizontal="right" readingOrder="0"/>
    </xf>
    <xf borderId="14" fillId="6" fontId="1" numFmtId="4" xfId="0" applyBorder="1" applyFill="1" applyFont="1" applyNumberFormat="1"/>
    <xf borderId="0" fillId="0" fontId="1" numFmtId="4" xfId="0" applyFont="1" applyNumberFormat="1"/>
    <xf borderId="15" fillId="0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left" shrinkToFit="0" vertical="center" wrapText="1"/>
    </xf>
    <xf borderId="16" fillId="0" fontId="1" numFmtId="1" xfId="0" applyAlignment="1" applyBorder="1" applyFont="1" applyNumberFormat="1">
      <alignment horizontal="left" shrinkToFit="0" vertical="center" wrapText="1"/>
    </xf>
    <xf borderId="17" fillId="0" fontId="1" numFmtId="1" xfId="0" applyAlignment="1" applyBorder="1" applyFont="1" applyNumberFormat="1">
      <alignment horizontal="left" shrinkToFit="0" vertical="center" wrapText="1"/>
    </xf>
    <xf borderId="22" fillId="5" fontId="1" numFmtId="4" xfId="0" applyAlignment="1" applyBorder="1" applyFont="1" applyNumberFormat="1">
      <alignment horizontal="right" vertical="bottom"/>
    </xf>
    <xf borderId="22" fillId="5" fontId="1" numFmtId="4" xfId="0" applyAlignment="1" applyBorder="1" applyFont="1" applyNumberFormat="1">
      <alignment horizontal="right" shrinkToFit="0" vertical="bottom" wrapText="1"/>
    </xf>
    <xf borderId="22" fillId="5" fontId="1" numFmtId="4" xfId="0" applyAlignment="1" applyBorder="1" applyFont="1" applyNumberFormat="1">
      <alignment horizontal="right" shrinkToFit="0" wrapText="1"/>
    </xf>
    <xf borderId="14" fillId="5" fontId="1" numFmtId="4" xfId="0" applyBorder="1" applyFont="1" applyNumberFormat="1"/>
    <xf borderId="22" fillId="5" fontId="1" numFmtId="4" xfId="0" applyAlignment="1" applyBorder="1" applyFont="1" applyNumberFormat="1">
      <alignment vertical="bottom"/>
    </xf>
    <xf borderId="14" fillId="5" fontId="9" numFmtId="4" xfId="0" applyBorder="1" applyFont="1" applyNumberFormat="1"/>
    <xf borderId="14" fillId="5" fontId="1" numFmtId="4" xfId="0" applyAlignment="1" applyBorder="1" applyFont="1" applyNumberFormat="1">
      <alignment vertical="bottom"/>
    </xf>
    <xf borderId="22" fillId="5" fontId="1" numFmtId="4" xfId="0" applyBorder="1" applyFont="1" applyNumberFormat="1"/>
    <xf borderId="14" fillId="0" fontId="1" numFmtId="1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4" fillId="5" fontId="1" numFmtId="4" xfId="0" applyAlignment="1" applyBorder="1" applyFont="1" applyNumberFormat="1">
      <alignment shrinkToFit="0" vertical="center" wrapText="1"/>
    </xf>
    <xf borderId="10" fillId="5" fontId="1" numFmtId="4" xfId="0" applyAlignment="1" applyBorder="1" applyFont="1" applyNumberFormat="1">
      <alignment vertical="bottom"/>
    </xf>
    <xf borderId="15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left" shrinkToFit="0" vertical="center" wrapText="1"/>
    </xf>
    <xf borderId="16" fillId="0" fontId="1" numFmtId="1" xfId="0" applyAlignment="1" applyBorder="1" applyFont="1" applyNumberFormat="1">
      <alignment shrinkToFit="0" vertical="center" wrapText="1"/>
    </xf>
    <xf borderId="17" fillId="0" fontId="1" numFmtId="1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0" fillId="0" fontId="1" numFmtId="4" xfId="0" applyBorder="1" applyFont="1" applyNumberFormat="1"/>
    <xf borderId="14" fillId="0" fontId="1" numFmtId="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vertical="bottom"/>
    </xf>
    <xf borderId="14" fillId="5" fontId="1" numFmtId="4" xfId="0" applyAlignment="1" applyBorder="1" applyFont="1" applyNumberFormat="1">
      <alignment horizontal="right"/>
    </xf>
    <xf borderId="10" fillId="5" fontId="1" numFmtId="4" xfId="0" applyAlignment="1" applyBorder="1" applyFont="1" applyNumberFormat="1">
      <alignment horizontal="right" vertical="bottom"/>
    </xf>
    <xf borderId="22" fillId="5" fontId="1" numFmtId="4" xfId="0" applyAlignment="1" applyBorder="1" applyFont="1" applyNumberFormat="1">
      <alignment horizontal="right"/>
    </xf>
    <xf borderId="16" fillId="0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left" shrinkToFit="0" vertical="center" wrapText="1"/>
    </xf>
    <xf borderId="14" fillId="7" fontId="1" numFmtId="1" xfId="0" applyAlignment="1" applyBorder="1" applyFill="1" applyFont="1" applyNumberFormat="1">
      <alignment horizontal="center" shrinkToFit="0" vertical="center" wrapText="1"/>
    </xf>
    <xf borderId="14" fillId="5" fontId="9" numFmtId="4" xfId="0" applyAlignment="1" applyBorder="1" applyFont="1" applyNumberFormat="1">
      <alignment horizontal="right" readingOrder="0" shrinkToFit="0" vertical="bottom" wrapText="0"/>
    </xf>
    <xf borderId="10" fillId="5" fontId="9" numFmtId="4" xfId="0" applyAlignment="1" applyBorder="1" applyFont="1" applyNumberFormat="1">
      <alignment horizontal="right" shrinkToFit="0" vertical="bottom" wrapText="0"/>
    </xf>
    <xf borderId="10" fillId="5" fontId="9" numFmtId="4" xfId="0" applyAlignment="1" applyBorder="1" applyFont="1" applyNumberFormat="1">
      <alignment shrinkToFit="0" vertical="bottom" wrapText="0"/>
    </xf>
    <xf borderId="14" fillId="5" fontId="9" numFmtId="4" xfId="0" applyAlignment="1" applyBorder="1" applyFont="1" applyNumberFormat="1">
      <alignment shrinkToFit="0" vertical="bottom" wrapText="0"/>
    </xf>
    <xf borderId="15" fillId="0" fontId="1" numFmtId="1" xfId="0" applyAlignment="1" applyBorder="1" applyFont="1" applyNumberFormat="1">
      <alignment shrinkToFit="0" vertical="center" wrapText="1"/>
    </xf>
    <xf borderId="14" fillId="7" fontId="1" numFmtId="1" xfId="0" applyAlignment="1" applyBorder="1" applyFont="1" applyNumberFormat="1">
      <alignment shrinkToFit="0" vertical="center" wrapText="1"/>
    </xf>
    <xf borderId="15" fillId="0" fontId="1" numFmtId="1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23" fillId="6" fontId="1" numFmtId="0" xfId="0" applyBorder="1" applyFont="1"/>
    <xf borderId="4" fillId="0" fontId="9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/>
    </xf>
    <xf borderId="12" fillId="0" fontId="1" numFmtId="1" xfId="0" applyAlignment="1" applyBorder="1" applyFont="1" applyNumberFormat="1">
      <alignment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14" fillId="5" fontId="9" numFmtId="4" xfId="0" applyAlignment="1" applyBorder="1" applyFont="1" applyNumberFormat="1">
      <alignment horizontal="right" shrinkToFit="0" vertical="bottom" wrapText="0"/>
    </xf>
    <xf borderId="22" fillId="5" fontId="9" numFmtId="4" xfId="0" applyBorder="1" applyFont="1" applyNumberFormat="1"/>
    <xf borderId="0" fillId="0" fontId="1" numFmtId="3" xfId="0" applyAlignment="1" applyFont="1" applyNumberFormat="1">
      <alignment horizontal="right"/>
    </xf>
    <xf borderId="0" fillId="8" fontId="1" numFmtId="0" xfId="0" applyFill="1" applyFont="1"/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center" wrapText="1"/>
    </xf>
    <xf borderId="14" fillId="5" fontId="9" numFmtId="3" xfId="0" applyAlignment="1" applyBorder="1" applyFont="1" applyNumberFormat="1">
      <alignment horizontal="right" readingOrder="0" shrinkToFit="0" vertical="bottom" wrapText="0"/>
    </xf>
    <xf borderId="14" fillId="5" fontId="1" numFmtId="3" xfId="0" applyBorder="1" applyFont="1" applyNumberFormat="1"/>
    <xf borderId="5" fillId="0" fontId="1" numFmtId="1" xfId="0" applyAlignment="1" applyBorder="1" applyFont="1" applyNumberFormat="1">
      <alignment horizontal="center" shrinkToFit="0" vertical="center" wrapText="1"/>
    </xf>
    <xf borderId="16" fillId="0" fontId="1" numFmtId="1" xfId="0" applyAlignment="1" applyBorder="1" applyFont="1" applyNumberFormat="1">
      <alignment horizontal="center" shrinkToFit="0" vertical="center" wrapText="1"/>
    </xf>
    <xf borderId="22" fillId="5" fontId="1" numFmtId="3" xfId="0" applyBorder="1" applyFont="1" applyNumberFormat="1"/>
    <xf borderId="10" fillId="0" fontId="1" numFmtId="1" xfId="0" applyBorder="1" applyFont="1" applyNumberFormat="1"/>
    <xf borderId="14" fillId="0" fontId="1" numFmtId="1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1" xfId="0" applyAlignment="1" applyBorder="1" applyFont="1" applyNumberFormat="1">
      <alignment horizontal="center" vertical="center"/>
    </xf>
    <xf borderId="22" fillId="4" fontId="1" numFmtId="1" xfId="0" applyAlignment="1" applyBorder="1" applyFont="1" applyNumberFormat="1">
      <alignment horizontal="center" shrinkToFit="0" vertical="center" wrapText="1"/>
    </xf>
    <xf borderId="15" fillId="4" fontId="1" numFmtId="3" xfId="0" applyAlignment="1" applyBorder="1" applyFont="1" applyNumberFormat="1">
      <alignment horizontal="center" shrinkToFit="0" vertical="center" wrapText="1"/>
    </xf>
    <xf borderId="14" fillId="0" fontId="1" numFmtId="4" xfId="0" applyAlignment="1" applyBorder="1" applyFont="1" applyNumberFormat="1">
      <alignment horizontal="center" vertical="center"/>
    </xf>
    <xf borderId="15" fillId="0" fontId="1" numFmtId="1" xfId="0" applyAlignment="1" applyBorder="1" applyFont="1" applyNumberFormat="1">
      <alignment horizontal="left" shrinkToFit="0" vertical="top" wrapText="1"/>
    </xf>
    <xf borderId="14" fillId="5" fontId="9" numFmtId="4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horizontal="left" shrinkToFit="0" vertical="top" wrapText="1"/>
    </xf>
    <xf borderId="10" fillId="5" fontId="9" numFmtId="4" xfId="0" applyAlignment="1" applyBorder="1" applyFont="1" applyNumberFormat="1">
      <alignment horizontal="right" vertical="bottom"/>
    </xf>
    <xf borderId="15" fillId="0" fontId="1" numFmtId="4" xfId="0" applyBorder="1" applyFont="1" applyNumberFormat="1"/>
    <xf borderId="14" fillId="0" fontId="9" numFmtId="4" xfId="0" applyBorder="1" applyFont="1" applyNumberFormat="1"/>
    <xf borderId="10" fillId="0" fontId="9" numFmtId="4" xfId="0" applyAlignment="1" applyBorder="1" applyFont="1" applyNumberFormat="1">
      <alignment shrinkToFit="0" vertical="bottom" wrapText="0"/>
    </xf>
    <xf borderId="14" fillId="0" fontId="1" numFmtId="4" xfId="0" applyAlignment="1" applyBorder="1" applyFont="1" applyNumberFormat="1">
      <alignment horizontal="right" vertical="center"/>
    </xf>
    <xf borderId="14" fillId="0" fontId="9" numFmtId="4" xfId="0" applyAlignment="1" applyBorder="1" applyFont="1" applyNumberFormat="1">
      <alignment horizontal="center" shrinkToFit="0" wrapText="0"/>
    </xf>
    <xf borderId="10" fillId="5" fontId="9" numFmtId="4" xfId="0" applyBorder="1" applyFont="1" applyNumberFormat="1"/>
    <xf borderId="10" fillId="0" fontId="9" numFmtId="4" xfId="0" applyBorder="1" applyFont="1" applyNumberFormat="1"/>
    <xf borderId="14" fillId="5" fontId="1" numFmtId="4" xfId="0" applyAlignment="1" applyBorder="1" applyFont="1" applyNumberFormat="1">
      <alignment horizontal="right" shrinkToFit="0" vertical="center" wrapText="1"/>
    </xf>
    <xf borderId="10" fillId="5" fontId="1" numFmtId="4" xfId="0" applyBorder="1" applyFont="1" applyNumberFormat="1"/>
    <xf borderId="14" fillId="5" fontId="9" numFmtId="4" xfId="0" applyAlignment="1" applyBorder="1" applyFont="1" applyNumberFormat="1">
      <alignment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horizontal="right" vertical="center"/>
    </xf>
    <xf borderId="0" fillId="0" fontId="10" numFmtId="0" xfId="0" applyFont="1"/>
    <xf borderId="0" fillId="0" fontId="10" numFmtId="164" xfId="0" applyAlignment="1" applyFont="1" applyNumberFormat="1">
      <alignment horizontal="center"/>
    </xf>
    <xf borderId="0" fillId="0" fontId="7" numFmtId="1" xfId="0" applyAlignment="1" applyFont="1" applyNumberForma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14" fillId="0" fontId="1" numFmtId="4" xfId="0" applyAlignment="1" applyBorder="1" applyFont="1" applyNumberFormat="1">
      <alignment horizontal="center" shrinkToFit="0" vertical="center" wrapText="1"/>
    </xf>
    <xf borderId="14" fillId="0" fontId="1" numFmtId="4" xfId="0" applyAlignment="1" applyBorder="1" applyFont="1" applyNumberFormat="1">
      <alignment shrinkToFit="0" vertical="center" wrapText="1"/>
    </xf>
    <xf borderId="14" fillId="5" fontId="9" numFmtId="4" xfId="0" applyAlignment="1" applyBorder="1" applyFont="1" applyNumberFormat="1">
      <alignment readingOrder="0"/>
    </xf>
    <xf borderId="14" fillId="6" fontId="1" numFmtId="4" xfId="0" applyAlignment="1" applyBorder="1" applyFont="1" applyNumberFormat="1">
      <alignment horizontal="right" vertical="center"/>
    </xf>
    <xf borderId="10" fillId="0" fontId="9" numFmtId="4" xfId="0" applyAlignment="1" applyBorder="1" applyFont="1" applyNumberFormat="1">
      <alignment horizontal="center" shrinkToFit="0" wrapText="0"/>
    </xf>
    <xf borderId="0" fillId="0" fontId="11" numFmtId="0" xfId="0" applyFont="1"/>
    <xf borderId="0" fillId="0" fontId="1" numFmtId="1" xfId="0" applyAlignment="1" applyFont="1" applyNumberFormat="1">
      <alignment shrinkToFit="0" vertical="center" wrapText="1"/>
    </xf>
    <xf borderId="0" fillId="0" fontId="8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0" fillId="0" fontId="1" numFmtId="4" xfId="0" applyAlignment="1" applyFont="1" applyNumberFormat="1">
      <alignment horizontal="left" shrinkToFit="0" vertical="center" wrapText="1"/>
    </xf>
    <xf borderId="14" fillId="5" fontId="9" numFmtId="4" xfId="0" applyAlignment="1" applyBorder="1" applyFont="1" applyNumberFormat="1">
      <alignment readingOrder="0" shrinkToFit="0" vertical="bottom" wrapText="0"/>
    </xf>
    <xf borderId="14" fillId="5" fontId="9" numFmtId="3" xfId="0" applyAlignment="1" applyBorder="1" applyFont="1" applyNumberFormat="1">
      <alignment shrinkToFit="0" vertical="bottom" wrapText="0"/>
    </xf>
    <xf borderId="22" fillId="5" fontId="1" numFmtId="3" xfId="0" applyAlignment="1" applyBorder="1" applyFont="1" applyNumberFormat="1">
      <alignment horizontal="right"/>
    </xf>
    <xf borderId="22" fillId="6" fontId="1" numFmtId="4" xfId="0" applyAlignment="1" applyBorder="1" applyFont="1" applyNumberFormat="1">
      <alignment horizontal="right"/>
    </xf>
    <xf borderId="10" fillId="0" fontId="1" numFmtId="1" xfId="0" applyAlignment="1" applyBorder="1" applyFont="1" applyNumberFormat="1">
      <alignment horizontal="center" shrinkToFit="0" vertical="center" wrapText="1"/>
    </xf>
    <xf borderId="11" fillId="0" fontId="1" numFmtId="1" xfId="0" applyAlignment="1" applyBorder="1" applyFont="1" applyNumberFormat="1">
      <alignment horizontal="center" shrinkToFit="0" vertical="center" wrapText="1"/>
    </xf>
    <xf borderId="14" fillId="0" fontId="9" numFmtId="1" xfId="0" applyAlignment="1" applyBorder="1" applyFont="1" applyNumberFormat="1">
      <alignment horizontal="center" shrinkToFit="0" vertical="center" wrapText="1"/>
    </xf>
    <xf borderId="10" fillId="0" fontId="9" numFmtId="1" xfId="0" applyAlignment="1" applyBorder="1" applyFont="1" applyNumberFormat="1">
      <alignment horizontal="center" shrinkToFit="0" vertical="center" wrapText="1"/>
    </xf>
    <xf borderId="13" fillId="0" fontId="9" numFmtId="1" xfId="0" applyAlignment="1" applyBorder="1" applyFont="1" applyNumberFormat="1">
      <alignment horizontal="center" shrinkToFit="0" vertical="center" wrapText="1"/>
    </xf>
    <xf borderId="14" fillId="5" fontId="1" numFmtId="3" xfId="0" applyAlignment="1" applyBorder="1" applyFont="1" applyNumberFormat="1">
      <alignment shrinkToFit="0" vertical="center" wrapText="1"/>
    </xf>
    <xf borderId="14" fillId="5" fontId="1" numFmtId="3" xfId="0" applyAlignment="1" applyBorder="1" applyFont="1" applyNumberFormat="1">
      <alignment readingOrder="0" shrinkToFit="0" vertical="center" wrapText="1"/>
    </xf>
    <xf borderId="14" fillId="5" fontId="9" numFmtId="3" xfId="0" applyAlignment="1" applyBorder="1" applyFont="1" applyNumberFormat="1">
      <alignment horizontal="right" shrinkToFit="0" vertical="center" wrapText="1"/>
    </xf>
    <xf borderId="14" fillId="5" fontId="12" numFmtId="4" xfId="0" applyAlignment="1" applyBorder="1" applyFont="1" applyNumberFormat="1">
      <alignment horizontal="righ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left"/>
    </xf>
    <xf borderId="25" fillId="0" fontId="1" numFmtId="0" xfId="0" applyAlignment="1" applyBorder="1" applyFont="1">
      <alignment horizontal="left"/>
    </xf>
    <xf borderId="14" fillId="0" fontId="12" numFmtId="4" xfId="0" applyAlignment="1" applyBorder="1" applyFont="1" applyNumberFormat="1">
      <alignment horizontal="right" vertical="center"/>
    </xf>
    <xf borderId="14" fillId="5" fontId="1" numFmtId="4" xfId="0" applyAlignment="1" applyBorder="1" applyFont="1" applyNumberFormat="1">
      <alignment readingOrder="0" shrinkToFit="0" vertical="center" wrapText="1"/>
    </xf>
    <xf borderId="14" fillId="5" fontId="9" numFmtId="4" xfId="0" applyAlignment="1" applyBorder="1" applyFont="1" applyNumberFormat="1">
      <alignment horizontal="right" shrinkToFit="0" vertical="center" wrapText="1"/>
    </xf>
    <xf borderId="24" fillId="0" fontId="1" numFmtId="0" xfId="0" applyBorder="1" applyFont="1"/>
    <xf borderId="25" fillId="0" fontId="1" numFmtId="0" xfId="0" applyBorder="1" applyFont="1"/>
    <xf borderId="14" fillId="5" fontId="9" numFmtId="3" xfId="0" applyAlignment="1" applyBorder="1" applyFont="1" applyNumberFormat="1">
      <alignment shrinkToFit="0" vertical="center" wrapText="1"/>
    </xf>
    <xf borderId="14" fillId="5" fontId="1" numFmtId="3" xfId="0" applyAlignment="1" applyBorder="1" applyFont="1" applyNumberFormat="1">
      <alignment horizontal="right" shrinkToFit="0" wrapText="1"/>
    </xf>
    <xf borderId="3" fillId="0" fontId="1" numFmtId="1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horizontal="center"/>
    </xf>
    <xf borderId="15" fillId="0" fontId="2" numFmtId="0" xfId="0" applyBorder="1" applyFont="1"/>
    <xf borderId="16" fillId="0" fontId="1" numFmtId="0" xfId="0" applyBorder="1" applyFont="1"/>
    <xf borderId="17" fillId="0" fontId="1" numFmtId="0" xfId="0" applyBorder="1" applyFont="1"/>
    <xf borderId="14" fillId="0" fontId="1" numFmtId="0" xfId="0" applyBorder="1" applyFont="1"/>
    <xf borderId="17" fillId="0" fontId="1" numFmtId="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/>
    </xf>
    <xf borderId="26" fillId="5" fontId="1" numFmtId="4" xfId="0" applyAlignment="1" applyBorder="1" applyFont="1" applyNumberFormat="1">
      <alignment shrinkToFit="0" vertical="center" wrapText="1"/>
    </xf>
    <xf borderId="26" fillId="5" fontId="1" numFmtId="4" xfId="0" applyAlignment="1" applyBorder="1" applyFont="1" applyNumberFormat="1">
      <alignment horizontal="right" shrinkToFit="0" wrapText="1"/>
    </xf>
    <xf borderId="26" fillId="5" fontId="1" numFmtId="4" xfId="0" applyAlignment="1" applyBorder="1" applyFont="1" applyNumberFormat="1">
      <alignment horizontal="right" vertical="bottom"/>
    </xf>
    <xf borderId="17" fillId="5" fontId="9" numFmtId="4" xfId="0" applyAlignment="1" applyBorder="1" applyFont="1" applyNumberFormat="1">
      <alignment horizontal="right" readingOrder="0"/>
    </xf>
    <xf borderId="26" fillId="5" fontId="1" numFmtId="4" xfId="0" applyAlignment="1" applyBorder="1" applyFont="1" applyNumberFormat="1">
      <alignment horizontal="right" shrinkToFit="0" vertical="bottom" wrapText="1"/>
    </xf>
    <xf borderId="27" fillId="5" fontId="1" numFmtId="4" xfId="0" applyAlignment="1" applyBorder="1" applyFont="1" applyNumberFormat="1">
      <alignment horizontal="right" vertical="bottom"/>
    </xf>
    <xf borderId="13" fillId="5" fontId="9" numFmtId="4" xfId="0" applyAlignment="1" applyBorder="1" applyFont="1" applyNumberFormat="1">
      <alignment horizontal="right" readingOrder="0"/>
    </xf>
    <xf borderId="26" fillId="5" fontId="1" numFmtId="4" xfId="0" applyAlignment="1" applyBorder="1" applyFont="1" applyNumberFormat="1">
      <alignment horizontal="right" shrinkToFit="0" vertical="center" wrapText="1"/>
    </xf>
    <xf borderId="26" fillId="5" fontId="1" numFmtId="4" xfId="0" applyBorder="1" applyFont="1" applyNumberFormat="1"/>
    <xf borderId="26" fillId="5" fontId="1" numFmtId="4" xfId="0" applyAlignment="1" applyBorder="1" applyFont="1" applyNumberFormat="1">
      <alignment readingOrder="0" shrinkToFit="0" vertical="center" wrapText="1"/>
    </xf>
    <xf borderId="15" fillId="0" fontId="1" numFmtId="0" xfId="0" applyBorder="1" applyFont="1"/>
    <xf borderId="14" fillId="0" fontId="2" numFmtId="1" xfId="0" applyAlignment="1" applyBorder="1" applyFont="1" applyNumberForma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/>
    </xf>
    <xf borderId="13" fillId="5" fontId="9" numFmtId="4" xfId="0" applyBorder="1" applyFont="1" applyNumberFormat="1"/>
    <xf borderId="13" fillId="5" fontId="9" numFmtId="4" xfId="0" applyBorder="1" applyFont="1" applyNumberFormat="1"/>
    <xf borderId="13" fillId="5" fontId="9" numFmtId="4" xfId="0" applyAlignment="1" applyBorder="1" applyFont="1" applyNumberFormat="1">
      <alignment horizontal="right"/>
    </xf>
    <xf borderId="10" fillId="5" fontId="1" numFmtId="4" xfId="0" applyAlignment="1" applyBorder="1" applyFont="1" applyNumberFormat="1">
      <alignment horizontal="right" shrinkToFit="0" wrapText="1"/>
    </xf>
    <xf borderId="17" fillId="0" fontId="1" numFmtId="4" xfId="0" applyBorder="1" applyFont="1" applyNumberFormat="1"/>
    <xf borderId="26" fillId="5" fontId="9" numFmtId="4" xfId="0" applyAlignment="1" applyBorder="1" applyFont="1" applyNumberFormat="1">
      <alignment horizontal="right"/>
    </xf>
    <xf borderId="15" fillId="0" fontId="2" numFmtId="0" xfId="0" applyAlignment="1" applyBorder="1" applyFont="1">
      <alignment readingOrder="0"/>
    </xf>
    <xf borderId="26" fillId="4" fontId="1" numFmtId="4" xfId="0" applyBorder="1" applyFont="1" applyNumberFormat="1"/>
    <xf borderId="17" fillId="4" fontId="1" numFmtId="4" xfId="0" applyBorder="1" applyFont="1" applyNumberFormat="1"/>
    <xf borderId="26" fillId="7" fontId="1" numFmtId="4" xfId="0" applyBorder="1" applyFont="1" applyNumberFormat="1"/>
    <xf borderId="17" fillId="5" fontId="9" numFmtId="4" xfId="0" applyAlignment="1" applyBorder="1" applyFont="1" applyNumberFormat="1">
      <alignment horizontal="right"/>
    </xf>
    <xf borderId="17" fillId="5" fontId="9" numFmtId="3" xfId="0" applyAlignment="1" applyBorder="1" applyFont="1" applyNumberFormat="1">
      <alignment horizontal="right"/>
    </xf>
    <xf borderId="17" fillId="5" fontId="1" numFmtId="3" xfId="0" applyAlignment="1" applyBorder="1" applyFont="1" applyNumberFormat="1">
      <alignment horizontal="right" vertical="bottom"/>
    </xf>
    <xf borderId="26" fillId="5" fontId="1" numFmtId="3" xfId="0" applyAlignment="1" applyBorder="1" applyFont="1" applyNumberFormat="1">
      <alignment shrinkToFit="0" vertical="center" wrapText="1"/>
    </xf>
    <xf borderId="26" fillId="5" fontId="1" numFmtId="4" xfId="0" applyAlignment="1" applyBorder="1" applyFont="1" applyNumberFormat="1">
      <alignment vertical="bottom"/>
    </xf>
    <xf borderId="10" fillId="5" fontId="1" numFmtId="3" xfId="0" applyAlignment="1" applyBorder="1" applyFont="1" applyNumberFormat="1">
      <alignment vertical="bottom"/>
    </xf>
    <xf borderId="26" fillId="5" fontId="13" numFmtId="4" xfId="0" applyAlignment="1" applyBorder="1" applyFont="1" applyNumberFormat="1">
      <alignment shrinkToFit="0" vertical="center" wrapText="1"/>
    </xf>
    <xf borderId="17" fillId="0" fontId="13" numFmtId="4" xfId="0" applyAlignment="1" applyBorder="1" applyFont="1" applyNumberFormat="1">
      <alignment horizontal="center" vertical="center"/>
    </xf>
    <xf borderId="26" fillId="5" fontId="13" numFmtId="3" xfId="0" applyAlignment="1" applyBorder="1" applyFont="1" applyNumberFormat="1">
      <alignment shrinkToFit="0" vertical="center" wrapText="1"/>
    </xf>
    <xf borderId="26" fillId="5" fontId="1" numFmtId="3" xfId="0" applyAlignment="1" applyBorder="1" applyFont="1" applyNumberFormat="1">
      <alignment horizontal="right" shrinkToFit="0" wrapText="1"/>
    </xf>
    <xf borderId="14" fillId="0" fontId="14" numFmtId="0" xfId="0" applyAlignment="1" applyBorder="1" applyFont="1">
      <alignment horizontal="left"/>
    </xf>
    <xf borderId="13" fillId="0" fontId="14" numFmtId="0" xfId="0" applyAlignment="1" applyBorder="1" applyFont="1">
      <alignment horizontal="left"/>
    </xf>
    <xf borderId="17" fillId="0" fontId="9" numFmtId="3" xfId="0" applyAlignment="1" applyBorder="1" applyFont="1" applyNumberFormat="1">
      <alignment horizontal="center" vertical="center"/>
    </xf>
    <xf borderId="26" fillId="5" fontId="9" numFmtId="3" xfId="0" applyAlignment="1" applyBorder="1" applyFont="1" applyNumberFormat="1">
      <alignment shrinkToFit="0" vertical="center" wrapText="1"/>
    </xf>
    <xf borderId="17" fillId="5" fontId="9" numFmtId="3" xfId="0" applyAlignment="1" applyBorder="1" applyFont="1" applyNumberFormat="1">
      <alignment horizontal="right" readingOrder="0"/>
    </xf>
    <xf borderId="26" fillId="5" fontId="1" numFmtId="165" xfId="0" applyAlignment="1" applyBorder="1" applyFont="1" applyNumberFormat="1">
      <alignment shrinkToFit="0" vertical="center" wrapText="1"/>
    </xf>
    <xf borderId="13" fillId="5" fontId="9" numFmtId="3" xfId="0" applyAlignment="1" applyBorder="1" applyFont="1" applyNumberFormat="1">
      <alignment horizontal="right"/>
    </xf>
    <xf borderId="14" fillId="5" fontId="15" numFmtId="166" xfId="0" applyAlignment="1" applyBorder="1" applyFont="1" applyNumberFormat="1">
      <alignment shrinkToFit="0" vertical="center" wrapText="1"/>
    </xf>
    <xf borderId="26" fillId="5" fontId="1" numFmtId="3" xfId="0" applyAlignment="1" applyBorder="1" applyFont="1" applyNumberFormat="1">
      <alignment horizontal="right" shrinkToFit="0" vertical="bottom" wrapText="1"/>
    </xf>
    <xf borderId="17" fillId="0" fontId="1" numFmtId="3" xfId="0" applyAlignment="1" applyBorder="1" applyFont="1" applyNumberFormat="1">
      <alignment horizontal="center" vertical="center"/>
    </xf>
    <xf borderId="14" fillId="0" fontId="1" numFmtId="3" xfId="0" applyAlignment="1" applyBorder="1" applyFont="1" applyNumberFormat="1">
      <alignment horizontal="center" vertical="center"/>
    </xf>
    <xf borderId="22" fillId="5" fontId="1" numFmtId="4" xfId="0" applyAlignment="1" applyBorder="1" applyFont="1" applyNumberFormat="1">
      <alignment vertical="center"/>
    </xf>
    <xf borderId="13" fillId="5" fontId="9" numFmtId="3" xfId="0" applyBorder="1" applyFont="1" applyNumberFormat="1"/>
    <xf borderId="14" fillId="0" fontId="14" numFmtId="0" xfId="0" applyAlignment="1" applyBorder="1" applyFont="1">
      <alignment horizontal="left" shrinkToFit="0" wrapText="0"/>
    </xf>
    <xf borderId="16" fillId="0" fontId="1" numFmtId="0" xfId="0" applyAlignment="1" applyBorder="1" applyFont="1">
      <alignment horizontal="left"/>
    </xf>
    <xf borderId="17" fillId="5" fontId="9" numFmtId="4" xfId="0" applyAlignment="1" applyBorder="1" applyFont="1" applyNumberFormat="1">
      <alignment horizontal="right" readingOrder="0" shrinkToFit="0" vertical="bottom" wrapText="0"/>
    </xf>
    <xf borderId="13" fillId="5" fontId="9" numFmtId="4" xfId="0" applyAlignment="1" applyBorder="1" applyFont="1" applyNumberFormat="1">
      <alignment horizontal="right" readingOrder="0" shrinkToFit="0" vertical="bottom" wrapText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1" numFmtId="0" xfId="0" applyBorder="1" applyFont="1"/>
    <xf borderId="28" fillId="5" fontId="1" numFmtId="4" xfId="0" applyAlignment="1" applyBorder="1" applyFont="1" applyNumberFormat="1">
      <alignment shrinkToFit="0" vertical="center" wrapText="1"/>
    </xf>
    <xf borderId="21" fillId="6" fontId="1" numFmtId="4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9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  <tableStyle count="3" pivot="0" name="Sheet1-style 5">
      <tableStyleElement dxfId="1" type="headerRow"/>
      <tableStyleElement dxfId="2" type="firstRowStripe"/>
      <tableStyleElement dxfId="3" type="secondRowStripe"/>
    </tableStyle>
    <tableStyle count="3" pivot="0" name="Sheet1-style 6">
      <tableStyleElement dxfId="1" type="headerRow"/>
      <tableStyleElement dxfId="2" type="firstRowStripe"/>
      <tableStyleElement dxfId="3" type="secondRowStripe"/>
    </tableStyle>
    <tableStyle count="3" pivot="0" name="Sheet1-style 7">
      <tableStyleElement dxfId="1" type="headerRow"/>
      <tableStyleElement dxfId="2" type="firstRowStripe"/>
      <tableStyleElement dxfId="3" type="secondRowStripe"/>
    </tableStyle>
    <tableStyle count="3" pivot="0" name="Sheet1-style 8">
      <tableStyleElement dxfId="1" type="headerRow"/>
      <tableStyleElement dxfId="2" type="firstRowStripe"/>
      <tableStyleElement dxfId="3" type="secondRowStripe"/>
    </tableStyle>
    <tableStyle count="3" pivot="0" name="Sheet1-style 9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10" displayName="Table_1" name="Table_1" id="1">
  <tableColumns count="1">
    <tableColumn name="NM_REGIONAL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2:E19" displayName="Table_2" name="Table_2" id="2">
  <tableColumns count="1">
    <tableColumn name="Regional.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H2:H29" displayName="Table_3" name="Table_3" id="3">
  <tableColumns count="1">
    <tableColumn name="Regional.2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K2:K37" displayName="Table_4" name="Table_4" id="4">
  <tableColumns count="1">
    <tableColumn name="Regional.3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N2:N35" displayName="Table_5" name="Table_5" id="5">
  <tableColumns count="1">
    <tableColumn name="Regional.4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Q2:Q30" displayName="Table_6" name="Table_6" id="6">
  <tableColumns count="1">
    <tableColumn name="SPTP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T2:T31" displayName="Table_7" name="Table_7" id="7">
  <tableColumns count="1">
    <tableColumn name="SPMT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W2:W49" displayName="Table_8" name="Table_8" id="8">
  <tableColumns count="1">
    <tableColumn name="SPJM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Z2:Z44" displayName="Table_9" name="Table_9" id="9">
  <tableColumns count="1">
    <tableColumn name="SPSL" id="1"/>
  </tableColumns>
  <tableStyleInfo name="Sheet1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3.71"/>
    <col customWidth="1" min="3" max="3" width="9.43"/>
    <col customWidth="1" min="4" max="4" width="3.0"/>
    <col customWidth="1" min="5" max="5" width="34.29"/>
    <col customWidth="1" min="6" max="6" width="8.71"/>
    <col customWidth="1" min="7" max="7" width="3.0"/>
    <col customWidth="1" min="8" max="8" width="24.0"/>
    <col customWidth="1" min="9" max="9" width="8.71"/>
    <col customWidth="1" min="10" max="10" width="4.0"/>
    <col customWidth="1" min="11" max="11" width="26.43"/>
    <col customWidth="1" min="12" max="12" width="8.71"/>
    <col customWidth="1" min="13" max="13" width="3.0"/>
    <col customWidth="1" min="14" max="14" width="29.29"/>
    <col customWidth="1" min="15" max="15" width="8.71"/>
    <col customWidth="1" min="16" max="16" width="3.0"/>
    <col customWidth="1" min="17" max="17" width="18.14"/>
    <col customWidth="1" min="18" max="18" width="7.57"/>
    <col customWidth="1" min="19" max="19" width="3.0"/>
    <col customWidth="1" min="20" max="20" width="20.14"/>
    <col customWidth="1" min="21" max="21" width="8.29"/>
    <col customWidth="1" min="22" max="22" width="1.86"/>
    <col customWidth="1" min="23" max="23" width="27.71"/>
    <col customWidth="1" min="24" max="24" width="8.29"/>
    <col customWidth="1" min="25" max="25" width="3.29"/>
    <col customWidth="1" min="26" max="26" width="20.14"/>
    <col customWidth="1" min="27" max="27" width="8.29"/>
  </cols>
  <sheetData>
    <row r="1" ht="14.25" customHeight="1">
      <c r="D1" s="1"/>
      <c r="E1" s="1"/>
      <c r="F1" s="1"/>
      <c r="G1" s="1"/>
      <c r="H1" s="1"/>
    </row>
    <row r="2" ht="14.25" customHeight="1">
      <c r="A2" s="2" t="s">
        <v>0</v>
      </c>
      <c r="B2" s="3" t="s">
        <v>1</v>
      </c>
      <c r="C2" s="3" t="s">
        <v>2</v>
      </c>
      <c r="D2" s="3"/>
      <c r="E2" s="2" t="s">
        <v>3</v>
      </c>
      <c r="F2" s="3" t="s">
        <v>4</v>
      </c>
      <c r="G2" s="3"/>
      <c r="H2" s="2" t="s">
        <v>5</v>
      </c>
      <c r="I2" s="3" t="s">
        <v>6</v>
      </c>
      <c r="J2" s="3"/>
      <c r="K2" s="2" t="s">
        <v>7</v>
      </c>
      <c r="L2" s="3" t="s">
        <v>8</v>
      </c>
      <c r="M2" s="3"/>
      <c r="N2" s="2" t="s">
        <v>9</v>
      </c>
      <c r="O2" s="3" t="s">
        <v>10</v>
      </c>
      <c r="P2" s="3"/>
      <c r="Q2" s="4" t="s">
        <v>11</v>
      </c>
      <c r="R2" s="3" t="s">
        <v>12</v>
      </c>
      <c r="S2" s="3"/>
      <c r="T2" s="4" t="s">
        <v>13</v>
      </c>
      <c r="U2" s="3" t="s">
        <v>14</v>
      </c>
      <c r="W2" s="4" t="s">
        <v>15</v>
      </c>
      <c r="X2" s="3" t="s">
        <v>16</v>
      </c>
      <c r="Z2" s="4" t="s">
        <v>17</v>
      </c>
      <c r="AA2" s="3" t="s">
        <v>18</v>
      </c>
    </row>
    <row r="3" ht="14.25" customHeight="1">
      <c r="A3" s="5" t="s">
        <v>3</v>
      </c>
      <c r="B3" s="6" t="s">
        <v>19</v>
      </c>
      <c r="C3" s="6" t="s">
        <v>20</v>
      </c>
      <c r="E3" s="5" t="s">
        <v>21</v>
      </c>
      <c r="F3" s="7">
        <v>1.0</v>
      </c>
      <c r="H3" s="5" t="s">
        <v>22</v>
      </c>
      <c r="I3" s="7">
        <v>18.0</v>
      </c>
      <c r="K3" s="5" t="s">
        <v>23</v>
      </c>
      <c r="L3" s="7">
        <v>44.0</v>
      </c>
      <c r="M3" s="7"/>
      <c r="N3" s="5" t="s">
        <v>24</v>
      </c>
      <c r="O3" s="7">
        <v>77.0</v>
      </c>
      <c r="P3" s="7"/>
      <c r="Q3" s="5" t="s">
        <v>25</v>
      </c>
      <c r="R3" s="7">
        <v>110.0</v>
      </c>
      <c r="S3" s="7"/>
      <c r="T3" s="5" t="s">
        <v>26</v>
      </c>
      <c r="U3" s="7">
        <v>138.0</v>
      </c>
      <c r="W3" s="5" t="s">
        <v>26</v>
      </c>
      <c r="X3" s="7">
        <v>171.0</v>
      </c>
      <c r="Z3" s="5" t="s">
        <v>27</v>
      </c>
      <c r="AA3" s="7">
        <v>218.0</v>
      </c>
    </row>
    <row r="4" ht="14.25" customHeight="1">
      <c r="A4" s="5" t="s">
        <v>5</v>
      </c>
      <c r="B4" s="6" t="s">
        <v>28</v>
      </c>
      <c r="C4" s="6" t="s">
        <v>29</v>
      </c>
      <c r="E4" s="5" t="s">
        <v>30</v>
      </c>
      <c r="F4" s="7">
        <v>2.0</v>
      </c>
      <c r="H4" s="5" t="s">
        <v>31</v>
      </c>
      <c r="I4" s="7">
        <v>19.0</v>
      </c>
      <c r="K4" s="5" t="s">
        <v>32</v>
      </c>
      <c r="L4" s="7">
        <v>45.0</v>
      </c>
      <c r="M4" s="7"/>
      <c r="N4" s="5" t="s">
        <v>33</v>
      </c>
      <c r="O4" s="7">
        <v>78.0</v>
      </c>
      <c r="P4" s="7"/>
      <c r="Q4" s="5" t="s">
        <v>34</v>
      </c>
      <c r="R4" s="7">
        <v>111.0</v>
      </c>
      <c r="S4" s="7"/>
      <c r="T4" s="5" t="s">
        <v>21</v>
      </c>
      <c r="U4" s="7">
        <v>139.0</v>
      </c>
      <c r="W4" s="5" t="s">
        <v>35</v>
      </c>
      <c r="X4" s="7">
        <v>172.0</v>
      </c>
      <c r="Z4" s="5" t="s">
        <v>36</v>
      </c>
      <c r="AA4" s="7">
        <v>219.0</v>
      </c>
    </row>
    <row r="5" ht="14.25" customHeight="1">
      <c r="A5" s="5" t="s">
        <v>7</v>
      </c>
      <c r="B5" s="6" t="s">
        <v>37</v>
      </c>
      <c r="C5" s="6" t="s">
        <v>38</v>
      </c>
      <c r="E5" s="5" t="s">
        <v>39</v>
      </c>
      <c r="F5" s="7">
        <v>3.0</v>
      </c>
      <c r="H5" s="5" t="s">
        <v>40</v>
      </c>
      <c r="I5" s="7">
        <v>20.0</v>
      </c>
      <c r="K5" s="5" t="s">
        <v>41</v>
      </c>
      <c r="L5" s="7">
        <v>46.0</v>
      </c>
      <c r="M5" s="7"/>
      <c r="N5" s="5" t="s">
        <v>42</v>
      </c>
      <c r="O5" s="7">
        <v>79.0</v>
      </c>
      <c r="P5" s="7"/>
      <c r="Q5" s="5" t="s">
        <v>43</v>
      </c>
      <c r="R5" s="7">
        <v>112.0</v>
      </c>
      <c r="S5" s="7"/>
      <c r="T5" s="5" t="s">
        <v>44</v>
      </c>
      <c r="U5" s="7">
        <v>140.0</v>
      </c>
      <c r="W5" s="5" t="s">
        <v>45</v>
      </c>
      <c r="X5" s="7">
        <v>173.0</v>
      </c>
      <c r="Z5" s="5" t="s">
        <v>46</v>
      </c>
      <c r="AA5" s="7">
        <v>220.0</v>
      </c>
    </row>
    <row r="6" ht="14.25" customHeight="1">
      <c r="A6" s="5" t="s">
        <v>9</v>
      </c>
      <c r="B6" s="6" t="s">
        <v>47</v>
      </c>
      <c r="C6" s="6" t="s">
        <v>48</v>
      </c>
      <c r="E6" s="5" t="s">
        <v>26</v>
      </c>
      <c r="F6" s="7">
        <v>4.0</v>
      </c>
      <c r="H6" s="5" t="s">
        <v>49</v>
      </c>
      <c r="I6" s="7">
        <v>21.0</v>
      </c>
      <c r="K6" s="5" t="s">
        <v>50</v>
      </c>
      <c r="L6" s="7">
        <v>47.0</v>
      </c>
      <c r="M6" s="7"/>
      <c r="N6" s="5" t="s">
        <v>51</v>
      </c>
      <c r="O6" s="7">
        <v>80.0</v>
      </c>
      <c r="P6" s="7"/>
      <c r="Q6" s="5" t="s">
        <v>52</v>
      </c>
      <c r="R6" s="7">
        <v>113.0</v>
      </c>
      <c r="S6" s="7"/>
      <c r="T6" s="5" t="s">
        <v>53</v>
      </c>
      <c r="U6" s="7">
        <v>141.0</v>
      </c>
      <c r="W6" s="5" t="s">
        <v>21</v>
      </c>
      <c r="X6" s="7">
        <v>174.0</v>
      </c>
      <c r="Z6" s="5" t="s">
        <v>54</v>
      </c>
      <c r="AA6" s="7">
        <v>221.0</v>
      </c>
    </row>
    <row r="7" ht="14.25" customHeight="1">
      <c r="A7" s="5" t="s">
        <v>11</v>
      </c>
      <c r="B7" s="6" t="s">
        <v>55</v>
      </c>
      <c r="C7" s="1" t="s">
        <v>11</v>
      </c>
      <c r="E7" s="5" t="s">
        <v>56</v>
      </c>
      <c r="F7" s="7">
        <v>5.0</v>
      </c>
      <c r="H7" s="5" t="s">
        <v>57</v>
      </c>
      <c r="I7" s="7">
        <v>22.0</v>
      </c>
      <c r="K7" s="5" t="s">
        <v>58</v>
      </c>
      <c r="L7" s="7">
        <v>48.0</v>
      </c>
      <c r="M7" s="7"/>
      <c r="N7" s="5" t="s">
        <v>59</v>
      </c>
      <c r="O7" s="7">
        <v>81.0</v>
      </c>
      <c r="P7" s="7"/>
      <c r="Q7" s="5" t="s">
        <v>60</v>
      </c>
      <c r="R7" s="7">
        <v>114.0</v>
      </c>
      <c r="S7" s="7"/>
      <c r="T7" s="5" t="s">
        <v>61</v>
      </c>
      <c r="U7" s="7">
        <v>142.0</v>
      </c>
      <c r="W7" s="5" t="s">
        <v>62</v>
      </c>
      <c r="X7" s="7">
        <v>175.0</v>
      </c>
      <c r="Z7" s="5" t="s">
        <v>63</v>
      </c>
      <c r="AA7" s="7">
        <v>222.0</v>
      </c>
    </row>
    <row r="8" ht="14.25" customHeight="1">
      <c r="A8" s="8" t="s">
        <v>13</v>
      </c>
      <c r="B8" s="6" t="s">
        <v>64</v>
      </c>
      <c r="C8" s="1" t="s">
        <v>13</v>
      </c>
      <c r="E8" s="5" t="s">
        <v>65</v>
      </c>
      <c r="F8" s="7">
        <v>6.0</v>
      </c>
      <c r="H8" s="5" t="s">
        <v>66</v>
      </c>
      <c r="I8" s="7">
        <v>23.0</v>
      </c>
      <c r="K8" s="5" t="s">
        <v>67</v>
      </c>
      <c r="L8" s="7">
        <v>49.0</v>
      </c>
      <c r="M8" s="7"/>
      <c r="N8" s="5" t="s">
        <v>68</v>
      </c>
      <c r="O8" s="7">
        <v>82.0</v>
      </c>
      <c r="P8" s="7"/>
      <c r="Q8" s="5" t="s">
        <v>69</v>
      </c>
      <c r="R8" s="7">
        <v>115.0</v>
      </c>
      <c r="S8" s="7"/>
      <c r="T8" s="5" t="s">
        <v>70</v>
      </c>
      <c r="U8" s="7">
        <v>143.0</v>
      </c>
      <c r="W8" s="5" t="s">
        <v>71</v>
      </c>
      <c r="X8" s="7">
        <v>176.0</v>
      </c>
      <c r="Z8" s="5" t="s">
        <v>72</v>
      </c>
      <c r="AA8" s="7">
        <v>223.0</v>
      </c>
    </row>
    <row r="9" ht="14.25" customHeight="1">
      <c r="A9" s="5" t="s">
        <v>15</v>
      </c>
      <c r="B9" s="6" t="s">
        <v>73</v>
      </c>
      <c r="C9" s="1" t="s">
        <v>15</v>
      </c>
      <c r="E9" s="5" t="s">
        <v>74</v>
      </c>
      <c r="F9" s="7">
        <v>7.0</v>
      </c>
      <c r="H9" s="5" t="s">
        <v>75</v>
      </c>
      <c r="I9" s="7">
        <v>24.0</v>
      </c>
      <c r="K9" s="5" t="s">
        <v>76</v>
      </c>
      <c r="L9" s="7">
        <v>50.0</v>
      </c>
      <c r="M9" s="7"/>
      <c r="N9" s="5" t="s">
        <v>77</v>
      </c>
      <c r="O9" s="7">
        <v>83.0</v>
      </c>
      <c r="P9" s="7"/>
      <c r="Q9" s="5" t="s">
        <v>78</v>
      </c>
      <c r="R9" s="7">
        <v>116.0</v>
      </c>
      <c r="S9" s="7"/>
      <c r="T9" s="5" t="s">
        <v>79</v>
      </c>
      <c r="U9" s="7">
        <v>144.0</v>
      </c>
      <c r="W9" s="5" t="s">
        <v>80</v>
      </c>
      <c r="X9" s="7">
        <v>177.0</v>
      </c>
      <c r="Z9" s="5" t="s">
        <v>81</v>
      </c>
      <c r="AA9" s="7">
        <v>224.0</v>
      </c>
    </row>
    <row r="10" ht="14.25" customHeight="1">
      <c r="A10" s="5" t="s">
        <v>17</v>
      </c>
      <c r="B10" s="6" t="s">
        <v>82</v>
      </c>
      <c r="C10" s="1" t="s">
        <v>17</v>
      </c>
      <c r="E10" s="5" t="s">
        <v>80</v>
      </c>
      <c r="F10" s="7">
        <v>8.0</v>
      </c>
      <c r="H10" s="5" t="s">
        <v>83</v>
      </c>
      <c r="I10" s="7">
        <v>25.0</v>
      </c>
      <c r="K10" s="5" t="s">
        <v>84</v>
      </c>
      <c r="L10" s="7">
        <v>51.0</v>
      </c>
      <c r="M10" s="7"/>
      <c r="N10" s="5" t="s">
        <v>85</v>
      </c>
      <c r="O10" s="7">
        <v>84.0</v>
      </c>
      <c r="P10" s="7"/>
      <c r="Q10" s="5" t="s">
        <v>86</v>
      </c>
      <c r="R10" s="7">
        <v>117.0</v>
      </c>
      <c r="S10" s="7"/>
      <c r="T10" s="5" t="s">
        <v>87</v>
      </c>
      <c r="U10" s="7">
        <v>145.0</v>
      </c>
      <c r="W10" s="5" t="s">
        <v>65</v>
      </c>
      <c r="X10" s="7">
        <v>178.0</v>
      </c>
      <c r="Z10" s="5" t="s">
        <v>88</v>
      </c>
      <c r="AA10" s="7">
        <v>225.0</v>
      </c>
    </row>
    <row r="11" ht="14.25" customHeight="1">
      <c r="E11" s="5" t="s">
        <v>35</v>
      </c>
      <c r="F11" s="7">
        <v>9.0</v>
      </c>
      <c r="H11" s="5" t="s">
        <v>89</v>
      </c>
      <c r="I11" s="7">
        <v>26.0</v>
      </c>
      <c r="K11" s="5" t="s">
        <v>90</v>
      </c>
      <c r="L11" s="7">
        <v>52.0</v>
      </c>
      <c r="M11" s="7"/>
      <c r="N11" s="5" t="s">
        <v>86</v>
      </c>
      <c r="O11" s="7">
        <v>85.0</v>
      </c>
      <c r="P11" s="7"/>
      <c r="Q11" s="5" t="s">
        <v>91</v>
      </c>
      <c r="R11" s="7">
        <v>118.0</v>
      </c>
      <c r="S11" s="7"/>
      <c r="T11" s="5" t="s">
        <v>92</v>
      </c>
      <c r="U11" s="7">
        <v>146.0</v>
      </c>
      <c r="W11" s="5" t="s">
        <v>93</v>
      </c>
      <c r="X11" s="7">
        <v>179.0</v>
      </c>
      <c r="Z11" s="5" t="s">
        <v>94</v>
      </c>
      <c r="AA11" s="7">
        <v>226.0</v>
      </c>
    </row>
    <row r="12" ht="14.25" customHeight="1">
      <c r="E12" s="5" t="s">
        <v>71</v>
      </c>
      <c r="F12" s="7">
        <v>10.0</v>
      </c>
      <c r="H12" s="5" t="s">
        <v>95</v>
      </c>
      <c r="I12" s="7">
        <v>27.0</v>
      </c>
      <c r="K12" s="5" t="s">
        <v>96</v>
      </c>
      <c r="L12" s="7">
        <v>53.0</v>
      </c>
      <c r="M12" s="7"/>
      <c r="N12" s="5" t="s">
        <v>97</v>
      </c>
      <c r="O12" s="7">
        <v>86.0</v>
      </c>
      <c r="P12" s="7"/>
      <c r="Q12" s="5" t="s">
        <v>98</v>
      </c>
      <c r="R12" s="7">
        <v>119.0</v>
      </c>
      <c r="S12" s="7"/>
      <c r="T12" s="5" t="s">
        <v>24</v>
      </c>
      <c r="U12" s="7">
        <v>147.0</v>
      </c>
      <c r="W12" s="5" t="s">
        <v>56</v>
      </c>
      <c r="X12" s="7">
        <v>180.0</v>
      </c>
      <c r="Z12" s="5" t="s">
        <v>99</v>
      </c>
      <c r="AA12" s="7">
        <v>227.0</v>
      </c>
    </row>
    <row r="13" ht="14.25" customHeight="1">
      <c r="E13" s="5" t="s">
        <v>100</v>
      </c>
      <c r="F13" s="7">
        <v>11.0</v>
      </c>
      <c r="H13" s="5" t="s">
        <v>101</v>
      </c>
      <c r="I13" s="7">
        <v>28.0</v>
      </c>
      <c r="K13" s="5" t="s">
        <v>70</v>
      </c>
      <c r="L13" s="7">
        <v>54.0</v>
      </c>
      <c r="M13" s="7"/>
      <c r="N13" s="5" t="s">
        <v>102</v>
      </c>
      <c r="O13" s="7">
        <v>87.0</v>
      </c>
      <c r="P13" s="7"/>
      <c r="Q13" s="5" t="s">
        <v>103</v>
      </c>
      <c r="R13" s="7">
        <v>120.0</v>
      </c>
      <c r="S13" s="7"/>
      <c r="T13" s="5" t="s">
        <v>59</v>
      </c>
      <c r="U13" s="7">
        <v>148.0</v>
      </c>
      <c r="W13" s="5" t="s">
        <v>23</v>
      </c>
      <c r="X13" s="7">
        <v>181.0</v>
      </c>
      <c r="Z13" s="5" t="s">
        <v>104</v>
      </c>
      <c r="AA13" s="7">
        <v>228.0</v>
      </c>
    </row>
    <row r="14" ht="14.25" customHeight="1">
      <c r="E14" s="5" t="s">
        <v>105</v>
      </c>
      <c r="F14" s="7">
        <v>12.0</v>
      </c>
      <c r="H14" s="5" t="s">
        <v>106</v>
      </c>
      <c r="I14" s="7">
        <v>29.0</v>
      </c>
      <c r="K14" s="5" t="s">
        <v>107</v>
      </c>
      <c r="L14" s="7">
        <v>55.0</v>
      </c>
      <c r="M14" s="7"/>
      <c r="N14" s="5" t="s">
        <v>108</v>
      </c>
      <c r="O14" s="7">
        <v>88.0</v>
      </c>
      <c r="P14" s="7"/>
      <c r="Q14" s="5" t="s">
        <v>97</v>
      </c>
      <c r="R14" s="7">
        <v>121.0</v>
      </c>
      <c r="S14" s="7"/>
      <c r="T14" s="5" t="s">
        <v>83</v>
      </c>
      <c r="U14" s="7">
        <v>149.0</v>
      </c>
      <c r="W14" s="5" t="s">
        <v>70</v>
      </c>
      <c r="X14" s="7">
        <v>182.0</v>
      </c>
      <c r="Z14" s="5" t="s">
        <v>109</v>
      </c>
      <c r="AA14" s="7">
        <v>229.0</v>
      </c>
    </row>
    <row r="15" ht="14.25" customHeight="1">
      <c r="E15" s="5" t="s">
        <v>110</v>
      </c>
      <c r="F15" s="7">
        <v>13.0</v>
      </c>
      <c r="H15" s="5" t="s">
        <v>111</v>
      </c>
      <c r="I15" s="7">
        <v>30.0</v>
      </c>
      <c r="K15" s="5" t="s">
        <v>112</v>
      </c>
      <c r="L15" s="7">
        <v>56.0</v>
      </c>
      <c r="M15" s="7"/>
      <c r="N15" s="5" t="s">
        <v>98</v>
      </c>
      <c r="O15" s="7">
        <v>89.0</v>
      </c>
      <c r="P15" s="7"/>
      <c r="Q15" s="5" t="s">
        <v>102</v>
      </c>
      <c r="R15" s="7">
        <v>122.0</v>
      </c>
      <c r="S15" s="7"/>
      <c r="T15" s="5" t="s">
        <v>113</v>
      </c>
      <c r="U15" s="7">
        <v>150.0</v>
      </c>
      <c r="W15" s="5" t="s">
        <v>107</v>
      </c>
      <c r="X15" s="7">
        <v>183.0</v>
      </c>
      <c r="Z15" s="5" t="s">
        <v>114</v>
      </c>
      <c r="AA15" s="7">
        <v>230.0</v>
      </c>
    </row>
    <row r="16" ht="14.25" customHeight="1">
      <c r="E16" s="5" t="s">
        <v>115</v>
      </c>
      <c r="F16" s="7">
        <v>14.0</v>
      </c>
      <c r="H16" s="5" t="s">
        <v>116</v>
      </c>
      <c r="I16" s="7">
        <v>31.0</v>
      </c>
      <c r="K16" s="5" t="s">
        <v>117</v>
      </c>
      <c r="L16" s="7">
        <v>57.0</v>
      </c>
      <c r="M16" s="7"/>
      <c r="N16" s="5" t="s">
        <v>118</v>
      </c>
      <c r="O16" s="7">
        <v>90.0</v>
      </c>
      <c r="P16" s="7"/>
      <c r="Q16" s="5" t="s">
        <v>108</v>
      </c>
      <c r="R16" s="7">
        <v>123.0</v>
      </c>
      <c r="S16" s="7"/>
      <c r="T16" s="5" t="s">
        <v>119</v>
      </c>
      <c r="U16" s="7">
        <v>151.0</v>
      </c>
      <c r="W16" s="5" t="s">
        <v>44</v>
      </c>
      <c r="X16" s="7">
        <v>184.0</v>
      </c>
      <c r="Z16" s="5" t="s">
        <v>120</v>
      </c>
      <c r="AA16" s="7">
        <v>231.0</v>
      </c>
    </row>
    <row r="17" ht="14.25" customHeight="1">
      <c r="E17" s="5" t="s">
        <v>93</v>
      </c>
      <c r="F17" s="7">
        <v>15.0</v>
      </c>
      <c r="H17" s="5" t="s">
        <v>121</v>
      </c>
      <c r="I17" s="7">
        <v>32.0</v>
      </c>
      <c r="K17" s="5" t="s">
        <v>44</v>
      </c>
      <c r="L17" s="7">
        <v>58.0</v>
      </c>
      <c r="M17" s="7"/>
      <c r="N17" s="5" t="s">
        <v>91</v>
      </c>
      <c r="O17" s="7">
        <v>91.0</v>
      </c>
      <c r="P17" s="7"/>
      <c r="Q17" s="5" t="s">
        <v>122</v>
      </c>
      <c r="R17" s="7">
        <v>124.0</v>
      </c>
      <c r="S17" s="7"/>
      <c r="T17" s="5" t="s">
        <v>123</v>
      </c>
      <c r="U17" s="7">
        <v>152.0</v>
      </c>
      <c r="W17" s="5" t="s">
        <v>124</v>
      </c>
      <c r="X17" s="7">
        <v>185.0</v>
      </c>
      <c r="Z17" s="5" t="s">
        <v>125</v>
      </c>
      <c r="AA17" s="7">
        <v>232.0</v>
      </c>
    </row>
    <row r="18" ht="14.25" customHeight="1">
      <c r="E18" s="5" t="s">
        <v>126</v>
      </c>
      <c r="F18" s="7">
        <v>16.0</v>
      </c>
      <c r="H18" s="5" t="s">
        <v>127</v>
      </c>
      <c r="I18" s="7">
        <v>33.0</v>
      </c>
      <c r="K18" s="5" t="s">
        <v>79</v>
      </c>
      <c r="L18" s="7">
        <v>59.0</v>
      </c>
      <c r="M18" s="7"/>
      <c r="N18" s="5" t="s">
        <v>128</v>
      </c>
      <c r="O18" s="7">
        <v>92.0</v>
      </c>
      <c r="P18" s="7"/>
      <c r="Q18" s="5" t="s">
        <v>129</v>
      </c>
      <c r="R18" s="7">
        <v>125.0</v>
      </c>
      <c r="S18" s="7"/>
      <c r="T18" s="5" t="s">
        <v>130</v>
      </c>
      <c r="U18" s="7">
        <v>153.0</v>
      </c>
      <c r="W18" s="5" t="s">
        <v>131</v>
      </c>
      <c r="X18" s="7">
        <v>186.0</v>
      </c>
      <c r="Z18" s="5" t="s">
        <v>132</v>
      </c>
      <c r="AA18" s="7">
        <v>233.0</v>
      </c>
    </row>
    <row r="19" ht="14.25" customHeight="1">
      <c r="E19" s="5" t="s">
        <v>45</v>
      </c>
      <c r="F19" s="7">
        <v>17.0</v>
      </c>
      <c r="H19" s="5" t="s">
        <v>133</v>
      </c>
      <c r="I19" s="7">
        <v>34.0</v>
      </c>
      <c r="K19" s="5" t="s">
        <v>134</v>
      </c>
      <c r="L19" s="7">
        <v>60.0</v>
      </c>
      <c r="M19" s="7"/>
      <c r="N19" s="5" t="s">
        <v>135</v>
      </c>
      <c r="O19" s="7">
        <v>93.0</v>
      </c>
      <c r="P19" s="7"/>
      <c r="Q19" s="5" t="s">
        <v>136</v>
      </c>
      <c r="R19" s="7">
        <v>127.0</v>
      </c>
      <c r="S19" s="7"/>
      <c r="T19" s="5" t="s">
        <v>137</v>
      </c>
      <c r="U19" s="7">
        <v>154.0</v>
      </c>
      <c r="W19" s="5" t="s">
        <v>138</v>
      </c>
      <c r="X19" s="7">
        <v>187.0</v>
      </c>
      <c r="Z19" s="5" t="s">
        <v>139</v>
      </c>
      <c r="AA19" s="7">
        <v>234.0</v>
      </c>
    </row>
    <row r="20" ht="14.25" customHeight="1">
      <c r="H20" s="5" t="s">
        <v>140</v>
      </c>
      <c r="I20" s="7">
        <v>35.0</v>
      </c>
      <c r="K20" s="5" t="s">
        <v>141</v>
      </c>
      <c r="L20" s="7">
        <v>61.0</v>
      </c>
      <c r="M20" s="7"/>
      <c r="N20" s="5" t="s">
        <v>142</v>
      </c>
      <c r="O20" s="7">
        <v>94.0</v>
      </c>
      <c r="P20" s="7"/>
      <c r="Q20" s="5" t="s">
        <v>143</v>
      </c>
      <c r="R20" s="7">
        <v>128.0</v>
      </c>
      <c r="S20" s="7"/>
      <c r="T20" s="5" t="s">
        <v>144</v>
      </c>
      <c r="U20" s="7">
        <v>155.0</v>
      </c>
      <c r="W20" s="5" t="s">
        <v>145</v>
      </c>
      <c r="X20" s="7">
        <v>188.0</v>
      </c>
      <c r="Z20" s="5" t="s">
        <v>146</v>
      </c>
      <c r="AA20" s="7">
        <v>235.0</v>
      </c>
    </row>
    <row r="21" ht="14.25" customHeight="1">
      <c r="H21" s="5" t="s">
        <v>147</v>
      </c>
      <c r="I21" s="7">
        <v>36.0</v>
      </c>
      <c r="K21" s="5" t="s">
        <v>138</v>
      </c>
      <c r="L21" s="7">
        <v>62.0</v>
      </c>
      <c r="M21" s="7"/>
      <c r="N21" s="5" t="s">
        <v>148</v>
      </c>
      <c r="O21" s="7">
        <v>95.0</v>
      </c>
      <c r="P21" s="7"/>
      <c r="Q21" s="5" t="s">
        <v>101</v>
      </c>
      <c r="R21" s="7">
        <v>129.0</v>
      </c>
      <c r="S21" s="7"/>
      <c r="T21" s="5" t="s">
        <v>149</v>
      </c>
      <c r="U21" s="7">
        <v>156.0</v>
      </c>
      <c r="W21" s="5" t="s">
        <v>150</v>
      </c>
      <c r="X21" s="7">
        <v>189.0</v>
      </c>
      <c r="Z21" s="5" t="s">
        <v>151</v>
      </c>
      <c r="AA21" s="7">
        <v>236.0</v>
      </c>
    </row>
    <row r="22" ht="14.25" customHeight="1">
      <c r="H22" s="5" t="s">
        <v>152</v>
      </c>
      <c r="I22" s="7">
        <v>37.0</v>
      </c>
      <c r="K22" s="5" t="s">
        <v>131</v>
      </c>
      <c r="L22" s="7">
        <v>63.0</v>
      </c>
      <c r="M22" s="7"/>
      <c r="N22" s="5" t="s">
        <v>153</v>
      </c>
      <c r="O22" s="7">
        <v>96.0</v>
      </c>
      <c r="P22" s="7"/>
      <c r="Q22" s="5" t="s">
        <v>116</v>
      </c>
      <c r="R22" s="7">
        <v>130.0</v>
      </c>
      <c r="S22" s="7"/>
      <c r="T22" s="5" t="s">
        <v>154</v>
      </c>
      <c r="U22" s="7">
        <v>157.0</v>
      </c>
      <c r="W22" s="5" t="s">
        <v>92</v>
      </c>
      <c r="X22" s="7">
        <v>190.0</v>
      </c>
      <c r="Z22" s="5" t="s">
        <v>155</v>
      </c>
      <c r="AA22" s="7">
        <v>237.0</v>
      </c>
    </row>
    <row r="23" ht="14.25" customHeight="1">
      <c r="H23" s="5" t="s">
        <v>156</v>
      </c>
      <c r="I23" s="7">
        <v>38.0</v>
      </c>
      <c r="K23" s="5" t="s">
        <v>61</v>
      </c>
      <c r="L23" s="7">
        <v>64.0</v>
      </c>
      <c r="M23" s="7"/>
      <c r="N23" s="5" t="s">
        <v>157</v>
      </c>
      <c r="O23" s="7">
        <v>97.0</v>
      </c>
      <c r="P23" s="7"/>
      <c r="Q23" s="5" t="s">
        <v>127</v>
      </c>
      <c r="R23" s="7">
        <v>131.0</v>
      </c>
      <c r="S23" s="7"/>
      <c r="T23" s="5" t="s">
        <v>158</v>
      </c>
      <c r="U23" s="7">
        <v>158.0</v>
      </c>
      <c r="W23" s="5" t="s">
        <v>159</v>
      </c>
      <c r="X23" s="7">
        <v>191.0</v>
      </c>
      <c r="Z23" s="5" t="s">
        <v>160</v>
      </c>
      <c r="AA23" s="7">
        <v>238.0</v>
      </c>
    </row>
    <row r="24" ht="14.25" customHeight="1">
      <c r="H24" s="5" t="s">
        <v>161</v>
      </c>
      <c r="I24" s="7">
        <v>39.0</v>
      </c>
      <c r="K24" s="5" t="s">
        <v>53</v>
      </c>
      <c r="L24" s="7">
        <v>65.0</v>
      </c>
      <c r="M24" s="7"/>
      <c r="N24" s="5" t="s">
        <v>162</v>
      </c>
      <c r="O24" s="7">
        <v>98.0</v>
      </c>
      <c r="P24" s="7"/>
      <c r="Q24" s="5" t="s">
        <v>140</v>
      </c>
      <c r="R24" s="7">
        <v>132.0</v>
      </c>
      <c r="S24" s="7"/>
      <c r="T24" s="5" t="s">
        <v>163</v>
      </c>
      <c r="U24" s="7">
        <v>159.0</v>
      </c>
      <c r="W24" s="5" t="s">
        <v>164</v>
      </c>
      <c r="X24" s="7">
        <v>192.0</v>
      </c>
      <c r="Z24" s="5" t="s">
        <v>165</v>
      </c>
      <c r="AA24" s="7">
        <v>239.0</v>
      </c>
    </row>
    <row r="25" ht="14.25" customHeight="1">
      <c r="H25" s="5" t="s">
        <v>166</v>
      </c>
      <c r="I25" s="7">
        <v>40.0</v>
      </c>
      <c r="K25" s="5" t="s">
        <v>159</v>
      </c>
      <c r="L25" s="7">
        <v>66.0</v>
      </c>
      <c r="M25" s="7"/>
      <c r="N25" s="5" t="s">
        <v>167</v>
      </c>
      <c r="O25" s="7">
        <v>99.0</v>
      </c>
      <c r="P25" s="7"/>
      <c r="Q25" s="5" t="s">
        <v>152</v>
      </c>
      <c r="R25" s="7">
        <v>133.0</v>
      </c>
      <c r="S25" s="7"/>
      <c r="T25" s="5" t="s">
        <v>168</v>
      </c>
      <c r="U25" s="7">
        <v>160.0</v>
      </c>
      <c r="W25" s="5" t="s">
        <v>169</v>
      </c>
      <c r="X25" s="7">
        <v>193.0</v>
      </c>
      <c r="Z25" s="5" t="s">
        <v>170</v>
      </c>
      <c r="AA25" s="7">
        <v>240.0</v>
      </c>
    </row>
    <row r="26" ht="14.25" customHeight="1">
      <c r="H26" s="5" t="s">
        <v>171</v>
      </c>
      <c r="I26" s="7">
        <v>41.0</v>
      </c>
      <c r="K26" s="5" t="s">
        <v>172</v>
      </c>
      <c r="L26" s="7">
        <v>67.0</v>
      </c>
      <c r="M26" s="7"/>
      <c r="N26" s="5" t="s">
        <v>173</v>
      </c>
      <c r="O26" s="7">
        <v>100.0</v>
      </c>
      <c r="P26" s="7"/>
      <c r="Q26" s="5" t="s">
        <v>174</v>
      </c>
      <c r="R26" s="7">
        <v>134.0</v>
      </c>
      <c r="S26" s="7"/>
      <c r="T26" s="5" t="s">
        <v>89</v>
      </c>
      <c r="U26" s="7">
        <v>161.0</v>
      </c>
      <c r="W26" s="5" t="s">
        <v>59</v>
      </c>
      <c r="X26" s="7">
        <v>194.0</v>
      </c>
      <c r="Z26" s="5" t="s">
        <v>175</v>
      </c>
      <c r="AA26" s="7">
        <v>241.0</v>
      </c>
    </row>
    <row r="27" ht="14.25" customHeight="1">
      <c r="H27" s="5" t="s">
        <v>176</v>
      </c>
      <c r="I27" s="7">
        <v>42.0</v>
      </c>
      <c r="K27" s="5" t="s">
        <v>164</v>
      </c>
      <c r="L27" s="7">
        <v>68.0</v>
      </c>
      <c r="M27" s="7"/>
      <c r="N27" s="5" t="s">
        <v>177</v>
      </c>
      <c r="O27" s="7">
        <v>101.0</v>
      </c>
      <c r="P27" s="7"/>
      <c r="Q27" s="5" t="s">
        <v>168</v>
      </c>
      <c r="R27" s="7">
        <v>135.0</v>
      </c>
      <c r="S27" s="7"/>
      <c r="T27" s="5" t="s">
        <v>106</v>
      </c>
      <c r="U27" s="7">
        <v>162.0</v>
      </c>
      <c r="W27" s="5" t="s">
        <v>51</v>
      </c>
      <c r="X27" s="7">
        <v>195.0</v>
      </c>
      <c r="Z27" s="5" t="s">
        <v>178</v>
      </c>
      <c r="AA27" s="7">
        <v>242.0</v>
      </c>
    </row>
    <row r="28" ht="14.25" customHeight="1">
      <c r="H28" s="5" t="s">
        <v>179</v>
      </c>
      <c r="I28" s="7">
        <v>43.0</v>
      </c>
      <c r="K28" s="5" t="s">
        <v>180</v>
      </c>
      <c r="L28" s="7">
        <v>69.0</v>
      </c>
      <c r="M28" s="7"/>
      <c r="N28" s="5" t="s">
        <v>181</v>
      </c>
      <c r="O28" s="7">
        <v>102.0</v>
      </c>
      <c r="P28" s="7"/>
      <c r="Q28" s="5" t="s">
        <v>182</v>
      </c>
      <c r="R28" s="7">
        <v>136.0</v>
      </c>
      <c r="S28" s="7"/>
      <c r="T28" s="5" t="s">
        <v>183</v>
      </c>
      <c r="U28" s="7">
        <v>163.0</v>
      </c>
      <c r="W28" s="5" t="s">
        <v>128</v>
      </c>
      <c r="X28" s="7">
        <v>196.0</v>
      </c>
      <c r="Z28" s="5" t="s">
        <v>184</v>
      </c>
      <c r="AA28" s="7">
        <v>243.0</v>
      </c>
    </row>
    <row r="29" ht="14.25" customHeight="1">
      <c r="H29" s="5" t="s">
        <v>185</v>
      </c>
      <c r="I29" s="7">
        <v>108.0</v>
      </c>
      <c r="K29" s="5" t="s">
        <v>186</v>
      </c>
      <c r="L29" s="7">
        <v>70.0</v>
      </c>
      <c r="M29" s="7"/>
      <c r="N29" s="5" t="s">
        <v>187</v>
      </c>
      <c r="O29" s="7">
        <v>103.0</v>
      </c>
      <c r="P29" s="7"/>
      <c r="Q29" s="5" t="s">
        <v>188</v>
      </c>
      <c r="R29" s="7">
        <v>137.0</v>
      </c>
      <c r="S29" s="7"/>
      <c r="T29" s="5" t="s">
        <v>189</v>
      </c>
      <c r="U29" s="7">
        <v>164.0</v>
      </c>
      <c r="W29" s="5" t="s">
        <v>187</v>
      </c>
      <c r="X29" s="7">
        <v>197.0</v>
      </c>
      <c r="Z29" s="5" t="s">
        <v>190</v>
      </c>
      <c r="AA29" s="7">
        <v>244.0</v>
      </c>
    </row>
    <row r="30" ht="14.25" customHeight="1">
      <c r="K30" s="5" t="s">
        <v>191</v>
      </c>
      <c r="L30" s="7">
        <v>71.0</v>
      </c>
      <c r="M30" s="7"/>
      <c r="N30" s="5" t="s">
        <v>192</v>
      </c>
      <c r="O30" s="7">
        <v>104.0</v>
      </c>
      <c r="P30" s="7"/>
      <c r="Q30" s="5" t="s">
        <v>193</v>
      </c>
      <c r="R30" s="7">
        <v>170.0</v>
      </c>
      <c r="S30" s="7"/>
      <c r="T30" s="5" t="s">
        <v>194</v>
      </c>
      <c r="U30" s="7">
        <v>167.0</v>
      </c>
      <c r="W30" s="5" t="s">
        <v>24</v>
      </c>
      <c r="X30" s="7">
        <v>198.0</v>
      </c>
      <c r="Z30" s="5" t="s">
        <v>195</v>
      </c>
      <c r="AA30" s="7">
        <v>245.0</v>
      </c>
    </row>
    <row r="31" ht="14.25" customHeight="1">
      <c r="K31" s="5" t="s">
        <v>196</v>
      </c>
      <c r="L31" s="7">
        <v>72.0</v>
      </c>
      <c r="M31" s="7"/>
      <c r="N31" s="5" t="s">
        <v>197</v>
      </c>
      <c r="O31" s="7">
        <v>105.0</v>
      </c>
      <c r="P31" s="7"/>
      <c r="S31" s="7"/>
      <c r="T31" s="5" t="s">
        <v>198</v>
      </c>
      <c r="U31" s="7">
        <v>166.0</v>
      </c>
      <c r="W31" s="5" t="s">
        <v>91</v>
      </c>
      <c r="X31" s="7">
        <v>199.0</v>
      </c>
      <c r="Z31" s="5" t="s">
        <v>199</v>
      </c>
      <c r="AA31" s="7">
        <v>246.0</v>
      </c>
    </row>
    <row r="32" ht="14.25" customHeight="1">
      <c r="K32" s="5" t="s">
        <v>200</v>
      </c>
      <c r="L32" s="7">
        <v>73.0</v>
      </c>
      <c r="M32" s="7"/>
      <c r="N32" s="5" t="s">
        <v>201</v>
      </c>
      <c r="O32" s="7">
        <v>106.0</v>
      </c>
      <c r="P32" s="7"/>
      <c r="S32" s="7"/>
      <c r="W32" s="5" t="s">
        <v>162</v>
      </c>
      <c r="X32" s="7">
        <v>200.0</v>
      </c>
      <c r="Z32" s="5" t="s">
        <v>202</v>
      </c>
      <c r="AA32" s="7">
        <v>247.0</v>
      </c>
    </row>
    <row r="33" ht="14.25" customHeight="1">
      <c r="K33" s="5" t="s">
        <v>203</v>
      </c>
      <c r="L33" s="7">
        <v>74.0</v>
      </c>
      <c r="M33" s="7"/>
      <c r="N33" s="5" t="s">
        <v>204</v>
      </c>
      <c r="O33" s="7">
        <v>107.0</v>
      </c>
      <c r="P33" s="7"/>
      <c r="S33" s="7"/>
      <c r="W33" s="5" t="s">
        <v>97</v>
      </c>
      <c r="X33" s="7">
        <v>201.0</v>
      </c>
      <c r="Z33" s="5" t="s">
        <v>205</v>
      </c>
      <c r="AA33" s="7">
        <v>248.0</v>
      </c>
    </row>
    <row r="34" ht="14.25" customHeight="1">
      <c r="K34" s="5" t="s">
        <v>206</v>
      </c>
      <c r="L34" s="7">
        <v>75.0</v>
      </c>
      <c r="M34" s="7"/>
      <c r="N34" s="5" t="s">
        <v>207</v>
      </c>
      <c r="O34" s="7">
        <v>109.0</v>
      </c>
      <c r="P34" s="7"/>
      <c r="S34" s="7"/>
      <c r="W34" s="5" t="s">
        <v>77</v>
      </c>
      <c r="X34" s="7">
        <v>202.0</v>
      </c>
      <c r="Z34" s="5" t="s">
        <v>208</v>
      </c>
      <c r="AA34" s="7">
        <v>249.0</v>
      </c>
    </row>
    <row r="35" ht="14.25" customHeight="1">
      <c r="K35" s="5" t="s">
        <v>209</v>
      </c>
      <c r="L35" s="7">
        <v>76.0</v>
      </c>
      <c r="M35" s="7"/>
      <c r="N35" s="5" t="s">
        <v>210</v>
      </c>
      <c r="O35" s="7">
        <v>165.0</v>
      </c>
      <c r="P35" s="7"/>
      <c r="S35" s="7"/>
      <c r="W35" s="5" t="s">
        <v>98</v>
      </c>
      <c r="X35" s="7">
        <v>203.0</v>
      </c>
      <c r="Z35" s="5" t="s">
        <v>211</v>
      </c>
      <c r="AA35" s="7">
        <v>250.0</v>
      </c>
    </row>
    <row r="36" ht="14.25" customHeight="1">
      <c r="K36" s="5" t="s">
        <v>145</v>
      </c>
      <c r="L36" s="7">
        <v>168.0</v>
      </c>
      <c r="W36" s="5" t="s">
        <v>135</v>
      </c>
      <c r="X36" s="7">
        <v>204.0</v>
      </c>
      <c r="Z36" s="5" t="s">
        <v>212</v>
      </c>
      <c r="AA36" s="7">
        <v>251.0</v>
      </c>
    </row>
    <row r="37" ht="14.25" customHeight="1">
      <c r="K37" s="5" t="s">
        <v>150</v>
      </c>
      <c r="L37" s="7">
        <v>169.0</v>
      </c>
      <c r="W37" s="5" t="s">
        <v>181</v>
      </c>
      <c r="X37" s="7">
        <v>205.0</v>
      </c>
      <c r="Z37" s="5" t="s">
        <v>213</v>
      </c>
      <c r="AA37" s="7">
        <v>252.0</v>
      </c>
    </row>
    <row r="38" ht="14.25" customHeight="1">
      <c r="W38" s="5" t="s">
        <v>108</v>
      </c>
      <c r="X38" s="7">
        <v>206.0</v>
      </c>
      <c r="Z38" s="5" t="s">
        <v>214</v>
      </c>
      <c r="AA38" s="7">
        <v>253.0</v>
      </c>
    </row>
    <row r="39" ht="14.25" customHeight="1">
      <c r="W39" s="5" t="s">
        <v>86</v>
      </c>
      <c r="X39" s="7">
        <v>207.0</v>
      </c>
      <c r="Z39" s="5" t="s">
        <v>215</v>
      </c>
      <c r="AA39" s="7">
        <v>254.0</v>
      </c>
    </row>
    <row r="40" ht="14.25" customHeight="1">
      <c r="W40" s="5" t="s">
        <v>118</v>
      </c>
      <c r="X40" s="7">
        <v>208.0</v>
      </c>
      <c r="Z40" s="5" t="s">
        <v>216</v>
      </c>
      <c r="AA40" s="7">
        <v>255.0</v>
      </c>
    </row>
    <row r="41" ht="14.25" customHeight="1">
      <c r="W41" s="5" t="s">
        <v>102</v>
      </c>
      <c r="X41" s="7">
        <v>209.0</v>
      </c>
      <c r="Z41" s="5" t="s">
        <v>217</v>
      </c>
      <c r="AA41" s="7">
        <v>256.0</v>
      </c>
    </row>
    <row r="42" ht="14.25" customHeight="1">
      <c r="W42" s="5" t="s">
        <v>153</v>
      </c>
      <c r="X42" s="7">
        <v>210.0</v>
      </c>
      <c r="Z42" s="5" t="s">
        <v>218</v>
      </c>
      <c r="AA42" s="7">
        <v>257.0</v>
      </c>
    </row>
    <row r="43" ht="14.25" customHeight="1">
      <c r="W43" s="5" t="s">
        <v>142</v>
      </c>
      <c r="X43" s="7">
        <v>211.0</v>
      </c>
      <c r="Z43" s="5" t="s">
        <v>219</v>
      </c>
      <c r="AA43" s="7">
        <v>258.0</v>
      </c>
    </row>
    <row r="44" ht="14.25" customHeight="1">
      <c r="W44" s="5" t="s">
        <v>197</v>
      </c>
      <c r="X44" s="7">
        <v>212.0</v>
      </c>
      <c r="Z44" s="5" t="s">
        <v>220</v>
      </c>
      <c r="AA44" s="7">
        <v>259.0</v>
      </c>
    </row>
    <row r="45" ht="14.25" customHeight="1">
      <c r="W45" s="5" t="s">
        <v>201</v>
      </c>
      <c r="X45" s="7">
        <v>213.0</v>
      </c>
    </row>
    <row r="46" ht="14.25" customHeight="1">
      <c r="W46" s="5" t="s">
        <v>204</v>
      </c>
      <c r="X46" s="7">
        <v>214.0</v>
      </c>
    </row>
    <row r="47" ht="14.25" customHeight="1">
      <c r="W47" s="5" t="s">
        <v>192</v>
      </c>
      <c r="X47" s="7">
        <v>215.0</v>
      </c>
    </row>
    <row r="48" ht="14.25" customHeight="1">
      <c r="W48" s="5" t="s">
        <v>221</v>
      </c>
      <c r="X48" s="7">
        <v>216.0</v>
      </c>
    </row>
    <row r="49" ht="14.25" customHeight="1">
      <c r="W49" s="5" t="s">
        <v>210</v>
      </c>
      <c r="X49" s="7">
        <v>217.0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2.71"/>
    <col customWidth="1" hidden="1" min="2" max="2" width="15.86"/>
    <col customWidth="1" min="3" max="3" width="7.14"/>
    <col customWidth="1" min="4" max="7" width="6.0"/>
    <col customWidth="1" min="8" max="8" width="36.0"/>
    <col customWidth="1" min="9" max="9" width="8.14"/>
    <col customWidth="1" min="10" max="10" width="12.29"/>
    <col customWidth="1" min="11" max="22" width="15.29"/>
    <col customWidth="1" min="23" max="23" width="9.14"/>
    <col customWidth="1" min="24" max="24" width="15.43"/>
    <col customWidth="1" min="25" max="26" width="9.14"/>
  </cols>
  <sheetData>
    <row r="1" ht="14.25" customHeight="1">
      <c r="A1" s="7"/>
      <c r="B1" s="7"/>
      <c r="C1" s="9" t="s">
        <v>222</v>
      </c>
      <c r="D1" s="10"/>
      <c r="E1" s="10"/>
      <c r="F1" s="10"/>
      <c r="G1" s="10"/>
      <c r="H1" s="7"/>
      <c r="I1" s="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7"/>
      <c r="X1" s="7"/>
      <c r="Y1" s="7"/>
      <c r="Z1" s="7"/>
    </row>
    <row r="2" ht="14.25" customHeight="1">
      <c r="A2" s="7"/>
      <c r="B2" s="7"/>
      <c r="C2" s="12" t="s">
        <v>223</v>
      </c>
      <c r="D2" s="10"/>
      <c r="E2" s="10"/>
      <c r="F2" s="10"/>
      <c r="G2" s="10"/>
      <c r="H2" s="13">
        <v>2026.0</v>
      </c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7"/>
      <c r="X2" s="7"/>
      <c r="Y2" s="7"/>
      <c r="Z2" s="7"/>
    </row>
    <row r="3" ht="5.25" customHeight="1">
      <c r="A3" s="7"/>
      <c r="B3" s="7"/>
      <c r="C3" s="7"/>
      <c r="D3" s="7"/>
      <c r="E3" s="7"/>
      <c r="F3" s="7"/>
      <c r="G3" s="7"/>
      <c r="H3" s="7"/>
      <c r="I3" s="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7"/>
      <c r="X3" s="7"/>
      <c r="Y3" s="7"/>
      <c r="Z3" s="7"/>
    </row>
    <row r="4" ht="14.25" customHeight="1">
      <c r="A4" s="7"/>
      <c r="B4" s="7" t="str">
        <f>IFERROR(VLOOKUP(H4,Sheet1!$A$3:$B$10,2,0),"")</f>
        <v>002</v>
      </c>
      <c r="C4" s="12" t="s">
        <v>224</v>
      </c>
      <c r="D4" s="10"/>
      <c r="E4" s="10"/>
      <c r="F4" s="10"/>
      <c r="G4" s="10"/>
      <c r="H4" s="7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7"/>
      <c r="X4" s="7"/>
      <c r="Y4" s="7"/>
      <c r="Z4" s="7"/>
    </row>
    <row r="5" ht="4.5" customHeight="1">
      <c r="A5" s="7"/>
      <c r="B5" s="7" t="str">
        <f>IFERROR(VLOOKUP(H4,Sheet1!$A$3:$C$10,3,0),"")</f>
        <v>RegP2</v>
      </c>
      <c r="C5" s="7"/>
      <c r="D5" s="7"/>
      <c r="E5" s="7"/>
      <c r="F5" s="7"/>
      <c r="G5" s="7"/>
      <c r="H5" s="7"/>
      <c r="I5" s="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7"/>
      <c r="X5" s="7"/>
      <c r="Y5" s="7"/>
      <c r="Z5" s="7"/>
    </row>
    <row r="6" ht="14.25" customHeight="1">
      <c r="A6" s="7"/>
      <c r="B6" s="7">
        <f>IF(B4="001",VLOOKUP(H6,Sheet1!$E$3:$F$100,2,0),IF(B4="002",VLOOKUP(H6,Sheet1!$H$3:$I$100,2,0),IF(B4="003",VLOOKUP(H6,Sheet1!$K$3:$L$100,2,0),IF(B4="004",VLOOKUP(H6,Sheet1!$N$3:$O$100,2,0),IF(B4="005",VLOOKUP(H6,Sheet1!$Q$3:$R$100,2,0),IF(B4="006",VLOOKUP(H6,Sheet1!$T$3:$U$100,2,0),IF(B4="007",VLOOKUP(H6,Sheet1!$W$3:$X$100,2,0),IF(B4="008",VLOOKUP(H6,Sheet1!$Z$3:$AA$100,2,0),"NOTFOUND"))))))))</f>
        <v>38</v>
      </c>
      <c r="C6" s="12" t="s">
        <v>225</v>
      </c>
      <c r="D6" s="10"/>
      <c r="E6" s="10"/>
      <c r="F6" s="10"/>
      <c r="G6" s="10"/>
      <c r="H6" s="7" t="s">
        <v>156</v>
      </c>
      <c r="I6" s="7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7"/>
      <c r="X6" s="7"/>
      <c r="Y6" s="7"/>
      <c r="Z6" s="7"/>
    </row>
    <row r="7" ht="3.0" customHeight="1">
      <c r="A7" s="7"/>
      <c r="B7" s="7"/>
      <c r="C7" s="7"/>
      <c r="D7" s="7"/>
      <c r="E7" s="7"/>
      <c r="F7" s="7"/>
      <c r="G7" s="7"/>
      <c r="H7" s="7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  <c r="X7" s="7"/>
      <c r="Y7" s="7"/>
      <c r="Z7" s="7"/>
    </row>
    <row r="8" ht="21.75" customHeight="1">
      <c r="A8" s="14">
        <v>1.0</v>
      </c>
      <c r="B8" s="15"/>
      <c r="C8" s="14" t="s">
        <v>226</v>
      </c>
      <c r="D8" s="7"/>
      <c r="E8" s="7"/>
      <c r="F8" s="7"/>
      <c r="G8" s="7"/>
      <c r="H8" s="7"/>
      <c r="I8" s="7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7"/>
      <c r="X8" s="7"/>
      <c r="Y8" s="7"/>
      <c r="Z8" s="7"/>
    </row>
    <row r="9" ht="1.5" customHeight="1">
      <c r="A9" s="15"/>
      <c r="B9" s="15"/>
      <c r="C9" s="14"/>
      <c r="D9" s="7"/>
      <c r="E9" s="7"/>
      <c r="F9" s="7"/>
      <c r="G9" s="7"/>
      <c r="H9" s="7"/>
      <c r="I9" s="7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7"/>
      <c r="X9" s="7"/>
      <c r="Y9" s="7"/>
      <c r="Z9" s="7"/>
    </row>
    <row r="10" ht="1.5" customHeight="1">
      <c r="A10" s="15"/>
      <c r="B10" s="15" t="s">
        <v>227</v>
      </c>
      <c r="C10" s="14"/>
      <c r="J10" s="11">
        <v>1.0</v>
      </c>
      <c r="K10" s="11">
        <v>2.0</v>
      </c>
      <c r="L10" s="11">
        <v>3.0</v>
      </c>
      <c r="M10" s="11">
        <v>4.0</v>
      </c>
      <c r="N10" s="11">
        <v>5.0</v>
      </c>
      <c r="O10" s="11">
        <v>6.0</v>
      </c>
      <c r="P10" s="11">
        <v>7.0</v>
      </c>
      <c r="Q10" s="11">
        <v>8.0</v>
      </c>
      <c r="R10" s="11">
        <v>9.0</v>
      </c>
      <c r="S10" s="11">
        <v>10.0</v>
      </c>
      <c r="T10" s="11">
        <v>11.0</v>
      </c>
      <c r="U10" s="11">
        <v>12.0</v>
      </c>
      <c r="V10" s="11"/>
      <c r="W10" s="7"/>
      <c r="X10" s="7"/>
      <c r="Y10" s="7"/>
      <c r="Z10" s="7"/>
    </row>
    <row r="11" ht="1.5" customHeight="1">
      <c r="A11" s="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7"/>
      <c r="X11" s="7"/>
      <c r="Y11" s="7"/>
      <c r="Z11" s="7"/>
    </row>
    <row r="12" ht="15.0" customHeight="1">
      <c r="A12" s="7"/>
      <c r="C12" s="16" t="s">
        <v>228</v>
      </c>
      <c r="D12" s="17" t="s">
        <v>229</v>
      </c>
      <c r="E12" s="18"/>
      <c r="F12" s="18"/>
      <c r="G12" s="18"/>
      <c r="H12" s="19"/>
      <c r="I12" s="20" t="s">
        <v>230</v>
      </c>
      <c r="J12" s="21">
        <f>$H$2</f>
        <v>2026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7"/>
      <c r="X12" s="7"/>
      <c r="Y12" s="7"/>
      <c r="Z12" s="7"/>
    </row>
    <row r="13" ht="14.25" customHeight="1">
      <c r="A13" s="7"/>
      <c r="C13" s="22"/>
      <c r="D13" s="23"/>
      <c r="H13" s="24"/>
      <c r="I13" s="22"/>
      <c r="J13" s="23"/>
      <c r="V13" s="24"/>
      <c r="W13" s="7"/>
      <c r="X13" s="7"/>
      <c r="Y13" s="7"/>
      <c r="Z13" s="7"/>
    </row>
    <row r="14" ht="14.25" customHeight="1">
      <c r="A14" s="7"/>
      <c r="C14" s="25"/>
      <c r="D14" s="26"/>
      <c r="E14" s="27"/>
      <c r="F14" s="27"/>
      <c r="G14" s="27"/>
      <c r="H14" s="28"/>
      <c r="I14" s="25"/>
      <c r="J14" s="29" t="s">
        <v>231</v>
      </c>
      <c r="K14" s="29" t="s">
        <v>232</v>
      </c>
      <c r="L14" s="29" t="s">
        <v>233</v>
      </c>
      <c r="M14" s="29" t="s">
        <v>234</v>
      </c>
      <c r="N14" s="29" t="s">
        <v>235</v>
      </c>
      <c r="O14" s="29" t="s">
        <v>236</v>
      </c>
      <c r="P14" s="29" t="s">
        <v>237</v>
      </c>
      <c r="Q14" s="29" t="s">
        <v>238</v>
      </c>
      <c r="R14" s="29" t="s">
        <v>239</v>
      </c>
      <c r="S14" s="29" t="s">
        <v>240</v>
      </c>
      <c r="T14" s="29" t="s">
        <v>241</v>
      </c>
      <c r="U14" s="29" t="s">
        <v>242</v>
      </c>
      <c r="V14" s="29" t="s">
        <v>243</v>
      </c>
      <c r="W14" s="7"/>
      <c r="X14" s="7"/>
      <c r="Y14" s="7"/>
      <c r="Z14" s="7"/>
    </row>
    <row r="15" ht="14.25" customHeight="1">
      <c r="A15" s="7"/>
      <c r="C15" s="29">
        <v>1.0</v>
      </c>
      <c r="D15" s="30">
        <v>2.0</v>
      </c>
      <c r="E15" s="31"/>
      <c r="F15" s="31"/>
      <c r="G15" s="31"/>
      <c r="H15" s="32"/>
      <c r="I15" s="33">
        <v>3.0</v>
      </c>
      <c r="J15" s="34">
        <v>4.0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6"/>
      <c r="V15" s="37">
        <v>5.0</v>
      </c>
      <c r="W15" s="7"/>
      <c r="X15" s="7"/>
      <c r="Y15" s="7"/>
      <c r="Z15" s="7"/>
    </row>
    <row r="16" ht="14.25" customHeight="1">
      <c r="A16" s="7"/>
      <c r="C16" s="38"/>
      <c r="D16" s="39"/>
      <c r="E16" s="40"/>
      <c r="F16" s="40"/>
      <c r="G16" s="40"/>
      <c r="H16" s="41"/>
      <c r="I16" s="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7"/>
      <c r="X16" s="7"/>
      <c r="Y16" s="7"/>
      <c r="Z16" s="7"/>
    </row>
    <row r="17" ht="14.25" customHeight="1">
      <c r="A17" s="7"/>
      <c r="C17" s="44">
        <v>1.0</v>
      </c>
      <c r="D17" s="45" t="s">
        <v>244</v>
      </c>
      <c r="E17" s="31"/>
      <c r="F17" s="31"/>
      <c r="G17" s="31"/>
      <c r="H17" s="32"/>
      <c r="I17" s="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7"/>
      <c r="X17" s="7"/>
      <c r="Y17" s="7"/>
      <c r="Z17" s="7"/>
    </row>
    <row r="18" ht="14.25" customHeight="1">
      <c r="A18" s="7"/>
      <c r="C18" s="44"/>
      <c r="D18" s="44">
        <v>1.0</v>
      </c>
      <c r="E18" s="45" t="s">
        <v>245</v>
      </c>
      <c r="F18" s="31"/>
      <c r="G18" s="31"/>
      <c r="H18" s="32"/>
      <c r="I18" s="4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7"/>
      <c r="X18" s="7"/>
      <c r="Y18" s="7"/>
      <c r="Z18" s="7"/>
    </row>
    <row r="19" ht="14.25" customHeight="1">
      <c r="A19" s="7"/>
      <c r="C19" s="44"/>
      <c r="D19" s="44"/>
      <c r="E19" s="46">
        <v>1.0</v>
      </c>
      <c r="F19" s="45" t="s">
        <v>246</v>
      </c>
      <c r="G19" s="31"/>
      <c r="H19" s="3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7"/>
      <c r="X19" s="7"/>
      <c r="Y19" s="7"/>
      <c r="Z19" s="7"/>
    </row>
    <row r="20" ht="14.25" customHeight="1">
      <c r="A20" s="7"/>
      <c r="B20" s="7" t="s">
        <v>247</v>
      </c>
      <c r="C20" s="44"/>
      <c r="D20" s="44"/>
      <c r="E20" s="46"/>
      <c r="F20" s="46">
        <v>1.0</v>
      </c>
      <c r="G20" s="45" t="s">
        <v>248</v>
      </c>
      <c r="H20" s="32"/>
      <c r="I20" s="45" t="s">
        <v>249</v>
      </c>
      <c r="J20" s="47">
        <v>4.0</v>
      </c>
      <c r="K20" s="48">
        <v>8.0</v>
      </c>
      <c r="L20" s="49">
        <v>12.0</v>
      </c>
      <c r="M20" s="47">
        <v>10.0</v>
      </c>
      <c r="N20" s="50">
        <v>7.0</v>
      </c>
      <c r="O20" s="49"/>
      <c r="P20" s="49"/>
      <c r="Q20" s="49"/>
      <c r="R20" s="49"/>
      <c r="S20" s="49"/>
      <c r="T20" s="47"/>
      <c r="U20" s="47"/>
      <c r="V20" s="51">
        <f t="shared" ref="V20:V39" si="1">SUM(J20:U20)</f>
        <v>41</v>
      </c>
      <c r="W20" s="7"/>
      <c r="X20" s="52">
        <f t="shared" ref="X20:X21" si="2">V20+V61</f>
        <v>95</v>
      </c>
      <c r="Y20" s="7"/>
      <c r="Z20" s="7"/>
    </row>
    <row r="21" ht="14.25" customHeight="1">
      <c r="A21" s="7"/>
      <c r="B21" s="7" t="s">
        <v>247</v>
      </c>
      <c r="C21" s="44"/>
      <c r="D21" s="44"/>
      <c r="E21" s="53"/>
      <c r="F21" s="54"/>
      <c r="G21" s="55"/>
      <c r="H21" s="56"/>
      <c r="I21" s="45" t="s">
        <v>250</v>
      </c>
      <c r="J21" s="47">
        <v>139291.0</v>
      </c>
      <c r="K21" s="57">
        <v>111201.0</v>
      </c>
      <c r="L21" s="58">
        <v>172807.0</v>
      </c>
      <c r="M21" s="47">
        <v>197021.0</v>
      </c>
      <c r="N21" s="50">
        <v>112145.0</v>
      </c>
      <c r="O21" s="58"/>
      <c r="P21" s="49"/>
      <c r="Q21" s="49"/>
      <c r="R21" s="49"/>
      <c r="S21" s="58"/>
      <c r="T21" s="59"/>
      <c r="U21" s="47"/>
      <c r="V21" s="51">
        <f t="shared" si="1"/>
        <v>732465</v>
      </c>
      <c r="W21" s="7"/>
      <c r="X21" s="52">
        <f t="shared" si="2"/>
        <v>896210</v>
      </c>
      <c r="Y21" s="7"/>
      <c r="Z21" s="7"/>
    </row>
    <row r="22" ht="14.25" customHeight="1">
      <c r="A22" s="7"/>
      <c r="B22" s="7" t="s">
        <v>251</v>
      </c>
      <c r="C22" s="44"/>
      <c r="D22" s="44"/>
      <c r="E22" s="46"/>
      <c r="F22" s="46">
        <v>2.0</v>
      </c>
      <c r="G22" s="45" t="s">
        <v>252</v>
      </c>
      <c r="H22" s="32"/>
      <c r="I22" s="45" t="s">
        <v>249</v>
      </c>
      <c r="J22" s="47">
        <v>1.0</v>
      </c>
      <c r="K22" s="57">
        <v>4.0</v>
      </c>
      <c r="L22" s="57">
        <v>3.0</v>
      </c>
      <c r="M22" s="47">
        <v>5.0</v>
      </c>
      <c r="N22" s="50">
        <v>6.0</v>
      </c>
      <c r="O22" s="58"/>
      <c r="P22" s="49"/>
      <c r="Q22" s="49"/>
      <c r="R22" s="49"/>
      <c r="S22" s="58"/>
      <c r="T22" s="59"/>
      <c r="U22" s="47"/>
      <c r="V22" s="51">
        <f t="shared" si="1"/>
        <v>19</v>
      </c>
      <c r="W22" s="7"/>
      <c r="X22" s="52">
        <f t="shared" ref="X22:X23" si="3">V22+V63+V187</f>
        <v>317</v>
      </c>
      <c r="Y22" s="7"/>
      <c r="Z22" s="7"/>
    </row>
    <row r="23" ht="14.25" customHeight="1">
      <c r="A23" s="7"/>
      <c r="B23" s="7" t="s">
        <v>251</v>
      </c>
      <c r="C23" s="44"/>
      <c r="D23" s="44"/>
      <c r="E23" s="44"/>
      <c r="F23" s="54"/>
      <c r="G23" s="55"/>
      <c r="H23" s="56"/>
      <c r="I23" s="45" t="s">
        <v>250</v>
      </c>
      <c r="J23" s="47">
        <v>5072.0</v>
      </c>
      <c r="K23" s="57">
        <v>24819.0</v>
      </c>
      <c r="L23" s="57">
        <v>15090.0</v>
      </c>
      <c r="M23" s="47">
        <v>33124.0</v>
      </c>
      <c r="N23" s="50">
        <v>36145.0</v>
      </c>
      <c r="O23" s="58"/>
      <c r="P23" s="49"/>
      <c r="Q23" s="49"/>
      <c r="R23" s="49"/>
      <c r="S23" s="58"/>
      <c r="T23" s="59"/>
      <c r="U23" s="47"/>
      <c r="V23" s="51">
        <f t="shared" si="1"/>
        <v>114250</v>
      </c>
      <c r="W23" s="7"/>
      <c r="X23" s="52">
        <f t="shared" si="3"/>
        <v>2398184</v>
      </c>
      <c r="Y23" s="7"/>
      <c r="Z23" s="7"/>
    </row>
    <row r="24" ht="14.25" customHeight="1">
      <c r="A24" s="7"/>
      <c r="B24" s="7" t="s">
        <v>253</v>
      </c>
      <c r="C24" s="44"/>
      <c r="D24" s="44"/>
      <c r="E24" s="53"/>
      <c r="F24" s="46">
        <v>3.0</v>
      </c>
      <c r="G24" s="45" t="s">
        <v>254</v>
      </c>
      <c r="H24" s="32"/>
      <c r="I24" s="45" t="s">
        <v>249</v>
      </c>
      <c r="J24" s="60"/>
      <c r="K24" s="60"/>
      <c r="L24" s="61"/>
      <c r="M24" s="60"/>
      <c r="N24" s="62"/>
      <c r="O24" s="61"/>
      <c r="P24" s="63"/>
      <c r="Q24" s="63"/>
      <c r="R24" s="63"/>
      <c r="S24" s="61"/>
      <c r="T24" s="64"/>
      <c r="U24" s="60"/>
      <c r="V24" s="51">
        <f t="shared" si="1"/>
        <v>0</v>
      </c>
      <c r="W24" s="7"/>
      <c r="X24" s="7"/>
      <c r="Y24" s="7"/>
      <c r="Z24" s="7"/>
    </row>
    <row r="25" ht="14.25" customHeight="1">
      <c r="A25" s="7"/>
      <c r="B25" s="7" t="s">
        <v>253</v>
      </c>
      <c r="C25" s="44"/>
      <c r="D25" s="44"/>
      <c r="E25" s="53"/>
      <c r="F25" s="54"/>
      <c r="G25" s="55"/>
      <c r="H25" s="56"/>
      <c r="I25" s="45" t="s">
        <v>250</v>
      </c>
      <c r="J25" s="60"/>
      <c r="K25" s="60"/>
      <c r="L25" s="61"/>
      <c r="M25" s="60"/>
      <c r="N25" s="62"/>
      <c r="O25" s="61"/>
      <c r="P25" s="63"/>
      <c r="Q25" s="63"/>
      <c r="R25" s="63"/>
      <c r="S25" s="61"/>
      <c r="T25" s="64"/>
      <c r="U25" s="60"/>
      <c r="V25" s="51">
        <f t="shared" si="1"/>
        <v>0</v>
      </c>
      <c r="W25" s="7"/>
      <c r="X25" s="7"/>
      <c r="Y25" s="7"/>
      <c r="Z25" s="7"/>
    </row>
    <row r="26" ht="14.25" customHeight="1">
      <c r="A26" s="7"/>
      <c r="B26" s="7" t="s">
        <v>255</v>
      </c>
      <c r="C26" s="44"/>
      <c r="D26" s="44"/>
      <c r="E26" s="46"/>
      <c r="F26" s="46">
        <v>4.0</v>
      </c>
      <c r="G26" s="45" t="s">
        <v>256</v>
      </c>
      <c r="H26" s="32"/>
      <c r="I26" s="45" t="s">
        <v>249</v>
      </c>
      <c r="J26" s="60"/>
      <c r="K26" s="60"/>
      <c r="L26" s="61"/>
      <c r="M26" s="60"/>
      <c r="N26" s="62"/>
      <c r="O26" s="61"/>
      <c r="P26" s="63"/>
      <c r="Q26" s="63"/>
      <c r="R26" s="63"/>
      <c r="S26" s="61"/>
      <c r="T26" s="64"/>
      <c r="U26" s="60"/>
      <c r="V26" s="51">
        <f t="shared" si="1"/>
        <v>0</v>
      </c>
      <c r="W26" s="7"/>
      <c r="X26" s="7"/>
      <c r="Y26" s="7"/>
      <c r="Z26" s="7"/>
    </row>
    <row r="27" ht="14.25" customHeight="1">
      <c r="A27" s="7"/>
      <c r="B27" s="7" t="s">
        <v>255</v>
      </c>
      <c r="C27" s="44"/>
      <c r="D27" s="44"/>
      <c r="E27" s="44"/>
      <c r="F27" s="54"/>
      <c r="G27" s="55"/>
      <c r="H27" s="56"/>
      <c r="I27" s="45" t="s">
        <v>250</v>
      </c>
      <c r="J27" s="60"/>
      <c r="K27" s="60"/>
      <c r="L27" s="61"/>
      <c r="M27" s="60"/>
      <c r="N27" s="62"/>
      <c r="O27" s="61"/>
      <c r="P27" s="63"/>
      <c r="Q27" s="63"/>
      <c r="R27" s="63"/>
      <c r="S27" s="61"/>
      <c r="T27" s="64"/>
      <c r="U27" s="60"/>
      <c r="V27" s="51">
        <f t="shared" si="1"/>
        <v>0</v>
      </c>
      <c r="W27" s="7"/>
      <c r="X27" s="7"/>
      <c r="Y27" s="7"/>
      <c r="Z27" s="7"/>
    </row>
    <row r="28" ht="14.25" customHeight="1">
      <c r="A28" s="7"/>
      <c r="B28" s="7" t="s">
        <v>257</v>
      </c>
      <c r="C28" s="65"/>
      <c r="D28" s="44"/>
      <c r="E28" s="46"/>
      <c r="F28" s="46">
        <v>5.0</v>
      </c>
      <c r="G28" s="45" t="s">
        <v>258</v>
      </c>
      <c r="H28" s="32"/>
      <c r="I28" s="45" t="s">
        <v>249</v>
      </c>
      <c r="J28" s="47">
        <v>3.0</v>
      </c>
      <c r="K28" s="48">
        <v>9.0</v>
      </c>
      <c r="L28" s="58">
        <v>8.0</v>
      </c>
      <c r="M28" s="47">
        <v>9.0</v>
      </c>
      <c r="N28" s="50">
        <v>7.0</v>
      </c>
      <c r="O28" s="58"/>
      <c r="P28" s="49"/>
      <c r="Q28" s="49"/>
      <c r="R28" s="49"/>
      <c r="S28" s="58"/>
      <c r="T28" s="59"/>
      <c r="U28" s="47"/>
      <c r="V28" s="51">
        <f t="shared" si="1"/>
        <v>36</v>
      </c>
      <c r="W28" s="7"/>
      <c r="X28" s="52">
        <f t="shared" ref="X28:X29" si="4">V28+V69+V193</f>
        <v>196</v>
      </c>
      <c r="Y28" s="7"/>
      <c r="Z28" s="7"/>
    </row>
    <row r="29" ht="14.25" customHeight="1">
      <c r="A29" s="7"/>
      <c r="B29" s="7" t="s">
        <v>257</v>
      </c>
      <c r="C29" s="65"/>
      <c r="D29" s="44"/>
      <c r="E29" s="66"/>
      <c r="F29" s="54"/>
      <c r="G29" s="55"/>
      <c r="H29" s="56"/>
      <c r="I29" s="45" t="s">
        <v>250</v>
      </c>
      <c r="J29" s="47">
        <v>93516.0</v>
      </c>
      <c r="K29" s="57">
        <v>272703.0</v>
      </c>
      <c r="L29" s="58">
        <v>251792.0</v>
      </c>
      <c r="M29" s="47">
        <v>249242.0</v>
      </c>
      <c r="N29" s="50">
        <v>246829.0</v>
      </c>
      <c r="O29" s="58"/>
      <c r="P29" s="49"/>
      <c r="Q29" s="49"/>
      <c r="R29" s="49"/>
      <c r="S29" s="58"/>
      <c r="T29" s="59"/>
      <c r="U29" s="47"/>
      <c r="V29" s="51">
        <f t="shared" si="1"/>
        <v>1114082</v>
      </c>
      <c r="W29" s="7"/>
      <c r="X29" s="52">
        <f t="shared" si="4"/>
        <v>5782401</v>
      </c>
      <c r="Y29" s="7"/>
      <c r="Z29" s="7"/>
    </row>
    <row r="30" ht="14.25" customHeight="1">
      <c r="A30" s="7"/>
      <c r="B30" s="7" t="s">
        <v>259</v>
      </c>
      <c r="C30" s="44"/>
      <c r="D30" s="44"/>
      <c r="E30" s="46"/>
      <c r="F30" s="46">
        <v>6.0</v>
      </c>
      <c r="G30" s="45" t="s">
        <v>260</v>
      </c>
      <c r="H30" s="32"/>
      <c r="I30" s="45" t="s">
        <v>249</v>
      </c>
      <c r="J30" s="64"/>
      <c r="K30" s="60"/>
      <c r="L30" s="64"/>
      <c r="M30" s="67"/>
      <c r="N30" s="67"/>
      <c r="O30" s="68"/>
      <c r="P30" s="67"/>
      <c r="Q30" s="67"/>
      <c r="R30" s="63"/>
      <c r="S30" s="61"/>
      <c r="T30" s="64"/>
      <c r="U30" s="67"/>
      <c r="V30" s="51">
        <f t="shared" si="1"/>
        <v>0</v>
      </c>
      <c r="W30" s="7"/>
      <c r="X30" s="7"/>
      <c r="Y30" s="7"/>
      <c r="Z30" s="7"/>
    </row>
    <row r="31" ht="14.25" customHeight="1">
      <c r="A31" s="7"/>
      <c r="B31" s="7" t="s">
        <v>259</v>
      </c>
      <c r="C31" s="44"/>
      <c r="D31" s="44"/>
      <c r="E31" s="66"/>
      <c r="F31" s="54"/>
      <c r="G31" s="55"/>
      <c r="H31" s="56"/>
      <c r="I31" s="45" t="s">
        <v>250</v>
      </c>
      <c r="J31" s="64"/>
      <c r="K31" s="60"/>
      <c r="L31" s="64"/>
      <c r="M31" s="67"/>
      <c r="N31" s="67"/>
      <c r="O31" s="68"/>
      <c r="P31" s="67"/>
      <c r="Q31" s="67"/>
      <c r="R31" s="63"/>
      <c r="S31" s="61"/>
      <c r="T31" s="64"/>
      <c r="U31" s="67"/>
      <c r="V31" s="51">
        <f t="shared" si="1"/>
        <v>0</v>
      </c>
      <c r="W31" s="7"/>
      <c r="X31" s="7"/>
      <c r="Y31" s="7"/>
      <c r="Z31" s="7"/>
    </row>
    <row r="32" ht="14.25" customHeight="1">
      <c r="A32" s="7"/>
      <c r="B32" s="7" t="s">
        <v>261</v>
      </c>
      <c r="C32" s="44"/>
      <c r="D32" s="44"/>
      <c r="E32" s="46"/>
      <c r="F32" s="69">
        <v>7.0</v>
      </c>
      <c r="G32" s="70" t="s">
        <v>262</v>
      </c>
      <c r="H32" s="32"/>
      <c r="I32" s="45" t="s">
        <v>249</v>
      </c>
      <c r="J32" s="64"/>
      <c r="K32" s="60"/>
      <c r="L32" s="64"/>
      <c r="M32" s="67"/>
      <c r="N32" s="67"/>
      <c r="O32" s="68"/>
      <c r="P32" s="67"/>
      <c r="Q32" s="67"/>
      <c r="R32" s="63"/>
      <c r="S32" s="61"/>
      <c r="T32" s="64"/>
      <c r="U32" s="67"/>
      <c r="V32" s="51">
        <f t="shared" si="1"/>
        <v>0</v>
      </c>
      <c r="W32" s="7"/>
      <c r="X32" s="7"/>
      <c r="Y32" s="7"/>
      <c r="Z32" s="7"/>
    </row>
    <row r="33" ht="14.25" customHeight="1">
      <c r="A33" s="7"/>
      <c r="B33" s="7" t="s">
        <v>261</v>
      </c>
      <c r="C33" s="44"/>
      <c r="D33" s="44"/>
      <c r="E33" s="66"/>
      <c r="F33" s="54"/>
      <c r="G33" s="55"/>
      <c r="H33" s="56"/>
      <c r="I33" s="45" t="s">
        <v>250</v>
      </c>
      <c r="J33" s="64"/>
      <c r="K33" s="60"/>
      <c r="L33" s="64"/>
      <c r="M33" s="67"/>
      <c r="N33" s="67"/>
      <c r="O33" s="68"/>
      <c r="P33" s="67"/>
      <c r="Q33" s="67"/>
      <c r="R33" s="63"/>
      <c r="S33" s="61"/>
      <c r="T33" s="64"/>
      <c r="U33" s="67"/>
      <c r="V33" s="51">
        <f t="shared" si="1"/>
        <v>0</v>
      </c>
      <c r="W33" s="7"/>
      <c r="X33" s="7"/>
      <c r="Y33" s="7"/>
      <c r="Z33" s="7"/>
    </row>
    <row r="34" ht="14.25" customHeight="1">
      <c r="A34" s="7"/>
      <c r="B34" s="7" t="s">
        <v>263</v>
      </c>
      <c r="C34" s="44"/>
      <c r="D34" s="44"/>
      <c r="E34" s="46"/>
      <c r="F34" s="69">
        <v>8.0</v>
      </c>
      <c r="G34" s="70" t="s">
        <v>264</v>
      </c>
      <c r="H34" s="32"/>
      <c r="I34" s="45" t="s">
        <v>249</v>
      </c>
      <c r="J34" s="64"/>
      <c r="K34" s="60"/>
      <c r="L34" s="64"/>
      <c r="M34" s="67"/>
      <c r="N34" s="67"/>
      <c r="O34" s="68"/>
      <c r="P34" s="67"/>
      <c r="Q34" s="67"/>
      <c r="R34" s="63"/>
      <c r="S34" s="61"/>
      <c r="T34" s="64"/>
      <c r="U34" s="67"/>
      <c r="V34" s="51">
        <f t="shared" si="1"/>
        <v>0</v>
      </c>
      <c r="W34" s="7"/>
      <c r="X34" s="7"/>
      <c r="Y34" s="7"/>
      <c r="Z34" s="7"/>
    </row>
    <row r="35" ht="14.25" customHeight="1">
      <c r="A35" s="7"/>
      <c r="B35" s="7" t="s">
        <v>263</v>
      </c>
      <c r="C35" s="44"/>
      <c r="D35" s="44"/>
      <c r="E35" s="66"/>
      <c r="F35" s="54"/>
      <c r="G35" s="55"/>
      <c r="H35" s="56"/>
      <c r="I35" s="45" t="s">
        <v>250</v>
      </c>
      <c r="J35" s="64"/>
      <c r="K35" s="60"/>
      <c r="L35" s="64"/>
      <c r="M35" s="67"/>
      <c r="N35" s="67"/>
      <c r="O35" s="68"/>
      <c r="P35" s="67"/>
      <c r="Q35" s="67"/>
      <c r="R35" s="63"/>
      <c r="S35" s="61"/>
      <c r="T35" s="64"/>
      <c r="U35" s="67"/>
      <c r="V35" s="51">
        <f t="shared" si="1"/>
        <v>0</v>
      </c>
      <c r="W35" s="7"/>
      <c r="X35" s="7"/>
      <c r="Y35" s="7"/>
      <c r="Z35" s="7"/>
    </row>
    <row r="36" ht="14.25" customHeight="1">
      <c r="A36" s="7"/>
      <c r="B36" s="7" t="s">
        <v>265</v>
      </c>
      <c r="C36" s="44"/>
      <c r="D36" s="44"/>
      <c r="E36" s="46"/>
      <c r="F36" s="69">
        <v>9.0</v>
      </c>
      <c r="G36" s="70" t="s">
        <v>266</v>
      </c>
      <c r="H36" s="32"/>
      <c r="I36" s="45" t="s">
        <v>249</v>
      </c>
      <c r="J36" s="64"/>
      <c r="K36" s="60"/>
      <c r="L36" s="64"/>
      <c r="M36" s="67"/>
      <c r="N36" s="67"/>
      <c r="O36" s="68"/>
      <c r="P36" s="67"/>
      <c r="Q36" s="67"/>
      <c r="R36" s="63"/>
      <c r="S36" s="61"/>
      <c r="T36" s="64"/>
      <c r="U36" s="67"/>
      <c r="V36" s="51">
        <f t="shared" si="1"/>
        <v>0</v>
      </c>
      <c r="W36" s="7"/>
      <c r="X36" s="7"/>
      <c r="Y36" s="7"/>
      <c r="Z36" s="7"/>
    </row>
    <row r="37" ht="14.25" customHeight="1">
      <c r="A37" s="7"/>
      <c r="B37" s="7" t="s">
        <v>265</v>
      </c>
      <c r="C37" s="44"/>
      <c r="D37" s="44"/>
      <c r="E37" s="44"/>
      <c r="F37" s="54"/>
      <c r="G37" s="55"/>
      <c r="H37" s="56"/>
      <c r="I37" s="45" t="s">
        <v>250</v>
      </c>
      <c r="J37" s="64"/>
      <c r="K37" s="60"/>
      <c r="L37" s="64"/>
      <c r="M37" s="67"/>
      <c r="N37" s="67"/>
      <c r="O37" s="68"/>
      <c r="P37" s="67"/>
      <c r="Q37" s="67"/>
      <c r="R37" s="63"/>
      <c r="S37" s="61"/>
      <c r="T37" s="64"/>
      <c r="U37" s="67"/>
      <c r="V37" s="51">
        <f t="shared" si="1"/>
        <v>0</v>
      </c>
      <c r="W37" s="7"/>
      <c r="X37" s="7"/>
      <c r="Y37" s="7"/>
      <c r="Z37" s="7"/>
    </row>
    <row r="38" ht="14.25" customHeight="1">
      <c r="A38" s="7"/>
      <c r="B38" s="7" t="s">
        <v>267</v>
      </c>
      <c r="C38" s="44"/>
      <c r="D38" s="44"/>
      <c r="E38" s="46"/>
      <c r="F38" s="69">
        <v>10.0</v>
      </c>
      <c r="G38" s="70" t="s">
        <v>268</v>
      </c>
      <c r="H38" s="32"/>
      <c r="I38" s="45" t="s">
        <v>249</v>
      </c>
      <c r="J38" s="64"/>
      <c r="K38" s="60"/>
      <c r="L38" s="64"/>
      <c r="M38" s="67"/>
      <c r="N38" s="67"/>
      <c r="O38" s="68"/>
      <c r="P38" s="67"/>
      <c r="Q38" s="67"/>
      <c r="R38" s="63"/>
      <c r="S38" s="61"/>
      <c r="T38" s="64"/>
      <c r="U38" s="67"/>
      <c r="V38" s="51">
        <f t="shared" si="1"/>
        <v>0</v>
      </c>
      <c r="W38" s="7"/>
      <c r="X38" s="7"/>
      <c r="Y38" s="7"/>
      <c r="Z38" s="7"/>
    </row>
    <row r="39" ht="14.25" customHeight="1">
      <c r="A39" s="7"/>
      <c r="B39" s="7" t="s">
        <v>267</v>
      </c>
      <c r="C39" s="44"/>
      <c r="D39" s="44"/>
      <c r="E39" s="44"/>
      <c r="F39" s="54"/>
      <c r="G39" s="71"/>
      <c r="H39" s="72"/>
      <c r="I39" s="45" t="s">
        <v>250</v>
      </c>
      <c r="J39" s="64"/>
      <c r="K39" s="60"/>
      <c r="L39" s="64"/>
      <c r="M39" s="67"/>
      <c r="N39" s="67"/>
      <c r="O39" s="68"/>
      <c r="P39" s="67"/>
      <c r="Q39" s="67"/>
      <c r="R39" s="63"/>
      <c r="S39" s="61"/>
      <c r="T39" s="64"/>
      <c r="U39" s="67"/>
      <c r="V39" s="51">
        <f t="shared" si="1"/>
        <v>0</v>
      </c>
      <c r="W39" s="7"/>
      <c r="X39" s="7"/>
      <c r="Y39" s="7"/>
      <c r="Z39" s="7"/>
    </row>
    <row r="40" ht="14.25" customHeight="1">
      <c r="A40" s="7"/>
      <c r="C40" s="44"/>
      <c r="D40" s="44"/>
      <c r="E40" s="45"/>
      <c r="F40" s="73"/>
      <c r="G40" s="71"/>
      <c r="H40" s="72"/>
      <c r="I40" s="45"/>
      <c r="J40" s="74"/>
      <c r="K40" s="75"/>
      <c r="L40" s="74"/>
      <c r="M40" s="43"/>
      <c r="N40" s="43"/>
      <c r="O40" s="76"/>
      <c r="P40" s="43"/>
      <c r="Q40" s="43"/>
      <c r="R40" s="75"/>
      <c r="S40" s="76"/>
      <c r="T40" s="74"/>
      <c r="U40" s="43"/>
      <c r="V40" s="43"/>
      <c r="W40" s="7"/>
      <c r="X40" s="7"/>
      <c r="Y40" s="7"/>
      <c r="Z40" s="7"/>
    </row>
    <row r="41" ht="14.25" customHeight="1">
      <c r="A41" s="7"/>
      <c r="C41" s="44"/>
      <c r="D41" s="44"/>
      <c r="E41" s="44">
        <v>2.0</v>
      </c>
      <c r="F41" s="55" t="s">
        <v>269</v>
      </c>
      <c r="G41" s="31"/>
      <c r="H41" s="32"/>
      <c r="I41" s="45"/>
      <c r="J41" s="74"/>
      <c r="K41" s="75"/>
      <c r="L41" s="74"/>
      <c r="M41" s="43"/>
      <c r="N41" s="43"/>
      <c r="O41" s="76"/>
      <c r="P41" s="43"/>
      <c r="Q41" s="43"/>
      <c r="R41" s="75"/>
      <c r="S41" s="76"/>
      <c r="T41" s="74"/>
      <c r="U41" s="43"/>
      <c r="V41" s="43"/>
      <c r="W41" s="7"/>
      <c r="X41" s="7"/>
      <c r="Y41" s="7"/>
      <c r="Z41" s="7"/>
    </row>
    <row r="42" ht="14.25" customHeight="1">
      <c r="A42" s="7"/>
      <c r="B42" s="7" t="s">
        <v>270</v>
      </c>
      <c r="C42" s="44"/>
      <c r="D42" s="44"/>
      <c r="E42" s="46"/>
      <c r="F42" s="46">
        <v>1.0</v>
      </c>
      <c r="G42" s="45" t="s">
        <v>248</v>
      </c>
      <c r="H42" s="32"/>
      <c r="I42" s="45" t="s">
        <v>249</v>
      </c>
      <c r="J42" s="60"/>
      <c r="K42" s="63"/>
      <c r="L42" s="64"/>
      <c r="M42" s="77"/>
      <c r="N42" s="60"/>
      <c r="O42" s="78"/>
      <c r="P42" s="60"/>
      <c r="Q42" s="48"/>
      <c r="R42" s="48"/>
      <c r="S42" s="61"/>
      <c r="T42" s="79"/>
      <c r="U42" s="60"/>
      <c r="V42" s="51">
        <f t="shared" ref="V42:V59" si="5">SUM(J42:U42)</f>
        <v>0</v>
      </c>
      <c r="W42" s="7"/>
      <c r="X42" s="7"/>
      <c r="Y42" s="7"/>
      <c r="Z42" s="7"/>
    </row>
    <row r="43" ht="14.25" customHeight="1">
      <c r="A43" s="7"/>
      <c r="B43" s="7" t="s">
        <v>270</v>
      </c>
      <c r="C43" s="44"/>
      <c r="D43" s="44"/>
      <c r="E43" s="44"/>
      <c r="F43" s="54"/>
      <c r="G43" s="55"/>
      <c r="H43" s="56"/>
      <c r="I43" s="45" t="s">
        <v>250</v>
      </c>
      <c r="J43" s="60"/>
      <c r="K43" s="61"/>
      <c r="L43" s="64"/>
      <c r="M43" s="79"/>
      <c r="N43" s="60"/>
      <c r="O43" s="78"/>
      <c r="P43" s="60"/>
      <c r="Q43" s="48"/>
      <c r="R43" s="48"/>
      <c r="S43" s="61"/>
      <c r="T43" s="79"/>
      <c r="U43" s="60"/>
      <c r="V43" s="51">
        <f t="shared" si="5"/>
        <v>0</v>
      </c>
      <c r="W43" s="7"/>
      <c r="X43" s="7"/>
      <c r="Y43" s="7"/>
      <c r="Z43" s="7"/>
    </row>
    <row r="44" ht="14.25" customHeight="1">
      <c r="A44" s="7"/>
      <c r="B44" s="7" t="s">
        <v>271</v>
      </c>
      <c r="C44" s="44"/>
      <c r="D44" s="44"/>
      <c r="E44" s="46"/>
      <c r="F44" s="46">
        <v>2.0</v>
      </c>
      <c r="G44" s="45" t="s">
        <v>252</v>
      </c>
      <c r="H44" s="32"/>
      <c r="I44" s="45" t="s">
        <v>249</v>
      </c>
      <c r="J44" s="64"/>
      <c r="K44" s="63"/>
      <c r="L44" s="64"/>
      <c r="M44" s="60"/>
      <c r="N44" s="60"/>
      <c r="O44" s="68"/>
      <c r="P44" s="60"/>
      <c r="Q44" s="63"/>
      <c r="R44" s="60"/>
      <c r="S44" s="61"/>
      <c r="T44" s="64"/>
      <c r="U44" s="60"/>
      <c r="V44" s="51">
        <f t="shared" si="5"/>
        <v>0</v>
      </c>
      <c r="W44" s="7"/>
      <c r="X44" s="7"/>
      <c r="Y44" s="7"/>
      <c r="Z44" s="7"/>
    </row>
    <row r="45" ht="14.25" customHeight="1">
      <c r="A45" s="7"/>
      <c r="B45" s="7" t="s">
        <v>271</v>
      </c>
      <c r="C45" s="44"/>
      <c r="D45" s="44"/>
      <c r="E45" s="44"/>
      <c r="F45" s="54"/>
      <c r="G45" s="55"/>
      <c r="H45" s="56"/>
      <c r="I45" s="45" t="s">
        <v>250</v>
      </c>
      <c r="J45" s="64"/>
      <c r="K45" s="63"/>
      <c r="L45" s="64"/>
      <c r="M45" s="60"/>
      <c r="N45" s="60"/>
      <c r="O45" s="68"/>
      <c r="P45" s="60"/>
      <c r="Q45" s="63"/>
      <c r="R45" s="60"/>
      <c r="S45" s="61"/>
      <c r="T45" s="64"/>
      <c r="U45" s="60"/>
      <c r="V45" s="51">
        <f t="shared" si="5"/>
        <v>0</v>
      </c>
      <c r="W45" s="7"/>
      <c r="X45" s="7"/>
      <c r="Y45" s="7"/>
      <c r="Z45" s="7"/>
    </row>
    <row r="46" ht="14.25" customHeight="1">
      <c r="A46" s="7"/>
      <c r="B46" s="7" t="s">
        <v>272</v>
      </c>
      <c r="C46" s="44"/>
      <c r="D46" s="44"/>
      <c r="E46" s="53"/>
      <c r="F46" s="46">
        <v>3.0</v>
      </c>
      <c r="G46" s="45" t="s">
        <v>254</v>
      </c>
      <c r="H46" s="32"/>
      <c r="I46" s="45" t="s">
        <v>249</v>
      </c>
      <c r="J46" s="64"/>
      <c r="K46" s="63"/>
      <c r="L46" s="64"/>
      <c r="M46" s="60"/>
      <c r="N46" s="60"/>
      <c r="O46" s="68"/>
      <c r="P46" s="60"/>
      <c r="Q46" s="63"/>
      <c r="R46" s="60"/>
      <c r="S46" s="61"/>
      <c r="T46" s="64"/>
      <c r="U46" s="60"/>
      <c r="V46" s="51">
        <f t="shared" si="5"/>
        <v>0</v>
      </c>
      <c r="W46" s="7"/>
      <c r="X46" s="7"/>
      <c r="Y46" s="7"/>
      <c r="Z46" s="7"/>
    </row>
    <row r="47" ht="14.25" customHeight="1">
      <c r="A47" s="7"/>
      <c r="B47" s="7" t="s">
        <v>272</v>
      </c>
      <c r="C47" s="44"/>
      <c r="D47" s="44"/>
      <c r="E47" s="53"/>
      <c r="F47" s="54"/>
      <c r="G47" s="55"/>
      <c r="H47" s="56"/>
      <c r="I47" s="45" t="s">
        <v>250</v>
      </c>
      <c r="J47" s="64"/>
      <c r="K47" s="63"/>
      <c r="L47" s="64"/>
      <c r="M47" s="60"/>
      <c r="N47" s="60"/>
      <c r="O47" s="68"/>
      <c r="P47" s="60"/>
      <c r="Q47" s="63"/>
      <c r="R47" s="60"/>
      <c r="S47" s="61"/>
      <c r="T47" s="64"/>
      <c r="U47" s="60"/>
      <c r="V47" s="51">
        <f t="shared" si="5"/>
        <v>0</v>
      </c>
      <c r="W47" s="7"/>
      <c r="X47" s="7"/>
      <c r="Y47" s="7"/>
      <c r="Z47" s="7"/>
    </row>
    <row r="48" ht="14.25" customHeight="1">
      <c r="A48" s="7"/>
      <c r="B48" s="7" t="s">
        <v>273</v>
      </c>
      <c r="C48" s="44"/>
      <c r="D48" s="44"/>
      <c r="E48" s="46"/>
      <c r="F48" s="46">
        <v>4.0</v>
      </c>
      <c r="G48" s="45" t="s">
        <v>256</v>
      </c>
      <c r="H48" s="32"/>
      <c r="I48" s="45" t="s">
        <v>249</v>
      </c>
      <c r="J48" s="64"/>
      <c r="K48" s="63"/>
      <c r="L48" s="64"/>
      <c r="M48" s="60"/>
      <c r="N48" s="60"/>
      <c r="O48" s="68"/>
      <c r="P48" s="60"/>
      <c r="Q48" s="63"/>
      <c r="R48" s="60"/>
      <c r="S48" s="61"/>
      <c r="T48" s="64"/>
      <c r="U48" s="60"/>
      <c r="V48" s="51">
        <f t="shared" si="5"/>
        <v>0</v>
      </c>
      <c r="W48" s="7"/>
      <c r="X48" s="7"/>
      <c r="Y48" s="7"/>
      <c r="Z48" s="7"/>
    </row>
    <row r="49" ht="14.25" customHeight="1">
      <c r="A49" s="7"/>
      <c r="B49" s="7" t="s">
        <v>273</v>
      </c>
      <c r="C49" s="44"/>
      <c r="D49" s="44"/>
      <c r="E49" s="44"/>
      <c r="F49" s="54"/>
      <c r="G49" s="55"/>
      <c r="H49" s="56"/>
      <c r="I49" s="45" t="s">
        <v>250</v>
      </c>
      <c r="J49" s="64"/>
      <c r="K49" s="63"/>
      <c r="L49" s="64"/>
      <c r="M49" s="60"/>
      <c r="N49" s="60"/>
      <c r="O49" s="68"/>
      <c r="P49" s="60"/>
      <c r="Q49" s="63"/>
      <c r="R49" s="60"/>
      <c r="S49" s="61"/>
      <c r="T49" s="64"/>
      <c r="U49" s="60"/>
      <c r="V49" s="51">
        <f t="shared" si="5"/>
        <v>0</v>
      </c>
      <c r="W49" s="7"/>
      <c r="X49" s="7"/>
      <c r="Y49" s="7"/>
      <c r="Z49" s="7"/>
    </row>
    <row r="50" ht="14.25" customHeight="1">
      <c r="A50" s="7"/>
      <c r="B50" s="7" t="s">
        <v>274</v>
      </c>
      <c r="C50" s="44"/>
      <c r="D50" s="44"/>
      <c r="E50" s="46"/>
      <c r="F50" s="46">
        <v>5.0</v>
      </c>
      <c r="G50" s="45" t="s">
        <v>258</v>
      </c>
      <c r="H50" s="32"/>
      <c r="I50" s="45" t="s">
        <v>249</v>
      </c>
      <c r="J50" s="64"/>
      <c r="K50" s="63"/>
      <c r="L50" s="64"/>
      <c r="M50" s="60"/>
      <c r="N50" s="60"/>
      <c r="O50" s="68"/>
      <c r="P50" s="48"/>
      <c r="Q50" s="63"/>
      <c r="R50" s="60"/>
      <c r="S50" s="61"/>
      <c r="T50" s="64"/>
      <c r="U50" s="60"/>
      <c r="V50" s="51">
        <f t="shared" si="5"/>
        <v>0</v>
      </c>
      <c r="W50" s="7"/>
      <c r="X50" s="7"/>
      <c r="Y50" s="7"/>
      <c r="Z50" s="7"/>
    </row>
    <row r="51" ht="14.25" customHeight="1">
      <c r="A51" s="7"/>
      <c r="B51" s="7" t="s">
        <v>274</v>
      </c>
      <c r="C51" s="44"/>
      <c r="D51" s="44"/>
      <c r="E51" s="44"/>
      <c r="F51" s="54"/>
      <c r="G51" s="55"/>
      <c r="H51" s="56"/>
      <c r="I51" s="45" t="s">
        <v>250</v>
      </c>
      <c r="J51" s="64"/>
      <c r="K51" s="63"/>
      <c r="L51" s="64"/>
      <c r="M51" s="60"/>
      <c r="N51" s="60"/>
      <c r="O51" s="68"/>
      <c r="P51" s="48"/>
      <c r="Q51" s="63"/>
      <c r="R51" s="60"/>
      <c r="S51" s="61"/>
      <c r="T51" s="64"/>
      <c r="U51" s="60"/>
      <c r="V51" s="51">
        <f t="shared" si="5"/>
        <v>0</v>
      </c>
      <c r="W51" s="7"/>
      <c r="X51" s="7"/>
      <c r="Y51" s="7"/>
      <c r="Z51" s="7"/>
    </row>
    <row r="52" ht="14.25" customHeight="1">
      <c r="A52" s="7"/>
      <c r="B52" s="7" t="s">
        <v>275</v>
      </c>
      <c r="C52" s="44"/>
      <c r="D52" s="44"/>
      <c r="E52" s="53"/>
      <c r="F52" s="46">
        <v>6.0</v>
      </c>
      <c r="G52" s="45" t="s">
        <v>260</v>
      </c>
      <c r="H52" s="32"/>
      <c r="I52" s="45" t="s">
        <v>249</v>
      </c>
      <c r="J52" s="64"/>
      <c r="K52" s="63"/>
      <c r="L52" s="64"/>
      <c r="M52" s="60"/>
      <c r="N52" s="60"/>
      <c r="O52" s="68"/>
      <c r="P52" s="60"/>
      <c r="Q52" s="63"/>
      <c r="R52" s="60"/>
      <c r="S52" s="61"/>
      <c r="T52" s="64"/>
      <c r="U52" s="60"/>
      <c r="V52" s="51">
        <f t="shared" si="5"/>
        <v>0</v>
      </c>
      <c r="W52" s="7"/>
      <c r="X52" s="7"/>
      <c r="Y52" s="7"/>
      <c r="Z52" s="7"/>
    </row>
    <row r="53" ht="14.25" customHeight="1">
      <c r="A53" s="7"/>
      <c r="B53" s="7" t="s">
        <v>275</v>
      </c>
      <c r="C53" s="44"/>
      <c r="D53" s="44"/>
      <c r="E53" s="53"/>
      <c r="F53" s="54"/>
      <c r="G53" s="80"/>
      <c r="H53" s="81"/>
      <c r="I53" s="45" t="s">
        <v>250</v>
      </c>
      <c r="J53" s="64"/>
      <c r="K53" s="63"/>
      <c r="L53" s="64"/>
      <c r="M53" s="60"/>
      <c r="N53" s="60"/>
      <c r="O53" s="68"/>
      <c r="P53" s="60"/>
      <c r="Q53" s="63"/>
      <c r="R53" s="60"/>
      <c r="S53" s="61"/>
      <c r="T53" s="64"/>
      <c r="U53" s="60"/>
      <c r="V53" s="51">
        <f t="shared" si="5"/>
        <v>0</v>
      </c>
      <c r="W53" s="7"/>
      <c r="X53" s="7"/>
      <c r="Y53" s="7"/>
      <c r="Z53" s="7"/>
    </row>
    <row r="54" ht="14.25" customHeight="1">
      <c r="A54" s="7"/>
      <c r="B54" s="7" t="s">
        <v>276</v>
      </c>
      <c r="C54" s="65"/>
      <c r="D54" s="44"/>
      <c r="E54" s="45"/>
      <c r="F54" s="46">
        <v>7.0</v>
      </c>
      <c r="G54" s="45" t="s">
        <v>277</v>
      </c>
      <c r="H54" s="32"/>
      <c r="I54" s="45" t="s">
        <v>249</v>
      </c>
      <c r="J54" s="64"/>
      <c r="K54" s="63"/>
      <c r="L54" s="64"/>
      <c r="M54" s="60"/>
      <c r="N54" s="60"/>
      <c r="O54" s="68"/>
      <c r="P54" s="60"/>
      <c r="Q54" s="63"/>
      <c r="R54" s="60"/>
      <c r="S54" s="61"/>
      <c r="T54" s="64"/>
      <c r="U54" s="60"/>
      <c r="V54" s="51">
        <f t="shared" si="5"/>
        <v>0</v>
      </c>
      <c r="W54" s="7"/>
      <c r="X54" s="7"/>
      <c r="Y54" s="7"/>
      <c r="Z54" s="7"/>
    </row>
    <row r="55" ht="14.25" customHeight="1">
      <c r="A55" s="7"/>
      <c r="B55" s="7" t="s">
        <v>276</v>
      </c>
      <c r="C55" s="65"/>
      <c r="D55" s="44"/>
      <c r="E55" s="45"/>
      <c r="F55" s="54"/>
      <c r="G55" s="80"/>
      <c r="H55" s="81"/>
      <c r="I55" s="45" t="s">
        <v>250</v>
      </c>
      <c r="J55" s="64"/>
      <c r="K55" s="63"/>
      <c r="L55" s="64"/>
      <c r="M55" s="60"/>
      <c r="N55" s="60"/>
      <c r="O55" s="68"/>
      <c r="P55" s="60"/>
      <c r="Q55" s="63"/>
      <c r="R55" s="60"/>
      <c r="S55" s="61"/>
      <c r="T55" s="64"/>
      <c r="U55" s="60"/>
      <c r="V55" s="51">
        <f t="shared" si="5"/>
        <v>0</v>
      </c>
      <c r="W55" s="7"/>
      <c r="X55" s="7"/>
      <c r="Y55" s="7"/>
      <c r="Z55" s="7"/>
    </row>
    <row r="56" ht="14.25" customHeight="1">
      <c r="A56" s="7"/>
      <c r="B56" s="7" t="s">
        <v>278</v>
      </c>
      <c r="C56" s="65"/>
      <c r="D56" s="44"/>
      <c r="E56" s="45"/>
      <c r="F56" s="66">
        <v>8.0</v>
      </c>
      <c r="G56" s="45" t="s">
        <v>279</v>
      </c>
      <c r="H56" s="32"/>
      <c r="I56" s="45" t="s">
        <v>249</v>
      </c>
      <c r="J56" s="64"/>
      <c r="K56" s="63"/>
      <c r="L56" s="57">
        <v>2.0</v>
      </c>
      <c r="M56" s="60"/>
      <c r="N56" s="60"/>
      <c r="O56" s="68"/>
      <c r="P56" s="60"/>
      <c r="Q56" s="63"/>
      <c r="R56" s="60"/>
      <c r="S56" s="61"/>
      <c r="T56" s="64"/>
      <c r="U56" s="60"/>
      <c r="V56" s="51">
        <f t="shared" si="5"/>
        <v>2</v>
      </c>
      <c r="W56" s="7"/>
      <c r="X56" s="7"/>
      <c r="Y56" s="7"/>
      <c r="Z56" s="7"/>
    </row>
    <row r="57" ht="14.25" customHeight="1">
      <c r="A57" s="7"/>
      <c r="B57" s="7" t="s">
        <v>278</v>
      </c>
      <c r="C57" s="65"/>
      <c r="D57" s="44"/>
      <c r="E57" s="45"/>
      <c r="F57" s="73"/>
      <c r="G57" s="80" t="s">
        <v>280</v>
      </c>
      <c r="H57" s="32"/>
      <c r="I57" s="45" t="s">
        <v>250</v>
      </c>
      <c r="J57" s="64"/>
      <c r="K57" s="63"/>
      <c r="L57" s="57">
        <v>4153.0</v>
      </c>
      <c r="M57" s="60"/>
      <c r="N57" s="60"/>
      <c r="O57" s="68"/>
      <c r="P57" s="60"/>
      <c r="Q57" s="63"/>
      <c r="R57" s="60"/>
      <c r="S57" s="61"/>
      <c r="T57" s="64"/>
      <c r="U57" s="60"/>
      <c r="V57" s="51">
        <f t="shared" si="5"/>
        <v>4153</v>
      </c>
      <c r="W57" s="7"/>
      <c r="X57" s="7"/>
      <c r="Y57" s="7"/>
      <c r="Z57" s="7"/>
    </row>
    <row r="58" ht="14.25" customHeight="1">
      <c r="A58" s="7"/>
      <c r="C58" s="65"/>
      <c r="D58" s="44"/>
      <c r="E58" s="45"/>
      <c r="F58" s="31"/>
      <c r="G58" s="31"/>
      <c r="H58" s="32"/>
      <c r="I58" s="45"/>
      <c r="J58" s="76">
        <f t="shared" ref="J58:K58" si="6">J20+J22+J28</f>
        <v>8</v>
      </c>
      <c r="K58" s="76">
        <f t="shared" si="6"/>
        <v>21</v>
      </c>
      <c r="L58" s="76">
        <f t="shared" ref="L58:N58" si="7">L20+L22+L28+L56</f>
        <v>25</v>
      </c>
      <c r="M58" s="76">
        <f t="shared" si="7"/>
        <v>24</v>
      </c>
      <c r="N58" s="76">
        <f t="shared" si="7"/>
        <v>20</v>
      </c>
      <c r="O58" s="76"/>
      <c r="P58" s="76"/>
      <c r="Q58" s="76"/>
      <c r="R58" s="76"/>
      <c r="S58" s="76"/>
      <c r="T58" s="76">
        <f t="shared" ref="T58:U58" si="8">T20+T22+T28</f>
        <v>0</v>
      </c>
      <c r="U58" s="76">
        <f t="shared" si="8"/>
        <v>0</v>
      </c>
      <c r="V58" s="51">
        <f t="shared" si="5"/>
        <v>98</v>
      </c>
      <c r="W58" s="7"/>
      <c r="X58" s="7"/>
      <c r="Y58" s="7"/>
      <c r="Z58" s="7"/>
    </row>
    <row r="59" ht="14.25" customHeight="1">
      <c r="A59" s="7"/>
      <c r="C59" s="44"/>
      <c r="D59" s="44">
        <v>2.0</v>
      </c>
      <c r="E59" s="45" t="s">
        <v>281</v>
      </c>
      <c r="F59" s="31"/>
      <c r="G59" s="31"/>
      <c r="H59" s="32"/>
      <c r="I59" s="42"/>
      <c r="J59" s="76">
        <f t="shared" ref="J59:K59" si="9">J21+J23+J29</f>
        <v>237879</v>
      </c>
      <c r="K59" s="76">
        <f t="shared" si="9"/>
        <v>408723</v>
      </c>
      <c r="L59" s="76">
        <f t="shared" ref="L59:N59" si="10">L21+L23+L29+L57</f>
        <v>443842</v>
      </c>
      <c r="M59" s="76">
        <f t="shared" si="10"/>
        <v>479387</v>
      </c>
      <c r="N59" s="76">
        <f t="shared" si="10"/>
        <v>395119</v>
      </c>
      <c r="O59" s="76"/>
      <c r="P59" s="76"/>
      <c r="Q59" s="76"/>
      <c r="R59" s="76"/>
      <c r="S59" s="76"/>
      <c r="T59" s="76">
        <f t="shared" ref="T59:U59" si="11">T21+T23+T29</f>
        <v>0</v>
      </c>
      <c r="U59" s="76">
        <f t="shared" si="11"/>
        <v>0</v>
      </c>
      <c r="V59" s="51">
        <f t="shared" si="5"/>
        <v>1964950</v>
      </c>
      <c r="W59" s="7"/>
      <c r="X59" s="7"/>
      <c r="Y59" s="7"/>
      <c r="Z59" s="7"/>
    </row>
    <row r="60" ht="15.75" customHeight="1">
      <c r="A60" s="7"/>
      <c r="C60" s="44"/>
      <c r="D60" s="44"/>
      <c r="E60" s="46">
        <v>1.0</v>
      </c>
      <c r="F60" s="45" t="s">
        <v>246</v>
      </c>
      <c r="G60" s="31"/>
      <c r="H60" s="32"/>
      <c r="I60" s="42"/>
      <c r="J60" s="74"/>
      <c r="K60" s="75"/>
      <c r="L60" s="43"/>
      <c r="M60" s="43"/>
      <c r="N60" s="43"/>
      <c r="O60" s="76"/>
      <c r="P60" s="43"/>
      <c r="Q60" s="75"/>
      <c r="R60" s="43"/>
      <c r="S60" s="76"/>
      <c r="T60" s="74"/>
      <c r="U60" s="43"/>
      <c r="V60" s="43"/>
      <c r="W60" s="7"/>
      <c r="X60" s="7"/>
      <c r="Y60" s="7"/>
      <c r="Z60" s="7"/>
    </row>
    <row r="61" ht="14.25" customHeight="1">
      <c r="A61" s="7"/>
      <c r="B61" s="7" t="s">
        <v>282</v>
      </c>
      <c r="C61" s="82"/>
      <c r="D61" s="82"/>
      <c r="E61" s="46"/>
      <c r="F61" s="46">
        <v>1.0</v>
      </c>
      <c r="G61" s="45" t="s">
        <v>248</v>
      </c>
      <c r="H61" s="32"/>
      <c r="I61" s="45" t="s">
        <v>249</v>
      </c>
      <c r="J61" s="48">
        <v>6.0</v>
      </c>
      <c r="K61" s="48">
        <v>14.0</v>
      </c>
      <c r="L61" s="57">
        <v>7.0</v>
      </c>
      <c r="M61" s="48">
        <v>10.0</v>
      </c>
      <c r="N61" s="83">
        <v>17.0</v>
      </c>
      <c r="O61" s="57"/>
      <c r="P61" s="48"/>
      <c r="Q61" s="48"/>
      <c r="R61" s="48"/>
      <c r="S61" s="57"/>
      <c r="T61" s="79"/>
      <c r="U61" s="48"/>
      <c r="V61" s="51">
        <f t="shared" ref="V61:V78" si="12">SUM(J61:U61)</f>
        <v>54</v>
      </c>
      <c r="W61" s="7"/>
      <c r="X61" s="7"/>
      <c r="Y61" s="7"/>
      <c r="Z61" s="7"/>
    </row>
    <row r="62" ht="14.25" customHeight="1">
      <c r="A62" s="7"/>
      <c r="B62" s="7" t="s">
        <v>282</v>
      </c>
      <c r="C62" s="82"/>
      <c r="D62" s="82"/>
      <c r="E62" s="53"/>
      <c r="F62" s="54"/>
      <c r="G62" s="55"/>
      <c r="H62" s="56"/>
      <c r="I62" s="45" t="s">
        <v>250</v>
      </c>
      <c r="J62" s="48">
        <v>16919.0</v>
      </c>
      <c r="K62" s="57">
        <v>34602.0</v>
      </c>
      <c r="L62" s="57">
        <v>25305.0</v>
      </c>
      <c r="M62" s="57">
        <v>35601.0</v>
      </c>
      <c r="N62" s="83">
        <v>51318.0</v>
      </c>
      <c r="O62" s="57"/>
      <c r="P62" s="48"/>
      <c r="Q62" s="48"/>
      <c r="R62" s="48"/>
      <c r="S62" s="57"/>
      <c r="T62" s="79"/>
      <c r="U62" s="48"/>
      <c r="V62" s="51">
        <f t="shared" si="12"/>
        <v>163745</v>
      </c>
      <c r="W62" s="7"/>
      <c r="X62" s="7"/>
      <c r="Y62" s="7"/>
      <c r="Z62" s="7"/>
    </row>
    <row r="63" ht="14.25" customHeight="1">
      <c r="A63" s="7"/>
      <c r="B63" s="7" t="s">
        <v>283</v>
      </c>
      <c r="C63" s="82"/>
      <c r="D63" s="82"/>
      <c r="E63" s="46"/>
      <c r="F63" s="46">
        <v>2.0</v>
      </c>
      <c r="G63" s="45" t="s">
        <v>252</v>
      </c>
      <c r="H63" s="32"/>
      <c r="I63" s="45" t="s">
        <v>249</v>
      </c>
      <c r="J63" s="48">
        <v>7.0</v>
      </c>
      <c r="K63" s="57">
        <v>7.0</v>
      </c>
      <c r="L63" s="57">
        <v>9.0</v>
      </c>
      <c r="M63" s="57">
        <v>6.0</v>
      </c>
      <c r="N63" s="83">
        <v>7.0</v>
      </c>
      <c r="O63" s="57"/>
      <c r="P63" s="48"/>
      <c r="Q63" s="48"/>
      <c r="R63" s="48"/>
      <c r="S63" s="57"/>
      <c r="T63" s="84"/>
      <c r="U63" s="48"/>
      <c r="V63" s="51">
        <f t="shared" si="12"/>
        <v>36</v>
      </c>
      <c r="W63" s="7"/>
      <c r="X63" s="7"/>
      <c r="Y63" s="7"/>
      <c r="Z63" s="7"/>
    </row>
    <row r="64" ht="14.25" customHeight="1">
      <c r="A64" s="7"/>
      <c r="B64" s="7" t="s">
        <v>283</v>
      </c>
      <c r="C64" s="82"/>
      <c r="D64" s="82"/>
      <c r="E64" s="44"/>
      <c r="F64" s="54"/>
      <c r="G64" s="55"/>
      <c r="H64" s="56"/>
      <c r="I64" s="45" t="s">
        <v>250</v>
      </c>
      <c r="J64" s="48">
        <v>31895.0</v>
      </c>
      <c r="K64" s="57">
        <v>25279.0</v>
      </c>
      <c r="L64" s="57">
        <v>26872.0</v>
      </c>
      <c r="M64" s="57">
        <v>21523.0</v>
      </c>
      <c r="N64" s="83">
        <v>25717.0</v>
      </c>
      <c r="O64" s="57"/>
      <c r="P64" s="48"/>
      <c r="Q64" s="48"/>
      <c r="R64" s="48"/>
      <c r="S64" s="57"/>
      <c r="T64" s="84"/>
      <c r="U64" s="48"/>
      <c r="V64" s="51">
        <f t="shared" si="12"/>
        <v>131286</v>
      </c>
      <c r="W64" s="7"/>
      <c r="X64" s="7"/>
      <c r="Y64" s="7"/>
      <c r="Z64" s="7"/>
    </row>
    <row r="65" ht="14.25" customHeight="1">
      <c r="A65" s="7"/>
      <c r="B65" s="7" t="s">
        <v>284</v>
      </c>
      <c r="C65" s="82"/>
      <c r="D65" s="82"/>
      <c r="E65" s="53"/>
      <c r="F65" s="46">
        <v>3.0</v>
      </c>
      <c r="G65" s="45" t="s">
        <v>254</v>
      </c>
      <c r="H65" s="32"/>
      <c r="I65" s="45" t="s">
        <v>249</v>
      </c>
      <c r="J65" s="63"/>
      <c r="K65" s="63"/>
      <c r="L65" s="57">
        <v>0.0</v>
      </c>
      <c r="M65" s="57">
        <v>0.0</v>
      </c>
      <c r="N65" s="83">
        <v>0.0</v>
      </c>
      <c r="O65" s="61"/>
      <c r="P65" s="63"/>
      <c r="Q65" s="63"/>
      <c r="R65" s="63"/>
      <c r="S65" s="61"/>
      <c r="T65" s="85"/>
      <c r="U65" s="63"/>
      <c r="V65" s="51">
        <f t="shared" si="12"/>
        <v>0</v>
      </c>
      <c r="W65" s="7"/>
      <c r="X65" s="7"/>
      <c r="Y65" s="7"/>
      <c r="Z65" s="7"/>
    </row>
    <row r="66" ht="14.25" customHeight="1">
      <c r="A66" s="7"/>
      <c r="B66" s="7" t="s">
        <v>284</v>
      </c>
      <c r="C66" s="82"/>
      <c r="D66" s="82"/>
      <c r="E66" s="53"/>
      <c r="F66" s="54"/>
      <c r="G66" s="55"/>
      <c r="H66" s="56"/>
      <c r="I66" s="45" t="s">
        <v>250</v>
      </c>
      <c r="J66" s="63"/>
      <c r="K66" s="63"/>
      <c r="L66" s="57">
        <v>0.0</v>
      </c>
      <c r="M66" s="57">
        <v>0.0</v>
      </c>
      <c r="N66" s="83">
        <v>0.0</v>
      </c>
      <c r="O66" s="61"/>
      <c r="P66" s="63"/>
      <c r="Q66" s="63"/>
      <c r="R66" s="63"/>
      <c r="S66" s="61"/>
      <c r="T66" s="85"/>
      <c r="U66" s="63"/>
      <c r="V66" s="51">
        <f t="shared" si="12"/>
        <v>0</v>
      </c>
      <c r="W66" s="7"/>
      <c r="X66" s="7"/>
      <c r="Y66" s="7"/>
      <c r="Z66" s="7"/>
    </row>
    <row r="67" ht="14.25" customHeight="1">
      <c r="A67" s="7"/>
      <c r="B67" s="7" t="s">
        <v>285</v>
      </c>
      <c r="C67" s="82"/>
      <c r="D67" s="82"/>
      <c r="E67" s="46"/>
      <c r="F67" s="46">
        <v>4.0</v>
      </c>
      <c r="G67" s="45" t="s">
        <v>256</v>
      </c>
      <c r="H67" s="32"/>
      <c r="I67" s="45" t="s">
        <v>249</v>
      </c>
      <c r="J67" s="63"/>
      <c r="K67" s="63"/>
      <c r="L67" s="61"/>
      <c r="M67" s="61"/>
      <c r="N67" s="86"/>
      <c r="O67" s="61"/>
      <c r="P67" s="63"/>
      <c r="Q67" s="63"/>
      <c r="R67" s="63"/>
      <c r="S67" s="61"/>
      <c r="T67" s="85"/>
      <c r="U67" s="63"/>
      <c r="V67" s="51">
        <f t="shared" si="12"/>
        <v>0</v>
      </c>
      <c r="W67" s="7"/>
      <c r="X67" s="7"/>
      <c r="Y67" s="7"/>
      <c r="Z67" s="7"/>
    </row>
    <row r="68" ht="14.25" customHeight="1">
      <c r="A68" s="7"/>
      <c r="B68" s="7" t="s">
        <v>285</v>
      </c>
      <c r="C68" s="82"/>
      <c r="D68" s="82"/>
      <c r="E68" s="44"/>
      <c r="F68" s="54"/>
      <c r="G68" s="55"/>
      <c r="H68" s="56"/>
      <c r="I68" s="45" t="s">
        <v>250</v>
      </c>
      <c r="J68" s="63"/>
      <c r="K68" s="63"/>
      <c r="L68" s="61"/>
      <c r="M68" s="61"/>
      <c r="N68" s="86"/>
      <c r="O68" s="61"/>
      <c r="P68" s="63"/>
      <c r="Q68" s="63"/>
      <c r="R68" s="63"/>
      <c r="S68" s="61"/>
      <c r="T68" s="85"/>
      <c r="U68" s="63"/>
      <c r="V68" s="51">
        <f t="shared" si="12"/>
        <v>0</v>
      </c>
      <c r="W68" s="7"/>
      <c r="X68" s="7"/>
      <c r="Y68" s="7"/>
      <c r="Z68" s="7"/>
    </row>
    <row r="69" ht="14.25" customHeight="1">
      <c r="A69" s="7"/>
      <c r="B69" s="7" t="s">
        <v>286</v>
      </c>
      <c r="C69" s="82"/>
      <c r="D69" s="82"/>
      <c r="E69" s="46"/>
      <c r="F69" s="46">
        <v>5.0</v>
      </c>
      <c r="G69" s="45" t="s">
        <v>258</v>
      </c>
      <c r="H69" s="32"/>
      <c r="I69" s="45" t="s">
        <v>249</v>
      </c>
      <c r="J69" s="48">
        <v>2.0</v>
      </c>
      <c r="K69" s="48">
        <v>3.0</v>
      </c>
      <c r="L69" s="57">
        <v>3.0</v>
      </c>
      <c r="M69" s="57">
        <v>3.0</v>
      </c>
      <c r="N69" s="83">
        <v>7.0</v>
      </c>
      <c r="O69" s="57"/>
      <c r="P69" s="48"/>
      <c r="Q69" s="48"/>
      <c r="R69" s="63"/>
      <c r="S69" s="57"/>
      <c r="T69" s="84"/>
      <c r="U69" s="48"/>
      <c r="V69" s="51">
        <f t="shared" si="12"/>
        <v>18</v>
      </c>
      <c r="W69" s="7"/>
      <c r="X69" s="7"/>
      <c r="Y69" s="7"/>
      <c r="Z69" s="7"/>
    </row>
    <row r="70" ht="14.25" customHeight="1">
      <c r="A70" s="7"/>
      <c r="B70" s="7" t="s">
        <v>286</v>
      </c>
      <c r="C70" s="82"/>
      <c r="D70" s="82"/>
      <c r="E70" s="66"/>
      <c r="F70" s="54"/>
      <c r="G70" s="55"/>
      <c r="H70" s="56"/>
      <c r="I70" s="45" t="s">
        <v>250</v>
      </c>
      <c r="J70" s="48">
        <v>9716.0</v>
      </c>
      <c r="K70" s="57">
        <v>11910.0</v>
      </c>
      <c r="L70" s="57">
        <v>11588.0</v>
      </c>
      <c r="M70" s="57">
        <v>11498.0</v>
      </c>
      <c r="N70" s="83">
        <v>30124.0</v>
      </c>
      <c r="O70" s="57"/>
      <c r="P70" s="48"/>
      <c r="Q70" s="48"/>
      <c r="R70" s="63"/>
      <c r="S70" s="57"/>
      <c r="T70" s="84"/>
      <c r="U70" s="48"/>
      <c r="V70" s="51">
        <f t="shared" si="12"/>
        <v>74836</v>
      </c>
      <c r="W70" s="7"/>
      <c r="X70" s="7"/>
      <c r="Y70" s="7"/>
      <c r="Z70" s="7"/>
    </row>
    <row r="71" ht="14.25" customHeight="1">
      <c r="A71" s="7"/>
      <c r="B71" s="7" t="s">
        <v>287</v>
      </c>
      <c r="C71" s="82"/>
      <c r="D71" s="82"/>
      <c r="E71" s="46"/>
      <c r="F71" s="46">
        <v>6.0</v>
      </c>
      <c r="G71" s="45" t="s">
        <v>260</v>
      </c>
      <c r="H71" s="32"/>
      <c r="I71" s="45" t="s">
        <v>249</v>
      </c>
      <c r="J71" s="64"/>
      <c r="K71" s="48">
        <v>1.0</v>
      </c>
      <c r="L71" s="57">
        <v>1.0</v>
      </c>
      <c r="M71" s="57">
        <v>1.0</v>
      </c>
      <c r="N71" s="83">
        <v>1.0</v>
      </c>
      <c r="O71" s="68"/>
      <c r="P71" s="63"/>
      <c r="Q71" s="63"/>
      <c r="R71" s="63"/>
      <c r="S71" s="61"/>
      <c r="T71" s="64"/>
      <c r="U71" s="60"/>
      <c r="V71" s="51">
        <f t="shared" si="12"/>
        <v>4</v>
      </c>
      <c r="W71" s="7"/>
      <c r="X71" s="7"/>
      <c r="Y71" s="7"/>
      <c r="Z71" s="7"/>
    </row>
    <row r="72" ht="14.25" customHeight="1">
      <c r="A72" s="7"/>
      <c r="B72" s="7" t="s">
        <v>287</v>
      </c>
      <c r="C72" s="82"/>
      <c r="D72" s="82"/>
      <c r="E72" s="66"/>
      <c r="F72" s="54"/>
      <c r="G72" s="55"/>
      <c r="H72" s="56"/>
      <c r="I72" s="45" t="s">
        <v>250</v>
      </c>
      <c r="J72" s="64"/>
      <c r="K72" s="48">
        <v>11512.0</v>
      </c>
      <c r="L72" s="57">
        <v>11512.0</v>
      </c>
      <c r="M72" s="57">
        <v>11512.0</v>
      </c>
      <c r="N72" s="83">
        <v>11512.0</v>
      </c>
      <c r="O72" s="68"/>
      <c r="P72" s="63"/>
      <c r="Q72" s="63"/>
      <c r="R72" s="63"/>
      <c r="S72" s="61"/>
      <c r="T72" s="64"/>
      <c r="U72" s="60"/>
      <c r="V72" s="51">
        <f t="shared" si="12"/>
        <v>46048</v>
      </c>
      <c r="W72" s="7"/>
      <c r="X72" s="7"/>
      <c r="Y72" s="7"/>
      <c r="Z72" s="7"/>
    </row>
    <row r="73" ht="14.25" customHeight="1">
      <c r="A73" s="7"/>
      <c r="B73" s="7" t="s">
        <v>288</v>
      </c>
      <c r="C73" s="82"/>
      <c r="D73" s="82"/>
      <c r="E73" s="46"/>
      <c r="F73" s="69">
        <v>7.0</v>
      </c>
      <c r="G73" s="45" t="s">
        <v>262</v>
      </c>
      <c r="H73" s="32"/>
      <c r="I73" s="45" t="s">
        <v>249</v>
      </c>
      <c r="J73" s="64"/>
      <c r="K73" s="63"/>
      <c r="L73" s="57">
        <v>238.0</v>
      </c>
      <c r="M73" s="57">
        <v>1.0</v>
      </c>
      <c r="N73" s="83">
        <v>2.0</v>
      </c>
      <c r="O73" s="78"/>
      <c r="P73" s="63"/>
      <c r="Q73" s="48"/>
      <c r="R73" s="63"/>
      <c r="S73" s="61"/>
      <c r="T73" s="64"/>
      <c r="U73" s="60"/>
      <c r="V73" s="51">
        <f t="shared" si="12"/>
        <v>241</v>
      </c>
      <c r="W73" s="7"/>
      <c r="X73" s="7"/>
      <c r="Y73" s="7"/>
      <c r="Z73" s="7"/>
    </row>
    <row r="74" ht="14.25" customHeight="1">
      <c r="A74" s="7"/>
      <c r="B74" s="7" t="s">
        <v>288</v>
      </c>
      <c r="C74" s="82"/>
      <c r="D74" s="82"/>
      <c r="E74" s="66"/>
      <c r="F74" s="54"/>
      <c r="G74" s="55"/>
      <c r="H74" s="56"/>
      <c r="I74" s="45" t="s">
        <v>250</v>
      </c>
      <c r="J74" s="64"/>
      <c r="K74" s="63"/>
      <c r="L74" s="57">
        <v>2022277.0</v>
      </c>
      <c r="M74" s="57">
        <v>6527.0</v>
      </c>
      <c r="N74" s="83">
        <v>13493.0</v>
      </c>
      <c r="O74" s="78"/>
      <c r="P74" s="63"/>
      <c r="Q74" s="48"/>
      <c r="R74" s="63"/>
      <c r="S74" s="61"/>
      <c r="T74" s="64"/>
      <c r="U74" s="60"/>
      <c r="V74" s="51">
        <f t="shared" si="12"/>
        <v>2042297</v>
      </c>
      <c r="W74" s="7"/>
      <c r="X74" s="7"/>
      <c r="Y74" s="7"/>
      <c r="Z74" s="7"/>
    </row>
    <row r="75" ht="14.25" customHeight="1">
      <c r="A75" s="7"/>
      <c r="B75" s="7" t="s">
        <v>289</v>
      </c>
      <c r="C75" s="82"/>
      <c r="D75" s="82"/>
      <c r="E75" s="46"/>
      <c r="F75" s="69">
        <v>8.0</v>
      </c>
      <c r="G75" s="45" t="s">
        <v>264</v>
      </c>
      <c r="H75" s="32"/>
      <c r="I75" s="45" t="s">
        <v>249</v>
      </c>
      <c r="J75" s="64"/>
      <c r="K75" s="63"/>
      <c r="L75" s="64"/>
      <c r="M75" s="64"/>
      <c r="N75" s="60"/>
      <c r="O75" s="68"/>
      <c r="P75" s="63"/>
      <c r="Q75" s="63"/>
      <c r="R75" s="63"/>
      <c r="S75" s="61"/>
      <c r="T75" s="64"/>
      <c r="U75" s="60"/>
      <c r="V75" s="51">
        <f t="shared" si="12"/>
        <v>0</v>
      </c>
      <c r="W75" s="7"/>
      <c r="X75" s="7"/>
      <c r="Y75" s="7"/>
      <c r="Z75" s="7"/>
    </row>
    <row r="76" ht="14.25" customHeight="1">
      <c r="A76" s="7"/>
      <c r="B76" s="7" t="s">
        <v>289</v>
      </c>
      <c r="C76" s="82"/>
      <c r="D76" s="82"/>
      <c r="E76" s="66"/>
      <c r="F76" s="54"/>
      <c r="G76" s="55"/>
      <c r="H76" s="56"/>
      <c r="I76" s="45" t="s">
        <v>250</v>
      </c>
      <c r="J76" s="64"/>
      <c r="K76" s="63"/>
      <c r="L76" s="64"/>
      <c r="M76" s="64"/>
      <c r="N76" s="60"/>
      <c r="O76" s="68"/>
      <c r="P76" s="63"/>
      <c r="Q76" s="63"/>
      <c r="R76" s="63"/>
      <c r="S76" s="61"/>
      <c r="T76" s="64"/>
      <c r="U76" s="60"/>
      <c r="V76" s="51">
        <f t="shared" si="12"/>
        <v>0</v>
      </c>
      <c r="W76" s="7"/>
      <c r="X76" s="7"/>
      <c r="Y76" s="7"/>
      <c r="Z76" s="7"/>
    </row>
    <row r="77" ht="14.25" customHeight="1">
      <c r="A77" s="7"/>
      <c r="B77" s="7" t="s">
        <v>290</v>
      </c>
      <c r="C77" s="82"/>
      <c r="D77" s="82"/>
      <c r="E77" s="46"/>
      <c r="F77" s="69">
        <v>9.0</v>
      </c>
      <c r="G77" s="70" t="s">
        <v>268</v>
      </c>
      <c r="H77" s="32"/>
      <c r="I77" s="45" t="s">
        <v>249</v>
      </c>
      <c r="J77" s="64"/>
      <c r="K77" s="63"/>
      <c r="L77" s="64"/>
      <c r="M77" s="64"/>
      <c r="N77" s="60"/>
      <c r="O77" s="68"/>
      <c r="P77" s="63"/>
      <c r="Q77" s="63"/>
      <c r="R77" s="63"/>
      <c r="S77" s="61"/>
      <c r="T77" s="64"/>
      <c r="U77" s="60"/>
      <c r="V77" s="51">
        <f t="shared" si="12"/>
        <v>0</v>
      </c>
      <c r="W77" s="7"/>
      <c r="X77" s="7"/>
      <c r="Y77" s="7"/>
      <c r="Z77" s="7"/>
    </row>
    <row r="78" ht="14.25" customHeight="1">
      <c r="A78" s="7"/>
      <c r="B78" s="7" t="s">
        <v>290</v>
      </c>
      <c r="C78" s="82"/>
      <c r="D78" s="82"/>
      <c r="E78" s="44"/>
      <c r="F78" s="54"/>
      <c r="G78" s="71"/>
      <c r="H78" s="72"/>
      <c r="I78" s="45" t="s">
        <v>250</v>
      </c>
      <c r="J78" s="64"/>
      <c r="K78" s="63"/>
      <c r="L78" s="64"/>
      <c r="M78" s="64"/>
      <c r="N78" s="60"/>
      <c r="O78" s="68"/>
      <c r="P78" s="63"/>
      <c r="Q78" s="63"/>
      <c r="R78" s="63"/>
      <c r="S78" s="61"/>
      <c r="T78" s="64"/>
      <c r="U78" s="60"/>
      <c r="V78" s="51">
        <f t="shared" si="12"/>
        <v>0</v>
      </c>
      <c r="W78" s="7"/>
      <c r="X78" s="7"/>
      <c r="Y78" s="7"/>
      <c r="Z78" s="7"/>
    </row>
    <row r="79" ht="14.25" customHeight="1">
      <c r="A79" s="7"/>
      <c r="C79" s="82"/>
      <c r="D79" s="82"/>
      <c r="E79" s="53"/>
      <c r="F79" s="71"/>
      <c r="G79" s="71"/>
      <c r="H79" s="72"/>
      <c r="I79" s="45"/>
      <c r="J79" s="74"/>
      <c r="K79" s="43"/>
      <c r="L79" s="74"/>
      <c r="M79" s="43"/>
      <c r="N79" s="43"/>
      <c r="O79" s="76"/>
      <c r="P79" s="75"/>
      <c r="Q79" s="75"/>
      <c r="R79" s="43"/>
      <c r="S79" s="76"/>
      <c r="T79" s="74"/>
      <c r="U79" s="43"/>
      <c r="V79" s="43"/>
      <c r="W79" s="7"/>
      <c r="X79" s="7"/>
      <c r="Y79" s="7"/>
      <c r="Z79" s="7"/>
    </row>
    <row r="80" ht="14.25" customHeight="1">
      <c r="A80" s="7"/>
      <c r="C80" s="82"/>
      <c r="D80" s="82"/>
      <c r="E80" s="44">
        <v>2.0</v>
      </c>
      <c r="F80" s="55" t="s">
        <v>269</v>
      </c>
      <c r="G80" s="31"/>
      <c r="H80" s="32"/>
      <c r="I80" s="45"/>
      <c r="J80" s="74"/>
      <c r="K80" s="43"/>
      <c r="L80" s="74"/>
      <c r="M80" s="43"/>
      <c r="N80" s="43"/>
      <c r="O80" s="76"/>
      <c r="P80" s="75"/>
      <c r="Q80" s="75"/>
      <c r="R80" s="43"/>
      <c r="S80" s="76"/>
      <c r="T80" s="74"/>
      <c r="U80" s="43"/>
      <c r="V80" s="43"/>
      <c r="W80" s="7"/>
      <c r="X80" s="7"/>
      <c r="Y80" s="7"/>
      <c r="Z80" s="7"/>
    </row>
    <row r="81" ht="14.25" customHeight="1">
      <c r="A81" s="7"/>
      <c r="B81" s="7" t="s">
        <v>291</v>
      </c>
      <c r="C81" s="82"/>
      <c r="D81" s="82"/>
      <c r="E81" s="46"/>
      <c r="F81" s="46">
        <v>1.0</v>
      </c>
      <c r="G81" s="45" t="s">
        <v>248</v>
      </c>
      <c r="H81" s="32"/>
      <c r="I81" s="45" t="s">
        <v>249</v>
      </c>
      <c r="J81" s="84"/>
      <c r="K81" s="48"/>
      <c r="L81" s="57"/>
      <c r="M81" s="48"/>
      <c r="N81" s="48"/>
      <c r="O81" s="57"/>
      <c r="P81" s="48"/>
      <c r="Q81" s="48"/>
      <c r="R81" s="48"/>
      <c r="S81" s="61"/>
      <c r="T81" s="79"/>
      <c r="U81" s="60"/>
      <c r="V81" s="51">
        <f t="shared" ref="V81:V96" si="13">SUM(J81:U81)</f>
        <v>0</v>
      </c>
      <c r="W81" s="7"/>
      <c r="X81" s="7"/>
      <c r="Y81" s="7"/>
      <c r="Z81" s="7"/>
    </row>
    <row r="82" ht="14.25" customHeight="1">
      <c r="A82" s="7"/>
      <c r="B82" s="7" t="s">
        <v>291</v>
      </c>
      <c r="C82" s="82"/>
      <c r="D82" s="82"/>
      <c r="E82" s="44"/>
      <c r="F82" s="54"/>
      <c r="G82" s="55"/>
      <c r="H82" s="56"/>
      <c r="I82" s="45" t="s">
        <v>250</v>
      </c>
      <c r="J82" s="84"/>
      <c r="K82" s="57"/>
      <c r="L82" s="57"/>
      <c r="M82" s="57"/>
      <c r="N82" s="48"/>
      <c r="O82" s="57"/>
      <c r="P82" s="48"/>
      <c r="Q82" s="48"/>
      <c r="R82" s="48"/>
      <c r="S82" s="61"/>
      <c r="T82" s="79"/>
      <c r="U82" s="60"/>
      <c r="V82" s="51">
        <f t="shared" si="13"/>
        <v>0</v>
      </c>
      <c r="W82" s="7"/>
      <c r="X82" s="7"/>
      <c r="Y82" s="7"/>
      <c r="Z82" s="7"/>
    </row>
    <row r="83" ht="14.25" customHeight="1">
      <c r="A83" s="7"/>
      <c r="B83" s="7" t="s">
        <v>292</v>
      </c>
      <c r="C83" s="82"/>
      <c r="D83" s="82"/>
      <c r="E83" s="46"/>
      <c r="F83" s="46">
        <v>2.0</v>
      </c>
      <c r="G83" s="45" t="s">
        <v>252</v>
      </c>
      <c r="H83" s="32"/>
      <c r="I83" s="45" t="s">
        <v>249</v>
      </c>
      <c r="J83" s="64"/>
      <c r="K83" s="63"/>
      <c r="L83" s="64"/>
      <c r="M83" s="61"/>
      <c r="N83" s="63"/>
      <c r="O83" s="61"/>
      <c r="P83" s="63"/>
      <c r="Q83" s="63"/>
      <c r="R83" s="63"/>
      <c r="S83" s="61"/>
      <c r="T83" s="64"/>
      <c r="U83" s="60"/>
      <c r="V83" s="51">
        <f t="shared" si="13"/>
        <v>0</v>
      </c>
      <c r="W83" s="7"/>
      <c r="X83" s="7"/>
      <c r="Y83" s="7"/>
      <c r="Z83" s="7"/>
    </row>
    <row r="84" ht="14.25" customHeight="1">
      <c r="A84" s="7"/>
      <c r="B84" s="7" t="s">
        <v>292</v>
      </c>
      <c r="C84" s="82"/>
      <c r="D84" s="82"/>
      <c r="E84" s="44"/>
      <c r="F84" s="54"/>
      <c r="G84" s="55"/>
      <c r="H84" s="56"/>
      <c r="I84" s="45" t="s">
        <v>250</v>
      </c>
      <c r="J84" s="64"/>
      <c r="K84" s="63"/>
      <c r="L84" s="64"/>
      <c r="M84" s="61"/>
      <c r="N84" s="63"/>
      <c r="O84" s="61"/>
      <c r="P84" s="63"/>
      <c r="Q84" s="63"/>
      <c r="R84" s="63"/>
      <c r="S84" s="61"/>
      <c r="T84" s="64"/>
      <c r="U84" s="60"/>
      <c r="V84" s="51">
        <f t="shared" si="13"/>
        <v>0</v>
      </c>
      <c r="W84" s="7"/>
      <c r="X84" s="7"/>
      <c r="Y84" s="7"/>
      <c r="Z84" s="7"/>
    </row>
    <row r="85" ht="14.25" customHeight="1">
      <c r="A85" s="7"/>
      <c r="B85" s="7" t="s">
        <v>293</v>
      </c>
      <c r="C85" s="82"/>
      <c r="D85" s="82"/>
      <c r="E85" s="53"/>
      <c r="F85" s="46">
        <v>3.0</v>
      </c>
      <c r="G85" s="45" t="s">
        <v>254</v>
      </c>
      <c r="H85" s="32"/>
      <c r="I85" s="45" t="s">
        <v>249</v>
      </c>
      <c r="J85" s="64"/>
      <c r="K85" s="63"/>
      <c r="L85" s="64"/>
      <c r="M85" s="61"/>
      <c r="N85" s="63"/>
      <c r="O85" s="61"/>
      <c r="P85" s="63"/>
      <c r="Q85" s="63"/>
      <c r="R85" s="63"/>
      <c r="S85" s="61"/>
      <c r="T85" s="64"/>
      <c r="U85" s="60"/>
      <c r="V85" s="51">
        <f t="shared" si="13"/>
        <v>0</v>
      </c>
      <c r="W85" s="7"/>
      <c r="X85" s="7"/>
      <c r="Y85" s="7"/>
      <c r="Z85" s="7"/>
    </row>
    <row r="86" ht="14.25" customHeight="1">
      <c r="A86" s="7"/>
      <c r="B86" s="7" t="s">
        <v>293</v>
      </c>
      <c r="C86" s="82"/>
      <c r="D86" s="82"/>
      <c r="E86" s="53"/>
      <c r="F86" s="54"/>
      <c r="G86" s="55"/>
      <c r="H86" s="56"/>
      <c r="I86" s="45" t="s">
        <v>250</v>
      </c>
      <c r="J86" s="64"/>
      <c r="K86" s="63"/>
      <c r="L86" s="64"/>
      <c r="M86" s="61"/>
      <c r="N86" s="63"/>
      <c r="O86" s="61"/>
      <c r="P86" s="63"/>
      <c r="Q86" s="63"/>
      <c r="R86" s="63"/>
      <c r="S86" s="61"/>
      <c r="T86" s="64"/>
      <c r="U86" s="60"/>
      <c r="V86" s="51">
        <f t="shared" si="13"/>
        <v>0</v>
      </c>
      <c r="W86" s="7"/>
      <c r="X86" s="7"/>
      <c r="Y86" s="7"/>
      <c r="Z86" s="7"/>
    </row>
    <row r="87" ht="14.25" customHeight="1">
      <c r="A87" s="7"/>
      <c r="B87" s="7" t="s">
        <v>294</v>
      </c>
      <c r="C87" s="82"/>
      <c r="D87" s="82"/>
      <c r="E87" s="46"/>
      <c r="F87" s="46">
        <v>4.0</v>
      </c>
      <c r="G87" s="45" t="s">
        <v>256</v>
      </c>
      <c r="H87" s="32"/>
      <c r="I87" s="45" t="s">
        <v>249</v>
      </c>
      <c r="J87" s="64"/>
      <c r="K87" s="63"/>
      <c r="L87" s="57"/>
      <c r="M87" s="61"/>
      <c r="N87" s="63"/>
      <c r="O87" s="61"/>
      <c r="P87" s="63"/>
      <c r="Q87" s="63"/>
      <c r="R87" s="63"/>
      <c r="S87" s="61"/>
      <c r="T87" s="64"/>
      <c r="U87" s="60"/>
      <c r="V87" s="51">
        <f t="shared" si="13"/>
        <v>0</v>
      </c>
      <c r="W87" s="7"/>
      <c r="X87" s="7"/>
      <c r="Y87" s="7"/>
      <c r="Z87" s="7"/>
    </row>
    <row r="88" ht="14.25" customHeight="1">
      <c r="A88" s="7"/>
      <c r="B88" s="7" t="s">
        <v>294</v>
      </c>
      <c r="C88" s="82"/>
      <c r="D88" s="82"/>
      <c r="E88" s="44"/>
      <c r="F88" s="54"/>
      <c r="G88" s="55"/>
      <c r="H88" s="56"/>
      <c r="I88" s="45" t="s">
        <v>250</v>
      </c>
      <c r="J88" s="64"/>
      <c r="K88" s="63"/>
      <c r="L88" s="57"/>
      <c r="M88" s="61"/>
      <c r="N88" s="63"/>
      <c r="O88" s="61"/>
      <c r="P88" s="63"/>
      <c r="Q88" s="63"/>
      <c r="R88" s="63"/>
      <c r="S88" s="61"/>
      <c r="T88" s="64"/>
      <c r="U88" s="60"/>
      <c r="V88" s="51">
        <f t="shared" si="13"/>
        <v>0</v>
      </c>
      <c r="W88" s="7"/>
      <c r="X88" s="7"/>
      <c r="Y88" s="7"/>
      <c r="Z88" s="7"/>
    </row>
    <row r="89" ht="14.25" customHeight="1">
      <c r="A89" s="7"/>
      <c r="B89" s="7" t="s">
        <v>295</v>
      </c>
      <c r="C89" s="82"/>
      <c r="D89" s="82"/>
      <c r="E89" s="46"/>
      <c r="F89" s="46">
        <v>5.0</v>
      </c>
      <c r="G89" s="45" t="s">
        <v>258</v>
      </c>
      <c r="H89" s="32"/>
      <c r="I89" s="45" t="s">
        <v>249</v>
      </c>
      <c r="J89" s="84"/>
      <c r="K89" s="48"/>
      <c r="L89" s="57"/>
      <c r="M89" s="57"/>
      <c r="N89" s="48"/>
      <c r="O89" s="57"/>
      <c r="P89" s="48"/>
      <c r="Q89" s="48"/>
      <c r="R89" s="48"/>
      <c r="S89" s="61"/>
      <c r="T89" s="79"/>
      <c r="U89" s="60"/>
      <c r="V89" s="51">
        <f t="shared" si="13"/>
        <v>0</v>
      </c>
      <c r="W89" s="7"/>
      <c r="X89" s="7"/>
      <c r="Y89" s="7"/>
      <c r="Z89" s="7"/>
    </row>
    <row r="90" ht="14.25" customHeight="1">
      <c r="A90" s="7"/>
      <c r="B90" s="7" t="s">
        <v>295</v>
      </c>
      <c r="C90" s="82"/>
      <c r="D90" s="82"/>
      <c r="E90" s="44"/>
      <c r="F90" s="54"/>
      <c r="G90" s="55"/>
      <c r="H90" s="56"/>
      <c r="I90" s="45" t="s">
        <v>250</v>
      </c>
      <c r="J90" s="84"/>
      <c r="K90" s="57"/>
      <c r="L90" s="57"/>
      <c r="M90" s="57"/>
      <c r="N90" s="48"/>
      <c r="O90" s="57"/>
      <c r="P90" s="48"/>
      <c r="Q90" s="48"/>
      <c r="R90" s="48"/>
      <c r="S90" s="61"/>
      <c r="T90" s="79"/>
      <c r="U90" s="60"/>
      <c r="V90" s="51">
        <f t="shared" si="13"/>
        <v>0</v>
      </c>
      <c r="W90" s="7"/>
      <c r="X90" s="7"/>
      <c r="Y90" s="7"/>
      <c r="Z90" s="7"/>
    </row>
    <row r="91" ht="14.25" customHeight="1">
      <c r="A91" s="7"/>
      <c r="B91" s="7" t="s">
        <v>296</v>
      </c>
      <c r="C91" s="82"/>
      <c r="D91" s="82"/>
      <c r="E91" s="53"/>
      <c r="F91" s="46">
        <v>6.0</v>
      </c>
      <c r="G91" s="45" t="s">
        <v>260</v>
      </c>
      <c r="H91" s="32"/>
      <c r="I91" s="45" t="s">
        <v>249</v>
      </c>
      <c r="J91" s="64"/>
      <c r="K91" s="60"/>
      <c r="L91" s="64"/>
      <c r="M91" s="60"/>
      <c r="N91" s="60"/>
      <c r="O91" s="68"/>
      <c r="P91" s="63"/>
      <c r="Q91" s="63"/>
      <c r="R91" s="63"/>
      <c r="S91" s="61"/>
      <c r="T91" s="64"/>
      <c r="U91" s="60"/>
      <c r="V91" s="51">
        <f t="shared" si="13"/>
        <v>0</v>
      </c>
      <c r="W91" s="7"/>
      <c r="X91" s="7"/>
      <c r="Y91" s="7"/>
      <c r="Z91" s="7"/>
    </row>
    <row r="92" ht="14.25" customHeight="1">
      <c r="A92" s="7"/>
      <c r="B92" s="7" t="s">
        <v>296</v>
      </c>
      <c r="C92" s="82"/>
      <c r="D92" s="82"/>
      <c r="E92" s="53"/>
      <c r="F92" s="54"/>
      <c r="G92" s="80"/>
      <c r="H92" s="81"/>
      <c r="I92" s="45" t="s">
        <v>250</v>
      </c>
      <c r="J92" s="64"/>
      <c r="K92" s="60"/>
      <c r="L92" s="64"/>
      <c r="M92" s="60"/>
      <c r="N92" s="60"/>
      <c r="O92" s="68"/>
      <c r="P92" s="63"/>
      <c r="Q92" s="63"/>
      <c r="R92" s="63"/>
      <c r="S92" s="61"/>
      <c r="T92" s="64"/>
      <c r="U92" s="60"/>
      <c r="V92" s="51">
        <f t="shared" si="13"/>
        <v>0</v>
      </c>
      <c r="W92" s="7"/>
      <c r="X92" s="7"/>
      <c r="Y92" s="7"/>
      <c r="Z92" s="7"/>
    </row>
    <row r="93" ht="14.25" customHeight="1">
      <c r="A93" s="7"/>
      <c r="B93" s="7" t="s">
        <v>297</v>
      </c>
      <c r="C93" s="82"/>
      <c r="D93" s="82"/>
      <c r="E93" s="87"/>
      <c r="F93" s="46">
        <v>7.0</v>
      </c>
      <c r="G93" s="45" t="s">
        <v>277</v>
      </c>
      <c r="H93" s="32"/>
      <c r="I93" s="45" t="s">
        <v>249</v>
      </c>
      <c r="J93" s="64"/>
      <c r="K93" s="60"/>
      <c r="L93" s="64"/>
      <c r="M93" s="60"/>
      <c r="N93" s="60"/>
      <c r="O93" s="68"/>
      <c r="P93" s="63"/>
      <c r="Q93" s="63"/>
      <c r="R93" s="63"/>
      <c r="S93" s="61"/>
      <c r="T93" s="64"/>
      <c r="U93" s="60"/>
      <c r="V93" s="51">
        <f t="shared" si="13"/>
        <v>0</v>
      </c>
      <c r="W93" s="7"/>
      <c r="X93" s="7"/>
      <c r="Y93" s="7"/>
      <c r="Z93" s="7"/>
    </row>
    <row r="94" ht="14.25" customHeight="1">
      <c r="A94" s="7"/>
      <c r="B94" s="7" t="s">
        <v>297</v>
      </c>
      <c r="C94" s="82"/>
      <c r="D94" s="82"/>
      <c r="E94" s="87"/>
      <c r="F94" s="54"/>
      <c r="G94" s="80"/>
      <c r="H94" s="81"/>
      <c r="I94" s="45" t="s">
        <v>250</v>
      </c>
      <c r="J94" s="64"/>
      <c r="K94" s="60"/>
      <c r="L94" s="64"/>
      <c r="M94" s="60"/>
      <c r="N94" s="60"/>
      <c r="O94" s="68"/>
      <c r="P94" s="63"/>
      <c r="Q94" s="63"/>
      <c r="R94" s="63"/>
      <c r="S94" s="61"/>
      <c r="T94" s="64"/>
      <c r="U94" s="60"/>
      <c r="V94" s="51">
        <f t="shared" si="13"/>
        <v>0</v>
      </c>
      <c r="W94" s="7"/>
      <c r="X94" s="7"/>
      <c r="Y94" s="7"/>
      <c r="Z94" s="7"/>
    </row>
    <row r="95" ht="14.25" customHeight="1">
      <c r="A95" s="7"/>
      <c r="B95" s="7" t="s">
        <v>298</v>
      </c>
      <c r="C95" s="88"/>
      <c r="D95" s="82"/>
      <c r="E95" s="45"/>
      <c r="F95" s="66">
        <v>8.0</v>
      </c>
      <c r="G95" s="45" t="s">
        <v>279</v>
      </c>
      <c r="H95" s="32"/>
      <c r="I95" s="45" t="s">
        <v>249</v>
      </c>
      <c r="J95" s="48">
        <v>46.0</v>
      </c>
      <c r="K95" s="48">
        <v>73.0</v>
      </c>
      <c r="L95" s="57">
        <v>46.0</v>
      </c>
      <c r="M95" s="48">
        <v>82.0</v>
      </c>
      <c r="N95" s="83">
        <v>68.0</v>
      </c>
      <c r="O95" s="57"/>
      <c r="P95" s="63"/>
      <c r="Q95" s="63"/>
      <c r="R95" s="63"/>
      <c r="S95" s="57"/>
      <c r="T95" s="84"/>
      <c r="U95" s="48"/>
      <c r="V95" s="51">
        <f t="shared" si="13"/>
        <v>315</v>
      </c>
      <c r="W95" s="7"/>
      <c r="X95" s="7"/>
      <c r="Y95" s="7"/>
      <c r="Z95" s="7"/>
    </row>
    <row r="96" ht="14.25" customHeight="1">
      <c r="A96" s="7"/>
      <c r="B96" s="7" t="s">
        <v>298</v>
      </c>
      <c r="C96" s="88"/>
      <c r="D96" s="82"/>
      <c r="E96" s="45"/>
      <c r="F96" s="73"/>
      <c r="G96" s="80" t="s">
        <v>280</v>
      </c>
      <c r="H96" s="32"/>
      <c r="I96" s="45" t="s">
        <v>250</v>
      </c>
      <c r="J96" s="48">
        <v>81878.0</v>
      </c>
      <c r="K96" s="48">
        <v>124538.0</v>
      </c>
      <c r="L96" s="57">
        <v>81912.0</v>
      </c>
      <c r="M96" s="48">
        <v>139760.0</v>
      </c>
      <c r="N96" s="83">
        <v>123445.0</v>
      </c>
      <c r="O96" s="57"/>
      <c r="P96" s="60"/>
      <c r="Q96" s="63"/>
      <c r="R96" s="63"/>
      <c r="S96" s="57"/>
      <c r="T96" s="84"/>
      <c r="U96" s="48"/>
      <c r="V96" s="51">
        <f t="shared" si="13"/>
        <v>551533</v>
      </c>
      <c r="W96" s="7"/>
      <c r="X96" s="7"/>
      <c r="Y96" s="7"/>
      <c r="Z96" s="7"/>
    </row>
    <row r="97" ht="14.25" customHeight="1">
      <c r="A97" s="7"/>
      <c r="C97" s="82"/>
      <c r="D97" s="82"/>
      <c r="E97" s="87"/>
      <c r="F97" s="71"/>
      <c r="G97" s="71"/>
      <c r="H97" s="72"/>
      <c r="I97" s="45"/>
      <c r="J97" s="43"/>
      <c r="K97" s="43"/>
      <c r="L97" s="43"/>
      <c r="M97" s="43"/>
      <c r="N97" s="43"/>
      <c r="O97" s="43"/>
      <c r="P97" s="43"/>
      <c r="Q97" s="75"/>
      <c r="R97" s="43"/>
      <c r="S97" s="74"/>
      <c r="T97" s="74"/>
      <c r="U97" s="43"/>
      <c r="V97" s="43"/>
      <c r="W97" s="7"/>
      <c r="X97" s="7"/>
      <c r="Y97" s="7"/>
      <c r="Z97" s="7"/>
    </row>
    <row r="98" ht="14.25" customHeight="1">
      <c r="A98" s="7"/>
      <c r="B98" s="7" t="s">
        <v>299</v>
      </c>
      <c r="C98" s="82"/>
      <c r="D98" s="82">
        <v>3.0</v>
      </c>
      <c r="E98" s="45" t="s">
        <v>300</v>
      </c>
      <c r="F98" s="31"/>
      <c r="G98" s="31"/>
      <c r="H98" s="32"/>
      <c r="I98" s="45" t="s">
        <v>249</v>
      </c>
      <c r="J98" s="60"/>
      <c r="K98" s="60"/>
      <c r="L98" s="60"/>
      <c r="M98" s="60"/>
      <c r="N98" s="60"/>
      <c r="O98" s="60"/>
      <c r="P98" s="60"/>
      <c r="Q98" s="63"/>
      <c r="R98" s="60"/>
      <c r="S98" s="64"/>
      <c r="T98" s="64"/>
      <c r="U98" s="60"/>
      <c r="V98" s="51">
        <f t="shared" ref="V98:V99" si="14">SUM(J98:U98)</f>
        <v>0</v>
      </c>
      <c r="W98" s="7"/>
      <c r="X98" s="7"/>
      <c r="Y98" s="7"/>
      <c r="Z98" s="7"/>
    </row>
    <row r="99" ht="14.25" customHeight="1">
      <c r="A99" s="7"/>
      <c r="B99" s="7" t="s">
        <v>299</v>
      </c>
      <c r="C99" s="82"/>
      <c r="D99" s="82"/>
      <c r="E99" s="89"/>
      <c r="F99" s="55"/>
      <c r="G99" s="55"/>
      <c r="H99" s="56"/>
      <c r="I99" s="45" t="s">
        <v>250</v>
      </c>
      <c r="J99" s="60"/>
      <c r="K99" s="60"/>
      <c r="L99" s="60"/>
      <c r="M99" s="60"/>
      <c r="N99" s="60"/>
      <c r="O99" s="60"/>
      <c r="P99" s="60"/>
      <c r="Q99" s="63"/>
      <c r="R99" s="60"/>
      <c r="S99" s="64"/>
      <c r="T99" s="64"/>
      <c r="U99" s="60"/>
      <c r="V99" s="51">
        <f t="shared" si="14"/>
        <v>0</v>
      </c>
      <c r="W99" s="7"/>
      <c r="X99" s="7"/>
      <c r="Y99" s="7"/>
      <c r="Z99" s="7"/>
    </row>
    <row r="100" ht="14.25" customHeight="1">
      <c r="A100" s="7"/>
      <c r="C100" s="82"/>
      <c r="D100" s="82"/>
      <c r="E100" s="89"/>
      <c r="F100" s="55"/>
      <c r="G100" s="55"/>
      <c r="H100" s="56"/>
      <c r="I100" s="45"/>
      <c r="J100" s="43"/>
      <c r="K100" s="43"/>
      <c r="L100" s="43"/>
      <c r="M100" s="43"/>
      <c r="N100" s="43"/>
      <c r="O100" s="43"/>
      <c r="P100" s="43"/>
      <c r="Q100" s="75"/>
      <c r="R100" s="43"/>
      <c r="S100" s="74"/>
      <c r="T100" s="74"/>
      <c r="U100" s="43"/>
      <c r="V100" s="43"/>
      <c r="W100" s="7"/>
      <c r="X100" s="7"/>
      <c r="Y100" s="7"/>
      <c r="Z100" s="7"/>
    </row>
    <row r="101" ht="14.25" customHeight="1">
      <c r="A101" s="7"/>
      <c r="B101" s="7" t="s">
        <v>301</v>
      </c>
      <c r="C101" s="82"/>
      <c r="D101" s="82">
        <v>4.0</v>
      </c>
      <c r="E101" s="45" t="s">
        <v>302</v>
      </c>
      <c r="F101" s="31"/>
      <c r="G101" s="31"/>
      <c r="H101" s="32"/>
      <c r="I101" s="45" t="s">
        <v>249</v>
      </c>
      <c r="J101" s="60"/>
      <c r="K101" s="60"/>
      <c r="L101" s="60"/>
      <c r="M101" s="60"/>
      <c r="N101" s="60"/>
      <c r="O101" s="60"/>
      <c r="P101" s="60"/>
      <c r="Q101" s="63"/>
      <c r="R101" s="60"/>
      <c r="S101" s="64"/>
      <c r="T101" s="64"/>
      <c r="U101" s="60"/>
      <c r="V101" s="51">
        <f t="shared" ref="V101:V102" si="15">SUM(J101:U101)</f>
        <v>0</v>
      </c>
      <c r="W101" s="7"/>
      <c r="X101" s="7"/>
      <c r="Y101" s="7"/>
      <c r="Z101" s="7"/>
    </row>
    <row r="102" ht="14.25" customHeight="1">
      <c r="A102" s="7"/>
      <c r="B102" s="7" t="s">
        <v>301</v>
      </c>
      <c r="C102" s="82"/>
      <c r="D102" s="82"/>
      <c r="E102" s="89"/>
      <c r="F102" s="55"/>
      <c r="G102" s="55"/>
      <c r="H102" s="56"/>
      <c r="I102" s="45" t="s">
        <v>250</v>
      </c>
      <c r="J102" s="60"/>
      <c r="K102" s="60"/>
      <c r="L102" s="60"/>
      <c r="M102" s="60"/>
      <c r="N102" s="60"/>
      <c r="O102" s="60"/>
      <c r="P102" s="60"/>
      <c r="Q102" s="63"/>
      <c r="R102" s="60"/>
      <c r="S102" s="64"/>
      <c r="T102" s="64"/>
      <c r="U102" s="60"/>
      <c r="V102" s="51">
        <f t="shared" si="15"/>
        <v>0</v>
      </c>
      <c r="W102" s="7"/>
      <c r="X102" s="7"/>
      <c r="Y102" s="7"/>
      <c r="Z102" s="7"/>
    </row>
    <row r="103" ht="14.25" customHeight="1">
      <c r="A103" s="7"/>
      <c r="C103" s="82"/>
      <c r="D103" s="82"/>
      <c r="E103" s="89"/>
      <c r="F103" s="55"/>
      <c r="G103" s="55"/>
      <c r="H103" s="56"/>
      <c r="I103" s="45"/>
      <c r="J103" s="43">
        <f t="shared" ref="J103:K103" si="16">J61+J63+J69+J81+J89+J105+J95</f>
        <v>61</v>
      </c>
      <c r="K103" s="43">
        <f t="shared" si="16"/>
        <v>97</v>
      </c>
      <c r="L103" s="43">
        <f t="shared" ref="L103:N103" si="17">L61+L63+L69+L81+L89+L105+L95+L71+L73+L95+L111</f>
        <v>356</v>
      </c>
      <c r="M103" s="43">
        <f t="shared" si="17"/>
        <v>186</v>
      </c>
      <c r="N103" s="43">
        <f t="shared" si="17"/>
        <v>171</v>
      </c>
      <c r="O103" s="43"/>
      <c r="P103" s="43"/>
      <c r="Q103" s="43"/>
      <c r="R103" s="43"/>
      <c r="S103" s="43"/>
      <c r="T103" s="43">
        <f t="shared" ref="T103:U103" si="18">T61+T63+T69+T81+T89+T105+T95</f>
        <v>0</v>
      </c>
      <c r="U103" s="43">
        <f t="shared" si="18"/>
        <v>0</v>
      </c>
      <c r="V103" s="43"/>
      <c r="W103" s="7"/>
      <c r="X103" s="7"/>
      <c r="Y103" s="7"/>
      <c r="Z103" s="7"/>
    </row>
    <row r="104" ht="14.25" customHeight="1">
      <c r="A104" s="7"/>
      <c r="C104" s="82"/>
      <c r="D104" s="82">
        <v>5.0</v>
      </c>
      <c r="E104" s="45" t="s">
        <v>303</v>
      </c>
      <c r="F104" s="31"/>
      <c r="G104" s="31"/>
      <c r="H104" s="32"/>
      <c r="I104" s="45"/>
      <c r="J104" s="43">
        <f t="shared" ref="J104:K104" si="19">J62+J64+J70+J82+J90+J106+J96</f>
        <v>140408</v>
      </c>
      <c r="K104" s="43">
        <f t="shared" si="19"/>
        <v>196329</v>
      </c>
      <c r="L104" s="43">
        <f t="shared" ref="L104:N104" si="20">L62+L64+L70+L82+L90+L106+L96+L72+L74+L96+L112</f>
        <v>2268171</v>
      </c>
      <c r="M104" s="43">
        <f t="shared" si="20"/>
        <v>366641</v>
      </c>
      <c r="N104" s="43">
        <f t="shared" si="20"/>
        <v>381798</v>
      </c>
      <c r="O104" s="43"/>
      <c r="P104" s="43"/>
      <c r="Q104" s="43"/>
      <c r="R104" s="43"/>
      <c r="S104" s="43"/>
      <c r="T104" s="43">
        <f t="shared" ref="T104:U104" si="21">T62+T64+T70+T82+T90+T106+T96</f>
        <v>0</v>
      </c>
      <c r="U104" s="43">
        <f t="shared" si="21"/>
        <v>0</v>
      </c>
      <c r="V104" s="43"/>
      <c r="W104" s="7"/>
      <c r="X104" s="7"/>
      <c r="Y104" s="7"/>
      <c r="Z104" s="7"/>
    </row>
    <row r="105" ht="14.25" customHeight="1">
      <c r="A105" s="7"/>
      <c r="B105" s="7" t="s">
        <v>304</v>
      </c>
      <c r="C105" s="82"/>
      <c r="D105" s="82"/>
      <c r="E105" s="66">
        <v>1.0</v>
      </c>
      <c r="F105" s="80" t="s">
        <v>305</v>
      </c>
      <c r="G105" s="31"/>
      <c r="H105" s="32"/>
      <c r="I105" s="45" t="s">
        <v>249</v>
      </c>
      <c r="J105" s="60"/>
      <c r="K105" s="60"/>
      <c r="L105" s="60"/>
      <c r="M105" s="60"/>
      <c r="N105" s="60"/>
      <c r="O105" s="48"/>
      <c r="P105" s="60"/>
      <c r="Q105" s="48"/>
      <c r="R105" s="60"/>
      <c r="S105" s="57"/>
      <c r="T105" s="64"/>
      <c r="U105" s="60"/>
      <c r="V105" s="51">
        <f t="shared" ref="V105:V112" si="22">SUM(J105:U105)</f>
        <v>0</v>
      </c>
      <c r="W105" s="7"/>
      <c r="X105" s="7"/>
      <c r="Y105" s="7"/>
      <c r="Z105" s="7"/>
    </row>
    <row r="106" ht="14.25" customHeight="1">
      <c r="A106" s="7"/>
      <c r="B106" s="7" t="s">
        <v>304</v>
      </c>
      <c r="C106" s="82"/>
      <c r="D106" s="82"/>
      <c r="E106" s="65"/>
      <c r="F106" s="55"/>
      <c r="G106" s="55"/>
      <c r="H106" s="56"/>
      <c r="I106" s="45" t="s">
        <v>250</v>
      </c>
      <c r="J106" s="60"/>
      <c r="K106" s="60"/>
      <c r="L106" s="60"/>
      <c r="M106" s="60"/>
      <c r="N106" s="60"/>
      <c r="O106" s="48"/>
      <c r="P106" s="60"/>
      <c r="Q106" s="48"/>
      <c r="R106" s="60"/>
      <c r="S106" s="57"/>
      <c r="T106" s="64"/>
      <c r="U106" s="60"/>
      <c r="V106" s="51">
        <f t="shared" si="22"/>
        <v>0</v>
      </c>
      <c r="W106" s="7"/>
      <c r="X106" s="7"/>
      <c r="Y106" s="7"/>
      <c r="Z106" s="7"/>
    </row>
    <row r="107" ht="14.25" customHeight="1">
      <c r="A107" s="7"/>
      <c r="B107" s="7" t="s">
        <v>306</v>
      </c>
      <c r="C107" s="88"/>
      <c r="D107" s="82"/>
      <c r="E107" s="66">
        <v>2.0</v>
      </c>
      <c r="F107" s="80" t="s">
        <v>307</v>
      </c>
      <c r="G107" s="31"/>
      <c r="H107" s="32"/>
      <c r="I107" s="45" t="s">
        <v>249</v>
      </c>
      <c r="J107" s="60"/>
      <c r="K107" s="60"/>
      <c r="L107" s="60"/>
      <c r="M107" s="60"/>
      <c r="N107" s="60"/>
      <c r="O107" s="60"/>
      <c r="P107" s="60"/>
      <c r="Q107" s="63"/>
      <c r="R107" s="60"/>
      <c r="S107" s="64"/>
      <c r="T107" s="64"/>
      <c r="U107" s="60"/>
      <c r="V107" s="51">
        <f t="shared" si="22"/>
        <v>0</v>
      </c>
      <c r="W107" s="7"/>
      <c r="X107" s="7"/>
      <c r="Y107" s="7"/>
      <c r="Z107" s="7"/>
    </row>
    <row r="108" ht="14.25" customHeight="1">
      <c r="A108" s="7"/>
      <c r="B108" s="7" t="s">
        <v>306</v>
      </c>
      <c r="C108" s="88"/>
      <c r="D108" s="82"/>
      <c r="E108" s="65"/>
      <c r="F108" s="55"/>
      <c r="G108" s="55"/>
      <c r="H108" s="56"/>
      <c r="I108" s="45" t="s">
        <v>250</v>
      </c>
      <c r="J108" s="60"/>
      <c r="K108" s="60"/>
      <c r="L108" s="60"/>
      <c r="M108" s="60"/>
      <c r="N108" s="60"/>
      <c r="O108" s="60"/>
      <c r="P108" s="60"/>
      <c r="Q108" s="63"/>
      <c r="R108" s="60"/>
      <c r="S108" s="64"/>
      <c r="T108" s="64"/>
      <c r="U108" s="60"/>
      <c r="V108" s="51">
        <f t="shared" si="22"/>
        <v>0</v>
      </c>
      <c r="W108" s="7"/>
      <c r="X108" s="7"/>
      <c r="Y108" s="7"/>
      <c r="Z108" s="7"/>
    </row>
    <row r="109" ht="14.25" customHeight="1">
      <c r="A109" s="7"/>
      <c r="B109" s="7" t="s">
        <v>308</v>
      </c>
      <c r="C109" s="82"/>
      <c r="D109" s="82"/>
      <c r="E109" s="66">
        <v>3.0</v>
      </c>
      <c r="F109" s="80" t="s">
        <v>309</v>
      </c>
      <c r="G109" s="31"/>
      <c r="H109" s="32"/>
      <c r="I109" s="45" t="s">
        <v>249</v>
      </c>
      <c r="J109" s="60"/>
      <c r="K109" s="60"/>
      <c r="L109" s="60"/>
      <c r="M109" s="60"/>
      <c r="N109" s="60"/>
      <c r="O109" s="60"/>
      <c r="P109" s="60"/>
      <c r="Q109" s="63"/>
      <c r="R109" s="60"/>
      <c r="S109" s="64"/>
      <c r="T109" s="64"/>
      <c r="U109" s="60"/>
      <c r="V109" s="51">
        <f t="shared" si="22"/>
        <v>0</v>
      </c>
      <c r="W109" s="7"/>
      <c r="X109" s="7"/>
      <c r="Y109" s="7"/>
      <c r="Z109" s="7"/>
    </row>
    <row r="110" ht="14.25" customHeight="1">
      <c r="A110" s="7"/>
      <c r="B110" s="7" t="s">
        <v>308</v>
      </c>
      <c r="C110" s="82"/>
      <c r="D110" s="82"/>
      <c r="E110" s="65"/>
      <c r="F110" s="55"/>
      <c r="G110" s="55"/>
      <c r="H110" s="56"/>
      <c r="I110" s="45" t="s">
        <v>250</v>
      </c>
      <c r="J110" s="60"/>
      <c r="K110" s="60"/>
      <c r="L110" s="60"/>
      <c r="M110" s="60"/>
      <c r="N110" s="60"/>
      <c r="O110" s="60"/>
      <c r="P110" s="60"/>
      <c r="Q110" s="63"/>
      <c r="R110" s="60"/>
      <c r="S110" s="64"/>
      <c r="T110" s="64"/>
      <c r="U110" s="60"/>
      <c r="V110" s="51">
        <f t="shared" si="22"/>
        <v>0</v>
      </c>
      <c r="W110" s="7"/>
      <c r="X110" s="7"/>
      <c r="Y110" s="7"/>
      <c r="Z110" s="7"/>
    </row>
    <row r="111" ht="14.25" customHeight="1">
      <c r="A111" s="7"/>
      <c r="B111" s="7" t="s">
        <v>310</v>
      </c>
      <c r="C111" s="82"/>
      <c r="D111" s="82"/>
      <c r="E111" s="66">
        <v>4.0</v>
      </c>
      <c r="F111" s="80" t="s">
        <v>311</v>
      </c>
      <c r="G111" s="31"/>
      <c r="H111" s="32"/>
      <c r="I111" s="45" t="s">
        <v>249</v>
      </c>
      <c r="J111" s="60"/>
      <c r="K111" s="60"/>
      <c r="L111" s="48">
        <v>6.0</v>
      </c>
      <c r="M111" s="48">
        <v>1.0</v>
      </c>
      <c r="N111" s="83">
        <v>1.0</v>
      </c>
      <c r="O111" s="60"/>
      <c r="P111" s="60"/>
      <c r="Q111" s="63"/>
      <c r="R111" s="60"/>
      <c r="S111" s="64"/>
      <c r="T111" s="64"/>
      <c r="U111" s="60"/>
      <c r="V111" s="51">
        <f t="shared" si="22"/>
        <v>8</v>
      </c>
      <c r="W111" s="7"/>
      <c r="X111" s="7"/>
      <c r="Y111" s="7"/>
      <c r="Z111" s="7"/>
    </row>
    <row r="112" ht="14.25" customHeight="1">
      <c r="A112" s="7"/>
      <c r="B112" s="7" t="s">
        <v>310</v>
      </c>
      <c r="C112" s="88"/>
      <c r="D112" s="82"/>
      <c r="E112" s="87"/>
      <c r="F112" s="71"/>
      <c r="G112" s="71"/>
      <c r="H112" s="72"/>
      <c r="I112" s="45" t="s">
        <v>250</v>
      </c>
      <c r="J112" s="60"/>
      <c r="K112" s="60"/>
      <c r="L112" s="48">
        <v>6793.0</v>
      </c>
      <c r="M112" s="48">
        <v>460.0</v>
      </c>
      <c r="N112" s="83">
        <v>2744.0</v>
      </c>
      <c r="O112" s="60"/>
      <c r="P112" s="60"/>
      <c r="Q112" s="63"/>
      <c r="R112" s="60"/>
      <c r="S112" s="64"/>
      <c r="T112" s="64"/>
      <c r="U112" s="60"/>
      <c r="V112" s="51">
        <f t="shared" si="22"/>
        <v>9997</v>
      </c>
      <c r="W112" s="7"/>
      <c r="X112" s="7"/>
      <c r="Y112" s="7"/>
      <c r="Z112" s="7"/>
    </row>
    <row r="113" ht="14.25" customHeight="1">
      <c r="A113" s="7"/>
      <c r="C113" s="82"/>
      <c r="D113" s="82"/>
      <c r="E113" s="45"/>
      <c r="F113" s="31"/>
      <c r="G113" s="31"/>
      <c r="H113" s="32"/>
      <c r="I113" s="45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7"/>
      <c r="X113" s="7"/>
      <c r="Y113" s="7"/>
      <c r="Z113" s="7"/>
    </row>
    <row r="114" ht="14.25" customHeight="1">
      <c r="A114" s="7"/>
      <c r="C114" s="44"/>
      <c r="D114" s="90" t="s">
        <v>312</v>
      </c>
      <c r="E114" s="18"/>
      <c r="F114" s="18"/>
      <c r="G114" s="18"/>
      <c r="H114" s="19"/>
      <c r="I114" s="45" t="s">
        <v>249</v>
      </c>
      <c r="J114" s="51">
        <f t="shared" ref="J114:V114" si="23">SUMIF($I$20:$V$112,$I114,J$20:J$112)</f>
        <v>69</v>
      </c>
      <c r="K114" s="51">
        <f t="shared" si="23"/>
        <v>119</v>
      </c>
      <c r="L114" s="51">
        <f t="shared" si="23"/>
        <v>335</v>
      </c>
      <c r="M114" s="51">
        <f t="shared" si="23"/>
        <v>128</v>
      </c>
      <c r="N114" s="51">
        <f t="shared" si="23"/>
        <v>123</v>
      </c>
      <c r="O114" s="51">
        <f t="shared" si="23"/>
        <v>0</v>
      </c>
      <c r="P114" s="51">
        <f t="shared" si="23"/>
        <v>0</v>
      </c>
      <c r="Q114" s="51">
        <f t="shared" si="23"/>
        <v>0</v>
      </c>
      <c r="R114" s="51">
        <f t="shared" si="23"/>
        <v>0</v>
      </c>
      <c r="S114" s="51">
        <f t="shared" si="23"/>
        <v>0</v>
      </c>
      <c r="T114" s="51">
        <f t="shared" si="23"/>
        <v>0</v>
      </c>
      <c r="U114" s="51">
        <f t="shared" si="23"/>
        <v>0</v>
      </c>
      <c r="V114" s="51">
        <f t="shared" si="23"/>
        <v>774</v>
      </c>
      <c r="W114" s="7"/>
      <c r="X114" s="7"/>
      <c r="Y114" s="7"/>
      <c r="Z114" s="7"/>
    </row>
    <row r="115" ht="14.25" customHeight="1">
      <c r="A115" s="7"/>
      <c r="C115" s="65"/>
      <c r="D115" s="26"/>
      <c r="E115" s="27"/>
      <c r="F115" s="27"/>
      <c r="G115" s="27"/>
      <c r="H115" s="28"/>
      <c r="I115" s="45" t="s">
        <v>250</v>
      </c>
      <c r="J115" s="51">
        <f t="shared" ref="J115:V115" si="24">SUMIF($I$20:$V$112,$I115,J$20:J$112)</f>
        <v>378287</v>
      </c>
      <c r="K115" s="51">
        <f t="shared" si="24"/>
        <v>616564</v>
      </c>
      <c r="L115" s="51">
        <f t="shared" si="24"/>
        <v>2630101</v>
      </c>
      <c r="M115" s="51">
        <f t="shared" si="24"/>
        <v>706268</v>
      </c>
      <c r="N115" s="51">
        <f t="shared" si="24"/>
        <v>653472</v>
      </c>
      <c r="O115" s="51">
        <f t="shared" si="24"/>
        <v>0</v>
      </c>
      <c r="P115" s="51">
        <f t="shared" si="24"/>
        <v>0</v>
      </c>
      <c r="Q115" s="51">
        <f t="shared" si="24"/>
        <v>0</v>
      </c>
      <c r="R115" s="51">
        <f t="shared" si="24"/>
        <v>0</v>
      </c>
      <c r="S115" s="51">
        <f t="shared" si="24"/>
        <v>0</v>
      </c>
      <c r="T115" s="51">
        <f t="shared" si="24"/>
        <v>0</v>
      </c>
      <c r="U115" s="51">
        <f t="shared" si="24"/>
        <v>0</v>
      </c>
      <c r="V115" s="51">
        <f t="shared" si="24"/>
        <v>4984692</v>
      </c>
      <c r="W115" s="7"/>
      <c r="X115" s="7"/>
      <c r="Y115" s="7"/>
      <c r="Z115" s="7"/>
    </row>
    <row r="116" ht="14.25" customHeight="1">
      <c r="A116" s="7"/>
      <c r="C116" s="65"/>
      <c r="D116" s="91"/>
      <c r="E116" s="92"/>
      <c r="F116" s="92"/>
      <c r="G116" s="92"/>
      <c r="H116" s="93"/>
      <c r="I116" s="45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7"/>
      <c r="X116" s="7"/>
      <c r="Y116" s="7"/>
      <c r="Z116" s="7"/>
    </row>
    <row r="117" ht="14.25" customHeight="1">
      <c r="A117" s="7"/>
      <c r="B117" s="94"/>
      <c r="C117" s="44">
        <v>2.0</v>
      </c>
      <c r="D117" s="45" t="s">
        <v>313</v>
      </c>
      <c r="E117" s="31"/>
      <c r="F117" s="31"/>
      <c r="G117" s="31"/>
      <c r="H117" s="32"/>
      <c r="I117" s="45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7"/>
      <c r="X117" s="7"/>
      <c r="Y117" s="7"/>
      <c r="Z117" s="7"/>
    </row>
    <row r="118" ht="14.25" customHeight="1">
      <c r="A118" s="7"/>
      <c r="B118" s="94"/>
      <c r="C118" s="65"/>
      <c r="D118" s="44">
        <v>1.0</v>
      </c>
      <c r="E118" s="45" t="s">
        <v>245</v>
      </c>
      <c r="F118" s="31"/>
      <c r="G118" s="31"/>
      <c r="H118" s="32"/>
      <c r="I118" s="45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7"/>
      <c r="X118" s="7"/>
      <c r="Y118" s="7"/>
      <c r="Z118" s="7"/>
    </row>
    <row r="119" ht="14.25" customHeight="1">
      <c r="A119" s="7"/>
      <c r="B119" s="94"/>
      <c r="C119" s="44"/>
      <c r="D119" s="44"/>
      <c r="E119" s="46">
        <v>1.0</v>
      </c>
      <c r="F119" s="45" t="s">
        <v>246</v>
      </c>
      <c r="G119" s="31"/>
      <c r="H119" s="32"/>
      <c r="I119" s="42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7"/>
      <c r="X119" s="7"/>
      <c r="Y119" s="7"/>
      <c r="Z119" s="7"/>
    </row>
    <row r="120" ht="14.25" customHeight="1">
      <c r="A120" s="7"/>
      <c r="B120" s="94" t="s">
        <v>314</v>
      </c>
      <c r="C120" s="44"/>
      <c r="D120" s="44"/>
      <c r="E120" s="46"/>
      <c r="F120" s="46">
        <v>1.0</v>
      </c>
      <c r="G120" s="45" t="s">
        <v>248</v>
      </c>
      <c r="H120" s="32"/>
      <c r="I120" s="45" t="s">
        <v>249</v>
      </c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51">
        <f t="shared" ref="V120:V137" si="25">SUM(J120:U120)</f>
        <v>0</v>
      </c>
      <c r="W120" s="7"/>
      <c r="X120" s="7"/>
      <c r="Y120" s="7"/>
      <c r="Z120" s="7"/>
    </row>
    <row r="121" ht="14.25" customHeight="1">
      <c r="A121" s="7"/>
      <c r="B121" s="94" t="s">
        <v>314</v>
      </c>
      <c r="C121" s="44"/>
      <c r="D121" s="44"/>
      <c r="E121" s="53"/>
      <c r="F121" s="54"/>
      <c r="G121" s="55"/>
      <c r="H121" s="56"/>
      <c r="I121" s="45" t="s">
        <v>250</v>
      </c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51">
        <f t="shared" si="25"/>
        <v>0</v>
      </c>
      <c r="W121" s="7"/>
      <c r="X121" s="7"/>
      <c r="Y121" s="7"/>
      <c r="Z121" s="7"/>
    </row>
    <row r="122" ht="14.25" customHeight="1">
      <c r="A122" s="7"/>
      <c r="B122" s="94" t="s">
        <v>315</v>
      </c>
      <c r="C122" s="44"/>
      <c r="D122" s="44"/>
      <c r="E122" s="46"/>
      <c r="F122" s="46">
        <v>2.0</v>
      </c>
      <c r="G122" s="45" t="s">
        <v>252</v>
      </c>
      <c r="H122" s="32"/>
      <c r="I122" s="45" t="s">
        <v>249</v>
      </c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51">
        <f t="shared" si="25"/>
        <v>0</v>
      </c>
      <c r="W122" s="7"/>
      <c r="X122" s="7"/>
      <c r="Y122" s="7"/>
      <c r="Z122" s="7"/>
    </row>
    <row r="123" ht="14.25" customHeight="1">
      <c r="A123" s="7"/>
      <c r="B123" s="94" t="s">
        <v>315</v>
      </c>
      <c r="C123" s="44"/>
      <c r="D123" s="44"/>
      <c r="E123" s="44"/>
      <c r="F123" s="54"/>
      <c r="G123" s="55"/>
      <c r="H123" s="56"/>
      <c r="I123" s="45" t="s">
        <v>250</v>
      </c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51">
        <f t="shared" si="25"/>
        <v>0</v>
      </c>
      <c r="W123" s="7"/>
      <c r="X123" s="7"/>
      <c r="Y123" s="7"/>
      <c r="Z123" s="7"/>
    </row>
    <row r="124" ht="14.25" customHeight="1">
      <c r="A124" s="7"/>
      <c r="B124" s="94" t="s">
        <v>316</v>
      </c>
      <c r="C124" s="44"/>
      <c r="D124" s="44"/>
      <c r="E124" s="53"/>
      <c r="F124" s="46">
        <v>3.0</v>
      </c>
      <c r="G124" s="45" t="s">
        <v>254</v>
      </c>
      <c r="H124" s="32"/>
      <c r="I124" s="45" t="s">
        <v>249</v>
      </c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51">
        <f t="shared" si="25"/>
        <v>0</v>
      </c>
      <c r="W124" s="7"/>
      <c r="X124" s="7"/>
      <c r="Y124" s="7"/>
      <c r="Z124" s="7"/>
    </row>
    <row r="125" ht="14.25" customHeight="1">
      <c r="A125" s="7"/>
      <c r="B125" s="94" t="s">
        <v>316</v>
      </c>
      <c r="C125" s="44"/>
      <c r="D125" s="44"/>
      <c r="E125" s="53"/>
      <c r="F125" s="54"/>
      <c r="G125" s="55"/>
      <c r="H125" s="56"/>
      <c r="I125" s="45" t="s">
        <v>250</v>
      </c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51">
        <f t="shared" si="25"/>
        <v>0</v>
      </c>
      <c r="W125" s="7"/>
      <c r="X125" s="7"/>
      <c r="Y125" s="7"/>
      <c r="Z125" s="7"/>
    </row>
    <row r="126" ht="14.25" customHeight="1">
      <c r="A126" s="7"/>
      <c r="B126" s="94" t="s">
        <v>317</v>
      </c>
      <c r="C126" s="44"/>
      <c r="D126" s="44"/>
      <c r="E126" s="46"/>
      <c r="F126" s="46">
        <v>4.0</v>
      </c>
      <c r="G126" s="45" t="s">
        <v>256</v>
      </c>
      <c r="H126" s="32"/>
      <c r="I126" s="45" t="s">
        <v>249</v>
      </c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51">
        <f t="shared" si="25"/>
        <v>0</v>
      </c>
      <c r="W126" s="7"/>
      <c r="X126" s="7"/>
      <c r="Y126" s="7"/>
      <c r="Z126" s="7"/>
    </row>
    <row r="127" ht="14.25" customHeight="1">
      <c r="A127" s="7"/>
      <c r="B127" s="94" t="s">
        <v>317</v>
      </c>
      <c r="C127" s="44"/>
      <c r="D127" s="44"/>
      <c r="E127" s="44"/>
      <c r="F127" s="54"/>
      <c r="G127" s="55"/>
      <c r="H127" s="56"/>
      <c r="I127" s="45" t="s">
        <v>250</v>
      </c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51">
        <f t="shared" si="25"/>
        <v>0</v>
      </c>
      <c r="W127" s="7"/>
      <c r="X127" s="7"/>
      <c r="Y127" s="7"/>
      <c r="Z127" s="7"/>
    </row>
    <row r="128" ht="14.25" customHeight="1">
      <c r="A128" s="7"/>
      <c r="B128" s="94" t="s">
        <v>318</v>
      </c>
      <c r="C128" s="44"/>
      <c r="D128" s="44"/>
      <c r="E128" s="46"/>
      <c r="F128" s="46">
        <v>5.0</v>
      </c>
      <c r="G128" s="45" t="s">
        <v>258</v>
      </c>
      <c r="H128" s="32"/>
      <c r="I128" s="45" t="s">
        <v>249</v>
      </c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51">
        <f t="shared" si="25"/>
        <v>0</v>
      </c>
      <c r="W128" s="7"/>
      <c r="X128" s="7"/>
      <c r="Y128" s="7"/>
      <c r="Z128" s="7"/>
    </row>
    <row r="129" ht="14.25" customHeight="1">
      <c r="A129" s="7"/>
      <c r="B129" s="94" t="s">
        <v>318</v>
      </c>
      <c r="C129" s="44"/>
      <c r="D129" s="44"/>
      <c r="E129" s="66"/>
      <c r="F129" s="54"/>
      <c r="G129" s="55"/>
      <c r="H129" s="56"/>
      <c r="I129" s="45" t="s">
        <v>250</v>
      </c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51">
        <f t="shared" si="25"/>
        <v>0</v>
      </c>
      <c r="W129" s="7"/>
      <c r="X129" s="7"/>
      <c r="Y129" s="7"/>
      <c r="Z129" s="7"/>
    </row>
    <row r="130" ht="14.25" customHeight="1">
      <c r="A130" s="7"/>
      <c r="B130" s="94" t="s">
        <v>319</v>
      </c>
      <c r="C130" s="44"/>
      <c r="D130" s="44"/>
      <c r="E130" s="46"/>
      <c r="F130" s="46">
        <v>6.0</v>
      </c>
      <c r="G130" s="45" t="s">
        <v>260</v>
      </c>
      <c r="H130" s="32"/>
      <c r="I130" s="45" t="s">
        <v>249</v>
      </c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51">
        <f t="shared" si="25"/>
        <v>0</v>
      </c>
      <c r="W130" s="7"/>
      <c r="X130" s="7"/>
      <c r="Y130" s="7"/>
      <c r="Z130" s="7"/>
    </row>
    <row r="131" ht="14.25" customHeight="1">
      <c r="A131" s="7"/>
      <c r="B131" s="94" t="s">
        <v>319</v>
      </c>
      <c r="C131" s="44"/>
      <c r="D131" s="44"/>
      <c r="E131" s="66"/>
      <c r="F131" s="54"/>
      <c r="G131" s="55"/>
      <c r="H131" s="56"/>
      <c r="I131" s="45" t="s">
        <v>250</v>
      </c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51">
        <f t="shared" si="25"/>
        <v>0</v>
      </c>
      <c r="W131" s="7"/>
      <c r="X131" s="7"/>
      <c r="Y131" s="7"/>
      <c r="Z131" s="7"/>
    </row>
    <row r="132" ht="14.25" customHeight="1">
      <c r="A132" s="7"/>
      <c r="B132" s="94" t="s">
        <v>320</v>
      </c>
      <c r="C132" s="44"/>
      <c r="D132" s="44"/>
      <c r="E132" s="46"/>
      <c r="F132" s="95">
        <v>7.0</v>
      </c>
      <c r="G132" s="45" t="s">
        <v>262</v>
      </c>
      <c r="H132" s="32"/>
      <c r="I132" s="45" t="s">
        <v>249</v>
      </c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51">
        <f t="shared" si="25"/>
        <v>0</v>
      </c>
      <c r="W132" s="7"/>
      <c r="X132" s="7"/>
      <c r="Y132" s="7"/>
      <c r="Z132" s="7"/>
    </row>
    <row r="133" ht="14.25" customHeight="1">
      <c r="A133" s="7"/>
      <c r="B133" s="94" t="s">
        <v>320</v>
      </c>
      <c r="C133" s="44"/>
      <c r="D133" s="44"/>
      <c r="E133" s="46"/>
      <c r="F133" s="54"/>
      <c r="G133" s="55"/>
      <c r="H133" s="56"/>
      <c r="I133" s="45" t="s">
        <v>250</v>
      </c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51">
        <f t="shared" si="25"/>
        <v>0</v>
      </c>
      <c r="W133" s="7"/>
      <c r="X133" s="7"/>
      <c r="Y133" s="7"/>
      <c r="Z133" s="7"/>
    </row>
    <row r="134" ht="14.25" customHeight="1">
      <c r="A134" s="7"/>
      <c r="B134" s="94" t="s">
        <v>321</v>
      </c>
      <c r="C134" s="44"/>
      <c r="D134" s="44"/>
      <c r="E134" s="53"/>
      <c r="F134" s="96">
        <v>8.0</v>
      </c>
      <c r="G134" s="55" t="s">
        <v>322</v>
      </c>
      <c r="H134" s="32"/>
      <c r="I134" s="45" t="s">
        <v>249</v>
      </c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51">
        <f t="shared" si="25"/>
        <v>0</v>
      </c>
      <c r="W134" s="7"/>
      <c r="X134" s="7"/>
      <c r="Y134" s="7"/>
      <c r="Z134" s="7"/>
    </row>
    <row r="135" ht="14.25" customHeight="1">
      <c r="A135" s="7"/>
      <c r="B135" s="94" t="s">
        <v>321</v>
      </c>
      <c r="C135" s="44"/>
      <c r="D135" s="44"/>
      <c r="E135" s="53"/>
      <c r="F135" s="96"/>
      <c r="G135" s="55"/>
      <c r="H135" s="56"/>
      <c r="I135" s="45" t="s">
        <v>250</v>
      </c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51">
        <f t="shared" si="25"/>
        <v>0</v>
      </c>
      <c r="W135" s="7"/>
      <c r="X135" s="7"/>
      <c r="Y135" s="7"/>
      <c r="Z135" s="7"/>
    </row>
    <row r="136" ht="14.25" customHeight="1">
      <c r="A136" s="7"/>
      <c r="B136" s="94" t="s">
        <v>323</v>
      </c>
      <c r="C136" s="44"/>
      <c r="D136" s="44"/>
      <c r="E136" s="46"/>
      <c r="F136" s="96">
        <v>9.0</v>
      </c>
      <c r="G136" s="80" t="s">
        <v>311</v>
      </c>
      <c r="H136" s="32"/>
      <c r="I136" s="45" t="s">
        <v>249</v>
      </c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51">
        <f t="shared" si="25"/>
        <v>0</v>
      </c>
      <c r="W136" s="7"/>
      <c r="X136" s="7"/>
      <c r="Y136" s="7"/>
      <c r="Z136" s="7"/>
    </row>
    <row r="137" ht="14.25" customHeight="1">
      <c r="A137" s="7"/>
      <c r="B137" s="94" t="s">
        <v>323</v>
      </c>
      <c r="C137" s="65"/>
      <c r="D137" s="44"/>
      <c r="E137" s="45"/>
      <c r="F137" s="31"/>
      <c r="G137" s="31"/>
      <c r="H137" s="32"/>
      <c r="I137" s="45" t="s">
        <v>250</v>
      </c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51">
        <f t="shared" si="25"/>
        <v>0</v>
      </c>
      <c r="W137" s="7"/>
      <c r="X137" s="7"/>
      <c r="Y137" s="7"/>
      <c r="Z137" s="7"/>
    </row>
    <row r="138" ht="14.25" customHeight="1">
      <c r="A138" s="7"/>
      <c r="B138" s="94"/>
      <c r="C138" s="65"/>
      <c r="D138" s="44">
        <v>2.0</v>
      </c>
      <c r="E138" s="45" t="s">
        <v>281</v>
      </c>
      <c r="F138" s="31"/>
      <c r="G138" s="31"/>
      <c r="H138" s="32"/>
      <c r="I138" s="45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7"/>
      <c r="X138" s="7"/>
      <c r="Y138" s="7"/>
      <c r="Z138" s="7"/>
    </row>
    <row r="139" ht="14.25" customHeight="1">
      <c r="A139" s="7"/>
      <c r="B139" s="94"/>
      <c r="C139" s="44"/>
      <c r="D139" s="44"/>
      <c r="E139" s="46">
        <v>1.0</v>
      </c>
      <c r="F139" s="45" t="s">
        <v>246</v>
      </c>
      <c r="G139" s="31"/>
      <c r="H139" s="32"/>
      <c r="I139" s="42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7"/>
      <c r="X139" s="7"/>
      <c r="Y139" s="7"/>
      <c r="Z139" s="7"/>
    </row>
    <row r="140" ht="14.25" customHeight="1">
      <c r="A140" s="7"/>
      <c r="B140" s="94" t="s">
        <v>324</v>
      </c>
      <c r="C140" s="44"/>
      <c r="D140" s="44"/>
      <c r="E140" s="46"/>
      <c r="F140" s="46">
        <v>1.0</v>
      </c>
      <c r="G140" s="45" t="s">
        <v>248</v>
      </c>
      <c r="H140" s="32"/>
      <c r="I140" s="45" t="s">
        <v>249</v>
      </c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51">
        <f t="shared" ref="V140:V157" si="26">SUM(J140:U140)</f>
        <v>0</v>
      </c>
      <c r="W140" s="7"/>
      <c r="X140" s="7"/>
      <c r="Y140" s="7"/>
      <c r="Z140" s="7"/>
    </row>
    <row r="141" ht="14.25" customHeight="1">
      <c r="A141" s="7"/>
      <c r="B141" s="94" t="s">
        <v>324</v>
      </c>
      <c r="C141" s="44"/>
      <c r="D141" s="44"/>
      <c r="E141" s="53"/>
      <c r="F141" s="54"/>
      <c r="G141" s="55"/>
      <c r="H141" s="56"/>
      <c r="I141" s="45" t="s">
        <v>250</v>
      </c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51">
        <f t="shared" si="26"/>
        <v>0</v>
      </c>
      <c r="W141" s="7"/>
      <c r="X141" s="7"/>
      <c r="Y141" s="7"/>
      <c r="Z141" s="7"/>
    </row>
    <row r="142" ht="14.25" customHeight="1">
      <c r="A142" s="7"/>
      <c r="B142" s="94" t="s">
        <v>325</v>
      </c>
      <c r="C142" s="44"/>
      <c r="D142" s="44"/>
      <c r="E142" s="46"/>
      <c r="F142" s="46">
        <v>2.0</v>
      </c>
      <c r="G142" s="45" t="s">
        <v>252</v>
      </c>
      <c r="H142" s="32"/>
      <c r="I142" s="45" t="s">
        <v>249</v>
      </c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51">
        <f t="shared" si="26"/>
        <v>0</v>
      </c>
      <c r="W142" s="7"/>
      <c r="X142" s="7"/>
      <c r="Y142" s="7"/>
      <c r="Z142" s="7"/>
    </row>
    <row r="143" ht="14.25" customHeight="1">
      <c r="A143" s="7"/>
      <c r="B143" s="94" t="s">
        <v>325</v>
      </c>
      <c r="C143" s="44"/>
      <c r="D143" s="44"/>
      <c r="E143" s="44"/>
      <c r="F143" s="54"/>
      <c r="G143" s="55"/>
      <c r="H143" s="56"/>
      <c r="I143" s="45" t="s">
        <v>250</v>
      </c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51">
        <f t="shared" si="26"/>
        <v>0</v>
      </c>
      <c r="W143" s="7"/>
      <c r="X143" s="7"/>
      <c r="Y143" s="7"/>
      <c r="Z143" s="7"/>
    </row>
    <row r="144" ht="14.25" customHeight="1">
      <c r="A144" s="7"/>
      <c r="B144" s="94" t="s">
        <v>326</v>
      </c>
      <c r="C144" s="44"/>
      <c r="D144" s="44"/>
      <c r="E144" s="53"/>
      <c r="F144" s="46">
        <v>3.0</v>
      </c>
      <c r="G144" s="45" t="s">
        <v>254</v>
      </c>
      <c r="H144" s="32"/>
      <c r="I144" s="45" t="s">
        <v>249</v>
      </c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51">
        <f t="shared" si="26"/>
        <v>0</v>
      </c>
      <c r="W144" s="7"/>
      <c r="X144" s="7"/>
      <c r="Y144" s="7"/>
      <c r="Z144" s="7"/>
    </row>
    <row r="145" ht="14.25" customHeight="1">
      <c r="A145" s="7"/>
      <c r="B145" s="94" t="s">
        <v>326</v>
      </c>
      <c r="C145" s="44"/>
      <c r="D145" s="44"/>
      <c r="E145" s="53"/>
      <c r="F145" s="54"/>
      <c r="G145" s="55"/>
      <c r="H145" s="56"/>
      <c r="I145" s="45" t="s">
        <v>250</v>
      </c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51">
        <f t="shared" si="26"/>
        <v>0</v>
      </c>
      <c r="W145" s="7"/>
      <c r="X145" s="7"/>
      <c r="Y145" s="7"/>
      <c r="Z145" s="7"/>
    </row>
    <row r="146" ht="14.25" customHeight="1">
      <c r="A146" s="7"/>
      <c r="B146" s="94" t="s">
        <v>327</v>
      </c>
      <c r="C146" s="44"/>
      <c r="D146" s="44"/>
      <c r="E146" s="46"/>
      <c r="F146" s="46">
        <v>4.0</v>
      </c>
      <c r="G146" s="45" t="s">
        <v>256</v>
      </c>
      <c r="H146" s="32"/>
      <c r="I146" s="45" t="s">
        <v>249</v>
      </c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51">
        <f t="shared" si="26"/>
        <v>0</v>
      </c>
      <c r="W146" s="7"/>
      <c r="X146" s="7"/>
      <c r="Y146" s="7"/>
      <c r="Z146" s="7"/>
    </row>
    <row r="147" ht="14.25" customHeight="1">
      <c r="A147" s="7"/>
      <c r="B147" s="94" t="s">
        <v>327</v>
      </c>
      <c r="C147" s="44"/>
      <c r="D147" s="44"/>
      <c r="E147" s="44"/>
      <c r="F147" s="54"/>
      <c r="G147" s="55"/>
      <c r="H147" s="56"/>
      <c r="I147" s="45" t="s">
        <v>250</v>
      </c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51">
        <f t="shared" si="26"/>
        <v>0</v>
      </c>
      <c r="W147" s="7"/>
      <c r="X147" s="7"/>
      <c r="Y147" s="7"/>
      <c r="Z147" s="7"/>
    </row>
    <row r="148" ht="14.25" customHeight="1">
      <c r="A148" s="7"/>
      <c r="B148" s="94" t="s">
        <v>328</v>
      </c>
      <c r="C148" s="44"/>
      <c r="D148" s="44"/>
      <c r="E148" s="46"/>
      <c r="F148" s="46">
        <v>5.0</v>
      </c>
      <c r="G148" s="45" t="s">
        <v>258</v>
      </c>
      <c r="H148" s="32"/>
      <c r="I148" s="45" t="s">
        <v>249</v>
      </c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51">
        <f t="shared" si="26"/>
        <v>0</v>
      </c>
      <c r="W148" s="7"/>
      <c r="X148" s="7"/>
      <c r="Y148" s="7"/>
      <c r="Z148" s="7"/>
    </row>
    <row r="149" ht="14.25" customHeight="1">
      <c r="A149" s="7"/>
      <c r="B149" s="94" t="s">
        <v>328</v>
      </c>
      <c r="C149" s="44"/>
      <c r="D149" s="44"/>
      <c r="E149" s="66"/>
      <c r="F149" s="54"/>
      <c r="G149" s="55"/>
      <c r="H149" s="56"/>
      <c r="I149" s="45" t="s">
        <v>250</v>
      </c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51">
        <f t="shared" si="26"/>
        <v>0</v>
      </c>
      <c r="W149" s="7"/>
      <c r="X149" s="7"/>
      <c r="Y149" s="7"/>
      <c r="Z149" s="7"/>
    </row>
    <row r="150" ht="14.25" customHeight="1">
      <c r="A150" s="7"/>
      <c r="B150" s="94" t="s">
        <v>329</v>
      </c>
      <c r="C150" s="44"/>
      <c r="D150" s="44"/>
      <c r="E150" s="46"/>
      <c r="F150" s="46">
        <v>6.0</v>
      </c>
      <c r="G150" s="45" t="s">
        <v>260</v>
      </c>
      <c r="H150" s="32"/>
      <c r="I150" s="45" t="s">
        <v>249</v>
      </c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51">
        <f t="shared" si="26"/>
        <v>0</v>
      </c>
      <c r="W150" s="7"/>
      <c r="X150" s="7"/>
      <c r="Y150" s="7"/>
      <c r="Z150" s="7"/>
    </row>
    <row r="151" ht="14.25" customHeight="1">
      <c r="A151" s="7"/>
      <c r="B151" s="94" t="s">
        <v>329</v>
      </c>
      <c r="C151" s="44"/>
      <c r="D151" s="44"/>
      <c r="E151" s="66"/>
      <c r="F151" s="54"/>
      <c r="G151" s="55"/>
      <c r="H151" s="56"/>
      <c r="I151" s="45" t="s">
        <v>250</v>
      </c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51">
        <f t="shared" si="26"/>
        <v>0</v>
      </c>
      <c r="W151" s="7"/>
      <c r="X151" s="7"/>
      <c r="Y151" s="7"/>
      <c r="Z151" s="7"/>
    </row>
    <row r="152" ht="14.25" customHeight="1">
      <c r="A152" s="7"/>
      <c r="B152" s="94" t="s">
        <v>330</v>
      </c>
      <c r="C152" s="44"/>
      <c r="D152" s="44"/>
      <c r="E152" s="46"/>
      <c r="F152" s="95">
        <v>7.0</v>
      </c>
      <c r="G152" s="45" t="s">
        <v>262</v>
      </c>
      <c r="H152" s="32"/>
      <c r="I152" s="45" t="s">
        <v>249</v>
      </c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51">
        <f t="shared" si="26"/>
        <v>0</v>
      </c>
      <c r="W152" s="7"/>
      <c r="X152" s="7"/>
      <c r="Y152" s="7"/>
      <c r="Z152" s="7"/>
    </row>
    <row r="153" ht="14.25" customHeight="1">
      <c r="A153" s="7"/>
      <c r="B153" s="94" t="s">
        <v>330</v>
      </c>
      <c r="C153" s="44"/>
      <c r="D153" s="44"/>
      <c r="E153" s="46"/>
      <c r="F153" s="54"/>
      <c r="G153" s="55"/>
      <c r="H153" s="56"/>
      <c r="I153" s="45" t="s">
        <v>250</v>
      </c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51">
        <f t="shared" si="26"/>
        <v>0</v>
      </c>
      <c r="W153" s="7"/>
      <c r="X153" s="7"/>
      <c r="Y153" s="7"/>
      <c r="Z153" s="7"/>
    </row>
    <row r="154" ht="14.25" customHeight="1">
      <c r="A154" s="7"/>
      <c r="B154" s="94" t="s">
        <v>331</v>
      </c>
      <c r="C154" s="44"/>
      <c r="D154" s="44"/>
      <c r="E154" s="53"/>
      <c r="F154" s="96">
        <v>8.0</v>
      </c>
      <c r="G154" s="55" t="s">
        <v>322</v>
      </c>
      <c r="H154" s="32"/>
      <c r="I154" s="45" t="s">
        <v>249</v>
      </c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51">
        <f t="shared" si="26"/>
        <v>0</v>
      </c>
      <c r="W154" s="7"/>
      <c r="X154" s="7"/>
      <c r="Y154" s="7"/>
      <c r="Z154" s="7"/>
    </row>
    <row r="155" ht="14.25" customHeight="1">
      <c r="A155" s="7"/>
      <c r="B155" s="94" t="s">
        <v>331</v>
      </c>
      <c r="C155" s="44"/>
      <c r="D155" s="44"/>
      <c r="E155" s="53"/>
      <c r="F155" s="96"/>
      <c r="G155" s="55"/>
      <c r="H155" s="56"/>
      <c r="I155" s="45" t="s">
        <v>250</v>
      </c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51">
        <f t="shared" si="26"/>
        <v>0</v>
      </c>
      <c r="W155" s="7"/>
      <c r="X155" s="7"/>
      <c r="Y155" s="7"/>
      <c r="Z155" s="7"/>
    </row>
    <row r="156" ht="14.25" customHeight="1">
      <c r="A156" s="7"/>
      <c r="B156" s="94" t="s">
        <v>332</v>
      </c>
      <c r="C156" s="44"/>
      <c r="D156" s="44"/>
      <c r="E156" s="46"/>
      <c r="F156" s="96">
        <v>9.0</v>
      </c>
      <c r="G156" s="80" t="s">
        <v>311</v>
      </c>
      <c r="H156" s="32"/>
      <c r="I156" s="45" t="s">
        <v>249</v>
      </c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51">
        <f t="shared" si="26"/>
        <v>0</v>
      </c>
      <c r="W156" s="7"/>
      <c r="X156" s="7"/>
      <c r="Y156" s="7"/>
      <c r="Z156" s="7"/>
    </row>
    <row r="157" ht="14.25" customHeight="1">
      <c r="A157" s="7"/>
      <c r="B157" s="94" t="s">
        <v>332</v>
      </c>
      <c r="C157" s="65"/>
      <c r="D157" s="44"/>
      <c r="E157" s="87"/>
      <c r="F157" s="97"/>
      <c r="G157" s="71"/>
      <c r="H157" s="72"/>
      <c r="I157" s="45" t="s">
        <v>250</v>
      </c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51">
        <f t="shared" si="26"/>
        <v>0</v>
      </c>
      <c r="W157" s="7"/>
      <c r="X157" s="7"/>
      <c r="Y157" s="7"/>
      <c r="Z157" s="7"/>
    </row>
    <row r="158" ht="14.25" customHeight="1">
      <c r="A158" s="7"/>
      <c r="B158" s="94"/>
      <c r="C158" s="65"/>
      <c r="D158" s="98"/>
      <c r="E158" s="99"/>
      <c r="F158" s="99"/>
      <c r="G158" s="99"/>
      <c r="H158" s="100"/>
      <c r="I158" s="45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7"/>
      <c r="X158" s="7"/>
      <c r="Y158" s="7"/>
      <c r="Z158" s="7"/>
    </row>
    <row r="159" ht="14.25" customHeight="1">
      <c r="A159" s="7"/>
      <c r="B159" s="94"/>
      <c r="C159" s="65"/>
      <c r="D159" s="90" t="s">
        <v>333</v>
      </c>
      <c r="E159" s="18"/>
      <c r="F159" s="18"/>
      <c r="G159" s="18"/>
      <c r="H159" s="19"/>
      <c r="I159" s="45" t="s">
        <v>249</v>
      </c>
      <c r="J159" s="51">
        <f t="shared" ref="J159:V159" si="27">SUMIF($I$120:$V$157,$I159,J$120:J$157)</f>
        <v>0</v>
      </c>
      <c r="K159" s="51">
        <f t="shared" si="27"/>
        <v>0</v>
      </c>
      <c r="L159" s="51">
        <f t="shared" si="27"/>
        <v>0</v>
      </c>
      <c r="M159" s="51">
        <f t="shared" si="27"/>
        <v>0</v>
      </c>
      <c r="N159" s="51">
        <f t="shared" si="27"/>
        <v>0</v>
      </c>
      <c r="O159" s="51">
        <f t="shared" si="27"/>
        <v>0</v>
      </c>
      <c r="P159" s="51">
        <f t="shared" si="27"/>
        <v>0</v>
      </c>
      <c r="Q159" s="51">
        <f t="shared" si="27"/>
        <v>0</v>
      </c>
      <c r="R159" s="51">
        <f t="shared" si="27"/>
        <v>0</v>
      </c>
      <c r="S159" s="51">
        <f t="shared" si="27"/>
        <v>0</v>
      </c>
      <c r="T159" s="51">
        <f t="shared" si="27"/>
        <v>0</v>
      </c>
      <c r="U159" s="51">
        <f t="shared" si="27"/>
        <v>0</v>
      </c>
      <c r="V159" s="51">
        <f t="shared" si="27"/>
        <v>0</v>
      </c>
      <c r="W159" s="7"/>
      <c r="X159" s="7"/>
      <c r="Y159" s="7"/>
      <c r="Z159" s="7"/>
    </row>
    <row r="160" ht="14.25" customHeight="1">
      <c r="A160" s="7"/>
      <c r="B160" s="94"/>
      <c r="C160" s="65"/>
      <c r="D160" s="26"/>
      <c r="E160" s="27"/>
      <c r="F160" s="27"/>
      <c r="G160" s="27"/>
      <c r="H160" s="28"/>
      <c r="I160" s="45" t="s">
        <v>250</v>
      </c>
      <c r="J160" s="51">
        <f t="shared" ref="J160:V160" si="28">SUMIF($I$120:$V$157,$I160,J$120:J$157)</f>
        <v>0</v>
      </c>
      <c r="K160" s="51">
        <f t="shared" si="28"/>
        <v>0</v>
      </c>
      <c r="L160" s="51">
        <f t="shared" si="28"/>
        <v>0</v>
      </c>
      <c r="M160" s="51">
        <f t="shared" si="28"/>
        <v>0</v>
      </c>
      <c r="N160" s="51">
        <f t="shared" si="28"/>
        <v>0</v>
      </c>
      <c r="O160" s="51">
        <f t="shared" si="28"/>
        <v>0</v>
      </c>
      <c r="P160" s="51">
        <f t="shared" si="28"/>
        <v>0</v>
      </c>
      <c r="Q160" s="51">
        <f t="shared" si="28"/>
        <v>0</v>
      </c>
      <c r="R160" s="51">
        <f t="shared" si="28"/>
        <v>0</v>
      </c>
      <c r="S160" s="51">
        <f t="shared" si="28"/>
        <v>0</v>
      </c>
      <c r="T160" s="51">
        <f t="shared" si="28"/>
        <v>0</v>
      </c>
      <c r="U160" s="51">
        <f t="shared" si="28"/>
        <v>0</v>
      </c>
      <c r="V160" s="51">
        <f t="shared" si="28"/>
        <v>0</v>
      </c>
      <c r="W160" s="7"/>
      <c r="X160" s="7"/>
      <c r="Y160" s="7"/>
      <c r="Z160" s="7"/>
    </row>
    <row r="161" ht="14.25" customHeight="1">
      <c r="A161" s="7"/>
      <c r="B161" s="94"/>
      <c r="C161" s="65"/>
      <c r="D161" s="91"/>
      <c r="E161" s="92"/>
      <c r="F161" s="92"/>
      <c r="G161" s="92"/>
      <c r="H161" s="93"/>
      <c r="I161" s="45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7"/>
      <c r="X161" s="7"/>
      <c r="Y161" s="7"/>
      <c r="Z161" s="7"/>
    </row>
    <row r="162" ht="14.25" customHeight="1">
      <c r="A162" s="7"/>
      <c r="B162" s="94"/>
      <c r="C162" s="44">
        <v>3.0</v>
      </c>
      <c r="D162" s="45" t="s">
        <v>334</v>
      </c>
      <c r="E162" s="31"/>
      <c r="F162" s="31"/>
      <c r="G162" s="31"/>
      <c r="H162" s="32"/>
      <c r="I162" s="45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7"/>
      <c r="X162" s="7"/>
      <c r="Y162" s="7"/>
      <c r="Z162" s="7"/>
    </row>
    <row r="163" ht="14.25" customHeight="1">
      <c r="A163" s="7"/>
      <c r="B163" s="94"/>
      <c r="C163" s="65"/>
      <c r="D163" s="44">
        <v>1.0</v>
      </c>
      <c r="E163" s="45" t="s">
        <v>245</v>
      </c>
      <c r="F163" s="31"/>
      <c r="G163" s="31"/>
      <c r="H163" s="32"/>
      <c r="I163" s="45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7"/>
      <c r="X163" s="7"/>
      <c r="Y163" s="7"/>
      <c r="Z163" s="7"/>
    </row>
    <row r="164" ht="14.25" customHeight="1">
      <c r="A164" s="7"/>
      <c r="B164" s="94"/>
      <c r="C164" s="44"/>
      <c r="D164" s="44"/>
      <c r="E164" s="46">
        <v>1.0</v>
      </c>
      <c r="F164" s="45" t="s">
        <v>246</v>
      </c>
      <c r="G164" s="31"/>
      <c r="H164" s="32"/>
      <c r="I164" s="42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7"/>
      <c r="X164" s="7"/>
      <c r="Y164" s="7"/>
      <c r="Z164" s="7"/>
    </row>
    <row r="165" ht="14.25" customHeight="1">
      <c r="A165" s="7"/>
      <c r="B165" s="94" t="s">
        <v>335</v>
      </c>
      <c r="C165" s="44"/>
      <c r="D165" s="44"/>
      <c r="E165" s="46"/>
      <c r="F165" s="46">
        <v>1.0</v>
      </c>
      <c r="G165" s="45" t="s">
        <v>248</v>
      </c>
      <c r="H165" s="32"/>
      <c r="I165" s="45" t="s">
        <v>249</v>
      </c>
      <c r="J165" s="101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51">
        <f t="shared" ref="V165:V182" si="29">SUM(J165:U165)</f>
        <v>0</v>
      </c>
      <c r="W165" s="7"/>
      <c r="X165" s="7"/>
      <c r="Y165" s="7"/>
      <c r="Z165" s="7"/>
    </row>
    <row r="166" ht="14.25" customHeight="1">
      <c r="A166" s="7"/>
      <c r="B166" s="94" t="s">
        <v>335</v>
      </c>
      <c r="C166" s="44"/>
      <c r="D166" s="44"/>
      <c r="E166" s="53"/>
      <c r="F166" s="54"/>
      <c r="G166" s="55"/>
      <c r="H166" s="56"/>
      <c r="I166" s="45" t="s">
        <v>250</v>
      </c>
      <c r="J166" s="84"/>
      <c r="K166" s="57"/>
      <c r="L166" s="57"/>
      <c r="M166" s="57"/>
      <c r="N166" s="48"/>
      <c r="O166" s="57"/>
      <c r="P166" s="48"/>
      <c r="Q166" s="48"/>
      <c r="R166" s="48"/>
      <c r="S166" s="57"/>
      <c r="T166" s="57"/>
      <c r="U166" s="48"/>
      <c r="V166" s="51">
        <f t="shared" si="29"/>
        <v>0</v>
      </c>
      <c r="W166" s="7"/>
      <c r="X166" s="7"/>
      <c r="Y166" s="7"/>
      <c r="Z166" s="7"/>
    </row>
    <row r="167" ht="14.25" customHeight="1">
      <c r="A167" s="7"/>
      <c r="B167" s="94" t="s">
        <v>336</v>
      </c>
      <c r="C167" s="44"/>
      <c r="D167" s="44"/>
      <c r="E167" s="46"/>
      <c r="F167" s="46">
        <v>2.0</v>
      </c>
      <c r="G167" s="45" t="s">
        <v>252</v>
      </c>
      <c r="H167" s="32"/>
      <c r="I167" s="45" t="s">
        <v>249</v>
      </c>
      <c r="J167" s="48">
        <v>11.0</v>
      </c>
      <c r="K167" s="57">
        <v>19.0</v>
      </c>
      <c r="L167" s="57">
        <v>13.0</v>
      </c>
      <c r="M167" s="57">
        <v>11.0</v>
      </c>
      <c r="N167" s="83">
        <v>16.0</v>
      </c>
      <c r="O167" s="57"/>
      <c r="P167" s="48"/>
      <c r="Q167" s="48"/>
      <c r="R167" s="48"/>
      <c r="S167" s="57"/>
      <c r="T167" s="79"/>
      <c r="U167" s="48"/>
      <c r="V167" s="51">
        <f t="shared" si="29"/>
        <v>70</v>
      </c>
      <c r="W167" s="7"/>
      <c r="X167" s="7"/>
      <c r="Y167" s="7"/>
      <c r="Z167" s="7"/>
    </row>
    <row r="168" ht="14.25" customHeight="1">
      <c r="A168" s="7"/>
      <c r="B168" s="94" t="s">
        <v>336</v>
      </c>
      <c r="C168" s="44"/>
      <c r="D168" s="44"/>
      <c r="E168" s="44"/>
      <c r="F168" s="54"/>
      <c r="G168" s="55"/>
      <c r="H168" s="56"/>
      <c r="I168" s="45" t="s">
        <v>250</v>
      </c>
      <c r="J168" s="48">
        <v>287597.0</v>
      </c>
      <c r="K168" s="57">
        <v>356298.0</v>
      </c>
      <c r="L168" s="57">
        <v>286600.0</v>
      </c>
      <c r="M168" s="57">
        <v>258250.0</v>
      </c>
      <c r="N168" s="83">
        <v>416164.0</v>
      </c>
      <c r="O168" s="57"/>
      <c r="P168" s="48"/>
      <c r="Q168" s="48"/>
      <c r="R168" s="48"/>
      <c r="S168" s="57"/>
      <c r="T168" s="79"/>
      <c r="U168" s="48"/>
      <c r="V168" s="51">
        <f t="shared" si="29"/>
        <v>1604909</v>
      </c>
      <c r="W168" s="7"/>
      <c r="X168" s="7"/>
      <c r="Y168" s="7"/>
      <c r="Z168" s="7"/>
    </row>
    <row r="169" ht="14.25" customHeight="1">
      <c r="A169" s="7"/>
      <c r="B169" s="94" t="s">
        <v>337</v>
      </c>
      <c r="C169" s="44"/>
      <c r="D169" s="44"/>
      <c r="E169" s="53"/>
      <c r="F169" s="46">
        <v>3.0</v>
      </c>
      <c r="G169" s="45" t="s">
        <v>254</v>
      </c>
      <c r="H169" s="32"/>
      <c r="I169" s="45" t="s">
        <v>249</v>
      </c>
      <c r="J169" s="48">
        <v>15.0</v>
      </c>
      <c r="K169" s="57">
        <v>12.0</v>
      </c>
      <c r="L169" s="57">
        <v>20.0</v>
      </c>
      <c r="M169" s="57">
        <v>11.0</v>
      </c>
      <c r="N169" s="83">
        <v>20.0</v>
      </c>
      <c r="O169" s="57"/>
      <c r="P169" s="48"/>
      <c r="Q169" s="48"/>
      <c r="R169" s="48"/>
      <c r="S169" s="57"/>
      <c r="T169" s="79"/>
      <c r="U169" s="48"/>
      <c r="V169" s="51">
        <f t="shared" si="29"/>
        <v>78</v>
      </c>
      <c r="W169" s="7"/>
      <c r="X169" s="7"/>
      <c r="Y169" s="7"/>
      <c r="Z169" s="7"/>
    </row>
    <row r="170" ht="14.25" customHeight="1">
      <c r="A170" s="7"/>
      <c r="B170" s="94" t="s">
        <v>337</v>
      </c>
      <c r="C170" s="44"/>
      <c r="D170" s="44"/>
      <c r="E170" s="53"/>
      <c r="F170" s="54"/>
      <c r="G170" s="55"/>
      <c r="H170" s="56"/>
      <c r="I170" s="45" t="s">
        <v>250</v>
      </c>
      <c r="J170" s="48">
        <v>358895.0</v>
      </c>
      <c r="K170" s="57">
        <v>343586.0</v>
      </c>
      <c r="L170" s="57">
        <v>433765.0</v>
      </c>
      <c r="M170" s="57">
        <v>323756.0</v>
      </c>
      <c r="N170" s="83">
        <v>474495.0</v>
      </c>
      <c r="O170" s="57"/>
      <c r="P170" s="48"/>
      <c r="Q170" s="48"/>
      <c r="R170" s="48"/>
      <c r="S170" s="57"/>
      <c r="T170" s="79"/>
      <c r="U170" s="48"/>
      <c r="V170" s="51">
        <f t="shared" si="29"/>
        <v>1934497</v>
      </c>
      <c r="W170" s="7"/>
      <c r="X170" s="7"/>
      <c r="Y170" s="7"/>
      <c r="Z170" s="7"/>
    </row>
    <row r="171" ht="14.25" customHeight="1">
      <c r="A171" s="7"/>
      <c r="B171" s="94" t="s">
        <v>338</v>
      </c>
      <c r="C171" s="44"/>
      <c r="D171" s="44"/>
      <c r="E171" s="46"/>
      <c r="F171" s="46">
        <v>4.0</v>
      </c>
      <c r="G171" s="45" t="s">
        <v>256</v>
      </c>
      <c r="H171" s="32"/>
      <c r="I171" s="45" t="s">
        <v>249</v>
      </c>
      <c r="J171" s="48">
        <v>16.0</v>
      </c>
      <c r="K171" s="57">
        <v>23.0</v>
      </c>
      <c r="L171" s="57">
        <v>22.0</v>
      </c>
      <c r="M171" s="57">
        <v>17.0</v>
      </c>
      <c r="N171" s="83">
        <v>20.0</v>
      </c>
      <c r="O171" s="57"/>
      <c r="P171" s="48"/>
      <c r="Q171" s="48"/>
      <c r="R171" s="48"/>
      <c r="S171" s="57"/>
      <c r="T171" s="79"/>
      <c r="U171" s="48"/>
      <c r="V171" s="51">
        <f t="shared" si="29"/>
        <v>98</v>
      </c>
      <c r="W171" s="7"/>
      <c r="X171" s="7"/>
      <c r="Y171" s="7"/>
      <c r="Z171" s="7"/>
    </row>
    <row r="172" ht="14.25" customHeight="1">
      <c r="A172" s="7"/>
      <c r="B172" s="94" t="s">
        <v>338</v>
      </c>
      <c r="C172" s="44"/>
      <c r="D172" s="44"/>
      <c r="E172" s="44"/>
      <c r="F172" s="54"/>
      <c r="G172" s="55"/>
      <c r="H172" s="56"/>
      <c r="I172" s="45" t="s">
        <v>250</v>
      </c>
      <c r="J172" s="48">
        <v>128975.0</v>
      </c>
      <c r="K172" s="57">
        <v>198191.0</v>
      </c>
      <c r="L172" s="57">
        <v>177563.0</v>
      </c>
      <c r="M172" s="57">
        <v>90344.0</v>
      </c>
      <c r="N172" s="83">
        <v>139096.0</v>
      </c>
      <c r="O172" s="57"/>
      <c r="P172" s="48"/>
      <c r="Q172" s="48"/>
      <c r="R172" s="48"/>
      <c r="S172" s="57"/>
      <c r="T172" s="79"/>
      <c r="U172" s="48"/>
      <c r="V172" s="51">
        <f t="shared" si="29"/>
        <v>734169</v>
      </c>
      <c r="W172" s="7"/>
      <c r="X172" s="7"/>
      <c r="Y172" s="7"/>
      <c r="Z172" s="7"/>
    </row>
    <row r="173" ht="14.25" customHeight="1">
      <c r="A173" s="7"/>
      <c r="B173" s="94" t="s">
        <v>339</v>
      </c>
      <c r="C173" s="44"/>
      <c r="D173" s="44"/>
      <c r="E173" s="46"/>
      <c r="F173" s="46">
        <v>5.0</v>
      </c>
      <c r="G173" s="45" t="s">
        <v>258</v>
      </c>
      <c r="H173" s="32"/>
      <c r="I173" s="45" t="s">
        <v>249</v>
      </c>
      <c r="J173" s="84"/>
      <c r="K173" s="57"/>
      <c r="L173" s="61"/>
      <c r="M173" s="57">
        <v>1.0</v>
      </c>
      <c r="N173" s="86"/>
      <c r="O173" s="57"/>
      <c r="P173" s="48"/>
      <c r="Q173" s="48"/>
      <c r="R173" s="48"/>
      <c r="S173" s="57"/>
      <c r="T173" s="57"/>
      <c r="U173" s="48"/>
      <c r="V173" s="51">
        <f t="shared" si="29"/>
        <v>1</v>
      </c>
      <c r="W173" s="7"/>
      <c r="X173" s="7"/>
      <c r="Y173" s="7"/>
      <c r="Z173" s="7"/>
    </row>
    <row r="174" ht="14.25" customHeight="1">
      <c r="A174" s="7"/>
      <c r="B174" s="94" t="s">
        <v>339</v>
      </c>
      <c r="C174" s="44"/>
      <c r="D174" s="44"/>
      <c r="E174" s="66"/>
      <c r="F174" s="54"/>
      <c r="G174" s="55"/>
      <c r="H174" s="56"/>
      <c r="I174" s="45" t="s">
        <v>250</v>
      </c>
      <c r="J174" s="84"/>
      <c r="K174" s="57"/>
      <c r="L174" s="61"/>
      <c r="M174" s="57">
        <v>34986.0</v>
      </c>
      <c r="N174" s="86"/>
      <c r="O174" s="57"/>
      <c r="P174" s="48"/>
      <c r="Q174" s="48"/>
      <c r="R174" s="48"/>
      <c r="S174" s="57"/>
      <c r="T174" s="57"/>
      <c r="U174" s="48"/>
      <c r="V174" s="51">
        <f t="shared" si="29"/>
        <v>34986</v>
      </c>
      <c r="W174" s="7"/>
      <c r="X174" s="7"/>
      <c r="Y174" s="7"/>
      <c r="Z174" s="7"/>
    </row>
    <row r="175" ht="14.25" customHeight="1">
      <c r="A175" s="7"/>
      <c r="B175" s="94" t="s">
        <v>340</v>
      </c>
      <c r="C175" s="44"/>
      <c r="D175" s="44"/>
      <c r="E175" s="46"/>
      <c r="F175" s="46">
        <v>6.0</v>
      </c>
      <c r="G175" s="45" t="s">
        <v>260</v>
      </c>
      <c r="H175" s="32"/>
      <c r="I175" s="45" t="s">
        <v>249</v>
      </c>
      <c r="J175" s="102"/>
      <c r="K175" s="60"/>
      <c r="L175" s="61"/>
      <c r="M175" s="60"/>
      <c r="N175" s="86"/>
      <c r="O175" s="68"/>
      <c r="P175" s="63"/>
      <c r="Q175" s="63"/>
      <c r="R175" s="63"/>
      <c r="S175" s="61"/>
      <c r="T175" s="64"/>
      <c r="U175" s="60"/>
      <c r="V175" s="51">
        <f t="shared" si="29"/>
        <v>0</v>
      </c>
      <c r="W175" s="7"/>
      <c r="X175" s="7"/>
      <c r="Y175" s="7"/>
      <c r="Z175" s="7"/>
    </row>
    <row r="176" ht="14.25" customHeight="1">
      <c r="A176" s="7"/>
      <c r="B176" s="94" t="s">
        <v>340</v>
      </c>
      <c r="C176" s="44"/>
      <c r="D176" s="44"/>
      <c r="E176" s="66"/>
      <c r="F176" s="54"/>
      <c r="G176" s="55"/>
      <c r="H176" s="56"/>
      <c r="I176" s="45" t="s">
        <v>250</v>
      </c>
      <c r="J176" s="60"/>
      <c r="K176" s="60"/>
      <c r="L176" s="61"/>
      <c r="M176" s="60"/>
      <c r="N176" s="86"/>
      <c r="O176" s="68"/>
      <c r="P176" s="63"/>
      <c r="Q176" s="63"/>
      <c r="R176" s="63"/>
      <c r="S176" s="61"/>
      <c r="T176" s="64"/>
      <c r="U176" s="60"/>
      <c r="V176" s="51">
        <f t="shared" si="29"/>
        <v>0</v>
      </c>
      <c r="W176" s="7"/>
      <c r="X176" s="7"/>
      <c r="Y176" s="7"/>
      <c r="Z176" s="7"/>
    </row>
    <row r="177" ht="14.25" customHeight="1">
      <c r="A177" s="7"/>
      <c r="B177" s="94" t="s">
        <v>341</v>
      </c>
      <c r="C177" s="44"/>
      <c r="D177" s="44"/>
      <c r="E177" s="46"/>
      <c r="F177" s="95">
        <v>7.0</v>
      </c>
      <c r="G177" s="45" t="s">
        <v>262</v>
      </c>
      <c r="H177" s="32"/>
      <c r="I177" s="45" t="s">
        <v>249</v>
      </c>
      <c r="J177" s="60"/>
      <c r="K177" s="60"/>
      <c r="L177" s="61"/>
      <c r="M177" s="60"/>
      <c r="N177" s="86"/>
      <c r="O177" s="68"/>
      <c r="P177" s="63"/>
      <c r="Q177" s="63"/>
      <c r="R177" s="63"/>
      <c r="S177" s="61"/>
      <c r="T177" s="64"/>
      <c r="U177" s="60"/>
      <c r="V177" s="51">
        <f t="shared" si="29"/>
        <v>0</v>
      </c>
      <c r="W177" s="7"/>
      <c r="X177" s="7"/>
      <c r="Y177" s="7"/>
      <c r="Z177" s="7"/>
    </row>
    <row r="178" ht="14.25" customHeight="1">
      <c r="A178" s="7"/>
      <c r="B178" s="94" t="s">
        <v>341</v>
      </c>
      <c r="C178" s="44"/>
      <c r="D178" s="44"/>
      <c r="E178" s="46"/>
      <c r="F178" s="54"/>
      <c r="G178" s="55"/>
      <c r="H178" s="56"/>
      <c r="I178" s="45" t="s">
        <v>250</v>
      </c>
      <c r="J178" s="60"/>
      <c r="K178" s="60"/>
      <c r="L178" s="61"/>
      <c r="M178" s="60"/>
      <c r="N178" s="86"/>
      <c r="O178" s="68"/>
      <c r="P178" s="63"/>
      <c r="Q178" s="63"/>
      <c r="R178" s="63"/>
      <c r="S178" s="61"/>
      <c r="T178" s="64"/>
      <c r="U178" s="60"/>
      <c r="V178" s="51">
        <f t="shared" si="29"/>
        <v>0</v>
      </c>
      <c r="W178" s="7"/>
      <c r="X178" s="7"/>
      <c r="Y178" s="7"/>
      <c r="Z178" s="7"/>
    </row>
    <row r="179" ht="14.25" customHeight="1">
      <c r="A179" s="7"/>
      <c r="B179" s="94" t="s">
        <v>342</v>
      </c>
      <c r="C179" s="44"/>
      <c r="D179" s="44"/>
      <c r="E179" s="53"/>
      <c r="F179" s="96">
        <v>8.0</v>
      </c>
      <c r="G179" s="55" t="s">
        <v>322</v>
      </c>
      <c r="H179" s="32"/>
      <c r="I179" s="45" t="s">
        <v>249</v>
      </c>
      <c r="J179" s="60"/>
      <c r="K179" s="60"/>
      <c r="L179" s="61"/>
      <c r="M179" s="60"/>
      <c r="N179" s="86"/>
      <c r="O179" s="78"/>
      <c r="P179" s="48"/>
      <c r="Q179" s="48"/>
      <c r="R179" s="63"/>
      <c r="S179" s="61"/>
      <c r="T179" s="64"/>
      <c r="U179" s="60"/>
      <c r="V179" s="51">
        <f t="shared" si="29"/>
        <v>0</v>
      </c>
      <c r="W179" s="7"/>
      <c r="X179" s="7"/>
      <c r="Y179" s="7"/>
      <c r="Z179" s="7"/>
    </row>
    <row r="180" ht="14.25" customHeight="1">
      <c r="A180" s="7"/>
      <c r="B180" s="94" t="s">
        <v>342</v>
      </c>
      <c r="C180" s="44"/>
      <c r="D180" s="44"/>
      <c r="E180" s="53"/>
      <c r="F180" s="96"/>
      <c r="G180" s="55"/>
      <c r="H180" s="56"/>
      <c r="I180" s="45" t="s">
        <v>250</v>
      </c>
      <c r="J180" s="60"/>
      <c r="K180" s="60"/>
      <c r="L180" s="61"/>
      <c r="M180" s="60"/>
      <c r="N180" s="86"/>
      <c r="O180" s="78"/>
      <c r="P180" s="48"/>
      <c r="Q180" s="48"/>
      <c r="R180" s="63"/>
      <c r="S180" s="61"/>
      <c r="T180" s="64"/>
      <c r="U180" s="60"/>
      <c r="V180" s="51">
        <f t="shared" si="29"/>
        <v>0</v>
      </c>
      <c r="W180" s="7"/>
      <c r="X180" s="7"/>
      <c r="Y180" s="7"/>
      <c r="Z180" s="7"/>
    </row>
    <row r="181" ht="14.25" customHeight="1">
      <c r="A181" s="7"/>
      <c r="B181" s="94" t="s">
        <v>343</v>
      </c>
      <c r="C181" s="44"/>
      <c r="D181" s="44"/>
      <c r="E181" s="46"/>
      <c r="F181" s="96">
        <v>9.0</v>
      </c>
      <c r="G181" s="80" t="s">
        <v>311</v>
      </c>
      <c r="H181" s="32"/>
      <c r="I181" s="45" t="s">
        <v>249</v>
      </c>
      <c r="J181" s="60"/>
      <c r="K181" s="60"/>
      <c r="L181" s="61"/>
      <c r="M181" s="60"/>
      <c r="N181" s="86"/>
      <c r="O181" s="68"/>
      <c r="P181" s="63"/>
      <c r="Q181" s="63"/>
      <c r="R181" s="63"/>
      <c r="S181" s="61"/>
      <c r="T181" s="64"/>
      <c r="U181" s="60"/>
      <c r="V181" s="51">
        <f t="shared" si="29"/>
        <v>0</v>
      </c>
      <c r="W181" s="7"/>
      <c r="X181" s="7"/>
      <c r="Y181" s="7"/>
      <c r="Z181" s="7"/>
    </row>
    <row r="182" ht="14.25" customHeight="1">
      <c r="A182" s="7"/>
      <c r="B182" s="94" t="s">
        <v>343</v>
      </c>
      <c r="C182" s="65"/>
      <c r="D182" s="44"/>
      <c r="E182" s="45"/>
      <c r="F182" s="31"/>
      <c r="G182" s="31"/>
      <c r="H182" s="32"/>
      <c r="I182" s="45" t="s">
        <v>250</v>
      </c>
      <c r="J182" s="60"/>
      <c r="K182" s="60"/>
      <c r="L182" s="61"/>
      <c r="M182" s="60"/>
      <c r="N182" s="86"/>
      <c r="O182" s="68"/>
      <c r="P182" s="63"/>
      <c r="Q182" s="63"/>
      <c r="R182" s="63"/>
      <c r="S182" s="61"/>
      <c r="T182" s="64"/>
      <c r="U182" s="60"/>
      <c r="V182" s="51">
        <f t="shared" si="29"/>
        <v>0</v>
      </c>
      <c r="W182" s="7"/>
      <c r="X182" s="7"/>
      <c r="Y182" s="7"/>
      <c r="Z182" s="7"/>
    </row>
    <row r="183" ht="14.25" customHeight="1">
      <c r="A183" s="7"/>
      <c r="B183" s="94"/>
      <c r="C183" s="65"/>
      <c r="D183" s="44">
        <v>2.0</v>
      </c>
      <c r="E183" s="45" t="s">
        <v>281</v>
      </c>
      <c r="F183" s="31"/>
      <c r="G183" s="31"/>
      <c r="H183" s="32"/>
      <c r="I183" s="45"/>
      <c r="J183" s="75">
        <f t="shared" ref="J183:N183" si="30">J165+J167+J169+J171+J173</f>
        <v>42</v>
      </c>
      <c r="K183" s="75">
        <f t="shared" si="30"/>
        <v>54</v>
      </c>
      <c r="L183" s="75">
        <f t="shared" si="30"/>
        <v>55</v>
      </c>
      <c r="M183" s="75">
        <f t="shared" si="30"/>
        <v>40</v>
      </c>
      <c r="N183" s="75">
        <f t="shared" si="30"/>
        <v>56</v>
      </c>
      <c r="O183" s="75"/>
      <c r="P183" s="75"/>
      <c r="Q183" s="75"/>
      <c r="R183" s="75"/>
      <c r="S183" s="75"/>
      <c r="T183" s="75">
        <f t="shared" ref="T183:U183" si="31">T165+T167+T169+T171+T173</f>
        <v>0</v>
      </c>
      <c r="U183" s="75">
        <f t="shared" si="31"/>
        <v>0</v>
      </c>
      <c r="V183" s="43"/>
      <c r="W183" s="7"/>
      <c r="X183" s="7"/>
      <c r="Y183" s="7"/>
      <c r="Z183" s="7"/>
    </row>
    <row r="184" ht="14.25" customHeight="1">
      <c r="A184" s="7"/>
      <c r="B184" s="94"/>
      <c r="C184" s="44"/>
      <c r="D184" s="44"/>
      <c r="E184" s="46">
        <v>1.0</v>
      </c>
      <c r="F184" s="45" t="s">
        <v>246</v>
      </c>
      <c r="G184" s="31"/>
      <c r="H184" s="32"/>
      <c r="I184" s="42"/>
      <c r="J184" s="75">
        <f t="shared" ref="J184:N184" si="32">J166+J168+J170+J172+J174</f>
        <v>775467</v>
      </c>
      <c r="K184" s="75">
        <f t="shared" si="32"/>
        <v>898075</v>
      </c>
      <c r="L184" s="75">
        <f t="shared" si="32"/>
        <v>897928</v>
      </c>
      <c r="M184" s="75">
        <f t="shared" si="32"/>
        <v>707336</v>
      </c>
      <c r="N184" s="75">
        <f t="shared" si="32"/>
        <v>1029755</v>
      </c>
      <c r="O184" s="75"/>
      <c r="P184" s="75"/>
      <c r="Q184" s="75"/>
      <c r="R184" s="75"/>
      <c r="S184" s="75"/>
      <c r="T184" s="75">
        <f t="shared" ref="T184:U184" si="33">T166+T168+T170+T172+T174</f>
        <v>0</v>
      </c>
      <c r="U184" s="75">
        <f t="shared" si="33"/>
        <v>0</v>
      </c>
      <c r="V184" s="43"/>
      <c r="W184" s="7"/>
      <c r="X184" s="7"/>
      <c r="Y184" s="7"/>
      <c r="Z184" s="7"/>
    </row>
    <row r="185" ht="14.25" customHeight="1">
      <c r="A185" s="7"/>
      <c r="B185" s="94" t="s">
        <v>344</v>
      </c>
      <c r="C185" s="44"/>
      <c r="D185" s="44"/>
      <c r="E185" s="46"/>
      <c r="F185" s="46">
        <v>1.0</v>
      </c>
      <c r="G185" s="45" t="s">
        <v>248</v>
      </c>
      <c r="H185" s="32"/>
      <c r="I185" s="45" t="s">
        <v>249</v>
      </c>
      <c r="J185" s="101"/>
      <c r="K185" s="48"/>
      <c r="L185" s="61"/>
      <c r="M185" s="48">
        <v>1.0</v>
      </c>
      <c r="N185" s="83">
        <v>1.0</v>
      </c>
      <c r="O185" s="57"/>
      <c r="P185" s="48"/>
      <c r="Q185" s="48"/>
      <c r="R185" s="48"/>
      <c r="S185" s="57"/>
      <c r="T185" s="57"/>
      <c r="U185" s="48"/>
      <c r="V185" s="51">
        <f t="shared" ref="V185:V202" si="34">SUM(J185:U185)</f>
        <v>2</v>
      </c>
      <c r="W185" s="7"/>
      <c r="X185" s="103"/>
      <c r="Y185" s="103"/>
      <c r="Z185" s="7"/>
    </row>
    <row r="186" ht="14.25" customHeight="1">
      <c r="A186" s="7"/>
      <c r="B186" s="94" t="s">
        <v>344</v>
      </c>
      <c r="C186" s="44"/>
      <c r="D186" s="44"/>
      <c r="E186" s="53"/>
      <c r="F186" s="54"/>
      <c r="G186" s="55"/>
      <c r="H186" s="56"/>
      <c r="I186" s="45" t="s">
        <v>250</v>
      </c>
      <c r="J186" s="84"/>
      <c r="K186" s="57"/>
      <c r="L186" s="61"/>
      <c r="M186" s="57">
        <v>39737.0</v>
      </c>
      <c r="N186" s="83">
        <v>39737.0</v>
      </c>
      <c r="O186" s="57"/>
      <c r="P186" s="48"/>
      <c r="Q186" s="48"/>
      <c r="R186" s="48"/>
      <c r="S186" s="57"/>
      <c r="T186" s="57"/>
      <c r="U186" s="48"/>
      <c r="V186" s="51">
        <f t="shared" si="34"/>
        <v>79474</v>
      </c>
      <c r="W186" s="7"/>
      <c r="X186" s="103"/>
      <c r="Y186" s="103"/>
      <c r="Z186" s="7"/>
    </row>
    <row r="187" ht="14.25" customHeight="1">
      <c r="A187" s="7"/>
      <c r="B187" s="94" t="s">
        <v>345</v>
      </c>
      <c r="C187" s="44"/>
      <c r="D187" s="44"/>
      <c r="E187" s="46"/>
      <c r="F187" s="46">
        <v>2.0</v>
      </c>
      <c r="G187" s="45" t="s">
        <v>252</v>
      </c>
      <c r="H187" s="32"/>
      <c r="I187" s="45" t="s">
        <v>249</v>
      </c>
      <c r="J187" s="48">
        <v>55.0</v>
      </c>
      <c r="K187" s="57">
        <v>42.0</v>
      </c>
      <c r="L187" s="57">
        <v>57.0</v>
      </c>
      <c r="M187" s="57">
        <v>61.0</v>
      </c>
      <c r="N187" s="83">
        <v>47.0</v>
      </c>
      <c r="O187" s="57"/>
      <c r="P187" s="48"/>
      <c r="Q187" s="48"/>
      <c r="R187" s="48"/>
      <c r="S187" s="57"/>
      <c r="T187" s="79"/>
      <c r="U187" s="48"/>
      <c r="V187" s="51">
        <f t="shared" si="34"/>
        <v>262</v>
      </c>
      <c r="W187" s="7"/>
      <c r="X187" s="103"/>
      <c r="Y187" s="103"/>
      <c r="Z187" s="7"/>
    </row>
    <row r="188" ht="14.25" customHeight="1">
      <c r="A188" s="7"/>
      <c r="B188" s="94" t="s">
        <v>345</v>
      </c>
      <c r="C188" s="44"/>
      <c r="D188" s="44"/>
      <c r="E188" s="44"/>
      <c r="F188" s="54"/>
      <c r="G188" s="55"/>
      <c r="H188" s="56"/>
      <c r="I188" s="45" t="s">
        <v>250</v>
      </c>
      <c r="J188" s="48">
        <v>443900.0</v>
      </c>
      <c r="K188" s="57">
        <v>316905.0</v>
      </c>
      <c r="L188" s="57">
        <v>483500.0</v>
      </c>
      <c r="M188" s="57">
        <v>479884.0</v>
      </c>
      <c r="N188" s="83">
        <v>428459.0</v>
      </c>
      <c r="O188" s="57"/>
      <c r="P188" s="48"/>
      <c r="Q188" s="48"/>
      <c r="R188" s="48"/>
      <c r="S188" s="57"/>
      <c r="T188" s="79"/>
      <c r="U188" s="48"/>
      <c r="V188" s="51">
        <f t="shared" si="34"/>
        <v>2152648</v>
      </c>
      <c r="W188" s="7"/>
      <c r="X188" s="103"/>
      <c r="Y188" s="103"/>
      <c r="Z188" s="7"/>
    </row>
    <row r="189" ht="14.25" customHeight="1">
      <c r="A189" s="7"/>
      <c r="B189" s="94" t="s">
        <v>346</v>
      </c>
      <c r="C189" s="44"/>
      <c r="D189" s="44"/>
      <c r="E189" s="53"/>
      <c r="F189" s="46">
        <v>3.0</v>
      </c>
      <c r="G189" s="45" t="s">
        <v>254</v>
      </c>
      <c r="H189" s="32"/>
      <c r="I189" s="45" t="s">
        <v>249</v>
      </c>
      <c r="J189" s="48">
        <v>46.0</v>
      </c>
      <c r="K189" s="57">
        <v>53.0</v>
      </c>
      <c r="L189" s="57">
        <v>56.0</v>
      </c>
      <c r="M189" s="57">
        <v>47.0</v>
      </c>
      <c r="N189" s="83">
        <v>52.0</v>
      </c>
      <c r="O189" s="57"/>
      <c r="P189" s="48"/>
      <c r="Q189" s="48"/>
      <c r="R189" s="48"/>
      <c r="S189" s="57"/>
      <c r="T189" s="84"/>
      <c r="U189" s="48"/>
      <c r="V189" s="51">
        <f t="shared" si="34"/>
        <v>254</v>
      </c>
      <c r="W189" s="7"/>
      <c r="X189" s="103"/>
      <c r="Y189" s="103"/>
      <c r="Z189" s="7"/>
    </row>
    <row r="190" ht="14.25" customHeight="1">
      <c r="A190" s="7"/>
      <c r="B190" s="94" t="s">
        <v>346</v>
      </c>
      <c r="C190" s="44"/>
      <c r="D190" s="44"/>
      <c r="E190" s="53"/>
      <c r="F190" s="54"/>
      <c r="G190" s="55"/>
      <c r="H190" s="56"/>
      <c r="I190" s="45" t="s">
        <v>250</v>
      </c>
      <c r="J190" s="48">
        <v>313486.0</v>
      </c>
      <c r="K190" s="57">
        <v>392102.0</v>
      </c>
      <c r="L190" s="57">
        <v>433192.0</v>
      </c>
      <c r="M190" s="57">
        <v>336031.0</v>
      </c>
      <c r="N190" s="83">
        <v>400779.0</v>
      </c>
      <c r="O190" s="57"/>
      <c r="P190" s="48"/>
      <c r="Q190" s="48"/>
      <c r="R190" s="48"/>
      <c r="S190" s="57"/>
      <c r="T190" s="84"/>
      <c r="U190" s="48"/>
      <c r="V190" s="51">
        <f t="shared" si="34"/>
        <v>1875590</v>
      </c>
      <c r="W190" s="7"/>
      <c r="X190" s="103"/>
      <c r="Y190" s="103"/>
      <c r="Z190" s="7"/>
    </row>
    <row r="191" ht="14.25" customHeight="1">
      <c r="A191" s="7"/>
      <c r="B191" s="94" t="s">
        <v>347</v>
      </c>
      <c r="C191" s="44"/>
      <c r="D191" s="44"/>
      <c r="E191" s="46"/>
      <c r="F191" s="46">
        <v>4.0</v>
      </c>
      <c r="G191" s="45" t="s">
        <v>256</v>
      </c>
      <c r="H191" s="32"/>
      <c r="I191" s="45" t="s">
        <v>249</v>
      </c>
      <c r="J191" s="48">
        <v>13.0</v>
      </c>
      <c r="K191" s="57">
        <v>11.0</v>
      </c>
      <c r="L191" s="57">
        <v>13.0</v>
      </c>
      <c r="M191" s="57">
        <v>13.0</v>
      </c>
      <c r="N191" s="83">
        <v>15.0</v>
      </c>
      <c r="O191" s="57"/>
      <c r="P191" s="48"/>
      <c r="Q191" s="48"/>
      <c r="R191" s="48"/>
      <c r="S191" s="57"/>
      <c r="T191" s="84"/>
      <c r="U191" s="48"/>
      <c r="V191" s="51">
        <f t="shared" si="34"/>
        <v>65</v>
      </c>
      <c r="W191" s="7"/>
      <c r="X191" s="103"/>
      <c r="Y191" s="103"/>
      <c r="Z191" s="7"/>
    </row>
    <row r="192" ht="14.25" customHeight="1">
      <c r="A192" s="7"/>
      <c r="B192" s="94" t="s">
        <v>347</v>
      </c>
      <c r="C192" s="44"/>
      <c r="D192" s="44"/>
      <c r="E192" s="44"/>
      <c r="F192" s="54"/>
      <c r="G192" s="55"/>
      <c r="H192" s="56"/>
      <c r="I192" s="45" t="s">
        <v>250</v>
      </c>
      <c r="J192" s="48">
        <v>56800.0</v>
      </c>
      <c r="K192" s="57">
        <v>50700.0</v>
      </c>
      <c r="L192" s="57">
        <v>56700.0</v>
      </c>
      <c r="M192" s="57">
        <v>53092.0</v>
      </c>
      <c r="N192" s="83">
        <v>63806.0</v>
      </c>
      <c r="O192" s="57"/>
      <c r="P192" s="48"/>
      <c r="Q192" s="48"/>
      <c r="R192" s="48"/>
      <c r="S192" s="57"/>
      <c r="T192" s="79"/>
      <c r="U192" s="48"/>
      <c r="V192" s="51">
        <f t="shared" si="34"/>
        <v>281098</v>
      </c>
      <c r="W192" s="7"/>
      <c r="X192" s="7"/>
      <c r="Y192" s="103"/>
      <c r="Z192" s="7"/>
    </row>
    <row r="193" ht="14.25" customHeight="1">
      <c r="A193" s="7"/>
      <c r="B193" s="94" t="s">
        <v>348</v>
      </c>
      <c r="C193" s="44"/>
      <c r="D193" s="44"/>
      <c r="E193" s="46"/>
      <c r="F193" s="46">
        <v>5.0</v>
      </c>
      <c r="G193" s="45" t="s">
        <v>258</v>
      </c>
      <c r="H193" s="32"/>
      <c r="I193" s="45" t="s">
        <v>249</v>
      </c>
      <c r="J193" s="48">
        <v>33.0</v>
      </c>
      <c r="K193" s="57">
        <v>34.0</v>
      </c>
      <c r="L193" s="57">
        <v>26.0</v>
      </c>
      <c r="M193" s="57">
        <v>27.0</v>
      </c>
      <c r="N193" s="83">
        <v>22.0</v>
      </c>
      <c r="O193" s="57"/>
      <c r="P193" s="48"/>
      <c r="Q193" s="48"/>
      <c r="R193" s="48"/>
      <c r="S193" s="57"/>
      <c r="T193" s="84"/>
      <c r="U193" s="48"/>
      <c r="V193" s="51">
        <f t="shared" si="34"/>
        <v>142</v>
      </c>
      <c r="W193" s="7"/>
      <c r="X193" s="7"/>
      <c r="Y193" s="103"/>
      <c r="Z193" s="7"/>
    </row>
    <row r="194" ht="14.25" customHeight="1">
      <c r="A194" s="7"/>
      <c r="B194" s="94" t="s">
        <v>348</v>
      </c>
      <c r="C194" s="44"/>
      <c r="D194" s="44"/>
      <c r="E194" s="66"/>
      <c r="F194" s="54"/>
      <c r="G194" s="55"/>
      <c r="H194" s="56"/>
      <c r="I194" s="45" t="s">
        <v>250</v>
      </c>
      <c r="J194" s="48">
        <v>1934606.0</v>
      </c>
      <c r="K194" s="57">
        <v>911059.0</v>
      </c>
      <c r="L194" s="57">
        <v>564855.0</v>
      </c>
      <c r="M194" s="57">
        <v>673395.0</v>
      </c>
      <c r="N194" s="83">
        <v>509568.0</v>
      </c>
      <c r="O194" s="57"/>
      <c r="P194" s="48"/>
      <c r="Q194" s="48"/>
      <c r="R194" s="48"/>
      <c r="S194" s="57"/>
      <c r="T194" s="79"/>
      <c r="U194" s="48"/>
      <c r="V194" s="51">
        <f t="shared" si="34"/>
        <v>4593483</v>
      </c>
      <c r="W194" s="7"/>
      <c r="X194" s="7"/>
      <c r="Y194" s="103"/>
      <c r="Z194" s="7"/>
    </row>
    <row r="195" ht="14.25" customHeight="1">
      <c r="A195" s="7"/>
      <c r="B195" s="94" t="s">
        <v>349</v>
      </c>
      <c r="C195" s="44"/>
      <c r="D195" s="44"/>
      <c r="E195" s="46"/>
      <c r="F195" s="46">
        <v>6.0</v>
      </c>
      <c r="G195" s="45" t="s">
        <v>260</v>
      </c>
      <c r="H195" s="32"/>
      <c r="I195" s="45" t="s">
        <v>249</v>
      </c>
      <c r="J195" s="63"/>
      <c r="K195" s="61"/>
      <c r="L195" s="61"/>
      <c r="M195" s="57">
        <v>0.0</v>
      </c>
      <c r="N195" s="86"/>
      <c r="O195" s="57"/>
      <c r="P195" s="48"/>
      <c r="Q195" s="48"/>
      <c r="R195" s="48"/>
      <c r="S195" s="57"/>
      <c r="T195" s="57"/>
      <c r="U195" s="48"/>
      <c r="V195" s="51">
        <f t="shared" si="34"/>
        <v>0</v>
      </c>
      <c r="W195" s="7"/>
      <c r="X195" s="7"/>
      <c r="Y195" s="103"/>
      <c r="Z195" s="7"/>
    </row>
    <row r="196" ht="14.25" customHeight="1">
      <c r="A196" s="7"/>
      <c r="B196" s="94" t="s">
        <v>349</v>
      </c>
      <c r="C196" s="44"/>
      <c r="D196" s="44"/>
      <c r="E196" s="66"/>
      <c r="F196" s="54"/>
      <c r="G196" s="55"/>
      <c r="H196" s="56"/>
      <c r="I196" s="45" t="s">
        <v>250</v>
      </c>
      <c r="J196" s="63"/>
      <c r="K196" s="61"/>
      <c r="L196" s="61"/>
      <c r="M196" s="57">
        <v>0.0</v>
      </c>
      <c r="N196" s="86"/>
      <c r="O196" s="57"/>
      <c r="P196" s="48"/>
      <c r="Q196" s="48"/>
      <c r="R196" s="48"/>
      <c r="S196" s="57"/>
      <c r="T196" s="57"/>
      <c r="U196" s="48"/>
      <c r="V196" s="51">
        <f t="shared" si="34"/>
        <v>0</v>
      </c>
      <c r="W196" s="7"/>
      <c r="X196" s="7"/>
      <c r="Y196" s="103"/>
      <c r="Z196" s="7"/>
    </row>
    <row r="197" ht="14.25" customHeight="1">
      <c r="A197" s="7"/>
      <c r="B197" s="94" t="s">
        <v>350</v>
      </c>
      <c r="C197" s="44"/>
      <c r="D197" s="44"/>
      <c r="E197" s="46"/>
      <c r="F197" s="95">
        <v>7.0</v>
      </c>
      <c r="G197" s="45" t="s">
        <v>262</v>
      </c>
      <c r="H197" s="32"/>
      <c r="I197" s="45" t="s">
        <v>249</v>
      </c>
      <c r="J197" s="63"/>
      <c r="K197" s="61"/>
      <c r="L197" s="61"/>
      <c r="M197" s="48">
        <v>0.0</v>
      </c>
      <c r="N197" s="86"/>
      <c r="O197" s="57"/>
      <c r="P197" s="48"/>
      <c r="Q197" s="48"/>
      <c r="R197" s="48"/>
      <c r="S197" s="57"/>
      <c r="T197" s="57"/>
      <c r="U197" s="48"/>
      <c r="V197" s="51">
        <f t="shared" si="34"/>
        <v>0</v>
      </c>
      <c r="W197" s="7"/>
      <c r="X197" s="7"/>
      <c r="Y197" s="103"/>
      <c r="Z197" s="7"/>
    </row>
    <row r="198" ht="14.25" customHeight="1">
      <c r="A198" s="7"/>
      <c r="B198" s="94" t="s">
        <v>350</v>
      </c>
      <c r="C198" s="44"/>
      <c r="D198" s="44"/>
      <c r="E198" s="46"/>
      <c r="F198" s="54"/>
      <c r="G198" s="55"/>
      <c r="H198" s="56"/>
      <c r="I198" s="45" t="s">
        <v>250</v>
      </c>
      <c r="J198" s="63"/>
      <c r="K198" s="61"/>
      <c r="L198" s="61"/>
      <c r="M198" s="48">
        <v>0.0</v>
      </c>
      <c r="N198" s="86"/>
      <c r="O198" s="57"/>
      <c r="P198" s="48"/>
      <c r="Q198" s="48"/>
      <c r="R198" s="48"/>
      <c r="S198" s="57"/>
      <c r="T198" s="57"/>
      <c r="U198" s="48"/>
      <c r="V198" s="51">
        <f t="shared" si="34"/>
        <v>0</v>
      </c>
      <c r="W198" s="7"/>
      <c r="X198" s="7"/>
      <c r="Y198" s="103"/>
      <c r="Z198" s="7"/>
    </row>
    <row r="199" ht="14.25" customHeight="1">
      <c r="A199" s="7"/>
      <c r="B199" s="94" t="s">
        <v>351</v>
      </c>
      <c r="C199" s="44"/>
      <c r="D199" s="44"/>
      <c r="E199" s="53"/>
      <c r="F199" s="96">
        <v>8.0</v>
      </c>
      <c r="G199" s="55" t="s">
        <v>322</v>
      </c>
      <c r="H199" s="32"/>
      <c r="I199" s="45" t="s">
        <v>249</v>
      </c>
      <c r="J199" s="48">
        <v>67.0</v>
      </c>
      <c r="K199" s="57">
        <v>72.0</v>
      </c>
      <c r="L199" s="57">
        <v>80.0</v>
      </c>
      <c r="M199" s="48">
        <v>84.0</v>
      </c>
      <c r="N199" s="83">
        <v>99.0</v>
      </c>
      <c r="O199" s="57"/>
      <c r="P199" s="48"/>
      <c r="Q199" s="48"/>
      <c r="R199" s="48"/>
      <c r="S199" s="57"/>
      <c r="T199" s="84"/>
      <c r="U199" s="48"/>
      <c r="V199" s="51">
        <f t="shared" si="34"/>
        <v>402</v>
      </c>
      <c r="W199" s="104"/>
      <c r="X199" s="104"/>
      <c r="Y199" s="103"/>
      <c r="Z199" s="7"/>
    </row>
    <row r="200" ht="14.25" customHeight="1">
      <c r="A200" s="7"/>
      <c r="B200" s="94" t="s">
        <v>351</v>
      </c>
      <c r="C200" s="44"/>
      <c r="D200" s="44"/>
      <c r="E200" s="53"/>
      <c r="F200" s="96"/>
      <c r="G200" s="55"/>
      <c r="H200" s="56"/>
      <c r="I200" s="45" t="s">
        <v>250</v>
      </c>
      <c r="J200" s="48">
        <v>170669.0</v>
      </c>
      <c r="K200" s="57">
        <v>138361.0</v>
      </c>
      <c r="L200" s="57">
        <v>168021.0</v>
      </c>
      <c r="M200" s="57">
        <v>148690.0</v>
      </c>
      <c r="N200" s="83">
        <v>163908.0</v>
      </c>
      <c r="O200" s="57"/>
      <c r="P200" s="48"/>
      <c r="Q200" s="48"/>
      <c r="R200" s="48"/>
      <c r="S200" s="57"/>
      <c r="T200" s="79"/>
      <c r="U200" s="48"/>
      <c r="V200" s="51">
        <f t="shared" si="34"/>
        <v>789649</v>
      </c>
      <c r="W200" s="7"/>
      <c r="X200" s="7"/>
      <c r="Y200" s="103"/>
      <c r="Z200" s="7"/>
    </row>
    <row r="201" ht="14.25" customHeight="1">
      <c r="A201" s="7"/>
      <c r="B201" s="94" t="s">
        <v>352</v>
      </c>
      <c r="C201" s="44"/>
      <c r="D201" s="44"/>
      <c r="E201" s="46"/>
      <c r="F201" s="96">
        <v>9.0</v>
      </c>
      <c r="G201" s="80" t="s">
        <v>311</v>
      </c>
      <c r="H201" s="32"/>
      <c r="I201" s="45" t="s">
        <v>249</v>
      </c>
      <c r="J201" s="60"/>
      <c r="K201" s="63"/>
      <c r="L201" s="61"/>
      <c r="M201" s="57">
        <v>0.0</v>
      </c>
      <c r="N201" s="86"/>
      <c r="O201" s="57"/>
      <c r="P201" s="48"/>
      <c r="Q201" s="63"/>
      <c r="R201" s="63"/>
      <c r="S201" s="63"/>
      <c r="T201" s="64"/>
      <c r="U201" s="60"/>
      <c r="V201" s="51">
        <f t="shared" si="34"/>
        <v>0</v>
      </c>
      <c r="W201" s="7"/>
      <c r="X201" s="7"/>
      <c r="Y201" s="103"/>
      <c r="Z201" s="7"/>
    </row>
    <row r="202" ht="14.25" customHeight="1">
      <c r="A202" s="7"/>
      <c r="B202" s="94" t="s">
        <v>352</v>
      </c>
      <c r="C202" s="65"/>
      <c r="D202" s="44"/>
      <c r="E202" s="87"/>
      <c r="F202" s="97"/>
      <c r="G202" s="71"/>
      <c r="H202" s="72"/>
      <c r="I202" s="45" t="s">
        <v>250</v>
      </c>
      <c r="J202" s="60"/>
      <c r="K202" s="63"/>
      <c r="L202" s="61"/>
      <c r="M202" s="57">
        <v>0.0</v>
      </c>
      <c r="N202" s="86"/>
      <c r="O202" s="57"/>
      <c r="P202" s="48"/>
      <c r="Q202" s="63"/>
      <c r="R202" s="63"/>
      <c r="S202" s="63"/>
      <c r="T202" s="64"/>
      <c r="U202" s="60"/>
      <c r="V202" s="51">
        <f t="shared" si="34"/>
        <v>0</v>
      </c>
      <c r="W202" s="7"/>
      <c r="X202" s="7"/>
      <c r="Y202" s="7"/>
      <c r="Z202" s="7"/>
    </row>
    <row r="203" ht="14.25" customHeight="1">
      <c r="A203" s="7"/>
      <c r="B203" s="94"/>
      <c r="C203" s="65"/>
      <c r="D203" s="44"/>
      <c r="E203" s="45"/>
      <c r="F203" s="31"/>
      <c r="G203" s="31"/>
      <c r="H203" s="32"/>
      <c r="I203" s="45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7"/>
      <c r="X203" s="7"/>
      <c r="Y203" s="7"/>
      <c r="Z203" s="7"/>
    </row>
    <row r="204" ht="14.25" customHeight="1">
      <c r="A204" s="7"/>
      <c r="B204" s="94"/>
      <c r="C204" s="65"/>
      <c r="D204" s="90" t="s">
        <v>353</v>
      </c>
      <c r="E204" s="18"/>
      <c r="F204" s="18"/>
      <c r="G204" s="18"/>
      <c r="H204" s="19"/>
      <c r="I204" s="45" t="s">
        <v>249</v>
      </c>
      <c r="J204" s="51">
        <f t="shared" ref="J204:V204" si="35">SUMIF($I$165:$V$202,$I204,J$165:J$202)</f>
        <v>256</v>
      </c>
      <c r="K204" s="51">
        <f t="shared" si="35"/>
        <v>266</v>
      </c>
      <c r="L204" s="51">
        <f t="shared" si="35"/>
        <v>287</v>
      </c>
      <c r="M204" s="51">
        <f t="shared" si="35"/>
        <v>273</v>
      </c>
      <c r="N204" s="51">
        <f t="shared" si="35"/>
        <v>292</v>
      </c>
      <c r="O204" s="51">
        <f t="shared" si="35"/>
        <v>0</v>
      </c>
      <c r="P204" s="51">
        <f t="shared" si="35"/>
        <v>0</v>
      </c>
      <c r="Q204" s="51">
        <f t="shared" si="35"/>
        <v>0</v>
      </c>
      <c r="R204" s="51">
        <f t="shared" si="35"/>
        <v>0</v>
      </c>
      <c r="S204" s="51">
        <f t="shared" si="35"/>
        <v>0</v>
      </c>
      <c r="T204" s="51">
        <f t="shared" si="35"/>
        <v>0</v>
      </c>
      <c r="U204" s="51">
        <f t="shared" si="35"/>
        <v>0</v>
      </c>
      <c r="V204" s="51">
        <f t="shared" si="35"/>
        <v>1374</v>
      </c>
      <c r="W204" s="7"/>
      <c r="X204" s="7"/>
      <c r="Y204" s="7"/>
      <c r="Z204" s="7"/>
    </row>
    <row r="205" ht="14.25" customHeight="1">
      <c r="A205" s="7"/>
      <c r="B205" s="94"/>
      <c r="C205" s="65"/>
      <c r="D205" s="26"/>
      <c r="E205" s="27"/>
      <c r="F205" s="27"/>
      <c r="G205" s="27"/>
      <c r="H205" s="28"/>
      <c r="I205" s="45" t="s">
        <v>250</v>
      </c>
      <c r="J205" s="51">
        <f t="shared" ref="J205:V205" si="36">SUMIF($I$165:$V$202,$I205,J$165:J$202)</f>
        <v>3694928</v>
      </c>
      <c r="K205" s="51">
        <f t="shared" si="36"/>
        <v>2707202</v>
      </c>
      <c r="L205" s="51">
        <f t="shared" si="36"/>
        <v>2604196</v>
      </c>
      <c r="M205" s="51">
        <f t="shared" si="36"/>
        <v>2438165</v>
      </c>
      <c r="N205" s="51">
        <f t="shared" si="36"/>
        <v>2636012</v>
      </c>
      <c r="O205" s="51">
        <f t="shared" si="36"/>
        <v>0</v>
      </c>
      <c r="P205" s="51">
        <f t="shared" si="36"/>
        <v>0</v>
      </c>
      <c r="Q205" s="51">
        <f t="shared" si="36"/>
        <v>0</v>
      </c>
      <c r="R205" s="51">
        <f t="shared" si="36"/>
        <v>0</v>
      </c>
      <c r="S205" s="51">
        <f t="shared" si="36"/>
        <v>0</v>
      </c>
      <c r="T205" s="51">
        <f t="shared" si="36"/>
        <v>0</v>
      </c>
      <c r="U205" s="51">
        <f t="shared" si="36"/>
        <v>0</v>
      </c>
      <c r="V205" s="51">
        <f t="shared" si="36"/>
        <v>14080503</v>
      </c>
      <c r="W205" s="7"/>
      <c r="X205" s="7"/>
      <c r="Y205" s="7"/>
      <c r="Z205" s="7"/>
    </row>
    <row r="206" ht="14.25" customHeight="1">
      <c r="A206" s="7"/>
      <c r="B206" s="94"/>
      <c r="C206" s="65"/>
      <c r="D206" s="91"/>
      <c r="E206" s="92"/>
      <c r="F206" s="92"/>
      <c r="G206" s="92"/>
      <c r="H206" s="93"/>
      <c r="I206" s="45"/>
      <c r="J206" s="43">
        <f t="shared" ref="J206:P206" si="37">J185+J187+J189+J191+J193+J195+J197+J199+J201</f>
        <v>214</v>
      </c>
      <c r="K206" s="43">
        <f t="shared" si="37"/>
        <v>212</v>
      </c>
      <c r="L206" s="43">
        <f t="shared" si="37"/>
        <v>232</v>
      </c>
      <c r="M206" s="43">
        <f t="shared" si="37"/>
        <v>233</v>
      </c>
      <c r="N206" s="43">
        <f t="shared" si="37"/>
        <v>236</v>
      </c>
      <c r="O206" s="43">
        <f t="shared" si="37"/>
        <v>0</v>
      </c>
      <c r="P206" s="43">
        <f t="shared" si="37"/>
        <v>0</v>
      </c>
      <c r="Q206" s="43">
        <f t="shared" ref="Q206:Q207" si="40">Q204-Q183</f>
        <v>0</v>
      </c>
      <c r="R206" s="43">
        <f t="shared" ref="R206:U206" si="38">R185+R187+R189+R191+R193+R195+R197+R199+R201</f>
        <v>0</v>
      </c>
      <c r="S206" s="43">
        <f t="shared" si="38"/>
        <v>0</v>
      </c>
      <c r="T206" s="43">
        <f t="shared" si="38"/>
        <v>0</v>
      </c>
      <c r="U206" s="43">
        <f t="shared" si="38"/>
        <v>0</v>
      </c>
      <c r="V206" s="43"/>
      <c r="W206" s="7"/>
      <c r="X206" s="7"/>
      <c r="Y206" s="7"/>
      <c r="Z206" s="7"/>
    </row>
    <row r="207" ht="14.25" customHeight="1">
      <c r="A207" s="7"/>
      <c r="B207" s="94"/>
      <c r="C207" s="44">
        <v>5.0</v>
      </c>
      <c r="D207" s="45" t="s">
        <v>354</v>
      </c>
      <c r="E207" s="31"/>
      <c r="F207" s="31"/>
      <c r="G207" s="31"/>
      <c r="H207" s="32"/>
      <c r="I207" s="45"/>
      <c r="J207" s="43">
        <f t="shared" ref="J207:P207" si="39">J186+J188+J190+J192+J194+J196+J198+J200+J202</f>
        <v>2919461</v>
      </c>
      <c r="K207" s="43">
        <f t="shared" si="39"/>
        <v>1809127</v>
      </c>
      <c r="L207" s="43">
        <f t="shared" si="39"/>
        <v>1706268</v>
      </c>
      <c r="M207" s="43">
        <f t="shared" si="39"/>
        <v>1730829</v>
      </c>
      <c r="N207" s="43">
        <f t="shared" si="39"/>
        <v>1606257</v>
      </c>
      <c r="O207" s="43">
        <f t="shared" si="39"/>
        <v>0</v>
      </c>
      <c r="P207" s="43">
        <f t="shared" si="39"/>
        <v>0</v>
      </c>
      <c r="Q207" s="43">
        <f t="shared" si="40"/>
        <v>0</v>
      </c>
      <c r="R207" s="43">
        <f t="shared" ref="R207:U207" si="41">R186+R188+R190+R192+R194+R196+R198+R200+R202</f>
        <v>0</v>
      </c>
      <c r="S207" s="43">
        <f t="shared" si="41"/>
        <v>0</v>
      </c>
      <c r="T207" s="43">
        <f t="shared" si="41"/>
        <v>0</v>
      </c>
      <c r="U207" s="43">
        <f t="shared" si="41"/>
        <v>0</v>
      </c>
      <c r="V207" s="43"/>
      <c r="W207" s="7"/>
      <c r="X207" s="7"/>
      <c r="Y207" s="7"/>
      <c r="Z207" s="7"/>
    </row>
    <row r="208" ht="14.25" customHeight="1">
      <c r="A208" s="7"/>
      <c r="B208" s="94"/>
      <c r="C208" s="65"/>
      <c r="D208" s="44">
        <v>1.0</v>
      </c>
      <c r="E208" s="45" t="s">
        <v>245</v>
      </c>
      <c r="F208" s="31"/>
      <c r="G208" s="31"/>
      <c r="H208" s="32"/>
      <c r="I208" s="45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7"/>
      <c r="X208" s="7"/>
      <c r="Y208" s="7"/>
      <c r="Z208" s="7"/>
    </row>
    <row r="209" ht="14.25" customHeight="1">
      <c r="A209" s="7"/>
      <c r="B209" s="94"/>
      <c r="C209" s="44"/>
      <c r="D209" s="44"/>
      <c r="E209" s="46">
        <v>1.0</v>
      </c>
      <c r="F209" s="45" t="s">
        <v>246</v>
      </c>
      <c r="G209" s="31"/>
      <c r="H209" s="32"/>
      <c r="I209" s="42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7"/>
      <c r="X209" s="7"/>
      <c r="Y209" s="7"/>
      <c r="Z209" s="7"/>
    </row>
    <row r="210" ht="14.25" customHeight="1">
      <c r="A210" s="7"/>
      <c r="B210" s="94" t="s">
        <v>355</v>
      </c>
      <c r="C210" s="44"/>
      <c r="D210" s="44"/>
      <c r="E210" s="46"/>
      <c r="F210" s="46">
        <v>1.0</v>
      </c>
      <c r="G210" s="45" t="s">
        <v>248</v>
      </c>
      <c r="H210" s="32"/>
      <c r="I210" s="45" t="s">
        <v>249</v>
      </c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51">
        <f t="shared" ref="V210:V227" si="42">SUM(J210:U210)</f>
        <v>0</v>
      </c>
      <c r="W210" s="7"/>
      <c r="X210" s="7"/>
      <c r="Y210" s="7"/>
      <c r="Z210" s="7"/>
    </row>
    <row r="211" ht="14.25" customHeight="1">
      <c r="A211" s="7"/>
      <c r="B211" s="94" t="s">
        <v>355</v>
      </c>
      <c r="C211" s="44"/>
      <c r="D211" s="44"/>
      <c r="E211" s="53"/>
      <c r="F211" s="54"/>
      <c r="G211" s="55"/>
      <c r="H211" s="56"/>
      <c r="I211" s="45" t="s">
        <v>250</v>
      </c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51">
        <f t="shared" si="42"/>
        <v>0</v>
      </c>
      <c r="W211" s="7"/>
      <c r="X211" s="7"/>
      <c r="Y211" s="7"/>
      <c r="Z211" s="7"/>
    </row>
    <row r="212" ht="14.25" customHeight="1">
      <c r="A212" s="7"/>
      <c r="B212" s="94" t="s">
        <v>356</v>
      </c>
      <c r="C212" s="44"/>
      <c r="D212" s="44"/>
      <c r="E212" s="46"/>
      <c r="F212" s="46">
        <v>2.0</v>
      </c>
      <c r="G212" s="45" t="s">
        <v>252</v>
      </c>
      <c r="H212" s="32"/>
      <c r="I212" s="45" t="s">
        <v>249</v>
      </c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51">
        <f t="shared" si="42"/>
        <v>0</v>
      </c>
      <c r="W212" s="7"/>
      <c r="X212" s="7"/>
      <c r="Y212" s="7"/>
      <c r="Z212" s="7"/>
    </row>
    <row r="213" ht="14.25" customHeight="1">
      <c r="A213" s="7"/>
      <c r="B213" s="94" t="s">
        <v>356</v>
      </c>
      <c r="C213" s="44"/>
      <c r="D213" s="44"/>
      <c r="E213" s="44"/>
      <c r="F213" s="54"/>
      <c r="G213" s="55"/>
      <c r="H213" s="56"/>
      <c r="I213" s="45" t="s">
        <v>250</v>
      </c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51">
        <f t="shared" si="42"/>
        <v>0</v>
      </c>
      <c r="W213" s="7"/>
      <c r="X213" s="7"/>
      <c r="Y213" s="7"/>
      <c r="Z213" s="7"/>
    </row>
    <row r="214" ht="14.25" customHeight="1">
      <c r="A214" s="7"/>
      <c r="B214" s="94" t="s">
        <v>357</v>
      </c>
      <c r="C214" s="44"/>
      <c r="D214" s="44"/>
      <c r="E214" s="53"/>
      <c r="F214" s="46">
        <v>3.0</v>
      </c>
      <c r="G214" s="45" t="s">
        <v>254</v>
      </c>
      <c r="H214" s="32"/>
      <c r="I214" s="45" t="s">
        <v>249</v>
      </c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51">
        <f t="shared" si="42"/>
        <v>0</v>
      </c>
      <c r="W214" s="7"/>
      <c r="X214" s="7"/>
      <c r="Y214" s="7"/>
      <c r="Z214" s="7"/>
    </row>
    <row r="215" ht="14.25" customHeight="1">
      <c r="A215" s="7"/>
      <c r="B215" s="94" t="s">
        <v>357</v>
      </c>
      <c r="C215" s="44"/>
      <c r="D215" s="44"/>
      <c r="E215" s="53"/>
      <c r="F215" s="54"/>
      <c r="G215" s="55"/>
      <c r="H215" s="56"/>
      <c r="I215" s="45" t="s">
        <v>250</v>
      </c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51">
        <f t="shared" si="42"/>
        <v>0</v>
      </c>
      <c r="W215" s="7"/>
      <c r="X215" s="7"/>
      <c r="Y215" s="7"/>
      <c r="Z215" s="7"/>
    </row>
    <row r="216" ht="14.25" customHeight="1">
      <c r="A216" s="7"/>
      <c r="B216" s="94" t="s">
        <v>358</v>
      </c>
      <c r="C216" s="44"/>
      <c r="D216" s="44"/>
      <c r="E216" s="46"/>
      <c r="F216" s="46">
        <v>4.0</v>
      </c>
      <c r="G216" s="45" t="s">
        <v>256</v>
      </c>
      <c r="H216" s="32"/>
      <c r="I216" s="45" t="s">
        <v>249</v>
      </c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51">
        <f t="shared" si="42"/>
        <v>0</v>
      </c>
      <c r="W216" s="7"/>
      <c r="X216" s="7"/>
      <c r="Y216" s="7"/>
      <c r="Z216" s="7"/>
    </row>
    <row r="217" ht="14.25" customHeight="1">
      <c r="A217" s="7"/>
      <c r="B217" s="94" t="s">
        <v>358</v>
      </c>
      <c r="C217" s="44"/>
      <c r="D217" s="44"/>
      <c r="E217" s="44"/>
      <c r="F217" s="54"/>
      <c r="G217" s="55"/>
      <c r="H217" s="56"/>
      <c r="I217" s="45" t="s">
        <v>250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51">
        <f t="shared" si="42"/>
        <v>0</v>
      </c>
      <c r="W217" s="7"/>
      <c r="X217" s="7"/>
      <c r="Y217" s="7"/>
      <c r="Z217" s="7"/>
    </row>
    <row r="218" ht="14.25" customHeight="1">
      <c r="A218" s="7"/>
      <c r="B218" s="94" t="s">
        <v>359</v>
      </c>
      <c r="C218" s="44"/>
      <c r="D218" s="44"/>
      <c r="E218" s="46"/>
      <c r="F218" s="46">
        <v>5.0</v>
      </c>
      <c r="G218" s="45" t="s">
        <v>258</v>
      </c>
      <c r="H218" s="32"/>
      <c r="I218" s="45" t="s">
        <v>249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51">
        <f t="shared" si="42"/>
        <v>0</v>
      </c>
      <c r="W218" s="7"/>
      <c r="X218" s="7"/>
      <c r="Y218" s="7"/>
      <c r="Z218" s="7"/>
    </row>
    <row r="219" ht="14.25" customHeight="1">
      <c r="A219" s="7"/>
      <c r="B219" s="94" t="s">
        <v>359</v>
      </c>
      <c r="C219" s="44"/>
      <c r="D219" s="44"/>
      <c r="E219" s="66"/>
      <c r="F219" s="54"/>
      <c r="G219" s="55"/>
      <c r="H219" s="56"/>
      <c r="I219" s="45" t="s">
        <v>250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51">
        <f t="shared" si="42"/>
        <v>0</v>
      </c>
      <c r="W219" s="7"/>
      <c r="X219" s="7"/>
      <c r="Y219" s="7"/>
      <c r="Z219" s="7"/>
    </row>
    <row r="220" ht="14.25" customHeight="1">
      <c r="A220" s="7"/>
      <c r="B220" s="94" t="s">
        <v>360</v>
      </c>
      <c r="C220" s="44"/>
      <c r="D220" s="44"/>
      <c r="E220" s="46"/>
      <c r="F220" s="46">
        <v>6.0</v>
      </c>
      <c r="G220" s="45" t="s">
        <v>260</v>
      </c>
      <c r="H220" s="32"/>
      <c r="I220" s="45" t="s">
        <v>249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51">
        <f t="shared" si="42"/>
        <v>0</v>
      </c>
      <c r="W220" s="7"/>
      <c r="X220" s="7"/>
      <c r="Y220" s="7"/>
      <c r="Z220" s="7"/>
    </row>
    <row r="221" ht="14.25" customHeight="1">
      <c r="A221" s="7"/>
      <c r="B221" s="94" t="s">
        <v>360</v>
      </c>
      <c r="C221" s="44"/>
      <c r="D221" s="44"/>
      <c r="E221" s="66"/>
      <c r="F221" s="54"/>
      <c r="G221" s="55"/>
      <c r="H221" s="56"/>
      <c r="I221" s="45" t="s">
        <v>250</v>
      </c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51">
        <f t="shared" si="42"/>
        <v>0</v>
      </c>
      <c r="W221" s="7"/>
      <c r="X221" s="7"/>
      <c r="Y221" s="7"/>
      <c r="Z221" s="7"/>
    </row>
    <row r="222" ht="14.25" customHeight="1">
      <c r="A222" s="7"/>
      <c r="B222" s="94" t="s">
        <v>361</v>
      </c>
      <c r="C222" s="44"/>
      <c r="D222" s="44"/>
      <c r="E222" s="46"/>
      <c r="F222" s="95">
        <v>7.0</v>
      </c>
      <c r="G222" s="45" t="s">
        <v>262</v>
      </c>
      <c r="H222" s="32"/>
      <c r="I222" s="45" t="s">
        <v>249</v>
      </c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51">
        <f t="shared" si="42"/>
        <v>0</v>
      </c>
      <c r="W222" s="7"/>
      <c r="X222" s="7"/>
      <c r="Y222" s="7"/>
      <c r="Z222" s="7"/>
    </row>
    <row r="223" ht="14.25" customHeight="1">
      <c r="A223" s="7"/>
      <c r="B223" s="94" t="s">
        <v>361</v>
      </c>
      <c r="C223" s="44"/>
      <c r="D223" s="44"/>
      <c r="E223" s="46"/>
      <c r="F223" s="54"/>
      <c r="G223" s="55"/>
      <c r="H223" s="56"/>
      <c r="I223" s="45" t="s">
        <v>250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51">
        <f t="shared" si="42"/>
        <v>0</v>
      </c>
      <c r="W223" s="7"/>
      <c r="X223" s="7"/>
      <c r="Y223" s="7"/>
      <c r="Z223" s="7"/>
    </row>
    <row r="224" ht="14.25" customHeight="1">
      <c r="A224" s="7"/>
      <c r="B224" s="94" t="s">
        <v>362</v>
      </c>
      <c r="C224" s="44"/>
      <c r="D224" s="44"/>
      <c r="E224" s="53"/>
      <c r="F224" s="96">
        <v>8.0</v>
      </c>
      <c r="G224" s="55" t="s">
        <v>322</v>
      </c>
      <c r="H224" s="32"/>
      <c r="I224" s="45" t="s">
        <v>249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51">
        <f t="shared" si="42"/>
        <v>0</v>
      </c>
      <c r="W224" s="7"/>
      <c r="X224" s="7"/>
      <c r="Y224" s="7"/>
      <c r="Z224" s="7"/>
    </row>
    <row r="225" ht="14.25" customHeight="1">
      <c r="A225" s="7"/>
      <c r="B225" s="94" t="s">
        <v>362</v>
      </c>
      <c r="C225" s="44"/>
      <c r="D225" s="44"/>
      <c r="E225" s="53"/>
      <c r="F225" s="96"/>
      <c r="G225" s="55"/>
      <c r="H225" s="56"/>
      <c r="I225" s="45" t="s">
        <v>250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51">
        <f t="shared" si="42"/>
        <v>0</v>
      </c>
      <c r="W225" s="7"/>
      <c r="X225" s="7"/>
      <c r="Y225" s="7"/>
      <c r="Z225" s="7"/>
    </row>
    <row r="226" ht="14.25" customHeight="1">
      <c r="A226" s="7"/>
      <c r="B226" s="94" t="s">
        <v>363</v>
      </c>
      <c r="C226" s="44"/>
      <c r="D226" s="44"/>
      <c r="E226" s="46"/>
      <c r="F226" s="96">
        <v>9.0</v>
      </c>
      <c r="G226" s="80" t="s">
        <v>311</v>
      </c>
      <c r="H226" s="32"/>
      <c r="I226" s="45" t="s">
        <v>249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51">
        <f t="shared" si="42"/>
        <v>0</v>
      </c>
      <c r="W226" s="7"/>
      <c r="X226" s="7"/>
      <c r="Y226" s="7"/>
      <c r="Z226" s="7"/>
    </row>
    <row r="227" ht="14.25" customHeight="1">
      <c r="A227" s="7"/>
      <c r="B227" s="94" t="s">
        <v>363</v>
      </c>
      <c r="C227" s="65"/>
      <c r="D227" s="44"/>
      <c r="E227" s="45"/>
      <c r="F227" s="31"/>
      <c r="G227" s="31"/>
      <c r="H227" s="32"/>
      <c r="I227" s="45" t="s">
        <v>250</v>
      </c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51">
        <f t="shared" si="42"/>
        <v>0</v>
      </c>
      <c r="W227" s="7"/>
      <c r="X227" s="7"/>
      <c r="Y227" s="7"/>
      <c r="Z227" s="7"/>
    </row>
    <row r="228" ht="14.25" customHeight="1">
      <c r="A228" s="7"/>
      <c r="B228" s="94"/>
      <c r="C228" s="65"/>
      <c r="D228" s="44">
        <v>2.0</v>
      </c>
      <c r="E228" s="45" t="s">
        <v>281</v>
      </c>
      <c r="F228" s="31"/>
      <c r="G228" s="31"/>
      <c r="H228" s="32"/>
      <c r="I228" s="45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7"/>
      <c r="X228" s="7"/>
      <c r="Y228" s="7"/>
      <c r="Z228" s="7"/>
    </row>
    <row r="229" ht="14.25" customHeight="1">
      <c r="A229" s="7"/>
      <c r="B229" s="94"/>
      <c r="C229" s="44"/>
      <c r="D229" s="44"/>
      <c r="E229" s="46">
        <v>1.0</v>
      </c>
      <c r="F229" s="45" t="s">
        <v>246</v>
      </c>
      <c r="G229" s="31"/>
      <c r="H229" s="32"/>
      <c r="I229" s="42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7"/>
      <c r="X229" s="7"/>
      <c r="Y229" s="7"/>
      <c r="Z229" s="7"/>
    </row>
    <row r="230" ht="14.25" customHeight="1">
      <c r="A230" s="7"/>
      <c r="B230" s="94" t="s">
        <v>364</v>
      </c>
      <c r="C230" s="44"/>
      <c r="D230" s="44"/>
      <c r="E230" s="46"/>
      <c r="F230" s="46">
        <v>1.0</v>
      </c>
      <c r="G230" s="45" t="s">
        <v>248</v>
      </c>
      <c r="H230" s="32"/>
      <c r="I230" s="45" t="s">
        <v>249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51">
        <f t="shared" ref="V230:V247" si="43">SUM(J230:U230)</f>
        <v>0</v>
      </c>
      <c r="W230" s="7"/>
      <c r="X230" s="7"/>
      <c r="Y230" s="7"/>
      <c r="Z230" s="7"/>
    </row>
    <row r="231" ht="14.25" customHeight="1">
      <c r="A231" s="7"/>
      <c r="B231" s="94" t="s">
        <v>364</v>
      </c>
      <c r="C231" s="44"/>
      <c r="D231" s="44"/>
      <c r="E231" s="53"/>
      <c r="F231" s="54"/>
      <c r="G231" s="55"/>
      <c r="H231" s="56"/>
      <c r="I231" s="45" t="s">
        <v>250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51">
        <f t="shared" si="43"/>
        <v>0</v>
      </c>
      <c r="W231" s="7"/>
      <c r="X231" s="7"/>
      <c r="Y231" s="7"/>
      <c r="Z231" s="7"/>
    </row>
    <row r="232" ht="14.25" customHeight="1">
      <c r="A232" s="7"/>
      <c r="B232" s="94" t="s">
        <v>365</v>
      </c>
      <c r="C232" s="44"/>
      <c r="D232" s="44"/>
      <c r="E232" s="46"/>
      <c r="F232" s="46">
        <v>2.0</v>
      </c>
      <c r="G232" s="45" t="s">
        <v>252</v>
      </c>
      <c r="H232" s="32"/>
      <c r="I232" s="45" t="s">
        <v>249</v>
      </c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51">
        <f t="shared" si="43"/>
        <v>0</v>
      </c>
      <c r="W232" s="7"/>
      <c r="X232" s="7"/>
      <c r="Y232" s="7"/>
      <c r="Z232" s="7"/>
    </row>
    <row r="233" ht="14.25" customHeight="1">
      <c r="A233" s="7"/>
      <c r="B233" s="94" t="s">
        <v>365</v>
      </c>
      <c r="C233" s="44"/>
      <c r="D233" s="44"/>
      <c r="E233" s="44"/>
      <c r="F233" s="54"/>
      <c r="G233" s="55"/>
      <c r="H233" s="56"/>
      <c r="I233" s="45" t="s">
        <v>250</v>
      </c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51">
        <f t="shared" si="43"/>
        <v>0</v>
      </c>
      <c r="W233" s="7"/>
      <c r="X233" s="7"/>
      <c r="Y233" s="7"/>
      <c r="Z233" s="7"/>
    </row>
    <row r="234" ht="14.25" customHeight="1">
      <c r="A234" s="7"/>
      <c r="B234" s="94" t="s">
        <v>366</v>
      </c>
      <c r="C234" s="44"/>
      <c r="D234" s="44"/>
      <c r="E234" s="53"/>
      <c r="F234" s="46">
        <v>3.0</v>
      </c>
      <c r="G234" s="45" t="s">
        <v>254</v>
      </c>
      <c r="H234" s="32"/>
      <c r="I234" s="45" t="s">
        <v>249</v>
      </c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51">
        <f t="shared" si="43"/>
        <v>0</v>
      </c>
      <c r="W234" s="7"/>
      <c r="X234" s="7"/>
      <c r="Y234" s="7"/>
      <c r="Z234" s="7"/>
    </row>
    <row r="235" ht="14.25" customHeight="1">
      <c r="A235" s="7"/>
      <c r="B235" s="94" t="s">
        <v>366</v>
      </c>
      <c r="C235" s="44"/>
      <c r="D235" s="44"/>
      <c r="E235" s="53"/>
      <c r="F235" s="54"/>
      <c r="G235" s="55"/>
      <c r="H235" s="56"/>
      <c r="I235" s="45" t="s">
        <v>250</v>
      </c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51">
        <f t="shared" si="43"/>
        <v>0</v>
      </c>
      <c r="W235" s="7"/>
      <c r="X235" s="7"/>
      <c r="Y235" s="7"/>
      <c r="Z235" s="7"/>
    </row>
    <row r="236" ht="14.25" customHeight="1">
      <c r="A236" s="7"/>
      <c r="B236" s="94" t="s">
        <v>367</v>
      </c>
      <c r="C236" s="44"/>
      <c r="D236" s="44"/>
      <c r="E236" s="46"/>
      <c r="F236" s="46">
        <v>4.0</v>
      </c>
      <c r="G236" s="45" t="s">
        <v>256</v>
      </c>
      <c r="H236" s="32"/>
      <c r="I236" s="45" t="s">
        <v>249</v>
      </c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51">
        <f t="shared" si="43"/>
        <v>0</v>
      </c>
      <c r="W236" s="7"/>
      <c r="X236" s="7"/>
      <c r="Y236" s="7"/>
      <c r="Z236" s="7"/>
    </row>
    <row r="237" ht="14.25" customHeight="1">
      <c r="A237" s="7"/>
      <c r="B237" s="94" t="s">
        <v>367</v>
      </c>
      <c r="C237" s="44"/>
      <c r="D237" s="44"/>
      <c r="E237" s="44"/>
      <c r="F237" s="54"/>
      <c r="G237" s="55"/>
      <c r="H237" s="56"/>
      <c r="I237" s="45" t="s">
        <v>250</v>
      </c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51">
        <f t="shared" si="43"/>
        <v>0</v>
      </c>
      <c r="W237" s="7"/>
      <c r="X237" s="7"/>
      <c r="Y237" s="7"/>
      <c r="Z237" s="7"/>
    </row>
    <row r="238" ht="14.25" customHeight="1">
      <c r="A238" s="7"/>
      <c r="B238" s="94" t="s">
        <v>368</v>
      </c>
      <c r="C238" s="44"/>
      <c r="D238" s="44"/>
      <c r="E238" s="46"/>
      <c r="F238" s="46">
        <v>5.0</v>
      </c>
      <c r="G238" s="45" t="s">
        <v>258</v>
      </c>
      <c r="H238" s="32"/>
      <c r="I238" s="45" t="s">
        <v>249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51">
        <f t="shared" si="43"/>
        <v>0</v>
      </c>
      <c r="W238" s="7"/>
      <c r="X238" s="7"/>
      <c r="Y238" s="7"/>
      <c r="Z238" s="7"/>
    </row>
    <row r="239" ht="14.25" customHeight="1">
      <c r="A239" s="7"/>
      <c r="B239" s="94" t="s">
        <v>368</v>
      </c>
      <c r="C239" s="44"/>
      <c r="D239" s="44"/>
      <c r="E239" s="66"/>
      <c r="F239" s="54"/>
      <c r="G239" s="55"/>
      <c r="H239" s="56"/>
      <c r="I239" s="45" t="s">
        <v>250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51">
        <f t="shared" si="43"/>
        <v>0</v>
      </c>
      <c r="W239" s="7"/>
      <c r="X239" s="7"/>
      <c r="Y239" s="7"/>
      <c r="Z239" s="7"/>
    </row>
    <row r="240" ht="14.25" customHeight="1">
      <c r="A240" s="7"/>
      <c r="B240" s="94" t="s">
        <v>369</v>
      </c>
      <c r="C240" s="44"/>
      <c r="D240" s="44"/>
      <c r="E240" s="46"/>
      <c r="F240" s="46">
        <v>6.0</v>
      </c>
      <c r="G240" s="45" t="s">
        <v>260</v>
      </c>
      <c r="H240" s="32"/>
      <c r="I240" s="45" t="s">
        <v>249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51">
        <f t="shared" si="43"/>
        <v>0</v>
      </c>
      <c r="W240" s="7"/>
      <c r="X240" s="7"/>
      <c r="Y240" s="7"/>
      <c r="Z240" s="7"/>
    </row>
    <row r="241" ht="14.25" customHeight="1">
      <c r="A241" s="7"/>
      <c r="B241" s="94" t="s">
        <v>369</v>
      </c>
      <c r="C241" s="44"/>
      <c r="D241" s="44"/>
      <c r="E241" s="66"/>
      <c r="F241" s="54"/>
      <c r="G241" s="55"/>
      <c r="H241" s="56"/>
      <c r="I241" s="45" t="s">
        <v>250</v>
      </c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51">
        <f t="shared" si="43"/>
        <v>0</v>
      </c>
      <c r="W241" s="7"/>
      <c r="X241" s="7"/>
      <c r="Y241" s="7"/>
      <c r="Z241" s="7"/>
    </row>
    <row r="242" ht="14.25" customHeight="1">
      <c r="A242" s="7"/>
      <c r="B242" s="94" t="s">
        <v>370</v>
      </c>
      <c r="C242" s="44"/>
      <c r="D242" s="44"/>
      <c r="E242" s="46"/>
      <c r="F242" s="95">
        <v>7.0</v>
      </c>
      <c r="G242" s="45" t="s">
        <v>262</v>
      </c>
      <c r="H242" s="32"/>
      <c r="I242" s="45" t="s">
        <v>249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51">
        <f t="shared" si="43"/>
        <v>0</v>
      </c>
      <c r="W242" s="7"/>
      <c r="X242" s="7"/>
      <c r="Y242" s="7"/>
      <c r="Z242" s="7"/>
    </row>
    <row r="243" ht="14.25" customHeight="1">
      <c r="A243" s="7"/>
      <c r="B243" s="94" t="s">
        <v>370</v>
      </c>
      <c r="C243" s="44"/>
      <c r="D243" s="44"/>
      <c r="E243" s="46"/>
      <c r="F243" s="54"/>
      <c r="G243" s="55"/>
      <c r="H243" s="56"/>
      <c r="I243" s="45" t="s">
        <v>250</v>
      </c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51">
        <f t="shared" si="43"/>
        <v>0</v>
      </c>
      <c r="W243" s="7"/>
      <c r="X243" s="7"/>
      <c r="Y243" s="7"/>
      <c r="Z243" s="7"/>
    </row>
    <row r="244" ht="14.25" customHeight="1">
      <c r="A244" s="7"/>
      <c r="B244" s="94" t="s">
        <v>371</v>
      </c>
      <c r="C244" s="44"/>
      <c r="D244" s="44"/>
      <c r="E244" s="53"/>
      <c r="F244" s="96">
        <v>8.0</v>
      </c>
      <c r="G244" s="55" t="s">
        <v>322</v>
      </c>
      <c r="H244" s="32"/>
      <c r="I244" s="45" t="s">
        <v>249</v>
      </c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51">
        <f t="shared" si="43"/>
        <v>0</v>
      </c>
      <c r="W244" s="7"/>
      <c r="X244" s="7"/>
      <c r="Y244" s="7"/>
      <c r="Z244" s="7"/>
    </row>
    <row r="245" ht="14.25" customHeight="1">
      <c r="A245" s="7"/>
      <c r="B245" s="94" t="s">
        <v>371</v>
      </c>
      <c r="C245" s="44"/>
      <c r="D245" s="44"/>
      <c r="E245" s="53"/>
      <c r="F245" s="96"/>
      <c r="G245" s="55"/>
      <c r="H245" s="56"/>
      <c r="I245" s="45" t="s">
        <v>250</v>
      </c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51">
        <f t="shared" si="43"/>
        <v>0</v>
      </c>
      <c r="W245" s="7"/>
      <c r="X245" s="7"/>
      <c r="Y245" s="7"/>
      <c r="Z245" s="7"/>
    </row>
    <row r="246" ht="14.25" customHeight="1">
      <c r="A246" s="7"/>
      <c r="B246" s="94" t="s">
        <v>372</v>
      </c>
      <c r="C246" s="44"/>
      <c r="D246" s="44"/>
      <c r="E246" s="46"/>
      <c r="F246" s="96">
        <v>9.0</v>
      </c>
      <c r="G246" s="80" t="s">
        <v>311</v>
      </c>
      <c r="H246" s="32"/>
      <c r="I246" s="45" t="s">
        <v>249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51">
        <f t="shared" si="43"/>
        <v>0</v>
      </c>
      <c r="W246" s="7"/>
      <c r="X246" s="7"/>
      <c r="Y246" s="7"/>
      <c r="Z246" s="7"/>
    </row>
    <row r="247" ht="14.25" customHeight="1">
      <c r="A247" s="7"/>
      <c r="B247" s="94" t="s">
        <v>372</v>
      </c>
      <c r="C247" s="65"/>
      <c r="D247" s="44"/>
      <c r="E247" s="87"/>
      <c r="F247" s="97"/>
      <c r="G247" s="71"/>
      <c r="H247" s="72"/>
      <c r="I247" s="45" t="s">
        <v>250</v>
      </c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51">
        <f t="shared" si="43"/>
        <v>0</v>
      </c>
      <c r="W247" s="7"/>
      <c r="X247" s="7"/>
      <c r="Y247" s="7"/>
      <c r="Z247" s="7"/>
    </row>
    <row r="248" ht="14.25" customHeight="1">
      <c r="A248" s="7"/>
      <c r="B248" s="94"/>
      <c r="C248" s="65"/>
      <c r="D248" s="44"/>
      <c r="E248" s="45"/>
      <c r="F248" s="31"/>
      <c r="G248" s="31"/>
      <c r="H248" s="32"/>
      <c r="I248" s="45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7"/>
      <c r="X248" s="7"/>
      <c r="Y248" s="7"/>
      <c r="Z248" s="7"/>
    </row>
    <row r="249" ht="14.25" customHeight="1">
      <c r="A249" s="7"/>
      <c r="B249" s="94"/>
      <c r="C249" s="65"/>
      <c r="D249" s="90" t="s">
        <v>373</v>
      </c>
      <c r="E249" s="18"/>
      <c r="F249" s="18"/>
      <c r="G249" s="18"/>
      <c r="H249" s="19"/>
      <c r="I249" s="45" t="s">
        <v>249</v>
      </c>
      <c r="J249" s="51">
        <f t="shared" ref="J249:V249" si="44">SUMIF($I$210:$V$247,$I249,J$210:J$247)</f>
        <v>0</v>
      </c>
      <c r="K249" s="51">
        <f t="shared" si="44"/>
        <v>0</v>
      </c>
      <c r="L249" s="51">
        <f t="shared" si="44"/>
        <v>0</v>
      </c>
      <c r="M249" s="51">
        <f t="shared" si="44"/>
        <v>0</v>
      </c>
      <c r="N249" s="51">
        <f t="shared" si="44"/>
        <v>0</v>
      </c>
      <c r="O249" s="51">
        <f t="shared" si="44"/>
        <v>0</v>
      </c>
      <c r="P249" s="51">
        <f t="shared" si="44"/>
        <v>0</v>
      </c>
      <c r="Q249" s="51">
        <f t="shared" si="44"/>
        <v>0</v>
      </c>
      <c r="R249" s="51">
        <f t="shared" si="44"/>
        <v>0</v>
      </c>
      <c r="S249" s="51">
        <f t="shared" si="44"/>
        <v>0</v>
      </c>
      <c r="T249" s="51">
        <f t="shared" si="44"/>
        <v>0</v>
      </c>
      <c r="U249" s="51">
        <f t="shared" si="44"/>
        <v>0</v>
      </c>
      <c r="V249" s="51">
        <f t="shared" si="44"/>
        <v>0</v>
      </c>
      <c r="W249" s="7"/>
      <c r="X249" s="7"/>
      <c r="Y249" s="7"/>
      <c r="Z249" s="7"/>
    </row>
    <row r="250" ht="14.25" customHeight="1">
      <c r="A250" s="7"/>
      <c r="B250" s="94"/>
      <c r="C250" s="65"/>
      <c r="D250" s="26"/>
      <c r="E250" s="27"/>
      <c r="F250" s="27"/>
      <c r="G250" s="27"/>
      <c r="H250" s="28"/>
      <c r="I250" s="45" t="s">
        <v>250</v>
      </c>
      <c r="J250" s="51">
        <f t="shared" ref="J250:V250" si="45">SUMIF($I$210:$V$247,$I250,J$210:J$247)</f>
        <v>0</v>
      </c>
      <c r="K250" s="51">
        <f t="shared" si="45"/>
        <v>0</v>
      </c>
      <c r="L250" s="51">
        <f t="shared" si="45"/>
        <v>0</v>
      </c>
      <c r="M250" s="51">
        <f t="shared" si="45"/>
        <v>0</v>
      </c>
      <c r="N250" s="51">
        <f t="shared" si="45"/>
        <v>0</v>
      </c>
      <c r="O250" s="51">
        <f t="shared" si="45"/>
        <v>0</v>
      </c>
      <c r="P250" s="51">
        <f t="shared" si="45"/>
        <v>0</v>
      </c>
      <c r="Q250" s="51">
        <f t="shared" si="45"/>
        <v>0</v>
      </c>
      <c r="R250" s="51">
        <f t="shared" si="45"/>
        <v>0</v>
      </c>
      <c r="S250" s="51">
        <f t="shared" si="45"/>
        <v>0</v>
      </c>
      <c r="T250" s="51">
        <f t="shared" si="45"/>
        <v>0</v>
      </c>
      <c r="U250" s="51">
        <f t="shared" si="45"/>
        <v>0</v>
      </c>
      <c r="V250" s="51">
        <f t="shared" si="45"/>
        <v>0</v>
      </c>
      <c r="W250" s="7"/>
      <c r="X250" s="7"/>
      <c r="Y250" s="7"/>
      <c r="Z250" s="7"/>
    </row>
    <row r="251" ht="14.25" customHeight="1">
      <c r="A251" s="7"/>
      <c r="B251" s="94"/>
      <c r="C251" s="65"/>
      <c r="D251" s="91"/>
      <c r="E251" s="92"/>
      <c r="F251" s="92"/>
      <c r="G251" s="92"/>
      <c r="H251" s="93"/>
      <c r="I251" s="45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7"/>
      <c r="X251" s="7"/>
      <c r="Y251" s="7"/>
      <c r="Z251" s="7"/>
    </row>
    <row r="252" ht="14.25" customHeight="1">
      <c r="A252" s="7"/>
      <c r="C252" s="90" t="s">
        <v>374</v>
      </c>
      <c r="D252" s="18"/>
      <c r="E252" s="18"/>
      <c r="F252" s="18"/>
      <c r="G252" s="18"/>
      <c r="H252" s="19"/>
      <c r="I252" s="45" t="s">
        <v>249</v>
      </c>
      <c r="J252" s="51">
        <f t="shared" ref="J252:V252" si="46">J114+J159+J204+J249</f>
        <v>325</v>
      </c>
      <c r="K252" s="51">
        <f t="shared" si="46"/>
        <v>385</v>
      </c>
      <c r="L252" s="51">
        <f t="shared" si="46"/>
        <v>622</v>
      </c>
      <c r="M252" s="51">
        <f t="shared" si="46"/>
        <v>401</v>
      </c>
      <c r="N252" s="51">
        <f t="shared" si="46"/>
        <v>415</v>
      </c>
      <c r="O252" s="51">
        <f t="shared" si="46"/>
        <v>0</v>
      </c>
      <c r="P252" s="51">
        <f t="shared" si="46"/>
        <v>0</v>
      </c>
      <c r="Q252" s="51">
        <f t="shared" si="46"/>
        <v>0</v>
      </c>
      <c r="R252" s="51">
        <f t="shared" si="46"/>
        <v>0</v>
      </c>
      <c r="S252" s="51">
        <f t="shared" si="46"/>
        <v>0</v>
      </c>
      <c r="T252" s="51">
        <f t="shared" si="46"/>
        <v>0</v>
      </c>
      <c r="U252" s="51">
        <f t="shared" si="46"/>
        <v>0</v>
      </c>
      <c r="V252" s="51">
        <f t="shared" si="46"/>
        <v>2148</v>
      </c>
      <c r="W252" s="7"/>
      <c r="X252" s="7"/>
      <c r="Y252" s="7"/>
      <c r="Z252" s="7"/>
    </row>
    <row r="253" ht="14.25" customHeight="1">
      <c r="A253" s="7"/>
      <c r="C253" s="26"/>
      <c r="D253" s="27"/>
      <c r="E253" s="27"/>
      <c r="F253" s="27"/>
      <c r="G253" s="27"/>
      <c r="H253" s="28"/>
      <c r="I253" s="45" t="s">
        <v>250</v>
      </c>
      <c r="J253" s="51">
        <f t="shared" ref="J253:V253" si="47">J115+J160+J205+J250</f>
        <v>4073215</v>
      </c>
      <c r="K253" s="51">
        <f t="shared" si="47"/>
        <v>3323766</v>
      </c>
      <c r="L253" s="51">
        <f t="shared" si="47"/>
        <v>5234297</v>
      </c>
      <c r="M253" s="51">
        <f t="shared" si="47"/>
        <v>3144433</v>
      </c>
      <c r="N253" s="51">
        <f t="shared" si="47"/>
        <v>3289484</v>
      </c>
      <c r="O253" s="51">
        <f t="shared" si="47"/>
        <v>0</v>
      </c>
      <c r="P253" s="51">
        <f t="shared" si="47"/>
        <v>0</v>
      </c>
      <c r="Q253" s="51">
        <f t="shared" si="47"/>
        <v>0</v>
      </c>
      <c r="R253" s="51">
        <f t="shared" si="47"/>
        <v>0</v>
      </c>
      <c r="S253" s="51">
        <f t="shared" si="47"/>
        <v>0</v>
      </c>
      <c r="T253" s="51">
        <f t="shared" si="47"/>
        <v>0</v>
      </c>
      <c r="U253" s="51">
        <f t="shared" si="47"/>
        <v>0</v>
      </c>
      <c r="V253" s="51">
        <f t="shared" si="47"/>
        <v>19065195</v>
      </c>
      <c r="W253" s="7"/>
      <c r="X253" s="7"/>
      <c r="Y253" s="7"/>
      <c r="Z253" s="7"/>
    </row>
    <row r="254" ht="14.25" customHeight="1">
      <c r="A254" s="7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7"/>
      <c r="X254" s="7"/>
      <c r="Y254" s="7"/>
      <c r="Z254" s="7"/>
    </row>
    <row r="255" ht="14.25" customHeight="1">
      <c r="A255" s="14">
        <v>2.0</v>
      </c>
      <c r="B255" s="15"/>
      <c r="C255" s="14" t="s">
        <v>375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7"/>
      <c r="X255" s="7"/>
      <c r="Y255" s="7"/>
      <c r="Z255" s="7"/>
    </row>
    <row r="256" ht="14.25" customHeight="1">
      <c r="A256" s="7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7"/>
      <c r="X256" s="7"/>
      <c r="Y256" s="7"/>
      <c r="Z256" s="7"/>
    </row>
    <row r="257" ht="14.25" customHeight="1">
      <c r="A257" s="7"/>
      <c r="C257" s="16" t="s">
        <v>228</v>
      </c>
      <c r="D257" s="17" t="s">
        <v>229</v>
      </c>
      <c r="E257" s="18"/>
      <c r="F257" s="18"/>
      <c r="G257" s="18"/>
      <c r="H257" s="19"/>
      <c r="I257" s="20" t="s">
        <v>230</v>
      </c>
      <c r="J257" s="21">
        <f>$H$2</f>
        <v>2026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  <c r="W257" s="7"/>
      <c r="X257" s="7"/>
      <c r="Y257" s="7"/>
      <c r="Z257" s="7"/>
    </row>
    <row r="258" ht="14.25" customHeight="1">
      <c r="A258" s="7"/>
      <c r="C258" s="22"/>
      <c r="D258" s="23"/>
      <c r="H258" s="24"/>
      <c r="I258" s="22"/>
      <c r="J258" s="23"/>
      <c r="V258" s="24"/>
      <c r="W258" s="7"/>
      <c r="X258" s="7"/>
      <c r="Y258" s="7"/>
      <c r="Z258" s="7"/>
    </row>
    <row r="259" ht="14.25" customHeight="1">
      <c r="A259" s="7"/>
      <c r="C259" s="25"/>
      <c r="D259" s="26"/>
      <c r="E259" s="27"/>
      <c r="F259" s="27"/>
      <c r="G259" s="27"/>
      <c r="H259" s="28"/>
      <c r="I259" s="25"/>
      <c r="J259" s="29" t="s">
        <v>231</v>
      </c>
      <c r="K259" s="29" t="s">
        <v>232</v>
      </c>
      <c r="L259" s="29" t="s">
        <v>233</v>
      </c>
      <c r="M259" s="29" t="s">
        <v>234</v>
      </c>
      <c r="N259" s="29" t="s">
        <v>235</v>
      </c>
      <c r="O259" s="29" t="s">
        <v>236</v>
      </c>
      <c r="P259" s="29" t="s">
        <v>237</v>
      </c>
      <c r="Q259" s="29" t="s">
        <v>238</v>
      </c>
      <c r="R259" s="29" t="s">
        <v>239</v>
      </c>
      <c r="S259" s="29" t="s">
        <v>240</v>
      </c>
      <c r="T259" s="29" t="s">
        <v>241</v>
      </c>
      <c r="U259" s="29" t="s">
        <v>242</v>
      </c>
      <c r="V259" s="29" t="s">
        <v>243</v>
      </c>
      <c r="W259" s="7"/>
      <c r="X259" s="7"/>
      <c r="Y259" s="7"/>
      <c r="Z259" s="7"/>
    </row>
    <row r="260" ht="14.25" customHeight="1">
      <c r="A260" s="7"/>
      <c r="C260" s="29">
        <v>1.0</v>
      </c>
      <c r="D260" s="30">
        <v>2.0</v>
      </c>
      <c r="E260" s="31"/>
      <c r="F260" s="31"/>
      <c r="G260" s="31"/>
      <c r="H260" s="32"/>
      <c r="I260" s="33">
        <v>3.0</v>
      </c>
      <c r="J260" s="34">
        <v>4.0</v>
      </c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6"/>
      <c r="V260" s="37">
        <v>5.0</v>
      </c>
      <c r="W260" s="7"/>
      <c r="X260" s="7"/>
      <c r="Y260" s="7"/>
      <c r="Z260" s="7"/>
    </row>
    <row r="261" ht="14.25" customHeight="1">
      <c r="A261" s="7"/>
      <c r="C261" s="38"/>
      <c r="D261" s="46"/>
      <c r="E261" s="105"/>
      <c r="F261" s="105"/>
      <c r="G261" s="105"/>
      <c r="H261" s="106"/>
      <c r="I261" s="46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7"/>
      <c r="X261" s="7"/>
      <c r="Y261" s="7"/>
      <c r="Z261" s="7"/>
    </row>
    <row r="262" ht="14.25" customHeight="1">
      <c r="A262" s="7"/>
      <c r="C262" s="66">
        <v>1.0</v>
      </c>
      <c r="D262" s="45" t="s">
        <v>376</v>
      </c>
      <c r="E262" s="31"/>
      <c r="F262" s="31"/>
      <c r="G262" s="31"/>
      <c r="H262" s="32"/>
      <c r="I262" s="42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7"/>
      <c r="X262" s="7"/>
      <c r="Y262" s="7"/>
      <c r="Z262" s="7"/>
    </row>
    <row r="263" ht="14.25" customHeight="1">
      <c r="A263" s="7"/>
      <c r="C263" s="44"/>
      <c r="D263" s="44">
        <v>1.0</v>
      </c>
      <c r="E263" s="45" t="s">
        <v>377</v>
      </c>
      <c r="F263" s="31"/>
      <c r="G263" s="31"/>
      <c r="H263" s="32"/>
      <c r="I263" s="42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7"/>
      <c r="X263" s="7"/>
      <c r="Y263" s="7"/>
      <c r="Z263" s="7"/>
    </row>
    <row r="264" ht="14.25" customHeight="1">
      <c r="A264" s="7"/>
      <c r="C264" s="44"/>
      <c r="D264" s="44"/>
      <c r="E264" s="44">
        <v>1.0</v>
      </c>
      <c r="F264" s="45" t="s">
        <v>378</v>
      </c>
      <c r="G264" s="31"/>
      <c r="H264" s="32"/>
      <c r="I264" s="42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7"/>
      <c r="X264" s="7"/>
      <c r="Y264" s="7"/>
      <c r="Z264" s="7"/>
    </row>
    <row r="265" ht="14.25" customHeight="1">
      <c r="A265" s="7"/>
      <c r="C265" s="44"/>
      <c r="D265" s="44"/>
      <c r="E265" s="44"/>
      <c r="F265" s="44">
        <v>1.0</v>
      </c>
      <c r="G265" s="45" t="s">
        <v>379</v>
      </c>
      <c r="H265" s="32"/>
      <c r="I265" s="42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7"/>
      <c r="X265" s="7"/>
      <c r="Y265" s="7"/>
      <c r="Z265" s="7"/>
    </row>
    <row r="266" ht="14.25" customHeight="1">
      <c r="A266" s="7"/>
      <c r="B266" s="7" t="s">
        <v>380</v>
      </c>
      <c r="C266" s="44"/>
      <c r="D266" s="44"/>
      <c r="E266" s="44"/>
      <c r="F266" s="44"/>
      <c r="G266" s="66">
        <v>1.0</v>
      </c>
      <c r="H266" s="73">
        <v>20.0</v>
      </c>
      <c r="I266" s="45" t="s">
        <v>381</v>
      </c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51">
        <f t="shared" ref="V266:V270" si="48">SUM(J266:U266)</f>
        <v>0</v>
      </c>
      <c r="W266" s="7"/>
      <c r="X266" s="7"/>
      <c r="Y266" s="7"/>
      <c r="Z266" s="7"/>
    </row>
    <row r="267" ht="14.25" customHeight="1">
      <c r="A267" s="7"/>
      <c r="B267" s="7" t="s">
        <v>382</v>
      </c>
      <c r="C267" s="44"/>
      <c r="D267" s="44"/>
      <c r="E267" s="44"/>
      <c r="F267" s="44"/>
      <c r="G267" s="66">
        <v>2.0</v>
      </c>
      <c r="H267" s="73">
        <v>40.0</v>
      </c>
      <c r="I267" s="45" t="s">
        <v>381</v>
      </c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51">
        <f t="shared" si="48"/>
        <v>0</v>
      </c>
      <c r="W267" s="7"/>
      <c r="X267" s="7"/>
      <c r="Y267" s="7"/>
      <c r="Z267" s="7"/>
    </row>
    <row r="268" ht="14.25" customHeight="1">
      <c r="A268" s="7"/>
      <c r="B268" s="7" t="s">
        <v>383</v>
      </c>
      <c r="C268" s="44"/>
      <c r="D268" s="44"/>
      <c r="E268" s="44"/>
      <c r="F268" s="44"/>
      <c r="G268" s="66">
        <v>3.0</v>
      </c>
      <c r="H268" s="73">
        <v>45.0</v>
      </c>
      <c r="I268" s="45" t="s">
        <v>381</v>
      </c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51">
        <f t="shared" si="48"/>
        <v>0</v>
      </c>
      <c r="W268" s="7"/>
      <c r="X268" s="7"/>
      <c r="Y268" s="7"/>
      <c r="Z268" s="7"/>
    </row>
    <row r="269" ht="14.25" customHeight="1">
      <c r="A269" s="7"/>
      <c r="B269" s="7" t="s">
        <v>384</v>
      </c>
      <c r="C269" s="44"/>
      <c r="D269" s="44"/>
      <c r="E269" s="44"/>
      <c r="F269" s="44"/>
      <c r="G269" s="66">
        <v>4.0</v>
      </c>
      <c r="H269" s="73" t="s">
        <v>385</v>
      </c>
      <c r="I269" s="45" t="s">
        <v>381</v>
      </c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51">
        <f t="shared" si="48"/>
        <v>0</v>
      </c>
      <c r="W269" s="7"/>
      <c r="X269" s="7"/>
      <c r="Y269" s="7"/>
      <c r="Z269" s="7"/>
    </row>
    <row r="270" ht="14.25" customHeight="1">
      <c r="A270" s="7"/>
      <c r="B270" s="7" t="s">
        <v>386</v>
      </c>
      <c r="C270" s="44"/>
      <c r="D270" s="44"/>
      <c r="E270" s="44"/>
      <c r="F270" s="44"/>
      <c r="G270" s="66">
        <v>5.0</v>
      </c>
      <c r="H270" s="73" t="s">
        <v>387</v>
      </c>
      <c r="I270" s="45" t="s">
        <v>381</v>
      </c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51">
        <f t="shared" si="48"/>
        <v>0</v>
      </c>
      <c r="W270" s="7"/>
      <c r="X270" s="7"/>
      <c r="Y270" s="7"/>
      <c r="Z270" s="7"/>
    </row>
    <row r="271" ht="14.25" customHeight="1">
      <c r="A271" s="7"/>
      <c r="C271" s="44"/>
      <c r="D271" s="44"/>
      <c r="E271" s="44"/>
      <c r="F271" s="44"/>
      <c r="G271" s="73"/>
      <c r="H271" s="73"/>
      <c r="I271" s="42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7"/>
      <c r="X271" s="7"/>
      <c r="Y271" s="7"/>
      <c r="Z271" s="7"/>
    </row>
    <row r="272" ht="14.25" customHeight="1">
      <c r="A272" s="7"/>
      <c r="C272" s="44"/>
      <c r="D272" s="44"/>
      <c r="E272" s="44"/>
      <c r="F272" s="44">
        <v>2.0</v>
      </c>
      <c r="G272" s="45" t="s">
        <v>388</v>
      </c>
      <c r="H272" s="32"/>
      <c r="I272" s="42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7"/>
      <c r="X272" s="7"/>
      <c r="Y272" s="7"/>
      <c r="Z272" s="7"/>
    </row>
    <row r="273" ht="14.25" customHeight="1">
      <c r="A273" s="7"/>
      <c r="B273" s="7" t="s">
        <v>389</v>
      </c>
      <c r="C273" s="44"/>
      <c r="D273" s="44"/>
      <c r="E273" s="44"/>
      <c r="F273" s="44"/>
      <c r="G273" s="66">
        <v>1.0</v>
      </c>
      <c r="H273" s="73">
        <v>20.0</v>
      </c>
      <c r="I273" s="45" t="s">
        <v>381</v>
      </c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51">
        <f t="shared" ref="V273:V275" si="49">SUM(J273:U273)</f>
        <v>0</v>
      </c>
      <c r="W273" s="7"/>
      <c r="X273" s="7"/>
      <c r="Y273" s="7"/>
      <c r="Z273" s="7"/>
    </row>
    <row r="274" ht="14.25" customHeight="1">
      <c r="A274" s="7"/>
      <c r="B274" s="7" t="s">
        <v>390</v>
      </c>
      <c r="C274" s="44"/>
      <c r="D274" s="44"/>
      <c r="E274" s="44"/>
      <c r="F274" s="44"/>
      <c r="G274" s="66">
        <v>2.0</v>
      </c>
      <c r="H274" s="73">
        <v>40.0</v>
      </c>
      <c r="I274" s="45" t="s">
        <v>381</v>
      </c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51">
        <f t="shared" si="49"/>
        <v>0</v>
      </c>
      <c r="W274" s="7"/>
      <c r="X274" s="7"/>
      <c r="Y274" s="7"/>
      <c r="Z274" s="7"/>
    </row>
    <row r="275" ht="14.25" customHeight="1">
      <c r="A275" s="7"/>
      <c r="B275" s="7" t="s">
        <v>391</v>
      </c>
      <c r="C275" s="44"/>
      <c r="D275" s="44"/>
      <c r="E275" s="44"/>
      <c r="F275" s="44"/>
      <c r="G275" s="66">
        <v>3.0</v>
      </c>
      <c r="H275" s="73">
        <v>45.0</v>
      </c>
      <c r="I275" s="45" t="s">
        <v>381</v>
      </c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51">
        <f t="shared" si="49"/>
        <v>0</v>
      </c>
      <c r="W275" s="7"/>
      <c r="X275" s="7"/>
      <c r="Y275" s="7"/>
      <c r="Z275" s="7"/>
    </row>
    <row r="276" ht="14.25" customHeight="1">
      <c r="A276" s="7"/>
      <c r="C276" s="44"/>
      <c r="D276" s="44"/>
      <c r="E276" s="44"/>
      <c r="F276" s="44"/>
      <c r="G276" s="107"/>
      <c r="H276" s="107"/>
      <c r="I276" s="42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7"/>
      <c r="X276" s="7"/>
      <c r="Y276" s="7"/>
      <c r="Z276" s="7"/>
    </row>
    <row r="277" ht="14.25" customHeight="1">
      <c r="A277" s="7"/>
      <c r="C277" s="44"/>
      <c r="D277" s="44"/>
      <c r="E277" s="44"/>
      <c r="F277" s="44">
        <v>3.0</v>
      </c>
      <c r="G277" s="45" t="s">
        <v>392</v>
      </c>
      <c r="H277" s="32"/>
      <c r="I277" s="42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7"/>
      <c r="X277" s="7"/>
      <c r="Y277" s="7"/>
      <c r="Z277" s="7"/>
    </row>
    <row r="278" ht="14.25" customHeight="1">
      <c r="A278" s="7"/>
      <c r="B278" s="7" t="s">
        <v>393</v>
      </c>
      <c r="C278" s="44"/>
      <c r="D278" s="44"/>
      <c r="E278" s="44"/>
      <c r="F278" s="44"/>
      <c r="G278" s="66">
        <v>1.0</v>
      </c>
      <c r="H278" s="73">
        <v>20.0</v>
      </c>
      <c r="I278" s="45" t="s">
        <v>381</v>
      </c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51">
        <f t="shared" ref="V278:V280" si="50">SUM(J278:U278)</f>
        <v>0</v>
      </c>
      <c r="W278" s="7"/>
      <c r="X278" s="7"/>
      <c r="Y278" s="7"/>
      <c r="Z278" s="7"/>
    </row>
    <row r="279" ht="14.25" customHeight="1">
      <c r="A279" s="7"/>
      <c r="B279" s="7" t="s">
        <v>394</v>
      </c>
      <c r="C279" s="44"/>
      <c r="D279" s="44"/>
      <c r="E279" s="44"/>
      <c r="F279" s="44"/>
      <c r="G279" s="66">
        <v>2.0</v>
      </c>
      <c r="H279" s="73">
        <v>40.0</v>
      </c>
      <c r="I279" s="45" t="s">
        <v>381</v>
      </c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51">
        <f t="shared" si="50"/>
        <v>0</v>
      </c>
      <c r="W279" s="7"/>
      <c r="X279" s="7"/>
      <c r="Y279" s="7"/>
      <c r="Z279" s="7"/>
    </row>
    <row r="280" ht="14.25" customHeight="1">
      <c r="A280" s="7"/>
      <c r="B280" s="7" t="s">
        <v>395</v>
      </c>
      <c r="C280" s="44"/>
      <c r="D280" s="44"/>
      <c r="E280" s="44"/>
      <c r="F280" s="44"/>
      <c r="G280" s="66">
        <v>3.0</v>
      </c>
      <c r="H280" s="73">
        <v>45.0</v>
      </c>
      <c r="I280" s="45" t="s">
        <v>381</v>
      </c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51">
        <f t="shared" si="50"/>
        <v>0</v>
      </c>
      <c r="W280" s="7"/>
      <c r="X280" s="7"/>
      <c r="Y280" s="7"/>
      <c r="Z280" s="7"/>
    </row>
    <row r="281" ht="14.25" customHeight="1">
      <c r="A281" s="7"/>
      <c r="C281" s="44"/>
      <c r="D281" s="44"/>
      <c r="E281" s="44"/>
      <c r="F281" s="44"/>
      <c r="G281" s="73"/>
      <c r="H281" s="73"/>
      <c r="I281" s="42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7"/>
      <c r="X281" s="7"/>
      <c r="Y281" s="7"/>
      <c r="Z281" s="7"/>
    </row>
    <row r="282" ht="14.25" customHeight="1">
      <c r="A282" s="7"/>
      <c r="B282" s="7" t="s">
        <v>396</v>
      </c>
      <c r="C282" s="44"/>
      <c r="D282" s="44"/>
      <c r="E282" s="44"/>
      <c r="F282" s="44">
        <v>4.0</v>
      </c>
      <c r="G282" s="45" t="s">
        <v>397</v>
      </c>
      <c r="H282" s="32"/>
      <c r="I282" s="45" t="s">
        <v>398</v>
      </c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51">
        <f>SUM(J282:U282)</f>
        <v>0</v>
      </c>
      <c r="W282" s="7"/>
      <c r="X282" s="7"/>
      <c r="Y282" s="7"/>
      <c r="Z282" s="7"/>
    </row>
    <row r="283" ht="14.25" customHeight="1">
      <c r="A283" s="7"/>
      <c r="C283" s="44"/>
      <c r="D283" s="44"/>
      <c r="E283" s="44"/>
      <c r="F283" s="44"/>
      <c r="G283" s="45"/>
      <c r="H283" s="81"/>
      <c r="I283" s="42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7"/>
      <c r="X283" s="7"/>
      <c r="Y283" s="7"/>
      <c r="Z283" s="7"/>
    </row>
    <row r="284" ht="14.25" customHeight="1">
      <c r="A284" s="7"/>
      <c r="C284" s="44"/>
      <c r="D284" s="44"/>
      <c r="E284" s="44">
        <v>2.0</v>
      </c>
      <c r="F284" s="89" t="s">
        <v>399</v>
      </c>
      <c r="G284" s="31"/>
      <c r="H284" s="32"/>
      <c r="I284" s="42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7"/>
      <c r="X284" s="7"/>
      <c r="Y284" s="7"/>
      <c r="Z284" s="7"/>
    </row>
    <row r="285" ht="14.25" customHeight="1">
      <c r="A285" s="7"/>
      <c r="B285" s="7" t="s">
        <v>400</v>
      </c>
      <c r="C285" s="44"/>
      <c r="D285" s="44"/>
      <c r="E285" s="44"/>
      <c r="F285" s="44"/>
      <c r="G285" s="66">
        <v>1.0</v>
      </c>
      <c r="H285" s="73">
        <v>20.0</v>
      </c>
      <c r="I285" s="45" t="s">
        <v>381</v>
      </c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51">
        <f t="shared" ref="V285:V287" si="51">SUM(J285:U285)</f>
        <v>0</v>
      </c>
      <c r="W285" s="7"/>
      <c r="X285" s="7"/>
      <c r="Y285" s="7"/>
      <c r="Z285" s="7"/>
    </row>
    <row r="286" ht="14.25" customHeight="1">
      <c r="A286" s="7"/>
      <c r="B286" s="7" t="s">
        <v>401</v>
      </c>
      <c r="C286" s="44"/>
      <c r="D286" s="44"/>
      <c r="E286" s="44"/>
      <c r="F286" s="44"/>
      <c r="G286" s="66">
        <v>2.0</v>
      </c>
      <c r="H286" s="73">
        <v>40.0</v>
      </c>
      <c r="I286" s="45" t="s">
        <v>381</v>
      </c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51">
        <f t="shared" si="51"/>
        <v>0</v>
      </c>
      <c r="W286" s="7"/>
      <c r="X286" s="7"/>
      <c r="Y286" s="7"/>
      <c r="Z286" s="7"/>
    </row>
    <row r="287" ht="14.25" customHeight="1">
      <c r="A287" s="7"/>
      <c r="B287" s="7" t="s">
        <v>402</v>
      </c>
      <c r="C287" s="44"/>
      <c r="D287" s="44"/>
      <c r="E287" s="44"/>
      <c r="F287" s="44"/>
      <c r="G287" s="66">
        <v>3.0</v>
      </c>
      <c r="H287" s="73">
        <v>45.0</v>
      </c>
      <c r="I287" s="45" t="s">
        <v>381</v>
      </c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51">
        <f t="shared" si="51"/>
        <v>0</v>
      </c>
      <c r="W287" s="7"/>
      <c r="X287" s="7"/>
      <c r="Y287" s="7"/>
      <c r="Z287" s="7"/>
    </row>
    <row r="288" ht="14.25" customHeight="1">
      <c r="A288" s="7"/>
      <c r="C288" s="87"/>
      <c r="D288" s="71"/>
      <c r="E288" s="71"/>
      <c r="F288" s="71"/>
      <c r="G288" s="71"/>
      <c r="H288" s="71"/>
      <c r="I288" s="71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7"/>
      <c r="X288" s="7"/>
      <c r="Y288" s="7"/>
      <c r="Z288" s="7"/>
    </row>
    <row r="289" ht="14.25" customHeight="1">
      <c r="A289" s="7"/>
      <c r="C289" s="44"/>
      <c r="D289" s="44">
        <v>2.0</v>
      </c>
      <c r="E289" s="45" t="s">
        <v>403</v>
      </c>
      <c r="F289" s="31"/>
      <c r="G289" s="31"/>
      <c r="H289" s="32"/>
      <c r="I289" s="42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7"/>
      <c r="X289" s="7"/>
      <c r="Y289" s="7"/>
      <c r="Z289" s="7"/>
    </row>
    <row r="290" ht="14.25" customHeight="1">
      <c r="A290" s="7"/>
      <c r="C290" s="44"/>
      <c r="D290" s="44"/>
      <c r="E290" s="44">
        <v>1.0</v>
      </c>
      <c r="F290" s="45" t="s">
        <v>378</v>
      </c>
      <c r="G290" s="31"/>
      <c r="H290" s="32"/>
      <c r="I290" s="42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7"/>
      <c r="X290" s="7"/>
      <c r="Y290" s="7"/>
      <c r="Z290" s="7"/>
    </row>
    <row r="291" ht="14.25" customHeight="1">
      <c r="A291" s="7"/>
      <c r="C291" s="44"/>
      <c r="D291" s="44"/>
      <c r="E291" s="44"/>
      <c r="F291" s="44">
        <v>1.0</v>
      </c>
      <c r="G291" s="45" t="s">
        <v>379</v>
      </c>
      <c r="H291" s="32"/>
      <c r="I291" s="42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7"/>
      <c r="X291" s="7"/>
      <c r="Y291" s="7"/>
      <c r="Z291" s="7"/>
    </row>
    <row r="292" ht="14.25" customHeight="1">
      <c r="A292" s="7"/>
      <c r="B292" s="7" t="s">
        <v>404</v>
      </c>
      <c r="C292" s="44"/>
      <c r="D292" s="44"/>
      <c r="E292" s="44"/>
      <c r="F292" s="44"/>
      <c r="G292" s="66">
        <v>1.0</v>
      </c>
      <c r="H292" s="73">
        <v>20.0</v>
      </c>
      <c r="I292" s="45" t="s">
        <v>381</v>
      </c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51">
        <f t="shared" ref="V292:V296" si="52">SUM(J292:U292)</f>
        <v>0</v>
      </c>
      <c r="W292" s="7"/>
      <c r="X292" s="7"/>
      <c r="Y292" s="7"/>
      <c r="Z292" s="7"/>
    </row>
    <row r="293" ht="14.25" customHeight="1">
      <c r="A293" s="7"/>
      <c r="B293" s="7" t="s">
        <v>405</v>
      </c>
      <c r="C293" s="44"/>
      <c r="D293" s="44"/>
      <c r="E293" s="44"/>
      <c r="F293" s="44"/>
      <c r="G293" s="66">
        <v>2.0</v>
      </c>
      <c r="H293" s="73">
        <v>40.0</v>
      </c>
      <c r="I293" s="45" t="s">
        <v>381</v>
      </c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51">
        <f t="shared" si="52"/>
        <v>0</v>
      </c>
      <c r="W293" s="7"/>
      <c r="X293" s="7"/>
      <c r="Y293" s="7"/>
      <c r="Z293" s="7"/>
    </row>
    <row r="294" ht="14.25" customHeight="1">
      <c r="A294" s="7"/>
      <c r="B294" s="7" t="s">
        <v>406</v>
      </c>
      <c r="C294" s="44"/>
      <c r="D294" s="44"/>
      <c r="E294" s="44"/>
      <c r="F294" s="44"/>
      <c r="G294" s="66">
        <v>3.0</v>
      </c>
      <c r="H294" s="73">
        <v>45.0</v>
      </c>
      <c r="I294" s="45" t="s">
        <v>381</v>
      </c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51">
        <f t="shared" si="52"/>
        <v>0</v>
      </c>
      <c r="W294" s="7"/>
      <c r="X294" s="7"/>
      <c r="Y294" s="7"/>
      <c r="Z294" s="7"/>
    </row>
    <row r="295" ht="14.25" customHeight="1">
      <c r="A295" s="7"/>
      <c r="B295" s="7" t="s">
        <v>407</v>
      </c>
      <c r="C295" s="44"/>
      <c r="D295" s="44"/>
      <c r="E295" s="44"/>
      <c r="F295" s="44"/>
      <c r="G295" s="66">
        <v>4.0</v>
      </c>
      <c r="H295" s="73" t="s">
        <v>385</v>
      </c>
      <c r="I295" s="45" t="s">
        <v>381</v>
      </c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51">
        <f t="shared" si="52"/>
        <v>0</v>
      </c>
      <c r="W295" s="7"/>
      <c r="X295" s="7"/>
      <c r="Y295" s="7"/>
      <c r="Z295" s="7"/>
    </row>
    <row r="296" ht="14.25" customHeight="1">
      <c r="A296" s="7"/>
      <c r="B296" s="7" t="s">
        <v>408</v>
      </c>
      <c r="C296" s="44"/>
      <c r="D296" s="44"/>
      <c r="E296" s="44"/>
      <c r="F296" s="44"/>
      <c r="G296" s="66">
        <v>5.0</v>
      </c>
      <c r="H296" s="73" t="s">
        <v>387</v>
      </c>
      <c r="I296" s="45" t="s">
        <v>381</v>
      </c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51">
        <f t="shared" si="52"/>
        <v>0</v>
      </c>
      <c r="W296" s="7"/>
      <c r="X296" s="7"/>
      <c r="Y296" s="7"/>
      <c r="Z296" s="7"/>
    </row>
    <row r="297" ht="14.25" customHeight="1">
      <c r="A297" s="7"/>
      <c r="C297" s="44"/>
      <c r="D297" s="44"/>
      <c r="E297" s="44"/>
      <c r="F297" s="44"/>
      <c r="G297" s="73"/>
      <c r="H297" s="73"/>
      <c r="I297" s="42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7"/>
      <c r="X297" s="7"/>
      <c r="Y297" s="7"/>
      <c r="Z297" s="7"/>
    </row>
    <row r="298" ht="14.25" customHeight="1">
      <c r="A298" s="7"/>
      <c r="C298" s="44"/>
      <c r="D298" s="44"/>
      <c r="E298" s="44"/>
      <c r="F298" s="44">
        <v>2.0</v>
      </c>
      <c r="G298" s="45" t="s">
        <v>388</v>
      </c>
      <c r="H298" s="32"/>
      <c r="I298" s="42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7"/>
      <c r="X298" s="7"/>
      <c r="Y298" s="7"/>
      <c r="Z298" s="7"/>
    </row>
    <row r="299" ht="14.25" customHeight="1">
      <c r="A299" s="7"/>
      <c r="B299" s="7" t="s">
        <v>409</v>
      </c>
      <c r="C299" s="44"/>
      <c r="D299" s="44"/>
      <c r="E299" s="44"/>
      <c r="F299" s="44"/>
      <c r="G299" s="66">
        <v>1.0</v>
      </c>
      <c r="H299" s="73">
        <v>20.0</v>
      </c>
      <c r="I299" s="45" t="s">
        <v>381</v>
      </c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51">
        <f t="shared" ref="V299:V301" si="53">SUM(J299:U299)</f>
        <v>0</v>
      </c>
      <c r="W299" s="7"/>
      <c r="X299" s="7"/>
      <c r="Y299" s="7"/>
      <c r="Z299" s="7"/>
    </row>
    <row r="300" ht="14.25" customHeight="1">
      <c r="A300" s="7"/>
      <c r="B300" s="7" t="s">
        <v>410</v>
      </c>
      <c r="C300" s="44"/>
      <c r="D300" s="44"/>
      <c r="E300" s="44"/>
      <c r="F300" s="44"/>
      <c r="G300" s="66">
        <v>2.0</v>
      </c>
      <c r="H300" s="73">
        <v>40.0</v>
      </c>
      <c r="I300" s="45" t="s">
        <v>381</v>
      </c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51">
        <f t="shared" si="53"/>
        <v>0</v>
      </c>
      <c r="W300" s="7"/>
      <c r="X300" s="7"/>
      <c r="Y300" s="7"/>
      <c r="Z300" s="7"/>
    </row>
    <row r="301" ht="14.25" customHeight="1">
      <c r="A301" s="7"/>
      <c r="B301" s="7" t="s">
        <v>411</v>
      </c>
      <c r="C301" s="44"/>
      <c r="D301" s="44"/>
      <c r="E301" s="44"/>
      <c r="F301" s="44"/>
      <c r="G301" s="66">
        <v>3.0</v>
      </c>
      <c r="H301" s="73">
        <v>45.0</v>
      </c>
      <c r="I301" s="45" t="s">
        <v>381</v>
      </c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51">
        <f t="shared" si="53"/>
        <v>0</v>
      </c>
      <c r="W301" s="7"/>
      <c r="X301" s="7"/>
      <c r="Y301" s="7"/>
      <c r="Z301" s="7"/>
    </row>
    <row r="302" ht="14.25" customHeight="1">
      <c r="A302" s="7"/>
      <c r="C302" s="44"/>
      <c r="D302" s="44"/>
      <c r="E302" s="44"/>
      <c r="F302" s="44"/>
      <c r="G302" s="107"/>
      <c r="H302" s="107"/>
      <c r="I302" s="42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7"/>
      <c r="X302" s="7"/>
      <c r="Y302" s="7"/>
      <c r="Z302" s="7"/>
    </row>
    <row r="303" ht="14.25" customHeight="1">
      <c r="A303" s="7"/>
      <c r="C303" s="44"/>
      <c r="D303" s="44"/>
      <c r="E303" s="44"/>
      <c r="F303" s="44">
        <v>3.0</v>
      </c>
      <c r="G303" s="45" t="s">
        <v>392</v>
      </c>
      <c r="H303" s="32"/>
      <c r="I303" s="42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7"/>
      <c r="X303" s="7"/>
      <c r="Y303" s="7"/>
      <c r="Z303" s="7"/>
    </row>
    <row r="304" ht="14.25" customHeight="1">
      <c r="A304" s="7"/>
      <c r="B304" s="7" t="s">
        <v>412</v>
      </c>
      <c r="C304" s="44"/>
      <c r="D304" s="44"/>
      <c r="E304" s="44"/>
      <c r="F304" s="44"/>
      <c r="G304" s="66">
        <v>1.0</v>
      </c>
      <c r="H304" s="73">
        <v>20.0</v>
      </c>
      <c r="I304" s="45" t="s">
        <v>381</v>
      </c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51">
        <f t="shared" ref="V304:V306" si="54">SUM(J304:U304)</f>
        <v>0</v>
      </c>
      <c r="W304" s="7"/>
      <c r="X304" s="7"/>
      <c r="Y304" s="7"/>
      <c r="Z304" s="7"/>
    </row>
    <row r="305" ht="14.25" customHeight="1">
      <c r="A305" s="7"/>
      <c r="B305" s="7" t="s">
        <v>413</v>
      </c>
      <c r="C305" s="44"/>
      <c r="D305" s="44"/>
      <c r="E305" s="44"/>
      <c r="F305" s="44"/>
      <c r="G305" s="66">
        <v>2.0</v>
      </c>
      <c r="H305" s="73">
        <v>40.0</v>
      </c>
      <c r="I305" s="45" t="s">
        <v>381</v>
      </c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51">
        <f t="shared" si="54"/>
        <v>0</v>
      </c>
      <c r="W305" s="7"/>
      <c r="X305" s="7"/>
      <c r="Y305" s="7"/>
      <c r="Z305" s="7"/>
    </row>
    <row r="306" ht="14.25" customHeight="1">
      <c r="A306" s="7"/>
      <c r="B306" s="7" t="s">
        <v>414</v>
      </c>
      <c r="C306" s="44"/>
      <c r="D306" s="44"/>
      <c r="E306" s="44"/>
      <c r="F306" s="44"/>
      <c r="G306" s="66">
        <v>3.0</v>
      </c>
      <c r="H306" s="73">
        <v>45.0</v>
      </c>
      <c r="I306" s="45" t="s">
        <v>381</v>
      </c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51">
        <f t="shared" si="54"/>
        <v>0</v>
      </c>
      <c r="W306" s="7"/>
      <c r="X306" s="7"/>
      <c r="Y306" s="7"/>
      <c r="Z306" s="7"/>
    </row>
    <row r="307" ht="14.25" customHeight="1">
      <c r="A307" s="7"/>
      <c r="C307" s="44"/>
      <c r="D307" s="44"/>
      <c r="E307" s="44"/>
      <c r="F307" s="44"/>
      <c r="G307" s="73"/>
      <c r="H307" s="73"/>
      <c r="I307" s="42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7"/>
      <c r="X307" s="7"/>
      <c r="Y307" s="7"/>
      <c r="Z307" s="7"/>
    </row>
    <row r="308" ht="14.25" customHeight="1">
      <c r="A308" s="7"/>
      <c r="B308" s="7" t="s">
        <v>415</v>
      </c>
      <c r="C308" s="44"/>
      <c r="D308" s="44"/>
      <c r="E308" s="44"/>
      <c r="F308" s="44">
        <v>4.0</v>
      </c>
      <c r="G308" s="45" t="s">
        <v>397</v>
      </c>
      <c r="H308" s="32"/>
      <c r="I308" s="45" t="s">
        <v>398</v>
      </c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51">
        <f>SUM(J308:U308)</f>
        <v>0</v>
      </c>
      <c r="W308" s="7"/>
      <c r="X308" s="7"/>
      <c r="Y308" s="7"/>
      <c r="Z308" s="7"/>
    </row>
    <row r="309" ht="14.25" customHeight="1">
      <c r="A309" s="7"/>
      <c r="C309" s="44"/>
      <c r="D309" s="44"/>
      <c r="E309" s="44"/>
      <c r="F309" s="44"/>
      <c r="G309" s="45"/>
      <c r="H309" s="81"/>
      <c r="I309" s="42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7"/>
      <c r="X309" s="7"/>
      <c r="Y309" s="7"/>
      <c r="Z309" s="7"/>
    </row>
    <row r="310" ht="14.25" customHeight="1">
      <c r="A310" s="7"/>
      <c r="C310" s="44"/>
      <c r="D310" s="44"/>
      <c r="E310" s="44">
        <v>2.0</v>
      </c>
      <c r="F310" s="89" t="s">
        <v>399</v>
      </c>
      <c r="G310" s="31"/>
      <c r="H310" s="32"/>
      <c r="I310" s="42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7"/>
      <c r="X310" s="7"/>
      <c r="Y310" s="7"/>
      <c r="Z310" s="7"/>
    </row>
    <row r="311" ht="14.25" customHeight="1">
      <c r="A311" s="7"/>
      <c r="B311" s="7" t="s">
        <v>416</v>
      </c>
      <c r="C311" s="44"/>
      <c r="D311" s="44"/>
      <c r="E311" s="44"/>
      <c r="F311" s="44"/>
      <c r="G311" s="66">
        <v>1.0</v>
      </c>
      <c r="H311" s="73">
        <v>20.0</v>
      </c>
      <c r="I311" s="45" t="s">
        <v>381</v>
      </c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51">
        <f t="shared" ref="V311:V313" si="55">SUM(J311:U311)</f>
        <v>0</v>
      </c>
      <c r="W311" s="7"/>
      <c r="X311" s="7"/>
      <c r="Y311" s="7"/>
      <c r="Z311" s="7"/>
    </row>
    <row r="312" ht="14.25" customHeight="1">
      <c r="A312" s="7"/>
      <c r="B312" s="7" t="s">
        <v>417</v>
      </c>
      <c r="C312" s="44"/>
      <c r="D312" s="44"/>
      <c r="E312" s="44"/>
      <c r="F312" s="44"/>
      <c r="G312" s="66">
        <v>2.0</v>
      </c>
      <c r="H312" s="73">
        <v>40.0</v>
      </c>
      <c r="I312" s="45" t="s">
        <v>381</v>
      </c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51">
        <f t="shared" si="55"/>
        <v>0</v>
      </c>
      <c r="W312" s="7"/>
      <c r="X312" s="7"/>
      <c r="Y312" s="7"/>
      <c r="Z312" s="7"/>
    </row>
    <row r="313" ht="14.25" customHeight="1">
      <c r="A313" s="7"/>
      <c r="B313" s="7" t="s">
        <v>418</v>
      </c>
      <c r="C313" s="44"/>
      <c r="D313" s="44"/>
      <c r="E313" s="44"/>
      <c r="F313" s="44"/>
      <c r="G313" s="66">
        <v>3.0</v>
      </c>
      <c r="H313" s="73">
        <v>45.0</v>
      </c>
      <c r="I313" s="45" t="s">
        <v>381</v>
      </c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51">
        <f t="shared" si="55"/>
        <v>0</v>
      </c>
      <c r="W313" s="7"/>
      <c r="X313" s="7"/>
      <c r="Y313" s="7"/>
      <c r="Z313" s="7"/>
    </row>
    <row r="314" ht="14.25" customHeight="1">
      <c r="A314" s="7"/>
      <c r="C314" s="87"/>
      <c r="D314" s="71"/>
      <c r="E314" s="71"/>
      <c r="F314" s="71"/>
      <c r="G314" s="71"/>
      <c r="H314" s="71"/>
      <c r="I314" s="71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7"/>
      <c r="X314" s="7"/>
      <c r="Y314" s="7"/>
      <c r="Z314" s="7"/>
    </row>
    <row r="315" ht="14.25" customHeight="1">
      <c r="A315" s="7"/>
      <c r="C315" s="44"/>
      <c r="D315" s="44">
        <v>3.0</v>
      </c>
      <c r="E315" s="89" t="s">
        <v>419</v>
      </c>
      <c r="F315" s="31"/>
      <c r="G315" s="31"/>
      <c r="H315" s="32"/>
      <c r="I315" s="42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7"/>
      <c r="X315" s="7"/>
      <c r="Y315" s="7"/>
      <c r="Z315" s="7"/>
    </row>
    <row r="316" ht="14.25" customHeight="1">
      <c r="A316" s="7"/>
      <c r="C316" s="44"/>
      <c r="D316" s="44"/>
      <c r="E316" s="44">
        <v>1.0</v>
      </c>
      <c r="F316" s="45" t="s">
        <v>378</v>
      </c>
      <c r="G316" s="31"/>
      <c r="H316" s="32"/>
      <c r="I316" s="42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7"/>
      <c r="X316" s="7"/>
      <c r="Y316" s="7"/>
      <c r="Z316" s="7"/>
    </row>
    <row r="317" ht="14.25" customHeight="1">
      <c r="A317" s="7"/>
      <c r="C317" s="44"/>
      <c r="D317" s="44"/>
      <c r="E317" s="44"/>
      <c r="F317" s="44">
        <v>1.0</v>
      </c>
      <c r="G317" s="45" t="s">
        <v>379</v>
      </c>
      <c r="H317" s="32"/>
      <c r="I317" s="42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7"/>
      <c r="X317" s="7"/>
      <c r="Y317" s="7"/>
      <c r="Z317" s="7"/>
    </row>
    <row r="318" ht="14.25" customHeight="1">
      <c r="A318" s="7"/>
      <c r="B318" s="7" t="s">
        <v>420</v>
      </c>
      <c r="C318" s="44"/>
      <c r="D318" s="44"/>
      <c r="E318" s="44"/>
      <c r="F318" s="44"/>
      <c r="G318" s="66">
        <v>1.0</v>
      </c>
      <c r="H318" s="73">
        <v>20.0</v>
      </c>
      <c r="I318" s="45" t="s">
        <v>381</v>
      </c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51">
        <f t="shared" ref="V318:V322" si="56">SUM(J318:U318)</f>
        <v>0</v>
      </c>
      <c r="W318" s="7"/>
      <c r="X318" s="7"/>
      <c r="Y318" s="7"/>
      <c r="Z318" s="7"/>
    </row>
    <row r="319" ht="14.25" customHeight="1">
      <c r="A319" s="7"/>
      <c r="B319" s="7" t="s">
        <v>421</v>
      </c>
      <c r="C319" s="44"/>
      <c r="D319" s="44"/>
      <c r="E319" s="44"/>
      <c r="F319" s="44"/>
      <c r="G319" s="66">
        <v>2.0</v>
      </c>
      <c r="H319" s="73">
        <v>40.0</v>
      </c>
      <c r="I319" s="45" t="s">
        <v>381</v>
      </c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51">
        <f t="shared" si="56"/>
        <v>0</v>
      </c>
      <c r="W319" s="7"/>
      <c r="X319" s="7"/>
      <c r="Y319" s="7"/>
      <c r="Z319" s="7"/>
    </row>
    <row r="320" ht="14.25" customHeight="1">
      <c r="A320" s="7"/>
      <c r="B320" s="7" t="s">
        <v>422</v>
      </c>
      <c r="C320" s="44"/>
      <c r="D320" s="44"/>
      <c r="E320" s="44"/>
      <c r="F320" s="44"/>
      <c r="G320" s="66">
        <v>3.0</v>
      </c>
      <c r="H320" s="73">
        <v>45.0</v>
      </c>
      <c r="I320" s="45" t="s">
        <v>381</v>
      </c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51">
        <f t="shared" si="56"/>
        <v>0</v>
      </c>
      <c r="W320" s="7"/>
      <c r="X320" s="7"/>
      <c r="Y320" s="7"/>
      <c r="Z320" s="7"/>
    </row>
    <row r="321" ht="14.25" customHeight="1">
      <c r="A321" s="7"/>
      <c r="B321" s="7" t="s">
        <v>423</v>
      </c>
      <c r="C321" s="44"/>
      <c r="D321" s="44"/>
      <c r="E321" s="44"/>
      <c r="F321" s="44"/>
      <c r="G321" s="66">
        <v>4.0</v>
      </c>
      <c r="H321" s="73" t="s">
        <v>385</v>
      </c>
      <c r="I321" s="45" t="s">
        <v>381</v>
      </c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51">
        <f t="shared" si="56"/>
        <v>0</v>
      </c>
      <c r="W321" s="7"/>
      <c r="X321" s="7"/>
      <c r="Y321" s="7"/>
      <c r="Z321" s="7"/>
    </row>
    <row r="322" ht="14.25" customHeight="1">
      <c r="A322" s="7"/>
      <c r="B322" s="7" t="s">
        <v>424</v>
      </c>
      <c r="C322" s="44"/>
      <c r="D322" s="44"/>
      <c r="E322" s="44"/>
      <c r="F322" s="44"/>
      <c r="G322" s="66">
        <v>5.0</v>
      </c>
      <c r="H322" s="73" t="s">
        <v>387</v>
      </c>
      <c r="I322" s="45" t="s">
        <v>381</v>
      </c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51">
        <f t="shared" si="56"/>
        <v>0</v>
      </c>
      <c r="W322" s="7"/>
      <c r="X322" s="7"/>
      <c r="Y322" s="7"/>
      <c r="Z322" s="7"/>
    </row>
    <row r="323" ht="14.25" customHeight="1">
      <c r="A323" s="7"/>
      <c r="C323" s="44"/>
      <c r="D323" s="44"/>
      <c r="E323" s="44"/>
      <c r="F323" s="44"/>
      <c r="G323" s="73"/>
      <c r="H323" s="73"/>
      <c r="I323" s="42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7"/>
      <c r="X323" s="7"/>
      <c r="Y323" s="7"/>
      <c r="Z323" s="7"/>
    </row>
    <row r="324" ht="14.25" customHeight="1">
      <c r="A324" s="7"/>
      <c r="C324" s="44"/>
      <c r="D324" s="44"/>
      <c r="E324" s="44"/>
      <c r="F324" s="44">
        <v>2.0</v>
      </c>
      <c r="G324" s="45" t="s">
        <v>388</v>
      </c>
      <c r="H324" s="32"/>
      <c r="I324" s="42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7"/>
      <c r="X324" s="7"/>
      <c r="Y324" s="7"/>
      <c r="Z324" s="7"/>
    </row>
    <row r="325" ht="14.25" customHeight="1">
      <c r="A325" s="7"/>
      <c r="B325" s="7" t="s">
        <v>425</v>
      </c>
      <c r="C325" s="44"/>
      <c r="D325" s="44"/>
      <c r="E325" s="44"/>
      <c r="F325" s="44"/>
      <c r="G325" s="66">
        <v>1.0</v>
      </c>
      <c r="H325" s="73">
        <v>20.0</v>
      </c>
      <c r="I325" s="45" t="s">
        <v>381</v>
      </c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51">
        <f t="shared" ref="V325:V327" si="57">SUM(J325:U325)</f>
        <v>0</v>
      </c>
      <c r="W325" s="7"/>
      <c r="X325" s="7"/>
      <c r="Y325" s="7"/>
      <c r="Z325" s="7"/>
    </row>
    <row r="326" ht="14.25" customHeight="1">
      <c r="A326" s="7"/>
      <c r="B326" s="7" t="s">
        <v>426</v>
      </c>
      <c r="C326" s="44"/>
      <c r="D326" s="44"/>
      <c r="E326" s="44"/>
      <c r="F326" s="44"/>
      <c r="G326" s="66">
        <v>2.0</v>
      </c>
      <c r="H326" s="73">
        <v>40.0</v>
      </c>
      <c r="I326" s="45" t="s">
        <v>381</v>
      </c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51">
        <f t="shared" si="57"/>
        <v>0</v>
      </c>
      <c r="W326" s="7"/>
      <c r="X326" s="7"/>
      <c r="Y326" s="7"/>
      <c r="Z326" s="7"/>
    </row>
    <row r="327" ht="14.25" customHeight="1">
      <c r="A327" s="7"/>
      <c r="B327" s="7" t="s">
        <v>427</v>
      </c>
      <c r="C327" s="44"/>
      <c r="D327" s="44"/>
      <c r="E327" s="44"/>
      <c r="F327" s="44"/>
      <c r="G327" s="66">
        <v>3.0</v>
      </c>
      <c r="H327" s="73">
        <v>45.0</v>
      </c>
      <c r="I327" s="45" t="s">
        <v>381</v>
      </c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51">
        <f t="shared" si="57"/>
        <v>0</v>
      </c>
      <c r="W327" s="7"/>
      <c r="X327" s="7"/>
      <c r="Y327" s="7"/>
      <c r="Z327" s="7"/>
    </row>
    <row r="328" ht="14.25" customHeight="1">
      <c r="A328" s="7"/>
      <c r="C328" s="44"/>
      <c r="D328" s="44"/>
      <c r="E328" s="44"/>
      <c r="F328" s="44"/>
      <c r="G328" s="107"/>
      <c r="H328" s="107"/>
      <c r="I328" s="42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7"/>
      <c r="X328" s="7"/>
      <c r="Y328" s="7"/>
      <c r="Z328" s="7"/>
    </row>
    <row r="329" ht="14.25" customHeight="1">
      <c r="A329" s="7"/>
      <c r="C329" s="44"/>
      <c r="D329" s="44"/>
      <c r="E329" s="44"/>
      <c r="F329" s="44">
        <v>3.0</v>
      </c>
      <c r="G329" s="45" t="s">
        <v>392</v>
      </c>
      <c r="H329" s="32"/>
      <c r="I329" s="42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7"/>
      <c r="X329" s="7"/>
      <c r="Y329" s="7"/>
      <c r="Z329" s="7"/>
    </row>
    <row r="330" ht="14.25" customHeight="1">
      <c r="A330" s="7"/>
      <c r="B330" s="7" t="s">
        <v>428</v>
      </c>
      <c r="C330" s="44"/>
      <c r="D330" s="44"/>
      <c r="E330" s="44"/>
      <c r="F330" s="44"/>
      <c r="G330" s="66">
        <v>1.0</v>
      </c>
      <c r="H330" s="73">
        <v>20.0</v>
      </c>
      <c r="I330" s="45" t="s">
        <v>381</v>
      </c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51">
        <f t="shared" ref="V330:V332" si="58">SUM(J330:U330)</f>
        <v>0</v>
      </c>
      <c r="W330" s="7"/>
      <c r="X330" s="7"/>
      <c r="Y330" s="7"/>
      <c r="Z330" s="7"/>
    </row>
    <row r="331" ht="14.25" customHeight="1">
      <c r="A331" s="7"/>
      <c r="B331" s="7" t="s">
        <v>429</v>
      </c>
      <c r="C331" s="44"/>
      <c r="D331" s="44"/>
      <c r="E331" s="44"/>
      <c r="F331" s="44"/>
      <c r="G331" s="66">
        <v>2.0</v>
      </c>
      <c r="H331" s="73">
        <v>40.0</v>
      </c>
      <c r="I331" s="45" t="s">
        <v>381</v>
      </c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51">
        <f t="shared" si="58"/>
        <v>0</v>
      </c>
      <c r="W331" s="7"/>
      <c r="X331" s="7"/>
      <c r="Y331" s="7"/>
      <c r="Z331" s="7"/>
    </row>
    <row r="332" ht="14.25" customHeight="1">
      <c r="A332" s="7"/>
      <c r="B332" s="7" t="s">
        <v>430</v>
      </c>
      <c r="C332" s="44"/>
      <c r="D332" s="44"/>
      <c r="E332" s="44"/>
      <c r="F332" s="44"/>
      <c r="G332" s="66">
        <v>3.0</v>
      </c>
      <c r="H332" s="73">
        <v>45.0</v>
      </c>
      <c r="I332" s="45" t="s">
        <v>381</v>
      </c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51">
        <f t="shared" si="58"/>
        <v>0</v>
      </c>
      <c r="W332" s="7"/>
      <c r="X332" s="7"/>
      <c r="Y332" s="7"/>
      <c r="Z332" s="7"/>
    </row>
    <row r="333" ht="14.25" customHeight="1">
      <c r="A333" s="7"/>
      <c r="C333" s="44"/>
      <c r="D333" s="44"/>
      <c r="E333" s="44"/>
      <c r="F333" s="44"/>
      <c r="G333" s="73"/>
      <c r="H333" s="73"/>
      <c r="I333" s="42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7"/>
      <c r="X333" s="7"/>
      <c r="Y333" s="7"/>
      <c r="Z333" s="7"/>
    </row>
    <row r="334" ht="14.25" customHeight="1">
      <c r="A334" s="7"/>
      <c r="B334" s="7" t="s">
        <v>431</v>
      </c>
      <c r="C334" s="44"/>
      <c r="D334" s="44"/>
      <c r="E334" s="44"/>
      <c r="F334" s="44">
        <v>4.0</v>
      </c>
      <c r="G334" s="45" t="s">
        <v>397</v>
      </c>
      <c r="H334" s="32"/>
      <c r="I334" s="45" t="s">
        <v>398</v>
      </c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51">
        <f>SUM(J334:U334)</f>
        <v>0</v>
      </c>
      <c r="W334" s="7"/>
      <c r="X334" s="7"/>
      <c r="Y334" s="7"/>
      <c r="Z334" s="7"/>
    </row>
    <row r="335" ht="14.25" customHeight="1">
      <c r="A335" s="7"/>
      <c r="C335" s="44"/>
      <c r="D335" s="44"/>
      <c r="E335" s="44"/>
      <c r="F335" s="44"/>
      <c r="G335" s="45"/>
      <c r="H335" s="81"/>
      <c r="I335" s="42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7"/>
      <c r="X335" s="7"/>
      <c r="Y335" s="7"/>
      <c r="Z335" s="7"/>
    </row>
    <row r="336" ht="14.25" customHeight="1">
      <c r="A336" s="7"/>
      <c r="C336" s="44"/>
      <c r="D336" s="44"/>
      <c r="E336" s="44">
        <v>2.0</v>
      </c>
      <c r="F336" s="89" t="s">
        <v>399</v>
      </c>
      <c r="G336" s="31"/>
      <c r="H336" s="32"/>
      <c r="I336" s="42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7"/>
      <c r="X336" s="7"/>
      <c r="Y336" s="7"/>
      <c r="Z336" s="7"/>
    </row>
    <row r="337" ht="14.25" customHeight="1">
      <c r="A337" s="7"/>
      <c r="B337" s="7" t="s">
        <v>432</v>
      </c>
      <c r="C337" s="44"/>
      <c r="D337" s="44"/>
      <c r="E337" s="44"/>
      <c r="F337" s="44"/>
      <c r="G337" s="66">
        <v>1.0</v>
      </c>
      <c r="H337" s="73">
        <v>20.0</v>
      </c>
      <c r="I337" s="45" t="s">
        <v>381</v>
      </c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51">
        <f t="shared" ref="V337:V339" si="59">SUM(J337:U337)</f>
        <v>0</v>
      </c>
      <c r="W337" s="7"/>
      <c r="X337" s="7"/>
      <c r="Y337" s="7"/>
      <c r="Z337" s="7"/>
    </row>
    <row r="338" ht="14.25" customHeight="1">
      <c r="A338" s="7"/>
      <c r="B338" s="7" t="s">
        <v>433</v>
      </c>
      <c r="C338" s="44"/>
      <c r="D338" s="44"/>
      <c r="E338" s="44"/>
      <c r="F338" s="44"/>
      <c r="G338" s="66">
        <v>2.0</v>
      </c>
      <c r="H338" s="73">
        <v>40.0</v>
      </c>
      <c r="I338" s="45" t="s">
        <v>381</v>
      </c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51">
        <f t="shared" si="59"/>
        <v>0</v>
      </c>
      <c r="W338" s="7"/>
      <c r="X338" s="7"/>
      <c r="Y338" s="7"/>
      <c r="Z338" s="7"/>
    </row>
    <row r="339" ht="14.25" customHeight="1">
      <c r="A339" s="7"/>
      <c r="B339" s="7" t="s">
        <v>434</v>
      </c>
      <c r="C339" s="44"/>
      <c r="D339" s="44"/>
      <c r="E339" s="44"/>
      <c r="F339" s="44"/>
      <c r="G339" s="66">
        <v>3.0</v>
      </c>
      <c r="H339" s="73">
        <v>45.0</v>
      </c>
      <c r="I339" s="45" t="s">
        <v>381</v>
      </c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51">
        <f t="shared" si="59"/>
        <v>0</v>
      </c>
      <c r="W339" s="7"/>
      <c r="X339" s="7"/>
      <c r="Y339" s="7"/>
      <c r="Z339" s="7"/>
    </row>
    <row r="340" ht="14.25" customHeight="1">
      <c r="A340" s="7"/>
      <c r="C340" s="87"/>
      <c r="D340" s="71"/>
      <c r="E340" s="71"/>
      <c r="F340" s="71"/>
      <c r="G340" s="71"/>
      <c r="H340" s="71"/>
      <c r="I340" s="71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7"/>
      <c r="X340" s="7"/>
      <c r="Y340" s="7"/>
      <c r="Z340" s="7"/>
    </row>
    <row r="341" ht="14.25" customHeight="1">
      <c r="A341" s="7"/>
      <c r="C341" s="44"/>
      <c r="D341" s="90" t="s">
        <v>435</v>
      </c>
      <c r="E341" s="18"/>
      <c r="F341" s="18"/>
      <c r="G341" s="18"/>
      <c r="H341" s="19"/>
      <c r="I341" s="45" t="s">
        <v>381</v>
      </c>
      <c r="J341" s="51">
        <f t="shared" ref="J341:V341" si="60">SUMIF($I$266:$V$339,$I341,J$266:J$339)</f>
        <v>0</v>
      </c>
      <c r="K341" s="51">
        <f t="shared" si="60"/>
        <v>0</v>
      </c>
      <c r="L341" s="51">
        <f t="shared" si="60"/>
        <v>0</v>
      </c>
      <c r="M341" s="51">
        <f t="shared" si="60"/>
        <v>0</v>
      </c>
      <c r="N341" s="51">
        <f t="shared" si="60"/>
        <v>0</v>
      </c>
      <c r="O341" s="51">
        <f t="shared" si="60"/>
        <v>0</v>
      </c>
      <c r="P341" s="51">
        <f t="shared" si="60"/>
        <v>0</v>
      </c>
      <c r="Q341" s="51">
        <f t="shared" si="60"/>
        <v>0</v>
      </c>
      <c r="R341" s="51">
        <f t="shared" si="60"/>
        <v>0</v>
      </c>
      <c r="S341" s="51">
        <f t="shared" si="60"/>
        <v>0</v>
      </c>
      <c r="T341" s="51">
        <f t="shared" si="60"/>
        <v>0</v>
      </c>
      <c r="U341" s="51">
        <f t="shared" si="60"/>
        <v>0</v>
      </c>
      <c r="V341" s="51">
        <f t="shared" si="60"/>
        <v>0</v>
      </c>
      <c r="W341" s="7"/>
      <c r="X341" s="7"/>
      <c r="Y341" s="7"/>
      <c r="Z341" s="7"/>
    </row>
    <row r="342" ht="14.25" customHeight="1">
      <c r="A342" s="7"/>
      <c r="C342" s="44"/>
      <c r="D342" s="26"/>
      <c r="E342" s="27"/>
      <c r="F342" s="27"/>
      <c r="G342" s="27"/>
      <c r="H342" s="28"/>
      <c r="I342" s="45" t="s">
        <v>436</v>
      </c>
      <c r="J342" s="51">
        <f t="shared" ref="J342:V342" si="61">(J266+J269+J273+J278+J285+J292+J295+J299+J304+J311+J318+J321+J325+J330+J337) + ((J267+J270+J274+J279+J286+J293+J296+J300+J305+J312+J319+J322+J326+J331+J338)*2) + ((J268+J275+J280+J287+J294+J301+J306+J313+J320+J327+J332+J339)*2.25)</f>
        <v>0</v>
      </c>
      <c r="K342" s="51">
        <f t="shared" si="61"/>
        <v>0</v>
      </c>
      <c r="L342" s="51">
        <f t="shared" si="61"/>
        <v>0</v>
      </c>
      <c r="M342" s="51">
        <f t="shared" si="61"/>
        <v>0</v>
      </c>
      <c r="N342" s="51">
        <f t="shared" si="61"/>
        <v>0</v>
      </c>
      <c r="O342" s="51">
        <f t="shared" si="61"/>
        <v>0</v>
      </c>
      <c r="P342" s="51">
        <f t="shared" si="61"/>
        <v>0</v>
      </c>
      <c r="Q342" s="51">
        <f t="shared" si="61"/>
        <v>0</v>
      </c>
      <c r="R342" s="51">
        <f t="shared" si="61"/>
        <v>0</v>
      </c>
      <c r="S342" s="51">
        <f t="shared" si="61"/>
        <v>0</v>
      </c>
      <c r="T342" s="51">
        <f t="shared" si="61"/>
        <v>0</v>
      </c>
      <c r="U342" s="51">
        <f t="shared" si="61"/>
        <v>0</v>
      </c>
      <c r="V342" s="51">
        <f t="shared" si="61"/>
        <v>0</v>
      </c>
      <c r="W342" s="7"/>
      <c r="X342" s="7"/>
      <c r="Y342" s="7"/>
      <c r="Z342" s="7"/>
    </row>
    <row r="343" ht="14.25" customHeight="1">
      <c r="A343" s="7"/>
      <c r="C343" s="87"/>
      <c r="D343" s="71"/>
      <c r="E343" s="71"/>
      <c r="F343" s="71"/>
      <c r="G343" s="71"/>
      <c r="H343" s="71"/>
      <c r="I343" s="71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7"/>
      <c r="X343" s="7"/>
      <c r="Y343" s="7"/>
      <c r="Z343" s="7"/>
    </row>
    <row r="344" ht="14.25" customHeight="1">
      <c r="A344" s="7"/>
      <c r="C344" s="66">
        <v>2.0</v>
      </c>
      <c r="D344" s="45" t="s">
        <v>437</v>
      </c>
      <c r="E344" s="31"/>
      <c r="F344" s="31"/>
      <c r="G344" s="31"/>
      <c r="H344" s="32"/>
      <c r="I344" s="42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7"/>
      <c r="X344" s="7"/>
      <c r="Y344" s="7"/>
      <c r="Z344" s="7"/>
    </row>
    <row r="345" ht="14.25" customHeight="1">
      <c r="A345" s="7"/>
      <c r="C345" s="44"/>
      <c r="D345" s="44">
        <v>1.0</v>
      </c>
      <c r="E345" s="45" t="s">
        <v>438</v>
      </c>
      <c r="F345" s="31"/>
      <c r="G345" s="31"/>
      <c r="H345" s="32"/>
      <c r="I345" s="42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7"/>
      <c r="X345" s="7"/>
      <c r="Y345" s="7"/>
      <c r="Z345" s="7"/>
    </row>
    <row r="346" ht="14.25" customHeight="1">
      <c r="A346" s="7"/>
      <c r="C346" s="44"/>
      <c r="D346" s="44"/>
      <c r="E346" s="44">
        <v>1.0</v>
      </c>
      <c r="F346" s="45" t="s">
        <v>378</v>
      </c>
      <c r="G346" s="31"/>
      <c r="H346" s="32"/>
      <c r="I346" s="42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7"/>
      <c r="X346" s="7"/>
      <c r="Y346" s="7"/>
      <c r="Z346" s="7"/>
    </row>
    <row r="347" ht="14.25" customHeight="1">
      <c r="A347" s="7"/>
      <c r="C347" s="44"/>
      <c r="D347" s="44"/>
      <c r="E347" s="44"/>
      <c r="F347" s="44">
        <v>1.0</v>
      </c>
      <c r="G347" s="45" t="s">
        <v>379</v>
      </c>
      <c r="H347" s="32"/>
      <c r="I347" s="42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7"/>
      <c r="X347" s="7"/>
      <c r="Y347" s="7"/>
      <c r="Z347" s="7"/>
    </row>
    <row r="348" ht="14.25" customHeight="1">
      <c r="A348" s="7"/>
      <c r="B348" s="7" t="s">
        <v>439</v>
      </c>
      <c r="C348" s="44"/>
      <c r="D348" s="44"/>
      <c r="E348" s="44"/>
      <c r="F348" s="44"/>
      <c r="G348" s="66">
        <v>1.0</v>
      </c>
      <c r="H348" s="73">
        <v>20.0</v>
      </c>
      <c r="I348" s="45" t="s">
        <v>381</v>
      </c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51">
        <f t="shared" ref="V348:V352" si="62">SUM(J348:U348)</f>
        <v>0</v>
      </c>
      <c r="W348" s="7"/>
      <c r="X348" s="7"/>
      <c r="Y348" s="7"/>
      <c r="Z348" s="7"/>
    </row>
    <row r="349" ht="14.25" customHeight="1">
      <c r="A349" s="7"/>
      <c r="B349" s="7" t="s">
        <v>440</v>
      </c>
      <c r="C349" s="44"/>
      <c r="D349" s="44"/>
      <c r="E349" s="44"/>
      <c r="F349" s="44"/>
      <c r="G349" s="66">
        <v>2.0</v>
      </c>
      <c r="H349" s="73">
        <v>40.0</v>
      </c>
      <c r="I349" s="45" t="s">
        <v>381</v>
      </c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51">
        <f t="shared" si="62"/>
        <v>0</v>
      </c>
      <c r="W349" s="7"/>
      <c r="X349" s="7"/>
      <c r="Y349" s="7"/>
      <c r="Z349" s="7"/>
    </row>
    <row r="350" ht="14.25" customHeight="1">
      <c r="A350" s="7"/>
      <c r="B350" s="7" t="s">
        <v>441</v>
      </c>
      <c r="C350" s="44"/>
      <c r="D350" s="44"/>
      <c r="E350" s="44"/>
      <c r="F350" s="44"/>
      <c r="G350" s="66">
        <v>3.0</v>
      </c>
      <c r="H350" s="73">
        <v>45.0</v>
      </c>
      <c r="I350" s="45" t="s">
        <v>381</v>
      </c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51">
        <f t="shared" si="62"/>
        <v>0</v>
      </c>
      <c r="W350" s="7"/>
      <c r="X350" s="7"/>
      <c r="Y350" s="7"/>
      <c r="Z350" s="7"/>
    </row>
    <row r="351" ht="14.25" customHeight="1">
      <c r="A351" s="7"/>
      <c r="B351" s="7" t="s">
        <v>442</v>
      </c>
      <c r="C351" s="44"/>
      <c r="D351" s="44"/>
      <c r="E351" s="44"/>
      <c r="F351" s="44"/>
      <c r="G351" s="66">
        <v>4.0</v>
      </c>
      <c r="H351" s="73" t="s">
        <v>385</v>
      </c>
      <c r="I351" s="45" t="s">
        <v>381</v>
      </c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51">
        <f t="shared" si="62"/>
        <v>0</v>
      </c>
      <c r="W351" s="7"/>
      <c r="X351" s="7"/>
      <c r="Y351" s="7"/>
      <c r="Z351" s="7"/>
    </row>
    <row r="352" ht="14.25" customHeight="1">
      <c r="A352" s="7"/>
      <c r="B352" s="7" t="s">
        <v>443</v>
      </c>
      <c r="C352" s="44"/>
      <c r="D352" s="44"/>
      <c r="E352" s="44"/>
      <c r="F352" s="44"/>
      <c r="G352" s="66">
        <v>5.0</v>
      </c>
      <c r="H352" s="73" t="s">
        <v>387</v>
      </c>
      <c r="I352" s="45" t="s">
        <v>381</v>
      </c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51">
        <f t="shared" si="62"/>
        <v>0</v>
      </c>
      <c r="W352" s="7"/>
      <c r="X352" s="7"/>
      <c r="Y352" s="7"/>
      <c r="Z352" s="7"/>
    </row>
    <row r="353" ht="14.25" customHeight="1">
      <c r="A353" s="7"/>
      <c r="C353" s="44"/>
      <c r="D353" s="44"/>
      <c r="E353" s="44"/>
      <c r="F353" s="44"/>
      <c r="G353" s="73"/>
      <c r="H353" s="73"/>
      <c r="I353" s="42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7"/>
      <c r="X353" s="7"/>
      <c r="Y353" s="7"/>
      <c r="Z353" s="7"/>
    </row>
    <row r="354" ht="14.25" customHeight="1">
      <c r="A354" s="7"/>
      <c r="C354" s="44"/>
      <c r="D354" s="44"/>
      <c r="E354" s="44"/>
      <c r="F354" s="44">
        <v>2.0</v>
      </c>
      <c r="G354" s="45" t="s">
        <v>388</v>
      </c>
      <c r="H354" s="32"/>
      <c r="I354" s="42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7"/>
      <c r="X354" s="7"/>
      <c r="Y354" s="7"/>
      <c r="Z354" s="7"/>
    </row>
    <row r="355" ht="14.25" customHeight="1">
      <c r="A355" s="7"/>
      <c r="B355" s="7" t="s">
        <v>444</v>
      </c>
      <c r="C355" s="44"/>
      <c r="D355" s="44"/>
      <c r="E355" s="44"/>
      <c r="F355" s="44"/>
      <c r="G355" s="66">
        <v>1.0</v>
      </c>
      <c r="H355" s="73">
        <v>20.0</v>
      </c>
      <c r="I355" s="45" t="s">
        <v>381</v>
      </c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51">
        <f t="shared" ref="V355:V357" si="63">SUM(J355:U355)</f>
        <v>0</v>
      </c>
      <c r="W355" s="7"/>
      <c r="X355" s="7"/>
      <c r="Y355" s="7"/>
      <c r="Z355" s="7"/>
    </row>
    <row r="356" ht="14.25" customHeight="1">
      <c r="A356" s="7"/>
      <c r="B356" s="7" t="s">
        <v>445</v>
      </c>
      <c r="C356" s="44"/>
      <c r="D356" s="44"/>
      <c r="E356" s="44"/>
      <c r="F356" s="44"/>
      <c r="G356" s="66">
        <v>2.0</v>
      </c>
      <c r="H356" s="73">
        <v>40.0</v>
      </c>
      <c r="I356" s="45" t="s">
        <v>381</v>
      </c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51">
        <f t="shared" si="63"/>
        <v>0</v>
      </c>
      <c r="W356" s="7"/>
      <c r="X356" s="7"/>
      <c r="Y356" s="7"/>
      <c r="Z356" s="7"/>
    </row>
    <row r="357" ht="14.25" customHeight="1">
      <c r="A357" s="7"/>
      <c r="B357" s="7" t="s">
        <v>446</v>
      </c>
      <c r="C357" s="44"/>
      <c r="D357" s="44"/>
      <c r="E357" s="44"/>
      <c r="F357" s="44"/>
      <c r="G357" s="66">
        <v>3.0</v>
      </c>
      <c r="H357" s="73">
        <v>45.0</v>
      </c>
      <c r="I357" s="45" t="s">
        <v>381</v>
      </c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51">
        <f t="shared" si="63"/>
        <v>0</v>
      </c>
      <c r="W357" s="7"/>
      <c r="X357" s="7"/>
      <c r="Y357" s="7"/>
      <c r="Z357" s="7"/>
    </row>
    <row r="358" ht="14.25" customHeight="1">
      <c r="A358" s="7"/>
      <c r="C358" s="44"/>
      <c r="D358" s="44"/>
      <c r="E358" s="44"/>
      <c r="F358" s="44"/>
      <c r="G358" s="107"/>
      <c r="H358" s="107"/>
      <c r="I358" s="42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7"/>
      <c r="X358" s="7"/>
      <c r="Y358" s="7"/>
      <c r="Z358" s="7"/>
    </row>
    <row r="359" ht="14.25" customHeight="1">
      <c r="A359" s="7"/>
      <c r="C359" s="44"/>
      <c r="D359" s="44"/>
      <c r="E359" s="44"/>
      <c r="F359" s="44">
        <v>3.0</v>
      </c>
      <c r="G359" s="45" t="s">
        <v>392</v>
      </c>
      <c r="H359" s="32"/>
      <c r="I359" s="42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7"/>
      <c r="X359" s="7"/>
      <c r="Y359" s="7"/>
      <c r="Z359" s="7"/>
    </row>
    <row r="360" ht="14.25" customHeight="1">
      <c r="A360" s="7"/>
      <c r="B360" s="7" t="s">
        <v>447</v>
      </c>
      <c r="C360" s="44"/>
      <c r="D360" s="44"/>
      <c r="E360" s="44"/>
      <c r="F360" s="44"/>
      <c r="G360" s="66">
        <v>1.0</v>
      </c>
      <c r="H360" s="73">
        <v>20.0</v>
      </c>
      <c r="I360" s="45" t="s">
        <v>381</v>
      </c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51">
        <f t="shared" ref="V360:V362" si="64">SUM(J360:U360)</f>
        <v>0</v>
      </c>
      <c r="W360" s="7"/>
      <c r="X360" s="7"/>
      <c r="Y360" s="7"/>
      <c r="Z360" s="7"/>
    </row>
    <row r="361" ht="14.25" customHeight="1">
      <c r="A361" s="7"/>
      <c r="B361" s="7" t="s">
        <v>448</v>
      </c>
      <c r="C361" s="44"/>
      <c r="D361" s="44"/>
      <c r="E361" s="44"/>
      <c r="F361" s="44"/>
      <c r="G361" s="66">
        <v>2.0</v>
      </c>
      <c r="H361" s="73">
        <v>40.0</v>
      </c>
      <c r="I361" s="45" t="s">
        <v>381</v>
      </c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51">
        <f t="shared" si="64"/>
        <v>0</v>
      </c>
      <c r="W361" s="7"/>
      <c r="X361" s="7"/>
      <c r="Y361" s="7"/>
      <c r="Z361" s="7"/>
    </row>
    <row r="362" ht="14.25" customHeight="1">
      <c r="A362" s="7"/>
      <c r="B362" s="7" t="s">
        <v>449</v>
      </c>
      <c r="C362" s="44"/>
      <c r="D362" s="44"/>
      <c r="E362" s="44"/>
      <c r="F362" s="44"/>
      <c r="G362" s="66">
        <v>3.0</v>
      </c>
      <c r="H362" s="73">
        <v>45.0</v>
      </c>
      <c r="I362" s="45" t="s">
        <v>381</v>
      </c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51">
        <f t="shared" si="64"/>
        <v>0</v>
      </c>
      <c r="W362" s="7"/>
      <c r="X362" s="7"/>
      <c r="Y362" s="7"/>
      <c r="Z362" s="7"/>
    </row>
    <row r="363" ht="14.25" customHeight="1">
      <c r="A363" s="7"/>
      <c r="C363" s="44"/>
      <c r="D363" s="44"/>
      <c r="E363" s="44"/>
      <c r="F363" s="44"/>
      <c r="G363" s="73"/>
      <c r="H363" s="73"/>
      <c r="I363" s="42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7"/>
      <c r="X363" s="7"/>
      <c r="Y363" s="7"/>
      <c r="Z363" s="7"/>
    </row>
    <row r="364" ht="14.25" customHeight="1">
      <c r="A364" s="7"/>
      <c r="B364" s="7" t="s">
        <v>450</v>
      </c>
      <c r="C364" s="44"/>
      <c r="D364" s="44"/>
      <c r="E364" s="44"/>
      <c r="F364" s="44">
        <v>4.0</v>
      </c>
      <c r="G364" s="45" t="s">
        <v>397</v>
      </c>
      <c r="H364" s="32"/>
      <c r="I364" s="45" t="s">
        <v>398</v>
      </c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51">
        <f>SUM(J364:U364)</f>
        <v>0</v>
      </c>
      <c r="W364" s="7"/>
      <c r="X364" s="7"/>
      <c r="Y364" s="7"/>
      <c r="Z364" s="7"/>
    </row>
    <row r="365" ht="14.25" customHeight="1">
      <c r="A365" s="7"/>
      <c r="C365" s="44"/>
      <c r="D365" s="44"/>
      <c r="E365" s="44"/>
      <c r="F365" s="44"/>
      <c r="G365" s="45"/>
      <c r="H365" s="81"/>
      <c r="I365" s="42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7"/>
      <c r="X365" s="7"/>
      <c r="Y365" s="7"/>
      <c r="Z365" s="7"/>
    </row>
    <row r="366" ht="14.25" customHeight="1">
      <c r="A366" s="7"/>
      <c r="C366" s="44"/>
      <c r="D366" s="44"/>
      <c r="E366" s="44">
        <v>2.0</v>
      </c>
      <c r="F366" s="89" t="s">
        <v>399</v>
      </c>
      <c r="G366" s="31"/>
      <c r="H366" s="32"/>
      <c r="I366" s="42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7"/>
      <c r="X366" s="7"/>
      <c r="Y366" s="7"/>
      <c r="Z366" s="7"/>
    </row>
    <row r="367" ht="14.25" customHeight="1">
      <c r="A367" s="7"/>
      <c r="B367" s="7" t="s">
        <v>451</v>
      </c>
      <c r="C367" s="44"/>
      <c r="D367" s="44"/>
      <c r="E367" s="44"/>
      <c r="F367" s="44"/>
      <c r="G367" s="66">
        <v>1.0</v>
      </c>
      <c r="H367" s="73">
        <v>20.0</v>
      </c>
      <c r="I367" s="45" t="s">
        <v>381</v>
      </c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51">
        <f t="shared" ref="V367:V369" si="65">SUM(J367:U367)</f>
        <v>0</v>
      </c>
      <c r="W367" s="7"/>
      <c r="X367" s="7"/>
      <c r="Y367" s="7"/>
      <c r="Z367" s="7"/>
    </row>
    <row r="368" ht="14.25" customHeight="1">
      <c r="A368" s="7"/>
      <c r="B368" s="7" t="s">
        <v>452</v>
      </c>
      <c r="C368" s="44"/>
      <c r="D368" s="44"/>
      <c r="E368" s="44"/>
      <c r="F368" s="44"/>
      <c r="G368" s="66">
        <v>2.0</v>
      </c>
      <c r="H368" s="73">
        <v>40.0</v>
      </c>
      <c r="I368" s="45" t="s">
        <v>381</v>
      </c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51">
        <f t="shared" si="65"/>
        <v>0</v>
      </c>
      <c r="W368" s="7"/>
      <c r="X368" s="7"/>
      <c r="Y368" s="7"/>
      <c r="Z368" s="7"/>
    </row>
    <row r="369" ht="14.25" customHeight="1">
      <c r="A369" s="7"/>
      <c r="B369" s="7" t="s">
        <v>453</v>
      </c>
      <c r="C369" s="44"/>
      <c r="D369" s="44"/>
      <c r="E369" s="44"/>
      <c r="F369" s="44"/>
      <c r="G369" s="66">
        <v>3.0</v>
      </c>
      <c r="H369" s="73">
        <v>45.0</v>
      </c>
      <c r="I369" s="45" t="s">
        <v>381</v>
      </c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51">
        <f t="shared" si="65"/>
        <v>0</v>
      </c>
      <c r="W369" s="7"/>
      <c r="X369" s="7"/>
      <c r="Y369" s="7"/>
      <c r="Z369" s="7"/>
    </row>
    <row r="370" ht="14.25" customHeight="1">
      <c r="A370" s="7"/>
      <c r="C370" s="87"/>
      <c r="D370" s="71"/>
      <c r="E370" s="71"/>
      <c r="F370" s="71"/>
      <c r="G370" s="71"/>
      <c r="H370" s="71"/>
      <c r="I370" s="71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7"/>
      <c r="X370" s="7"/>
      <c r="Y370" s="7"/>
      <c r="Z370" s="7"/>
    </row>
    <row r="371" ht="14.25" customHeight="1">
      <c r="A371" s="7"/>
      <c r="C371" s="44"/>
      <c r="D371" s="44">
        <v>2.0</v>
      </c>
      <c r="E371" s="45" t="s">
        <v>454</v>
      </c>
      <c r="F371" s="31"/>
      <c r="G371" s="31"/>
      <c r="H371" s="32"/>
      <c r="I371" s="42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7"/>
      <c r="X371" s="7"/>
      <c r="Y371" s="7"/>
      <c r="Z371" s="7"/>
    </row>
    <row r="372" ht="14.25" customHeight="1">
      <c r="A372" s="7"/>
      <c r="C372" s="44"/>
      <c r="D372" s="44"/>
      <c r="E372" s="44">
        <v>1.0</v>
      </c>
      <c r="F372" s="45" t="s">
        <v>378</v>
      </c>
      <c r="G372" s="31"/>
      <c r="H372" s="32"/>
      <c r="I372" s="42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7"/>
      <c r="X372" s="7"/>
      <c r="Y372" s="7"/>
      <c r="Z372" s="7"/>
    </row>
    <row r="373" ht="14.25" customHeight="1">
      <c r="A373" s="7"/>
      <c r="C373" s="44"/>
      <c r="D373" s="44"/>
      <c r="E373" s="44"/>
      <c r="F373" s="44">
        <v>1.0</v>
      </c>
      <c r="G373" s="45" t="s">
        <v>379</v>
      </c>
      <c r="H373" s="32"/>
      <c r="I373" s="42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7"/>
      <c r="X373" s="7"/>
      <c r="Y373" s="7"/>
      <c r="Z373" s="7"/>
    </row>
    <row r="374" ht="14.25" customHeight="1">
      <c r="A374" s="7"/>
      <c r="B374" s="7" t="s">
        <v>455</v>
      </c>
      <c r="C374" s="44"/>
      <c r="D374" s="44"/>
      <c r="E374" s="44"/>
      <c r="F374" s="44"/>
      <c r="G374" s="66">
        <v>1.0</v>
      </c>
      <c r="H374" s="73">
        <v>20.0</v>
      </c>
      <c r="I374" s="45" t="s">
        <v>381</v>
      </c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51">
        <f t="shared" ref="V374:V378" si="66">SUM(J374:U374)</f>
        <v>0</v>
      </c>
      <c r="W374" s="7"/>
      <c r="X374" s="7"/>
      <c r="Y374" s="7"/>
      <c r="Z374" s="7"/>
    </row>
    <row r="375" ht="14.25" customHeight="1">
      <c r="A375" s="7"/>
      <c r="B375" s="7" t="s">
        <v>456</v>
      </c>
      <c r="C375" s="44"/>
      <c r="D375" s="44"/>
      <c r="E375" s="44"/>
      <c r="F375" s="44"/>
      <c r="G375" s="66">
        <v>2.0</v>
      </c>
      <c r="H375" s="73">
        <v>40.0</v>
      </c>
      <c r="I375" s="45" t="s">
        <v>381</v>
      </c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51">
        <f t="shared" si="66"/>
        <v>0</v>
      </c>
      <c r="W375" s="7"/>
      <c r="X375" s="7"/>
      <c r="Y375" s="7"/>
      <c r="Z375" s="7"/>
    </row>
    <row r="376" ht="14.25" customHeight="1">
      <c r="A376" s="7"/>
      <c r="B376" s="7" t="s">
        <v>457</v>
      </c>
      <c r="C376" s="44"/>
      <c r="D376" s="44"/>
      <c r="E376" s="44"/>
      <c r="F376" s="44"/>
      <c r="G376" s="66">
        <v>3.0</v>
      </c>
      <c r="H376" s="73">
        <v>45.0</v>
      </c>
      <c r="I376" s="45" t="s">
        <v>381</v>
      </c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51">
        <f t="shared" si="66"/>
        <v>0</v>
      </c>
      <c r="W376" s="7"/>
      <c r="X376" s="7"/>
      <c r="Y376" s="7"/>
      <c r="Z376" s="7"/>
    </row>
    <row r="377" ht="14.25" customHeight="1">
      <c r="A377" s="7"/>
      <c r="B377" s="7" t="s">
        <v>458</v>
      </c>
      <c r="C377" s="44"/>
      <c r="D377" s="44"/>
      <c r="E377" s="44"/>
      <c r="F377" s="44"/>
      <c r="G377" s="66">
        <v>4.0</v>
      </c>
      <c r="H377" s="73" t="s">
        <v>385</v>
      </c>
      <c r="I377" s="45" t="s">
        <v>381</v>
      </c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51">
        <f t="shared" si="66"/>
        <v>0</v>
      </c>
      <c r="W377" s="7"/>
      <c r="X377" s="7"/>
      <c r="Y377" s="7"/>
      <c r="Z377" s="7"/>
    </row>
    <row r="378" ht="14.25" customHeight="1">
      <c r="A378" s="7"/>
      <c r="B378" s="7" t="s">
        <v>459</v>
      </c>
      <c r="C378" s="44"/>
      <c r="D378" s="44"/>
      <c r="E378" s="44"/>
      <c r="F378" s="44"/>
      <c r="G378" s="66">
        <v>5.0</v>
      </c>
      <c r="H378" s="73" t="s">
        <v>387</v>
      </c>
      <c r="I378" s="45" t="s">
        <v>381</v>
      </c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51">
        <f t="shared" si="66"/>
        <v>0</v>
      </c>
      <c r="W378" s="7"/>
      <c r="X378" s="7"/>
      <c r="Y378" s="7"/>
      <c r="Z378" s="7"/>
    </row>
    <row r="379" ht="14.25" customHeight="1">
      <c r="A379" s="7"/>
      <c r="C379" s="44"/>
      <c r="D379" s="44"/>
      <c r="E379" s="44"/>
      <c r="F379" s="44"/>
      <c r="G379" s="73"/>
      <c r="H379" s="73"/>
      <c r="I379" s="42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7"/>
      <c r="X379" s="7"/>
      <c r="Y379" s="7"/>
      <c r="Z379" s="7"/>
    </row>
    <row r="380" ht="14.25" customHeight="1">
      <c r="A380" s="7"/>
      <c r="C380" s="44"/>
      <c r="D380" s="44"/>
      <c r="E380" s="44"/>
      <c r="F380" s="44">
        <v>2.0</v>
      </c>
      <c r="G380" s="45" t="s">
        <v>388</v>
      </c>
      <c r="H380" s="32"/>
      <c r="I380" s="42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7"/>
      <c r="X380" s="7"/>
      <c r="Y380" s="7"/>
      <c r="Z380" s="7"/>
    </row>
    <row r="381" ht="14.25" customHeight="1">
      <c r="A381" s="7"/>
      <c r="B381" s="7" t="s">
        <v>460</v>
      </c>
      <c r="C381" s="44"/>
      <c r="D381" s="44"/>
      <c r="E381" s="44"/>
      <c r="F381" s="44"/>
      <c r="G381" s="66">
        <v>1.0</v>
      </c>
      <c r="H381" s="73">
        <v>20.0</v>
      </c>
      <c r="I381" s="45" t="s">
        <v>381</v>
      </c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51">
        <f t="shared" ref="V381:V383" si="67">SUM(J381:U381)</f>
        <v>0</v>
      </c>
      <c r="W381" s="7"/>
      <c r="X381" s="7"/>
      <c r="Y381" s="7"/>
      <c r="Z381" s="7"/>
    </row>
    <row r="382" ht="14.25" customHeight="1">
      <c r="A382" s="7"/>
      <c r="B382" s="7" t="s">
        <v>461</v>
      </c>
      <c r="C382" s="44"/>
      <c r="D382" s="44"/>
      <c r="E382" s="44"/>
      <c r="F382" s="44"/>
      <c r="G382" s="66">
        <v>2.0</v>
      </c>
      <c r="H382" s="73">
        <v>40.0</v>
      </c>
      <c r="I382" s="45" t="s">
        <v>381</v>
      </c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51">
        <f t="shared" si="67"/>
        <v>0</v>
      </c>
      <c r="W382" s="7"/>
      <c r="X382" s="7"/>
      <c r="Y382" s="7"/>
      <c r="Z382" s="7"/>
    </row>
    <row r="383" ht="14.25" customHeight="1">
      <c r="A383" s="7"/>
      <c r="B383" s="7" t="s">
        <v>462</v>
      </c>
      <c r="C383" s="44"/>
      <c r="D383" s="44"/>
      <c r="E383" s="44"/>
      <c r="F383" s="44"/>
      <c r="G383" s="66">
        <v>3.0</v>
      </c>
      <c r="H383" s="73">
        <v>45.0</v>
      </c>
      <c r="I383" s="45" t="s">
        <v>381</v>
      </c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51">
        <f t="shared" si="67"/>
        <v>0</v>
      </c>
      <c r="W383" s="7"/>
      <c r="X383" s="7"/>
      <c r="Y383" s="7"/>
      <c r="Z383" s="7"/>
    </row>
    <row r="384" ht="14.25" customHeight="1">
      <c r="A384" s="7"/>
      <c r="C384" s="44"/>
      <c r="D384" s="44"/>
      <c r="E384" s="44"/>
      <c r="F384" s="44"/>
      <c r="G384" s="107"/>
      <c r="H384" s="107"/>
      <c r="I384" s="42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7"/>
      <c r="X384" s="7"/>
      <c r="Y384" s="7"/>
      <c r="Z384" s="7"/>
    </row>
    <row r="385" ht="14.25" customHeight="1">
      <c r="A385" s="7"/>
      <c r="C385" s="44"/>
      <c r="D385" s="44"/>
      <c r="E385" s="44"/>
      <c r="F385" s="44">
        <v>3.0</v>
      </c>
      <c r="G385" s="45" t="s">
        <v>392</v>
      </c>
      <c r="H385" s="32"/>
      <c r="I385" s="42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7"/>
      <c r="X385" s="7"/>
      <c r="Y385" s="7"/>
      <c r="Z385" s="7"/>
    </row>
    <row r="386" ht="14.25" customHeight="1">
      <c r="A386" s="7"/>
      <c r="B386" s="7" t="s">
        <v>463</v>
      </c>
      <c r="C386" s="44"/>
      <c r="D386" s="44"/>
      <c r="E386" s="44"/>
      <c r="F386" s="44"/>
      <c r="G386" s="66">
        <v>1.0</v>
      </c>
      <c r="H386" s="73">
        <v>20.0</v>
      </c>
      <c r="I386" s="45" t="s">
        <v>381</v>
      </c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51">
        <f t="shared" ref="V386:V388" si="68">SUM(J386:U386)</f>
        <v>0</v>
      </c>
      <c r="W386" s="7"/>
      <c r="X386" s="7"/>
      <c r="Y386" s="7"/>
      <c r="Z386" s="7"/>
    </row>
    <row r="387" ht="14.25" customHeight="1">
      <c r="A387" s="7"/>
      <c r="B387" s="7" t="s">
        <v>464</v>
      </c>
      <c r="C387" s="44"/>
      <c r="D387" s="44"/>
      <c r="E387" s="44"/>
      <c r="F387" s="44"/>
      <c r="G387" s="66">
        <v>2.0</v>
      </c>
      <c r="H387" s="73">
        <v>40.0</v>
      </c>
      <c r="I387" s="45" t="s">
        <v>381</v>
      </c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51">
        <f t="shared" si="68"/>
        <v>0</v>
      </c>
      <c r="W387" s="7"/>
      <c r="X387" s="7"/>
      <c r="Y387" s="7"/>
      <c r="Z387" s="7"/>
    </row>
    <row r="388" ht="14.25" customHeight="1">
      <c r="A388" s="7"/>
      <c r="B388" s="7" t="s">
        <v>465</v>
      </c>
      <c r="C388" s="44"/>
      <c r="D388" s="44"/>
      <c r="E388" s="44"/>
      <c r="F388" s="44"/>
      <c r="G388" s="66">
        <v>3.0</v>
      </c>
      <c r="H388" s="73">
        <v>45.0</v>
      </c>
      <c r="I388" s="45" t="s">
        <v>381</v>
      </c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51">
        <f t="shared" si="68"/>
        <v>0</v>
      </c>
      <c r="W388" s="7"/>
      <c r="X388" s="7"/>
      <c r="Y388" s="7"/>
      <c r="Z388" s="7"/>
    </row>
    <row r="389" ht="14.25" customHeight="1">
      <c r="A389" s="7"/>
      <c r="C389" s="44"/>
      <c r="D389" s="44"/>
      <c r="E389" s="44"/>
      <c r="F389" s="44"/>
      <c r="G389" s="73"/>
      <c r="H389" s="73"/>
      <c r="I389" s="42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7"/>
      <c r="X389" s="7"/>
      <c r="Y389" s="7"/>
      <c r="Z389" s="7"/>
    </row>
    <row r="390" ht="14.25" customHeight="1">
      <c r="A390" s="7"/>
      <c r="B390" s="7" t="s">
        <v>466</v>
      </c>
      <c r="C390" s="44"/>
      <c r="D390" s="44"/>
      <c r="E390" s="44"/>
      <c r="F390" s="44">
        <v>4.0</v>
      </c>
      <c r="G390" s="45" t="s">
        <v>397</v>
      </c>
      <c r="H390" s="32"/>
      <c r="I390" s="45" t="s">
        <v>398</v>
      </c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51">
        <f>SUM(J390:U390)</f>
        <v>0</v>
      </c>
      <c r="W390" s="7"/>
      <c r="X390" s="7"/>
      <c r="Y390" s="7"/>
      <c r="Z390" s="7"/>
    </row>
    <row r="391" ht="14.25" customHeight="1">
      <c r="A391" s="7"/>
      <c r="C391" s="44"/>
      <c r="D391" s="44"/>
      <c r="E391" s="44"/>
      <c r="F391" s="44"/>
      <c r="G391" s="45"/>
      <c r="H391" s="81"/>
      <c r="I391" s="42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7"/>
      <c r="X391" s="7"/>
      <c r="Y391" s="7"/>
      <c r="Z391" s="7"/>
    </row>
    <row r="392" ht="14.25" customHeight="1">
      <c r="A392" s="7"/>
      <c r="C392" s="44"/>
      <c r="D392" s="44"/>
      <c r="E392" s="44">
        <v>2.0</v>
      </c>
      <c r="F392" s="89" t="s">
        <v>399</v>
      </c>
      <c r="G392" s="31"/>
      <c r="H392" s="32"/>
      <c r="I392" s="42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7"/>
      <c r="X392" s="7"/>
      <c r="Y392" s="7"/>
      <c r="Z392" s="7"/>
    </row>
    <row r="393" ht="14.25" customHeight="1">
      <c r="A393" s="7"/>
      <c r="B393" s="7" t="s">
        <v>467</v>
      </c>
      <c r="C393" s="44"/>
      <c r="D393" s="44"/>
      <c r="E393" s="44"/>
      <c r="F393" s="44"/>
      <c r="G393" s="66">
        <v>1.0</v>
      </c>
      <c r="H393" s="73">
        <v>20.0</v>
      </c>
      <c r="I393" s="45" t="s">
        <v>381</v>
      </c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51">
        <f t="shared" ref="V393:V395" si="69">SUM(J393:U393)</f>
        <v>0</v>
      </c>
      <c r="W393" s="7"/>
      <c r="X393" s="7"/>
      <c r="Y393" s="7"/>
      <c r="Z393" s="7"/>
    </row>
    <row r="394" ht="14.25" customHeight="1">
      <c r="A394" s="7"/>
      <c r="B394" s="7" t="s">
        <v>468</v>
      </c>
      <c r="C394" s="44"/>
      <c r="D394" s="44"/>
      <c r="E394" s="44"/>
      <c r="F394" s="44"/>
      <c r="G394" s="66">
        <v>2.0</v>
      </c>
      <c r="H394" s="73">
        <v>40.0</v>
      </c>
      <c r="I394" s="45" t="s">
        <v>381</v>
      </c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51">
        <f t="shared" si="69"/>
        <v>0</v>
      </c>
      <c r="W394" s="7"/>
      <c r="X394" s="7"/>
      <c r="Y394" s="7"/>
      <c r="Z394" s="7"/>
    </row>
    <row r="395" ht="14.25" customHeight="1">
      <c r="A395" s="7"/>
      <c r="B395" s="7" t="s">
        <v>469</v>
      </c>
      <c r="C395" s="44"/>
      <c r="D395" s="44"/>
      <c r="E395" s="44"/>
      <c r="F395" s="44"/>
      <c r="G395" s="66">
        <v>3.0</v>
      </c>
      <c r="H395" s="73">
        <v>45.0</v>
      </c>
      <c r="I395" s="45" t="s">
        <v>381</v>
      </c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51">
        <f t="shared" si="69"/>
        <v>0</v>
      </c>
      <c r="W395" s="7"/>
      <c r="X395" s="7"/>
      <c r="Y395" s="7"/>
      <c r="Z395" s="7"/>
    </row>
    <row r="396" ht="14.25" customHeight="1">
      <c r="A396" s="7"/>
      <c r="C396" s="87"/>
      <c r="D396" s="71"/>
      <c r="E396" s="71"/>
      <c r="F396" s="71"/>
      <c r="G396" s="71"/>
      <c r="H396" s="71"/>
      <c r="I396" s="71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7"/>
      <c r="X396" s="7"/>
      <c r="Y396" s="7"/>
      <c r="Z396" s="7"/>
    </row>
    <row r="397" ht="14.25" customHeight="1">
      <c r="A397" s="7"/>
      <c r="C397" s="44"/>
      <c r="D397" s="44">
        <v>3.0</v>
      </c>
      <c r="E397" s="89" t="s">
        <v>419</v>
      </c>
      <c r="F397" s="31"/>
      <c r="G397" s="31"/>
      <c r="H397" s="32"/>
      <c r="I397" s="42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7"/>
      <c r="X397" s="7"/>
      <c r="Y397" s="7"/>
      <c r="Z397" s="7"/>
    </row>
    <row r="398" ht="14.25" customHeight="1">
      <c r="A398" s="7"/>
      <c r="C398" s="44"/>
      <c r="D398" s="44"/>
      <c r="E398" s="44">
        <v>1.0</v>
      </c>
      <c r="F398" s="45" t="s">
        <v>378</v>
      </c>
      <c r="G398" s="31"/>
      <c r="H398" s="32"/>
      <c r="I398" s="42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7"/>
      <c r="X398" s="7"/>
      <c r="Y398" s="7"/>
      <c r="Z398" s="7"/>
    </row>
    <row r="399" ht="14.25" customHeight="1">
      <c r="A399" s="7"/>
      <c r="C399" s="44"/>
      <c r="D399" s="44"/>
      <c r="E399" s="44"/>
      <c r="F399" s="44">
        <v>1.0</v>
      </c>
      <c r="G399" s="45" t="s">
        <v>379</v>
      </c>
      <c r="H399" s="32"/>
      <c r="I399" s="42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7"/>
      <c r="X399" s="7"/>
      <c r="Y399" s="7"/>
      <c r="Z399" s="7"/>
    </row>
    <row r="400" ht="14.25" customHeight="1">
      <c r="A400" s="7"/>
      <c r="B400" s="7" t="s">
        <v>470</v>
      </c>
      <c r="C400" s="44"/>
      <c r="D400" s="44"/>
      <c r="E400" s="44"/>
      <c r="F400" s="44"/>
      <c r="G400" s="66">
        <v>1.0</v>
      </c>
      <c r="H400" s="73">
        <v>20.0</v>
      </c>
      <c r="I400" s="45" t="s">
        <v>381</v>
      </c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51">
        <f t="shared" ref="V400:V404" si="70">SUM(J400:U400)</f>
        <v>0</v>
      </c>
      <c r="W400" s="7"/>
      <c r="X400" s="7"/>
      <c r="Y400" s="7"/>
      <c r="Z400" s="7"/>
    </row>
    <row r="401" ht="14.25" customHeight="1">
      <c r="A401" s="7"/>
      <c r="B401" s="7" t="s">
        <v>471</v>
      </c>
      <c r="C401" s="44"/>
      <c r="D401" s="44"/>
      <c r="E401" s="44"/>
      <c r="F401" s="44"/>
      <c r="G401" s="66">
        <v>2.0</v>
      </c>
      <c r="H401" s="73">
        <v>40.0</v>
      </c>
      <c r="I401" s="45" t="s">
        <v>381</v>
      </c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51">
        <f t="shared" si="70"/>
        <v>0</v>
      </c>
      <c r="W401" s="7"/>
      <c r="X401" s="7"/>
      <c r="Y401" s="7"/>
      <c r="Z401" s="7"/>
    </row>
    <row r="402" ht="14.25" customHeight="1">
      <c r="A402" s="7"/>
      <c r="B402" s="7" t="s">
        <v>472</v>
      </c>
      <c r="C402" s="44"/>
      <c r="D402" s="44"/>
      <c r="E402" s="44"/>
      <c r="F402" s="44"/>
      <c r="G402" s="66">
        <v>3.0</v>
      </c>
      <c r="H402" s="73">
        <v>45.0</v>
      </c>
      <c r="I402" s="45" t="s">
        <v>381</v>
      </c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51">
        <f t="shared" si="70"/>
        <v>0</v>
      </c>
      <c r="W402" s="7"/>
      <c r="X402" s="7"/>
      <c r="Y402" s="7"/>
      <c r="Z402" s="7"/>
    </row>
    <row r="403" ht="14.25" customHeight="1">
      <c r="A403" s="7"/>
      <c r="B403" s="7" t="s">
        <v>473</v>
      </c>
      <c r="C403" s="44"/>
      <c r="D403" s="44"/>
      <c r="E403" s="44"/>
      <c r="F403" s="44"/>
      <c r="G403" s="66">
        <v>4.0</v>
      </c>
      <c r="H403" s="73" t="s">
        <v>385</v>
      </c>
      <c r="I403" s="45" t="s">
        <v>381</v>
      </c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51">
        <f t="shared" si="70"/>
        <v>0</v>
      </c>
      <c r="W403" s="7"/>
      <c r="X403" s="7"/>
      <c r="Y403" s="7"/>
      <c r="Z403" s="7"/>
    </row>
    <row r="404" ht="14.25" customHeight="1">
      <c r="A404" s="7"/>
      <c r="B404" s="7" t="s">
        <v>474</v>
      </c>
      <c r="C404" s="44"/>
      <c r="D404" s="44"/>
      <c r="E404" s="44"/>
      <c r="F404" s="44"/>
      <c r="G404" s="66">
        <v>5.0</v>
      </c>
      <c r="H404" s="73" t="s">
        <v>387</v>
      </c>
      <c r="I404" s="45" t="s">
        <v>381</v>
      </c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51">
        <f t="shared" si="70"/>
        <v>0</v>
      </c>
      <c r="W404" s="7"/>
      <c r="X404" s="7"/>
      <c r="Y404" s="7"/>
      <c r="Z404" s="7"/>
    </row>
    <row r="405" ht="14.25" customHeight="1">
      <c r="A405" s="7"/>
      <c r="C405" s="44"/>
      <c r="D405" s="44"/>
      <c r="E405" s="44"/>
      <c r="F405" s="44"/>
      <c r="G405" s="73"/>
      <c r="H405" s="73"/>
      <c r="I405" s="42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7"/>
      <c r="X405" s="7"/>
      <c r="Y405" s="7"/>
      <c r="Z405" s="7"/>
    </row>
    <row r="406" ht="14.25" customHeight="1">
      <c r="A406" s="7"/>
      <c r="C406" s="44"/>
      <c r="D406" s="44"/>
      <c r="E406" s="44"/>
      <c r="F406" s="44">
        <v>2.0</v>
      </c>
      <c r="G406" s="45" t="s">
        <v>388</v>
      </c>
      <c r="H406" s="32"/>
      <c r="I406" s="42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7"/>
      <c r="X406" s="7"/>
      <c r="Y406" s="7"/>
      <c r="Z406" s="7"/>
    </row>
    <row r="407" ht="14.25" customHeight="1">
      <c r="A407" s="7"/>
      <c r="B407" s="7" t="s">
        <v>475</v>
      </c>
      <c r="C407" s="44"/>
      <c r="D407" s="44"/>
      <c r="E407" s="44"/>
      <c r="F407" s="44"/>
      <c r="G407" s="66">
        <v>1.0</v>
      </c>
      <c r="H407" s="73">
        <v>20.0</v>
      </c>
      <c r="I407" s="45" t="s">
        <v>381</v>
      </c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51">
        <f t="shared" ref="V407:V409" si="71">SUM(J407:U407)</f>
        <v>0</v>
      </c>
      <c r="W407" s="7"/>
      <c r="X407" s="7"/>
      <c r="Y407" s="7"/>
      <c r="Z407" s="7"/>
    </row>
    <row r="408" ht="14.25" customHeight="1">
      <c r="A408" s="7"/>
      <c r="B408" s="7" t="s">
        <v>476</v>
      </c>
      <c r="C408" s="44"/>
      <c r="D408" s="44"/>
      <c r="E408" s="44"/>
      <c r="F408" s="44"/>
      <c r="G408" s="66">
        <v>2.0</v>
      </c>
      <c r="H408" s="73">
        <v>40.0</v>
      </c>
      <c r="I408" s="45" t="s">
        <v>381</v>
      </c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51">
        <f t="shared" si="71"/>
        <v>0</v>
      </c>
      <c r="W408" s="7"/>
      <c r="X408" s="7"/>
      <c r="Y408" s="7"/>
      <c r="Z408" s="7"/>
    </row>
    <row r="409" ht="14.25" customHeight="1">
      <c r="A409" s="7"/>
      <c r="B409" s="7" t="s">
        <v>477</v>
      </c>
      <c r="C409" s="44"/>
      <c r="D409" s="44"/>
      <c r="E409" s="44"/>
      <c r="F409" s="44"/>
      <c r="G409" s="66">
        <v>3.0</v>
      </c>
      <c r="H409" s="73">
        <v>45.0</v>
      </c>
      <c r="I409" s="45" t="s">
        <v>381</v>
      </c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51">
        <f t="shared" si="71"/>
        <v>0</v>
      </c>
      <c r="W409" s="7"/>
      <c r="X409" s="7"/>
      <c r="Y409" s="7"/>
      <c r="Z409" s="7"/>
    </row>
    <row r="410" ht="14.25" customHeight="1">
      <c r="A410" s="7"/>
      <c r="C410" s="44"/>
      <c r="D410" s="44"/>
      <c r="E410" s="44"/>
      <c r="F410" s="44"/>
      <c r="G410" s="107"/>
      <c r="H410" s="107"/>
      <c r="I410" s="42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7"/>
      <c r="X410" s="7"/>
      <c r="Y410" s="7"/>
      <c r="Z410" s="7"/>
    </row>
    <row r="411" ht="14.25" customHeight="1">
      <c r="A411" s="7"/>
      <c r="C411" s="44"/>
      <c r="D411" s="44"/>
      <c r="E411" s="44"/>
      <c r="F411" s="44">
        <v>3.0</v>
      </c>
      <c r="G411" s="45" t="s">
        <v>392</v>
      </c>
      <c r="H411" s="32"/>
      <c r="I411" s="42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7"/>
      <c r="X411" s="7"/>
      <c r="Y411" s="7"/>
      <c r="Z411" s="7"/>
    </row>
    <row r="412" ht="14.25" customHeight="1">
      <c r="A412" s="7"/>
      <c r="B412" s="7" t="s">
        <v>478</v>
      </c>
      <c r="C412" s="44"/>
      <c r="D412" s="44"/>
      <c r="E412" s="44"/>
      <c r="F412" s="44"/>
      <c r="G412" s="66">
        <v>1.0</v>
      </c>
      <c r="H412" s="73">
        <v>20.0</v>
      </c>
      <c r="I412" s="45" t="s">
        <v>381</v>
      </c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51">
        <f t="shared" ref="V412:V414" si="72">SUM(J412:U412)</f>
        <v>0</v>
      </c>
      <c r="W412" s="7"/>
      <c r="X412" s="7"/>
      <c r="Y412" s="7"/>
      <c r="Z412" s="7"/>
    </row>
    <row r="413" ht="14.25" customHeight="1">
      <c r="A413" s="7"/>
      <c r="B413" s="7" t="s">
        <v>479</v>
      </c>
      <c r="C413" s="44"/>
      <c r="D413" s="44"/>
      <c r="E413" s="44"/>
      <c r="F413" s="44"/>
      <c r="G413" s="66">
        <v>2.0</v>
      </c>
      <c r="H413" s="73">
        <v>40.0</v>
      </c>
      <c r="I413" s="45" t="s">
        <v>381</v>
      </c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51">
        <f t="shared" si="72"/>
        <v>0</v>
      </c>
      <c r="W413" s="7"/>
      <c r="X413" s="7"/>
      <c r="Y413" s="7"/>
      <c r="Z413" s="7"/>
    </row>
    <row r="414" ht="14.25" customHeight="1">
      <c r="A414" s="7"/>
      <c r="B414" s="7" t="s">
        <v>480</v>
      </c>
      <c r="C414" s="44"/>
      <c r="D414" s="44"/>
      <c r="E414" s="44"/>
      <c r="F414" s="44"/>
      <c r="G414" s="66">
        <v>3.0</v>
      </c>
      <c r="H414" s="73">
        <v>45.0</v>
      </c>
      <c r="I414" s="45" t="s">
        <v>381</v>
      </c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51">
        <f t="shared" si="72"/>
        <v>0</v>
      </c>
      <c r="W414" s="7"/>
      <c r="X414" s="7"/>
      <c r="Y414" s="7"/>
      <c r="Z414" s="7"/>
    </row>
    <row r="415" ht="14.25" customHeight="1">
      <c r="A415" s="7"/>
      <c r="C415" s="44"/>
      <c r="D415" s="44"/>
      <c r="E415" s="44"/>
      <c r="F415" s="44"/>
      <c r="G415" s="73"/>
      <c r="H415" s="73"/>
      <c r="I415" s="42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7"/>
      <c r="X415" s="7"/>
      <c r="Y415" s="7"/>
      <c r="Z415" s="7"/>
    </row>
    <row r="416" ht="14.25" customHeight="1">
      <c r="A416" s="7"/>
      <c r="B416" s="7" t="s">
        <v>481</v>
      </c>
      <c r="C416" s="44"/>
      <c r="D416" s="44"/>
      <c r="E416" s="44"/>
      <c r="F416" s="44">
        <v>4.0</v>
      </c>
      <c r="G416" s="45" t="s">
        <v>397</v>
      </c>
      <c r="H416" s="32"/>
      <c r="I416" s="45" t="s">
        <v>398</v>
      </c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51">
        <f>SUM(J416:U416)</f>
        <v>0</v>
      </c>
      <c r="W416" s="7"/>
      <c r="X416" s="7"/>
      <c r="Y416" s="7"/>
      <c r="Z416" s="7"/>
    </row>
    <row r="417" ht="14.25" customHeight="1">
      <c r="A417" s="7"/>
      <c r="C417" s="44"/>
      <c r="D417" s="44"/>
      <c r="E417" s="44"/>
      <c r="F417" s="44"/>
      <c r="G417" s="45"/>
      <c r="H417" s="81"/>
      <c r="I417" s="42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7"/>
      <c r="X417" s="7"/>
      <c r="Y417" s="7"/>
      <c r="Z417" s="7"/>
    </row>
    <row r="418" ht="14.25" customHeight="1">
      <c r="A418" s="7"/>
      <c r="C418" s="44"/>
      <c r="D418" s="44"/>
      <c r="E418" s="44">
        <v>2.0</v>
      </c>
      <c r="F418" s="89" t="s">
        <v>399</v>
      </c>
      <c r="G418" s="31"/>
      <c r="H418" s="32"/>
      <c r="I418" s="42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7"/>
      <c r="X418" s="7"/>
      <c r="Y418" s="7"/>
      <c r="Z418" s="7"/>
    </row>
    <row r="419" ht="14.25" customHeight="1">
      <c r="A419" s="7"/>
      <c r="B419" s="7" t="s">
        <v>482</v>
      </c>
      <c r="C419" s="44"/>
      <c r="D419" s="44"/>
      <c r="E419" s="44"/>
      <c r="F419" s="44"/>
      <c r="G419" s="66">
        <v>1.0</v>
      </c>
      <c r="H419" s="73">
        <v>20.0</v>
      </c>
      <c r="I419" s="45" t="s">
        <v>381</v>
      </c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51">
        <f t="shared" ref="V419:V421" si="73">SUM(J419:U419)</f>
        <v>0</v>
      </c>
      <c r="W419" s="7"/>
      <c r="X419" s="7"/>
      <c r="Y419" s="7"/>
      <c r="Z419" s="7"/>
    </row>
    <row r="420" ht="14.25" customHeight="1">
      <c r="A420" s="7"/>
      <c r="B420" s="7" t="s">
        <v>483</v>
      </c>
      <c r="C420" s="44"/>
      <c r="D420" s="44"/>
      <c r="E420" s="44"/>
      <c r="F420" s="44"/>
      <c r="G420" s="66">
        <v>2.0</v>
      </c>
      <c r="H420" s="73">
        <v>40.0</v>
      </c>
      <c r="I420" s="45" t="s">
        <v>381</v>
      </c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51">
        <f t="shared" si="73"/>
        <v>0</v>
      </c>
      <c r="W420" s="7"/>
      <c r="X420" s="7"/>
      <c r="Y420" s="7"/>
      <c r="Z420" s="7"/>
    </row>
    <row r="421" ht="14.25" customHeight="1">
      <c r="A421" s="7"/>
      <c r="B421" s="7" t="s">
        <v>484</v>
      </c>
      <c r="C421" s="44"/>
      <c r="D421" s="44"/>
      <c r="E421" s="44"/>
      <c r="F421" s="44"/>
      <c r="G421" s="66">
        <v>3.0</v>
      </c>
      <c r="H421" s="73">
        <v>45.0</v>
      </c>
      <c r="I421" s="45" t="s">
        <v>381</v>
      </c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51">
        <f t="shared" si="73"/>
        <v>0</v>
      </c>
      <c r="W421" s="7"/>
      <c r="X421" s="7"/>
      <c r="Y421" s="7"/>
      <c r="Z421" s="7"/>
    </row>
    <row r="422" ht="14.25" customHeight="1">
      <c r="A422" s="7"/>
      <c r="C422" s="87"/>
      <c r="D422" s="71"/>
      <c r="E422" s="71"/>
      <c r="F422" s="71"/>
      <c r="G422" s="71"/>
      <c r="H422" s="71"/>
      <c r="I422" s="71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7"/>
      <c r="X422" s="7"/>
      <c r="Y422" s="7"/>
      <c r="Z422" s="7"/>
    </row>
    <row r="423" ht="14.25" customHeight="1">
      <c r="A423" s="7"/>
      <c r="C423" s="44"/>
      <c r="D423" s="90" t="s">
        <v>485</v>
      </c>
      <c r="E423" s="18"/>
      <c r="F423" s="18"/>
      <c r="G423" s="18"/>
      <c r="H423" s="19"/>
      <c r="I423" s="45" t="s">
        <v>381</v>
      </c>
      <c r="J423" s="51">
        <f t="shared" ref="J423:V423" si="74">SUMIF($I$348:$V$421,$I423,J$348:J$421)</f>
        <v>0</v>
      </c>
      <c r="K423" s="51">
        <f t="shared" si="74"/>
        <v>0</v>
      </c>
      <c r="L423" s="51">
        <f t="shared" si="74"/>
        <v>0</v>
      </c>
      <c r="M423" s="51">
        <f t="shared" si="74"/>
        <v>0</v>
      </c>
      <c r="N423" s="51">
        <f t="shared" si="74"/>
        <v>0</v>
      </c>
      <c r="O423" s="51">
        <f t="shared" si="74"/>
        <v>0</v>
      </c>
      <c r="P423" s="51">
        <f t="shared" si="74"/>
        <v>0</v>
      </c>
      <c r="Q423" s="51">
        <f t="shared" si="74"/>
        <v>0</v>
      </c>
      <c r="R423" s="51">
        <f t="shared" si="74"/>
        <v>0</v>
      </c>
      <c r="S423" s="51">
        <f t="shared" si="74"/>
        <v>0</v>
      </c>
      <c r="T423" s="51">
        <f t="shared" si="74"/>
        <v>0</v>
      </c>
      <c r="U423" s="51">
        <f t="shared" si="74"/>
        <v>0</v>
      </c>
      <c r="V423" s="51">
        <f t="shared" si="74"/>
        <v>0</v>
      </c>
      <c r="W423" s="7"/>
      <c r="X423" s="7"/>
      <c r="Y423" s="7"/>
      <c r="Z423" s="7"/>
    </row>
    <row r="424" ht="14.25" customHeight="1">
      <c r="A424" s="7"/>
      <c r="C424" s="44"/>
      <c r="D424" s="26"/>
      <c r="E424" s="27"/>
      <c r="F424" s="27"/>
      <c r="G424" s="27"/>
      <c r="H424" s="28"/>
      <c r="I424" s="45" t="s">
        <v>436</v>
      </c>
      <c r="J424" s="51">
        <f t="shared" ref="J424:V424" si="75">(J348+J351+J355+J360+J367+J374+J377+J381+J386+J393+J400+J403+J407+J412+J419) + ((J349+J352+J356+J361+J368+J375+J378+J382+J387+J394+J401+J404+J408+J413+J420)*2) + ((J350+J357+J362+J369+J376+J383+J388+J395+J402+J409+J414+J421)*2.25)</f>
        <v>0</v>
      </c>
      <c r="K424" s="51">
        <f t="shared" si="75"/>
        <v>0</v>
      </c>
      <c r="L424" s="51">
        <f t="shared" si="75"/>
        <v>0</v>
      </c>
      <c r="M424" s="51">
        <f t="shared" si="75"/>
        <v>0</v>
      </c>
      <c r="N424" s="51">
        <f t="shared" si="75"/>
        <v>0</v>
      </c>
      <c r="O424" s="51">
        <f t="shared" si="75"/>
        <v>0</v>
      </c>
      <c r="P424" s="51">
        <f t="shared" si="75"/>
        <v>0</v>
      </c>
      <c r="Q424" s="51">
        <f t="shared" si="75"/>
        <v>0</v>
      </c>
      <c r="R424" s="51">
        <f t="shared" si="75"/>
        <v>0</v>
      </c>
      <c r="S424" s="51">
        <f t="shared" si="75"/>
        <v>0</v>
      </c>
      <c r="T424" s="51">
        <f t="shared" si="75"/>
        <v>0</v>
      </c>
      <c r="U424" s="51">
        <f t="shared" si="75"/>
        <v>0</v>
      </c>
      <c r="V424" s="51">
        <f t="shared" si="75"/>
        <v>0</v>
      </c>
      <c r="W424" s="7"/>
      <c r="X424" s="7"/>
      <c r="Y424" s="7"/>
      <c r="Z424" s="7"/>
    </row>
    <row r="425" ht="14.25" customHeight="1">
      <c r="A425" s="7"/>
      <c r="C425" s="87"/>
      <c r="D425" s="71"/>
      <c r="E425" s="71"/>
      <c r="F425" s="71"/>
      <c r="G425" s="71"/>
      <c r="H425" s="71"/>
      <c r="I425" s="71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7"/>
      <c r="X425" s="7"/>
      <c r="Y425" s="7"/>
      <c r="Z425" s="7"/>
    </row>
    <row r="426" ht="14.25" customHeight="1">
      <c r="A426" s="7"/>
      <c r="C426" s="90" t="s">
        <v>486</v>
      </c>
      <c r="D426" s="18"/>
      <c r="E426" s="18"/>
      <c r="F426" s="18"/>
      <c r="G426" s="18"/>
      <c r="H426" s="19"/>
      <c r="I426" s="45" t="s">
        <v>381</v>
      </c>
      <c r="J426" s="51">
        <f t="shared" ref="J426:V426" si="76">J423+J341</f>
        <v>0</v>
      </c>
      <c r="K426" s="51">
        <f t="shared" si="76"/>
        <v>0</v>
      </c>
      <c r="L426" s="51">
        <f t="shared" si="76"/>
        <v>0</v>
      </c>
      <c r="M426" s="51">
        <f t="shared" si="76"/>
        <v>0</v>
      </c>
      <c r="N426" s="51">
        <f t="shared" si="76"/>
        <v>0</v>
      </c>
      <c r="O426" s="51">
        <f t="shared" si="76"/>
        <v>0</v>
      </c>
      <c r="P426" s="51">
        <f t="shared" si="76"/>
        <v>0</v>
      </c>
      <c r="Q426" s="51">
        <f t="shared" si="76"/>
        <v>0</v>
      </c>
      <c r="R426" s="51">
        <f t="shared" si="76"/>
        <v>0</v>
      </c>
      <c r="S426" s="51">
        <f t="shared" si="76"/>
        <v>0</v>
      </c>
      <c r="T426" s="51">
        <f t="shared" si="76"/>
        <v>0</v>
      </c>
      <c r="U426" s="51">
        <f t="shared" si="76"/>
        <v>0</v>
      </c>
      <c r="V426" s="51">
        <f t="shared" si="76"/>
        <v>0</v>
      </c>
      <c r="W426" s="7"/>
      <c r="X426" s="7"/>
      <c r="Y426" s="7"/>
      <c r="Z426" s="7"/>
    </row>
    <row r="427" ht="14.25" customHeight="1">
      <c r="A427" s="7"/>
      <c r="C427" s="26"/>
      <c r="D427" s="27"/>
      <c r="E427" s="27"/>
      <c r="F427" s="27"/>
      <c r="G427" s="27"/>
      <c r="H427" s="28"/>
      <c r="I427" s="45" t="s">
        <v>436</v>
      </c>
      <c r="J427" s="51">
        <f t="shared" ref="J427:V427" si="77">J342+J424</f>
        <v>0</v>
      </c>
      <c r="K427" s="51">
        <f t="shared" si="77"/>
        <v>0</v>
      </c>
      <c r="L427" s="51">
        <f t="shared" si="77"/>
        <v>0</v>
      </c>
      <c r="M427" s="51">
        <f t="shared" si="77"/>
        <v>0</v>
      </c>
      <c r="N427" s="51">
        <f t="shared" si="77"/>
        <v>0</v>
      </c>
      <c r="O427" s="51">
        <f t="shared" si="77"/>
        <v>0</v>
      </c>
      <c r="P427" s="51">
        <f t="shared" si="77"/>
        <v>0</v>
      </c>
      <c r="Q427" s="51">
        <f t="shared" si="77"/>
        <v>0</v>
      </c>
      <c r="R427" s="51">
        <f t="shared" si="77"/>
        <v>0</v>
      </c>
      <c r="S427" s="51">
        <f t="shared" si="77"/>
        <v>0</v>
      </c>
      <c r="T427" s="51">
        <f t="shared" si="77"/>
        <v>0</v>
      </c>
      <c r="U427" s="51">
        <f t="shared" si="77"/>
        <v>0</v>
      </c>
      <c r="V427" s="51">
        <f t="shared" si="77"/>
        <v>0</v>
      </c>
      <c r="W427" s="7"/>
      <c r="X427" s="7"/>
      <c r="Y427" s="7"/>
      <c r="Z427" s="7"/>
    </row>
    <row r="428" ht="14.25" customHeight="1">
      <c r="A428" s="7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7"/>
      <c r="X428" s="7"/>
      <c r="Y428" s="7"/>
      <c r="Z428" s="7"/>
    </row>
    <row r="429" ht="14.25" customHeight="1">
      <c r="A429" s="14">
        <v>3.0</v>
      </c>
      <c r="B429" s="15"/>
      <c r="C429" s="14" t="s">
        <v>487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7"/>
      <c r="X429" s="7"/>
      <c r="Y429" s="7"/>
      <c r="Z429" s="7"/>
    </row>
    <row r="430" ht="14.25" customHeight="1">
      <c r="A430" s="7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7"/>
      <c r="X430" s="7"/>
      <c r="Y430" s="7"/>
      <c r="Z430" s="7"/>
    </row>
    <row r="431" ht="14.25" customHeight="1">
      <c r="A431" s="7"/>
      <c r="C431" s="16" t="s">
        <v>228</v>
      </c>
      <c r="D431" s="17" t="s">
        <v>229</v>
      </c>
      <c r="E431" s="18"/>
      <c r="F431" s="18"/>
      <c r="G431" s="18"/>
      <c r="H431" s="19"/>
      <c r="I431" s="20" t="s">
        <v>230</v>
      </c>
      <c r="J431" s="21">
        <f>$H$2</f>
        <v>2026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9"/>
      <c r="W431" s="7"/>
      <c r="X431" s="7"/>
      <c r="Y431" s="7"/>
      <c r="Z431" s="7"/>
    </row>
    <row r="432" ht="14.25" customHeight="1">
      <c r="A432" s="7"/>
      <c r="C432" s="22"/>
      <c r="D432" s="23"/>
      <c r="H432" s="24"/>
      <c r="I432" s="22"/>
      <c r="J432" s="23"/>
      <c r="V432" s="24"/>
      <c r="W432" s="7"/>
      <c r="X432" s="7"/>
      <c r="Y432" s="7"/>
      <c r="Z432" s="7"/>
    </row>
    <row r="433" ht="14.25" customHeight="1">
      <c r="A433" s="7"/>
      <c r="C433" s="25"/>
      <c r="D433" s="26"/>
      <c r="E433" s="27"/>
      <c r="F433" s="27"/>
      <c r="G433" s="27"/>
      <c r="H433" s="28"/>
      <c r="I433" s="25"/>
      <c r="J433" s="29" t="s">
        <v>231</v>
      </c>
      <c r="K433" s="29" t="s">
        <v>232</v>
      </c>
      <c r="L433" s="29" t="s">
        <v>233</v>
      </c>
      <c r="M433" s="29" t="s">
        <v>234</v>
      </c>
      <c r="N433" s="29" t="s">
        <v>235</v>
      </c>
      <c r="O433" s="29" t="s">
        <v>236</v>
      </c>
      <c r="P433" s="29" t="s">
        <v>237</v>
      </c>
      <c r="Q433" s="29" t="s">
        <v>238</v>
      </c>
      <c r="R433" s="29" t="s">
        <v>239</v>
      </c>
      <c r="S433" s="29" t="s">
        <v>240</v>
      </c>
      <c r="T433" s="29" t="s">
        <v>241</v>
      </c>
      <c r="U433" s="29" t="s">
        <v>242</v>
      </c>
      <c r="V433" s="29" t="s">
        <v>243</v>
      </c>
      <c r="W433" s="7"/>
      <c r="X433" s="7"/>
      <c r="Y433" s="7"/>
      <c r="Z433" s="7"/>
    </row>
    <row r="434" ht="14.25" customHeight="1">
      <c r="A434" s="7"/>
      <c r="C434" s="29">
        <v>1.0</v>
      </c>
      <c r="D434" s="30">
        <v>2.0</v>
      </c>
      <c r="E434" s="31"/>
      <c r="F434" s="31"/>
      <c r="G434" s="31"/>
      <c r="H434" s="32"/>
      <c r="I434" s="33">
        <v>3.0</v>
      </c>
      <c r="J434" s="34">
        <v>4.0</v>
      </c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6"/>
      <c r="V434" s="37">
        <v>5.0</v>
      </c>
      <c r="W434" s="7"/>
      <c r="X434" s="7"/>
      <c r="Y434" s="7"/>
      <c r="Z434" s="7"/>
    </row>
    <row r="435" ht="14.25" customHeight="1">
      <c r="A435" s="7"/>
      <c r="C435" s="38"/>
      <c r="D435" s="46"/>
      <c r="E435" s="105"/>
      <c r="F435" s="105"/>
      <c r="G435" s="105"/>
      <c r="H435" s="106"/>
      <c r="I435" s="46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7"/>
      <c r="X435" s="7"/>
      <c r="Y435" s="7"/>
      <c r="Z435" s="7"/>
    </row>
    <row r="436" ht="14.25" customHeight="1">
      <c r="A436" s="7"/>
      <c r="C436" s="66">
        <v>1.0</v>
      </c>
      <c r="D436" s="45" t="s">
        <v>376</v>
      </c>
      <c r="E436" s="31"/>
      <c r="F436" s="31"/>
      <c r="G436" s="31"/>
      <c r="H436" s="32"/>
      <c r="I436" s="42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7"/>
      <c r="X436" s="7"/>
      <c r="Y436" s="7"/>
      <c r="Z436" s="7"/>
    </row>
    <row r="437" ht="14.25" customHeight="1">
      <c r="A437" s="7"/>
      <c r="C437" s="44"/>
      <c r="D437" s="44">
        <v>1.0</v>
      </c>
      <c r="E437" s="45" t="s">
        <v>377</v>
      </c>
      <c r="F437" s="31"/>
      <c r="G437" s="31"/>
      <c r="H437" s="32"/>
      <c r="I437" s="42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7"/>
      <c r="X437" s="7"/>
      <c r="Y437" s="7"/>
      <c r="Z437" s="7"/>
    </row>
    <row r="438" ht="14.25" customHeight="1">
      <c r="A438" s="7"/>
      <c r="B438" s="7" t="s">
        <v>488</v>
      </c>
      <c r="C438" s="44"/>
      <c r="D438" s="44"/>
      <c r="E438" s="44">
        <v>1.0</v>
      </c>
      <c r="F438" s="45" t="s">
        <v>248</v>
      </c>
      <c r="G438" s="31"/>
      <c r="H438" s="32"/>
      <c r="I438" s="45" t="s">
        <v>489</v>
      </c>
      <c r="J438" s="48">
        <v>30154.0</v>
      </c>
      <c r="K438" s="48">
        <v>77246.27</v>
      </c>
      <c r="L438" s="48">
        <v>50277.0</v>
      </c>
      <c r="M438" s="48">
        <v>129309.0</v>
      </c>
      <c r="N438" s="83">
        <v>80748.83</v>
      </c>
      <c r="O438" s="48"/>
      <c r="P438" s="48"/>
      <c r="Q438" s="48"/>
      <c r="R438" s="48"/>
      <c r="S438" s="48"/>
      <c r="T438" s="48"/>
      <c r="U438" s="48"/>
      <c r="V438" s="51">
        <f t="shared" ref="V438:V448" si="78">SUM(J438:U438)</f>
        <v>367735.1</v>
      </c>
      <c r="W438" s="7"/>
      <c r="X438" s="7"/>
      <c r="Y438" s="7"/>
      <c r="Z438" s="7"/>
    </row>
    <row r="439" ht="14.25" customHeight="1">
      <c r="A439" s="7"/>
      <c r="B439" s="7" t="s">
        <v>488</v>
      </c>
      <c r="C439" s="44"/>
      <c r="D439" s="44"/>
      <c r="E439" s="44"/>
      <c r="F439" s="45"/>
      <c r="G439" s="31"/>
      <c r="H439" s="32"/>
      <c r="I439" s="45" t="s">
        <v>490</v>
      </c>
      <c r="J439" s="48">
        <v>0.0</v>
      </c>
      <c r="K439" s="48">
        <v>7809.0</v>
      </c>
      <c r="L439" s="48">
        <v>27000.0</v>
      </c>
      <c r="M439" s="48">
        <v>0.0</v>
      </c>
      <c r="N439" s="83">
        <v>0.0</v>
      </c>
      <c r="O439" s="48"/>
      <c r="P439" s="48"/>
      <c r="Q439" s="48"/>
      <c r="R439" s="48"/>
      <c r="S439" s="48"/>
      <c r="T439" s="48"/>
      <c r="U439" s="48"/>
      <c r="V439" s="51">
        <f t="shared" si="78"/>
        <v>34809</v>
      </c>
      <c r="W439" s="7"/>
      <c r="X439" s="7"/>
      <c r="Y439" s="7"/>
      <c r="Z439" s="7"/>
    </row>
    <row r="440" ht="14.25" customHeight="1">
      <c r="A440" s="7"/>
      <c r="B440" s="7" t="s">
        <v>491</v>
      </c>
      <c r="C440" s="44"/>
      <c r="D440" s="44"/>
      <c r="E440" s="44">
        <v>2.0</v>
      </c>
      <c r="F440" s="45" t="s">
        <v>492</v>
      </c>
      <c r="G440" s="31"/>
      <c r="H440" s="32"/>
      <c r="I440" s="45" t="s">
        <v>489</v>
      </c>
      <c r="J440" s="48">
        <v>0.0</v>
      </c>
      <c r="K440" s="48">
        <v>0.0</v>
      </c>
      <c r="L440" s="48">
        <v>0.0</v>
      </c>
      <c r="M440" s="48">
        <v>0.0</v>
      </c>
      <c r="N440" s="83">
        <v>0.0</v>
      </c>
      <c r="O440" s="48"/>
      <c r="P440" s="48"/>
      <c r="Q440" s="48"/>
      <c r="R440" s="48"/>
      <c r="S440" s="48"/>
      <c r="T440" s="48"/>
      <c r="U440" s="48"/>
      <c r="V440" s="51">
        <f t="shared" si="78"/>
        <v>0</v>
      </c>
      <c r="W440" s="7"/>
      <c r="X440" s="7"/>
      <c r="Y440" s="7"/>
      <c r="Z440" s="7"/>
    </row>
    <row r="441" ht="14.25" customHeight="1">
      <c r="A441" s="7"/>
      <c r="B441" s="7" t="s">
        <v>493</v>
      </c>
      <c r="C441" s="44"/>
      <c r="D441" s="44"/>
      <c r="E441" s="44">
        <v>3.0</v>
      </c>
      <c r="F441" s="45" t="s">
        <v>494</v>
      </c>
      <c r="G441" s="31"/>
      <c r="H441" s="32"/>
      <c r="I441" s="45" t="s">
        <v>489</v>
      </c>
      <c r="J441" s="48">
        <v>17248.0</v>
      </c>
      <c r="K441" s="48">
        <v>5369.0</v>
      </c>
      <c r="L441" s="48">
        <v>16040.0</v>
      </c>
      <c r="M441" s="48">
        <v>16424.0</v>
      </c>
      <c r="N441" s="83">
        <v>21428.0</v>
      </c>
      <c r="O441" s="48"/>
      <c r="P441" s="48"/>
      <c r="Q441" s="48"/>
      <c r="R441" s="48"/>
      <c r="S441" s="48"/>
      <c r="T441" s="48"/>
      <c r="U441" s="48"/>
      <c r="V441" s="51">
        <f t="shared" si="78"/>
        <v>76509</v>
      </c>
      <c r="W441" s="7"/>
      <c r="X441" s="7"/>
      <c r="Y441" s="7"/>
      <c r="Z441" s="7"/>
    </row>
    <row r="442" ht="14.25" customHeight="1">
      <c r="A442" s="7"/>
      <c r="B442" s="7" t="s">
        <v>495</v>
      </c>
      <c r="C442" s="44"/>
      <c r="D442" s="44"/>
      <c r="E442" s="44">
        <v>4.0</v>
      </c>
      <c r="F442" s="45" t="s">
        <v>258</v>
      </c>
      <c r="G442" s="31"/>
      <c r="H442" s="32"/>
      <c r="I442" s="45" t="s">
        <v>489</v>
      </c>
      <c r="J442" s="48">
        <v>54407.0</v>
      </c>
      <c r="K442" s="48">
        <v>209818.0</v>
      </c>
      <c r="L442" s="48">
        <v>130312.0</v>
      </c>
      <c r="M442" s="48">
        <v>57093.0</v>
      </c>
      <c r="N442" s="108">
        <v>160728.0</v>
      </c>
      <c r="O442" s="48"/>
      <c r="P442" s="48"/>
      <c r="Q442" s="48"/>
      <c r="R442" s="48"/>
      <c r="S442" s="48"/>
      <c r="T442" s="48"/>
      <c r="U442" s="48"/>
      <c r="V442" s="51">
        <f t="shared" si="78"/>
        <v>612358</v>
      </c>
      <c r="W442" s="7"/>
      <c r="X442" s="7"/>
      <c r="Y442" s="7"/>
      <c r="Z442" s="7"/>
    </row>
    <row r="443" ht="14.25" customHeight="1">
      <c r="A443" s="7"/>
      <c r="B443" s="7" t="s">
        <v>496</v>
      </c>
      <c r="C443" s="44"/>
      <c r="D443" s="44"/>
      <c r="E443" s="44">
        <v>5.0</v>
      </c>
      <c r="F443" s="45" t="s">
        <v>254</v>
      </c>
      <c r="G443" s="31"/>
      <c r="H443" s="32"/>
      <c r="I443" s="45" t="s">
        <v>489</v>
      </c>
      <c r="J443" s="63"/>
      <c r="K443" s="60"/>
      <c r="L443" s="63"/>
      <c r="M443" s="60"/>
      <c r="N443" s="109"/>
      <c r="O443" s="63"/>
      <c r="P443" s="63"/>
      <c r="Q443" s="60"/>
      <c r="R443" s="63"/>
      <c r="S443" s="63"/>
      <c r="T443" s="60"/>
      <c r="U443" s="60"/>
      <c r="V443" s="51">
        <f t="shared" si="78"/>
        <v>0</v>
      </c>
      <c r="W443" s="7"/>
      <c r="X443" s="7"/>
      <c r="Y443" s="7"/>
      <c r="Z443" s="7"/>
    </row>
    <row r="444" ht="14.25" customHeight="1">
      <c r="A444" s="7"/>
      <c r="B444" s="7" t="s">
        <v>496</v>
      </c>
      <c r="C444" s="44"/>
      <c r="D444" s="44"/>
      <c r="E444" s="44"/>
      <c r="F444" s="45"/>
      <c r="G444" s="80"/>
      <c r="H444" s="81"/>
      <c r="I444" s="45" t="s">
        <v>497</v>
      </c>
      <c r="J444" s="63"/>
      <c r="K444" s="60"/>
      <c r="L444" s="63"/>
      <c r="M444" s="60"/>
      <c r="N444" s="109"/>
      <c r="O444" s="63"/>
      <c r="P444" s="63"/>
      <c r="Q444" s="60"/>
      <c r="R444" s="63"/>
      <c r="S444" s="63"/>
      <c r="T444" s="60"/>
      <c r="U444" s="60"/>
      <c r="V444" s="51">
        <f t="shared" si="78"/>
        <v>0</v>
      </c>
      <c r="W444" s="7"/>
      <c r="X444" s="7"/>
      <c r="Y444" s="7"/>
      <c r="Z444" s="7"/>
    </row>
    <row r="445" ht="14.25" customHeight="1">
      <c r="A445" s="7"/>
      <c r="B445" s="7" t="s">
        <v>498</v>
      </c>
      <c r="C445" s="44"/>
      <c r="D445" s="44"/>
      <c r="E445" s="44">
        <v>6.0</v>
      </c>
      <c r="F445" s="45" t="s">
        <v>499</v>
      </c>
      <c r="G445" s="31"/>
      <c r="H445" s="32"/>
      <c r="I445" s="45" t="s">
        <v>489</v>
      </c>
      <c r="J445" s="63"/>
      <c r="K445" s="60"/>
      <c r="L445" s="63"/>
      <c r="M445" s="60"/>
      <c r="N445" s="109"/>
      <c r="O445" s="63"/>
      <c r="P445" s="63"/>
      <c r="Q445" s="60"/>
      <c r="R445" s="63"/>
      <c r="S445" s="63"/>
      <c r="T445" s="60"/>
      <c r="U445" s="60"/>
      <c r="V445" s="51">
        <f t="shared" si="78"/>
        <v>0</v>
      </c>
      <c r="W445" s="7"/>
      <c r="X445" s="7"/>
      <c r="Y445" s="7"/>
      <c r="Z445" s="7"/>
    </row>
    <row r="446" ht="14.25" customHeight="1">
      <c r="A446" s="7"/>
      <c r="B446" s="7" t="s">
        <v>498</v>
      </c>
      <c r="C446" s="44"/>
      <c r="D446" s="44"/>
      <c r="E446" s="44"/>
      <c r="F446" s="45"/>
      <c r="G446" s="31"/>
      <c r="H446" s="32"/>
      <c r="I446" s="45" t="s">
        <v>398</v>
      </c>
      <c r="J446" s="63"/>
      <c r="K446" s="60"/>
      <c r="L446" s="63"/>
      <c r="M446" s="60"/>
      <c r="N446" s="109"/>
      <c r="O446" s="63"/>
      <c r="P446" s="63"/>
      <c r="Q446" s="60"/>
      <c r="R446" s="63"/>
      <c r="S446" s="63"/>
      <c r="T446" s="60"/>
      <c r="U446" s="60"/>
      <c r="V446" s="51">
        <f t="shared" si="78"/>
        <v>0</v>
      </c>
      <c r="W446" s="7"/>
      <c r="X446" s="7"/>
      <c r="Y446" s="7"/>
      <c r="Z446" s="7"/>
    </row>
    <row r="447" ht="14.25" customHeight="1">
      <c r="A447" s="7"/>
      <c r="B447" s="7" t="s">
        <v>500</v>
      </c>
      <c r="C447" s="44"/>
      <c r="D447" s="44"/>
      <c r="E447" s="44">
        <v>7.0</v>
      </c>
      <c r="F447" s="45" t="s">
        <v>264</v>
      </c>
      <c r="G447" s="31"/>
      <c r="H447" s="32"/>
      <c r="I447" s="45" t="s">
        <v>489</v>
      </c>
      <c r="J447" s="63"/>
      <c r="K447" s="60"/>
      <c r="L447" s="63"/>
      <c r="M447" s="60"/>
      <c r="N447" s="109"/>
      <c r="O447" s="63"/>
      <c r="P447" s="63"/>
      <c r="Q447" s="60"/>
      <c r="R447" s="63"/>
      <c r="S447" s="63"/>
      <c r="T447" s="60"/>
      <c r="U447" s="60"/>
      <c r="V447" s="51">
        <f t="shared" si="78"/>
        <v>0</v>
      </c>
      <c r="W447" s="7"/>
      <c r="X447" s="7"/>
      <c r="Y447" s="7"/>
      <c r="Z447" s="7"/>
    </row>
    <row r="448" ht="14.25" customHeight="1">
      <c r="A448" s="7"/>
      <c r="B448" s="7" t="s">
        <v>500</v>
      </c>
      <c r="C448" s="44"/>
      <c r="D448" s="44"/>
      <c r="E448" s="44"/>
      <c r="F448" s="53"/>
      <c r="G448" s="31"/>
      <c r="H448" s="32"/>
      <c r="I448" s="45" t="s">
        <v>501</v>
      </c>
      <c r="J448" s="63"/>
      <c r="K448" s="60"/>
      <c r="L448" s="63"/>
      <c r="M448" s="60"/>
      <c r="N448" s="109"/>
      <c r="O448" s="63"/>
      <c r="P448" s="63"/>
      <c r="Q448" s="60"/>
      <c r="R448" s="63"/>
      <c r="S448" s="63"/>
      <c r="T448" s="60"/>
      <c r="U448" s="60"/>
      <c r="V448" s="51">
        <f t="shared" si="78"/>
        <v>0</v>
      </c>
      <c r="W448" s="7"/>
      <c r="X448" s="7"/>
      <c r="Y448" s="7"/>
      <c r="Z448" s="7"/>
    </row>
    <row r="449" ht="14.25" customHeight="1">
      <c r="A449" s="7"/>
      <c r="C449" s="44"/>
      <c r="D449" s="44"/>
      <c r="E449" s="98"/>
      <c r="F449" s="110"/>
      <c r="G449" s="110"/>
      <c r="H449" s="110"/>
      <c r="I449" s="111"/>
      <c r="J449" s="75"/>
      <c r="K449" s="43"/>
      <c r="L449" s="75"/>
      <c r="M449" s="43"/>
      <c r="N449" s="43"/>
      <c r="O449" s="43"/>
      <c r="P449" s="43"/>
      <c r="Q449" s="43"/>
      <c r="R449" s="75"/>
      <c r="S449" s="75"/>
      <c r="T449" s="43"/>
      <c r="U449" s="43"/>
      <c r="V449" s="43"/>
      <c r="W449" s="7"/>
      <c r="X449" s="7"/>
      <c r="Y449" s="7"/>
      <c r="Z449" s="7"/>
    </row>
    <row r="450" ht="14.25" customHeight="1">
      <c r="A450" s="7"/>
      <c r="C450" s="44"/>
      <c r="D450" s="44">
        <v>2.0</v>
      </c>
      <c r="E450" s="45" t="s">
        <v>403</v>
      </c>
      <c r="F450" s="31"/>
      <c r="G450" s="31"/>
      <c r="H450" s="32"/>
      <c r="I450" s="42"/>
      <c r="J450" s="75"/>
      <c r="K450" s="43"/>
      <c r="L450" s="75"/>
      <c r="M450" s="43"/>
      <c r="N450" s="43"/>
      <c r="O450" s="43"/>
      <c r="P450" s="75"/>
      <c r="Q450" s="43"/>
      <c r="R450" s="75"/>
      <c r="S450" s="75"/>
      <c r="T450" s="43"/>
      <c r="U450" s="43"/>
      <c r="V450" s="43"/>
      <c r="W450" s="7" t="s">
        <v>502</v>
      </c>
      <c r="X450" s="7"/>
      <c r="Y450" s="7"/>
      <c r="Z450" s="7"/>
    </row>
    <row r="451" ht="14.25" customHeight="1">
      <c r="A451" s="7"/>
      <c r="B451" s="7" t="s">
        <v>503</v>
      </c>
      <c r="C451" s="44"/>
      <c r="D451" s="44"/>
      <c r="E451" s="44">
        <v>1.0</v>
      </c>
      <c r="F451" s="45" t="s">
        <v>248</v>
      </c>
      <c r="G451" s="31"/>
      <c r="H451" s="32"/>
      <c r="I451" s="45" t="s">
        <v>489</v>
      </c>
      <c r="J451" s="48"/>
      <c r="K451" s="48">
        <v>0.0</v>
      </c>
      <c r="L451" s="48">
        <v>0.0</v>
      </c>
      <c r="M451" s="60"/>
      <c r="N451" s="83">
        <v>2365.0</v>
      </c>
      <c r="O451" s="48"/>
      <c r="P451" s="48"/>
      <c r="Q451" s="48"/>
      <c r="R451" s="48"/>
      <c r="S451" s="48"/>
      <c r="T451" s="48"/>
      <c r="U451" s="48"/>
      <c r="V451" s="51">
        <f t="shared" ref="V451:V461" si="79">SUM(J451:U451)</f>
        <v>2365</v>
      </c>
      <c r="W451" s="7"/>
      <c r="X451" s="7"/>
      <c r="Y451" s="7"/>
      <c r="Z451" s="7"/>
    </row>
    <row r="452" ht="14.25" customHeight="1">
      <c r="A452" s="7"/>
      <c r="B452" s="7" t="s">
        <v>503</v>
      </c>
      <c r="C452" s="44"/>
      <c r="D452" s="44"/>
      <c r="E452" s="44"/>
      <c r="F452" s="45"/>
      <c r="G452" s="31"/>
      <c r="H452" s="32"/>
      <c r="I452" s="45" t="s">
        <v>490</v>
      </c>
      <c r="J452" s="63">
        <v>61865.0</v>
      </c>
      <c r="K452" s="48">
        <v>14554.0</v>
      </c>
      <c r="L452" s="48">
        <v>61134.0</v>
      </c>
      <c r="M452" s="77"/>
      <c r="N452" s="83">
        <v>14772.0</v>
      </c>
      <c r="O452" s="48"/>
      <c r="P452" s="48"/>
      <c r="Q452" s="48"/>
      <c r="R452" s="48"/>
      <c r="S452" s="48"/>
      <c r="T452" s="48"/>
      <c r="U452" s="48"/>
      <c r="V452" s="51">
        <f t="shared" si="79"/>
        <v>152325</v>
      </c>
      <c r="W452" s="7"/>
      <c r="X452" s="7"/>
      <c r="Y452" s="7"/>
      <c r="Z452" s="7"/>
    </row>
    <row r="453" ht="14.25" customHeight="1">
      <c r="A453" s="7"/>
      <c r="B453" s="7" t="s">
        <v>504</v>
      </c>
      <c r="C453" s="44"/>
      <c r="D453" s="44"/>
      <c r="E453" s="44">
        <v>2.0</v>
      </c>
      <c r="F453" s="45" t="s">
        <v>492</v>
      </c>
      <c r="G453" s="31"/>
      <c r="H453" s="32"/>
      <c r="I453" s="45" t="s">
        <v>489</v>
      </c>
      <c r="J453" s="63"/>
      <c r="K453" s="48">
        <v>0.0</v>
      </c>
      <c r="L453" s="48">
        <v>0.0</v>
      </c>
      <c r="M453" s="79"/>
      <c r="N453" s="83">
        <v>0.0</v>
      </c>
      <c r="O453" s="48"/>
      <c r="P453" s="48"/>
      <c r="Q453" s="48"/>
      <c r="R453" s="48"/>
      <c r="S453" s="63"/>
      <c r="T453" s="48"/>
      <c r="U453" s="48"/>
      <c r="V453" s="51">
        <f t="shared" si="79"/>
        <v>0</v>
      </c>
      <c r="W453" s="7"/>
      <c r="X453" s="7"/>
      <c r="Y453" s="7"/>
      <c r="Z453" s="7"/>
    </row>
    <row r="454" ht="14.25" customHeight="1">
      <c r="A454" s="7"/>
      <c r="B454" s="7" t="s">
        <v>505</v>
      </c>
      <c r="C454" s="44"/>
      <c r="D454" s="44"/>
      <c r="E454" s="44">
        <v>3.0</v>
      </c>
      <c r="F454" s="45" t="s">
        <v>494</v>
      </c>
      <c r="G454" s="31"/>
      <c r="H454" s="32"/>
      <c r="I454" s="45" t="s">
        <v>489</v>
      </c>
      <c r="J454" s="63"/>
      <c r="K454" s="48">
        <v>0.0</v>
      </c>
      <c r="L454" s="48">
        <v>0.0</v>
      </c>
      <c r="M454" s="79"/>
      <c r="N454" s="83">
        <v>0.0</v>
      </c>
      <c r="O454" s="48"/>
      <c r="P454" s="48"/>
      <c r="Q454" s="48"/>
      <c r="R454" s="48"/>
      <c r="S454" s="48"/>
      <c r="T454" s="48"/>
      <c r="U454" s="48"/>
      <c r="V454" s="51">
        <f t="shared" si="79"/>
        <v>0</v>
      </c>
      <c r="W454" s="7"/>
      <c r="X454" s="7"/>
      <c r="Y454" s="7"/>
      <c r="Z454" s="7"/>
    </row>
    <row r="455" ht="14.25" customHeight="1">
      <c r="A455" s="7"/>
      <c r="B455" s="7" t="s">
        <v>506</v>
      </c>
      <c r="C455" s="44"/>
      <c r="D455" s="44"/>
      <c r="E455" s="44">
        <v>4.0</v>
      </c>
      <c r="F455" s="45" t="s">
        <v>258</v>
      </c>
      <c r="G455" s="31"/>
      <c r="H455" s="32"/>
      <c r="I455" s="45" t="s">
        <v>489</v>
      </c>
      <c r="J455" s="63"/>
      <c r="K455" s="48">
        <v>13300.0</v>
      </c>
      <c r="L455" s="48">
        <v>0.0</v>
      </c>
      <c r="M455" s="79"/>
      <c r="N455" s="83">
        <v>0.0</v>
      </c>
      <c r="O455" s="48"/>
      <c r="P455" s="48"/>
      <c r="Q455" s="48"/>
      <c r="R455" s="48"/>
      <c r="S455" s="48"/>
      <c r="T455" s="48"/>
      <c r="U455" s="48"/>
      <c r="V455" s="51">
        <f t="shared" si="79"/>
        <v>13300</v>
      </c>
      <c r="W455" s="7"/>
      <c r="X455" s="7"/>
      <c r="Y455" s="7"/>
      <c r="Z455" s="7"/>
    </row>
    <row r="456" ht="14.25" customHeight="1">
      <c r="A456" s="7"/>
      <c r="B456" s="7" t="s">
        <v>507</v>
      </c>
      <c r="C456" s="44"/>
      <c r="D456" s="44"/>
      <c r="E456" s="44">
        <v>5.0</v>
      </c>
      <c r="F456" s="45" t="s">
        <v>254</v>
      </c>
      <c r="G456" s="31"/>
      <c r="H456" s="32"/>
      <c r="I456" s="45" t="s">
        <v>489</v>
      </c>
      <c r="J456" s="63"/>
      <c r="K456" s="60"/>
      <c r="L456" s="63"/>
      <c r="M456" s="60"/>
      <c r="N456" s="60"/>
      <c r="O456" s="109"/>
      <c r="P456" s="60"/>
      <c r="Q456" s="60"/>
      <c r="R456" s="63"/>
      <c r="S456" s="60"/>
      <c r="T456" s="60"/>
      <c r="U456" s="60"/>
      <c r="V456" s="51">
        <f t="shared" si="79"/>
        <v>0</v>
      </c>
      <c r="W456" s="7"/>
      <c r="X456" s="7"/>
      <c r="Y456" s="7"/>
      <c r="Z456" s="7"/>
    </row>
    <row r="457" ht="14.25" customHeight="1">
      <c r="A457" s="7"/>
      <c r="B457" s="7" t="s">
        <v>507</v>
      </c>
      <c r="C457" s="44"/>
      <c r="D457" s="44"/>
      <c r="E457" s="44"/>
      <c r="F457" s="45"/>
      <c r="G457" s="80"/>
      <c r="H457" s="81"/>
      <c r="I457" s="45" t="s">
        <v>497</v>
      </c>
      <c r="J457" s="63"/>
      <c r="K457" s="60"/>
      <c r="L457" s="63"/>
      <c r="M457" s="60"/>
      <c r="N457" s="60"/>
      <c r="O457" s="109"/>
      <c r="P457" s="60"/>
      <c r="Q457" s="60"/>
      <c r="R457" s="63"/>
      <c r="S457" s="60"/>
      <c r="T457" s="60"/>
      <c r="U457" s="60"/>
      <c r="V457" s="51">
        <f t="shared" si="79"/>
        <v>0</v>
      </c>
      <c r="W457" s="7"/>
      <c r="X457" s="7"/>
      <c r="Y457" s="7"/>
      <c r="Z457" s="7"/>
    </row>
    <row r="458" ht="14.25" customHeight="1">
      <c r="A458" s="7"/>
      <c r="B458" s="7" t="s">
        <v>508</v>
      </c>
      <c r="C458" s="44"/>
      <c r="D458" s="44"/>
      <c r="E458" s="44">
        <v>6.0</v>
      </c>
      <c r="F458" s="45" t="s">
        <v>499</v>
      </c>
      <c r="G458" s="31"/>
      <c r="H458" s="32"/>
      <c r="I458" s="45" t="s">
        <v>489</v>
      </c>
      <c r="J458" s="63"/>
      <c r="K458" s="60"/>
      <c r="L458" s="63"/>
      <c r="M458" s="60"/>
      <c r="N458" s="60"/>
      <c r="O458" s="109"/>
      <c r="P458" s="60"/>
      <c r="Q458" s="60"/>
      <c r="R458" s="63"/>
      <c r="S458" s="60"/>
      <c r="T458" s="60"/>
      <c r="U458" s="60"/>
      <c r="V458" s="51">
        <f t="shared" si="79"/>
        <v>0</v>
      </c>
      <c r="W458" s="7"/>
      <c r="X458" s="7"/>
      <c r="Y458" s="7"/>
      <c r="Z458" s="7"/>
    </row>
    <row r="459" ht="14.25" customHeight="1">
      <c r="A459" s="7"/>
      <c r="B459" s="7" t="s">
        <v>508</v>
      </c>
      <c r="C459" s="44"/>
      <c r="D459" s="44"/>
      <c r="E459" s="44"/>
      <c r="F459" s="45"/>
      <c r="G459" s="31"/>
      <c r="H459" s="32"/>
      <c r="I459" s="45" t="s">
        <v>398</v>
      </c>
      <c r="J459" s="63"/>
      <c r="K459" s="60"/>
      <c r="L459" s="63"/>
      <c r="M459" s="60"/>
      <c r="N459" s="60"/>
      <c r="O459" s="109"/>
      <c r="P459" s="60"/>
      <c r="Q459" s="60"/>
      <c r="R459" s="63"/>
      <c r="S459" s="60"/>
      <c r="T459" s="60"/>
      <c r="U459" s="60"/>
      <c r="V459" s="51">
        <f t="shared" si="79"/>
        <v>0</v>
      </c>
      <c r="W459" s="7"/>
      <c r="X459" s="7"/>
      <c r="Y459" s="7"/>
      <c r="Z459" s="7"/>
    </row>
    <row r="460" ht="14.25" customHeight="1">
      <c r="A460" s="7"/>
      <c r="B460" s="7" t="s">
        <v>509</v>
      </c>
      <c r="C460" s="44"/>
      <c r="D460" s="44"/>
      <c r="E460" s="44">
        <v>7.0</v>
      </c>
      <c r="F460" s="45" t="s">
        <v>264</v>
      </c>
      <c r="G460" s="31"/>
      <c r="H460" s="32"/>
      <c r="I460" s="45" t="s">
        <v>489</v>
      </c>
      <c r="J460" s="63"/>
      <c r="K460" s="60"/>
      <c r="L460" s="63"/>
      <c r="M460" s="60"/>
      <c r="N460" s="60"/>
      <c r="O460" s="109"/>
      <c r="P460" s="60"/>
      <c r="Q460" s="60"/>
      <c r="R460" s="63"/>
      <c r="S460" s="60"/>
      <c r="T460" s="60"/>
      <c r="U460" s="60"/>
      <c r="V460" s="51">
        <f t="shared" si="79"/>
        <v>0</v>
      </c>
      <c r="W460" s="7"/>
      <c r="X460" s="7"/>
      <c r="Y460" s="7"/>
      <c r="Z460" s="7"/>
    </row>
    <row r="461" ht="14.25" customHeight="1">
      <c r="A461" s="7"/>
      <c r="B461" s="7" t="s">
        <v>509</v>
      </c>
      <c r="C461" s="44"/>
      <c r="D461" s="44"/>
      <c r="E461" s="44"/>
      <c r="F461" s="45"/>
      <c r="G461" s="31"/>
      <c r="H461" s="32"/>
      <c r="I461" s="45" t="s">
        <v>501</v>
      </c>
      <c r="J461" s="63"/>
      <c r="K461" s="60"/>
      <c r="L461" s="63"/>
      <c r="M461" s="60"/>
      <c r="N461" s="60"/>
      <c r="O461" s="109"/>
      <c r="P461" s="60"/>
      <c r="Q461" s="60"/>
      <c r="R461" s="63"/>
      <c r="S461" s="60"/>
      <c r="T461" s="60"/>
      <c r="U461" s="60"/>
      <c r="V461" s="51">
        <f t="shared" si="79"/>
        <v>0</v>
      </c>
      <c r="W461" s="7"/>
      <c r="X461" s="7"/>
      <c r="Y461" s="7"/>
      <c r="Z461" s="7"/>
    </row>
    <row r="462" ht="14.25" customHeight="1">
      <c r="A462" s="7"/>
      <c r="C462" s="44"/>
      <c r="D462" s="44"/>
      <c r="E462" s="87"/>
      <c r="F462" s="40"/>
      <c r="G462" s="40"/>
      <c r="H462" s="40"/>
      <c r="I462" s="40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7"/>
      <c r="X462" s="7"/>
      <c r="Y462" s="7"/>
      <c r="Z462" s="7"/>
    </row>
    <row r="463" ht="14.25" customHeight="1">
      <c r="A463" s="7"/>
      <c r="C463" s="44"/>
      <c r="D463" s="90" t="s">
        <v>510</v>
      </c>
      <c r="E463" s="18"/>
      <c r="F463" s="18"/>
      <c r="G463" s="18"/>
      <c r="H463" s="19"/>
      <c r="I463" s="45" t="s">
        <v>489</v>
      </c>
      <c r="J463" s="51">
        <f t="shared" ref="J463:V463" si="80">(SUMIF($I$438:$V$448,$I463,J$438:J$448))+(SUMIF($I$451:$V$461,$I463,J$451:J$461))</f>
        <v>101809</v>
      </c>
      <c r="K463" s="51">
        <f t="shared" si="80"/>
        <v>305733.27</v>
      </c>
      <c r="L463" s="51">
        <f t="shared" si="80"/>
        <v>196629</v>
      </c>
      <c r="M463" s="51">
        <f t="shared" si="80"/>
        <v>202826</v>
      </c>
      <c r="N463" s="51">
        <f t="shared" si="80"/>
        <v>265269.83</v>
      </c>
      <c r="O463" s="51">
        <f t="shared" si="80"/>
        <v>0</v>
      </c>
      <c r="P463" s="51">
        <f t="shared" si="80"/>
        <v>0</v>
      </c>
      <c r="Q463" s="51">
        <f t="shared" si="80"/>
        <v>0</v>
      </c>
      <c r="R463" s="51">
        <f t="shared" si="80"/>
        <v>0</v>
      </c>
      <c r="S463" s="51">
        <f t="shared" si="80"/>
        <v>0</v>
      </c>
      <c r="T463" s="51">
        <f t="shared" si="80"/>
        <v>0</v>
      </c>
      <c r="U463" s="51">
        <f t="shared" si="80"/>
        <v>0</v>
      </c>
      <c r="V463" s="51">
        <f t="shared" si="80"/>
        <v>1072267.1</v>
      </c>
      <c r="W463" s="7"/>
      <c r="X463" s="7"/>
      <c r="Y463" s="7"/>
      <c r="Z463" s="7"/>
    </row>
    <row r="464" ht="14.25" customHeight="1">
      <c r="A464" s="7"/>
      <c r="C464" s="44"/>
      <c r="D464" s="23"/>
      <c r="H464" s="24"/>
      <c r="I464" s="45" t="s">
        <v>490</v>
      </c>
      <c r="J464" s="51">
        <f t="shared" ref="J464:V464" si="81">(SUMIF($I$438:$V$448,$I464,J$438:J$448))+(SUMIF($I$451:$V$461,$I464,J$451:J$461))</f>
        <v>61865</v>
      </c>
      <c r="K464" s="51">
        <f t="shared" si="81"/>
        <v>22363</v>
      </c>
      <c r="L464" s="51">
        <f t="shared" si="81"/>
        <v>88134</v>
      </c>
      <c r="M464" s="51">
        <f t="shared" si="81"/>
        <v>0</v>
      </c>
      <c r="N464" s="51">
        <f t="shared" si="81"/>
        <v>14772</v>
      </c>
      <c r="O464" s="51">
        <f t="shared" si="81"/>
        <v>0</v>
      </c>
      <c r="P464" s="51">
        <f t="shared" si="81"/>
        <v>0</v>
      </c>
      <c r="Q464" s="51">
        <f t="shared" si="81"/>
        <v>0</v>
      </c>
      <c r="R464" s="51">
        <f t="shared" si="81"/>
        <v>0</v>
      </c>
      <c r="S464" s="51">
        <f t="shared" si="81"/>
        <v>0</v>
      </c>
      <c r="T464" s="51">
        <f t="shared" si="81"/>
        <v>0</v>
      </c>
      <c r="U464" s="51">
        <f t="shared" si="81"/>
        <v>0</v>
      </c>
      <c r="V464" s="51">
        <f t="shared" si="81"/>
        <v>187134</v>
      </c>
      <c r="W464" s="7"/>
      <c r="X464" s="7"/>
      <c r="Y464" s="7"/>
      <c r="Z464" s="7"/>
    </row>
    <row r="465" ht="14.25" customHeight="1">
      <c r="A465" s="7"/>
      <c r="C465" s="44"/>
      <c r="D465" s="23"/>
      <c r="H465" s="24"/>
      <c r="I465" s="45" t="s">
        <v>497</v>
      </c>
      <c r="J465" s="51">
        <f t="shared" ref="J465:V465" si="82">(SUMIF($I$438:$V$448,$I465,J$438:J$448))+(SUMIF($I$451:$V$461,$I465,J$451:J$461))</f>
        <v>0</v>
      </c>
      <c r="K465" s="51">
        <f t="shared" si="82"/>
        <v>0</v>
      </c>
      <c r="L465" s="51">
        <f t="shared" si="82"/>
        <v>0</v>
      </c>
      <c r="M465" s="51">
        <f t="shared" si="82"/>
        <v>0</v>
      </c>
      <c r="N465" s="51">
        <f t="shared" si="82"/>
        <v>0</v>
      </c>
      <c r="O465" s="51">
        <f t="shared" si="82"/>
        <v>0</v>
      </c>
      <c r="P465" s="51">
        <f t="shared" si="82"/>
        <v>0</v>
      </c>
      <c r="Q465" s="51">
        <f t="shared" si="82"/>
        <v>0</v>
      </c>
      <c r="R465" s="51">
        <f t="shared" si="82"/>
        <v>0</v>
      </c>
      <c r="S465" s="51">
        <f t="shared" si="82"/>
        <v>0</v>
      </c>
      <c r="T465" s="51">
        <f t="shared" si="82"/>
        <v>0</v>
      </c>
      <c r="U465" s="51">
        <f t="shared" si="82"/>
        <v>0</v>
      </c>
      <c r="V465" s="51">
        <f t="shared" si="82"/>
        <v>0</v>
      </c>
      <c r="W465" s="7"/>
      <c r="X465" s="7"/>
      <c r="Y465" s="7"/>
      <c r="Z465" s="7"/>
    </row>
    <row r="466" ht="14.25" customHeight="1">
      <c r="A466" s="7"/>
      <c r="C466" s="44"/>
      <c r="D466" s="23"/>
      <c r="H466" s="24"/>
      <c r="I466" s="45" t="s">
        <v>398</v>
      </c>
      <c r="J466" s="51">
        <f t="shared" ref="J466:V466" si="83">(SUMIF($I$438:$V$448,$I466,J$438:J$448))+(SUMIF($I$451:$V$461,$I466,J$451:J$461))</f>
        <v>0</v>
      </c>
      <c r="K466" s="51">
        <f t="shared" si="83"/>
        <v>0</v>
      </c>
      <c r="L466" s="51">
        <f t="shared" si="83"/>
        <v>0</v>
      </c>
      <c r="M466" s="51">
        <f t="shared" si="83"/>
        <v>0</v>
      </c>
      <c r="N466" s="51">
        <f t="shared" si="83"/>
        <v>0</v>
      </c>
      <c r="O466" s="51">
        <f t="shared" si="83"/>
        <v>0</v>
      </c>
      <c r="P466" s="51">
        <f t="shared" si="83"/>
        <v>0</v>
      </c>
      <c r="Q466" s="51">
        <f t="shared" si="83"/>
        <v>0</v>
      </c>
      <c r="R466" s="51">
        <f t="shared" si="83"/>
        <v>0</v>
      </c>
      <c r="S466" s="51">
        <f t="shared" si="83"/>
        <v>0</v>
      </c>
      <c r="T466" s="51">
        <f t="shared" si="83"/>
        <v>0</v>
      </c>
      <c r="U466" s="51">
        <f t="shared" si="83"/>
        <v>0</v>
      </c>
      <c r="V466" s="51">
        <f t="shared" si="83"/>
        <v>0</v>
      </c>
      <c r="W466" s="7"/>
      <c r="X466" s="7"/>
      <c r="Y466" s="7"/>
      <c r="Z466" s="7"/>
    </row>
    <row r="467" ht="14.25" customHeight="1">
      <c r="A467" s="7"/>
      <c r="C467" s="44"/>
      <c r="D467" s="26"/>
      <c r="E467" s="27"/>
      <c r="F467" s="27"/>
      <c r="G467" s="27"/>
      <c r="H467" s="28"/>
      <c r="I467" s="45" t="s">
        <v>501</v>
      </c>
      <c r="J467" s="51">
        <f t="shared" ref="J467:V467" si="84">(SUMIF($I$438:$V$448,$I467,J$438:J$448))+(SUMIF($I$451:$V$461,$I467,J$451:J$461))</f>
        <v>0</v>
      </c>
      <c r="K467" s="51">
        <f t="shared" si="84"/>
        <v>0</v>
      </c>
      <c r="L467" s="51">
        <f t="shared" si="84"/>
        <v>0</v>
      </c>
      <c r="M467" s="51">
        <f t="shared" si="84"/>
        <v>0</v>
      </c>
      <c r="N467" s="51">
        <f t="shared" si="84"/>
        <v>0</v>
      </c>
      <c r="O467" s="51">
        <f t="shared" si="84"/>
        <v>0</v>
      </c>
      <c r="P467" s="51">
        <f t="shared" si="84"/>
        <v>0</v>
      </c>
      <c r="Q467" s="51">
        <f t="shared" si="84"/>
        <v>0</v>
      </c>
      <c r="R467" s="51">
        <f t="shared" si="84"/>
        <v>0</v>
      </c>
      <c r="S467" s="51">
        <f t="shared" si="84"/>
        <v>0</v>
      </c>
      <c r="T467" s="51">
        <f t="shared" si="84"/>
        <v>0</v>
      </c>
      <c r="U467" s="51">
        <f t="shared" si="84"/>
        <v>0</v>
      </c>
      <c r="V467" s="51">
        <f t="shared" si="84"/>
        <v>0</v>
      </c>
      <c r="W467" s="7"/>
      <c r="X467" s="7"/>
      <c r="Y467" s="7"/>
      <c r="Z467" s="7"/>
    </row>
    <row r="468" ht="14.25" customHeight="1">
      <c r="A468" s="7"/>
      <c r="C468" s="44"/>
      <c r="D468" s="46"/>
      <c r="E468" s="105"/>
      <c r="F468" s="105"/>
      <c r="G468" s="105"/>
      <c r="H468" s="106"/>
      <c r="I468" s="46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7"/>
      <c r="X468" s="7"/>
      <c r="Y468" s="7"/>
      <c r="Z468" s="7"/>
    </row>
    <row r="469" ht="14.25" customHeight="1">
      <c r="A469" s="7"/>
      <c r="C469" s="66">
        <v>2.0</v>
      </c>
      <c r="D469" s="45" t="s">
        <v>437</v>
      </c>
      <c r="E469" s="31"/>
      <c r="F469" s="31"/>
      <c r="G469" s="31"/>
      <c r="H469" s="32"/>
      <c r="I469" s="42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7"/>
      <c r="X469" s="7"/>
      <c r="Y469" s="7"/>
      <c r="Z469" s="7"/>
    </row>
    <row r="470" ht="14.25" customHeight="1">
      <c r="A470" s="7"/>
      <c r="C470" s="44"/>
      <c r="D470" s="44">
        <v>1.0</v>
      </c>
      <c r="E470" s="45" t="s">
        <v>438</v>
      </c>
      <c r="F470" s="31"/>
      <c r="G470" s="31"/>
      <c r="H470" s="32"/>
      <c r="I470" s="42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7"/>
      <c r="X470" s="7"/>
      <c r="Y470" s="7"/>
      <c r="Z470" s="7"/>
    </row>
    <row r="471" ht="14.25" customHeight="1">
      <c r="A471" s="7"/>
      <c r="B471" s="7" t="s">
        <v>511</v>
      </c>
      <c r="C471" s="44"/>
      <c r="D471" s="44"/>
      <c r="E471" s="44">
        <v>1.0</v>
      </c>
      <c r="F471" s="45" t="s">
        <v>248</v>
      </c>
      <c r="G471" s="31"/>
      <c r="H471" s="32"/>
      <c r="I471" s="45" t="s">
        <v>489</v>
      </c>
      <c r="J471" s="77"/>
      <c r="K471" s="48">
        <v>0.0</v>
      </c>
      <c r="L471" s="48">
        <v>0.0</v>
      </c>
      <c r="M471" s="48">
        <v>3286.0</v>
      </c>
      <c r="N471" s="83">
        <v>4160.0</v>
      </c>
      <c r="O471" s="48"/>
      <c r="P471" s="48"/>
      <c r="Q471" s="48"/>
      <c r="R471" s="48"/>
      <c r="S471" s="48"/>
      <c r="T471" s="48"/>
      <c r="U471" s="48"/>
      <c r="V471" s="51">
        <f t="shared" ref="V471:V481" si="85">SUM(J471:U471)</f>
        <v>7446</v>
      </c>
      <c r="W471" s="7"/>
      <c r="X471" s="7"/>
      <c r="Y471" s="7"/>
      <c r="Z471" s="7"/>
    </row>
    <row r="472" ht="14.25" customHeight="1">
      <c r="A472" s="7"/>
      <c r="B472" s="7" t="s">
        <v>511</v>
      </c>
      <c r="C472" s="44"/>
      <c r="D472" s="44"/>
      <c r="E472" s="44"/>
      <c r="F472" s="45"/>
      <c r="G472" s="31"/>
      <c r="H472" s="32"/>
      <c r="I472" s="45" t="s">
        <v>490</v>
      </c>
      <c r="J472" s="79"/>
      <c r="K472" s="48">
        <v>939.0</v>
      </c>
      <c r="L472" s="48">
        <v>0.0</v>
      </c>
      <c r="M472" s="48">
        <v>0.0</v>
      </c>
      <c r="N472" s="83">
        <v>0.0</v>
      </c>
      <c r="O472" s="48"/>
      <c r="P472" s="48"/>
      <c r="Q472" s="48"/>
      <c r="R472" s="48"/>
      <c r="S472" s="48"/>
      <c r="T472" s="48"/>
      <c r="U472" s="48"/>
      <c r="V472" s="51">
        <f t="shared" si="85"/>
        <v>939</v>
      </c>
      <c r="W472" s="7"/>
      <c r="X472" s="7"/>
      <c r="Y472" s="7"/>
      <c r="Z472" s="7"/>
    </row>
    <row r="473" ht="14.25" customHeight="1">
      <c r="A473" s="7"/>
      <c r="B473" s="7" t="s">
        <v>512</v>
      </c>
      <c r="C473" s="44"/>
      <c r="D473" s="44"/>
      <c r="E473" s="44">
        <v>2.0</v>
      </c>
      <c r="F473" s="45" t="s">
        <v>492</v>
      </c>
      <c r="G473" s="31"/>
      <c r="H473" s="32"/>
      <c r="I473" s="45" t="s">
        <v>489</v>
      </c>
      <c r="J473" s="64"/>
      <c r="K473" s="48">
        <v>3358.0</v>
      </c>
      <c r="L473" s="48">
        <v>0.0</v>
      </c>
      <c r="M473" s="48">
        <v>2076.0</v>
      </c>
      <c r="N473" s="83">
        <v>0.0</v>
      </c>
      <c r="O473" s="48"/>
      <c r="P473" s="48"/>
      <c r="Q473" s="48"/>
      <c r="R473" s="48"/>
      <c r="S473" s="48"/>
      <c r="T473" s="48"/>
      <c r="U473" s="48"/>
      <c r="V473" s="51">
        <f t="shared" si="85"/>
        <v>5434</v>
      </c>
      <c r="W473" s="7"/>
      <c r="X473" s="7"/>
      <c r="Y473" s="7"/>
      <c r="Z473" s="7"/>
    </row>
    <row r="474" ht="14.25" customHeight="1">
      <c r="A474" s="7"/>
      <c r="B474" s="7" t="s">
        <v>513</v>
      </c>
      <c r="C474" s="44"/>
      <c r="D474" s="44"/>
      <c r="E474" s="44">
        <v>3.0</v>
      </c>
      <c r="F474" s="45" t="s">
        <v>494</v>
      </c>
      <c r="G474" s="31"/>
      <c r="H474" s="32"/>
      <c r="I474" s="45" t="s">
        <v>489</v>
      </c>
      <c r="J474" s="48">
        <v>29105.0</v>
      </c>
      <c r="K474" s="48">
        <v>21460.0</v>
      </c>
      <c r="L474" s="48">
        <v>34378.0</v>
      </c>
      <c r="M474" s="48">
        <v>24415.0</v>
      </c>
      <c r="N474" s="83">
        <v>24461.0</v>
      </c>
      <c r="O474" s="48"/>
      <c r="P474" s="48"/>
      <c r="Q474" s="48"/>
      <c r="R474" s="48"/>
      <c r="S474" s="48"/>
      <c r="T474" s="48"/>
      <c r="U474" s="48"/>
      <c r="V474" s="51">
        <f t="shared" si="85"/>
        <v>133819</v>
      </c>
      <c r="W474" s="7"/>
      <c r="X474" s="7"/>
      <c r="Y474" s="7"/>
      <c r="Z474" s="7"/>
    </row>
    <row r="475" ht="14.25" customHeight="1">
      <c r="A475" s="7"/>
      <c r="B475" s="7" t="s">
        <v>514</v>
      </c>
      <c r="C475" s="44"/>
      <c r="D475" s="44"/>
      <c r="E475" s="44">
        <v>4.0</v>
      </c>
      <c r="F475" s="45" t="s">
        <v>258</v>
      </c>
      <c r="G475" s="31"/>
      <c r="H475" s="32"/>
      <c r="I475" s="45" t="s">
        <v>489</v>
      </c>
      <c r="J475" s="48">
        <v>64162.8</v>
      </c>
      <c r="K475" s="48">
        <v>39326.48</v>
      </c>
      <c r="L475" s="48">
        <v>40519.0</v>
      </c>
      <c r="M475" s="48">
        <v>76223.13</v>
      </c>
      <c r="N475" s="83">
        <v>94862.0</v>
      </c>
      <c r="O475" s="48"/>
      <c r="P475" s="48"/>
      <c r="Q475" s="48"/>
      <c r="R475" s="48"/>
      <c r="S475" s="48"/>
      <c r="T475" s="60"/>
      <c r="U475" s="48"/>
      <c r="V475" s="51">
        <f t="shared" si="85"/>
        <v>315093.41</v>
      </c>
      <c r="W475" s="7"/>
      <c r="X475" s="7"/>
      <c r="Y475" s="7"/>
      <c r="Z475" s="7"/>
    </row>
    <row r="476" ht="14.25" customHeight="1">
      <c r="A476" s="7"/>
      <c r="B476" s="7" t="s">
        <v>515</v>
      </c>
      <c r="C476" s="44"/>
      <c r="D476" s="44"/>
      <c r="E476" s="44">
        <v>5.0</v>
      </c>
      <c r="F476" s="45" t="s">
        <v>254</v>
      </c>
      <c r="G476" s="31"/>
      <c r="H476" s="32"/>
      <c r="I476" s="45" t="s">
        <v>489</v>
      </c>
      <c r="J476" s="63"/>
      <c r="K476" s="60"/>
      <c r="L476" s="63"/>
      <c r="M476" s="60"/>
      <c r="N476" s="109"/>
      <c r="O476" s="68"/>
      <c r="P476" s="60"/>
      <c r="Q476" s="63"/>
      <c r="R476" s="63"/>
      <c r="S476" s="63"/>
      <c r="T476" s="60"/>
      <c r="U476" s="60"/>
      <c r="V476" s="51">
        <f t="shared" si="85"/>
        <v>0</v>
      </c>
      <c r="W476" s="7"/>
      <c r="X476" s="7"/>
      <c r="Y476" s="7"/>
      <c r="Z476" s="7"/>
    </row>
    <row r="477" ht="14.25" customHeight="1">
      <c r="A477" s="7"/>
      <c r="B477" s="7" t="s">
        <v>515</v>
      </c>
      <c r="C477" s="44"/>
      <c r="D477" s="44"/>
      <c r="E477" s="44"/>
      <c r="F477" s="45"/>
      <c r="G477" s="80"/>
      <c r="H477" s="81"/>
      <c r="I477" s="45" t="s">
        <v>497</v>
      </c>
      <c r="J477" s="63"/>
      <c r="K477" s="60"/>
      <c r="L477" s="63"/>
      <c r="M477" s="60"/>
      <c r="N477" s="109"/>
      <c r="O477" s="109"/>
      <c r="P477" s="60"/>
      <c r="Q477" s="63"/>
      <c r="R477" s="63"/>
      <c r="S477" s="63"/>
      <c r="T477" s="60"/>
      <c r="U477" s="60"/>
      <c r="V477" s="51">
        <f t="shared" si="85"/>
        <v>0</v>
      </c>
      <c r="W477" s="7"/>
      <c r="X477" s="7"/>
      <c r="Y477" s="7"/>
      <c r="Z477" s="7"/>
    </row>
    <row r="478" ht="14.25" customHeight="1">
      <c r="A478" s="7"/>
      <c r="B478" s="7" t="s">
        <v>516</v>
      </c>
      <c r="C478" s="44"/>
      <c r="D478" s="44"/>
      <c r="E478" s="44">
        <v>6.0</v>
      </c>
      <c r="F478" s="45" t="s">
        <v>499</v>
      </c>
      <c r="G478" s="31"/>
      <c r="H478" s="32"/>
      <c r="I478" s="45" t="s">
        <v>489</v>
      </c>
      <c r="J478" s="63"/>
      <c r="K478" s="60"/>
      <c r="L478" s="63"/>
      <c r="M478" s="60"/>
      <c r="N478" s="109"/>
      <c r="O478" s="109"/>
      <c r="P478" s="60"/>
      <c r="Q478" s="63"/>
      <c r="R478" s="63"/>
      <c r="S478" s="63"/>
      <c r="T478" s="60"/>
      <c r="U478" s="60"/>
      <c r="V478" s="51">
        <f t="shared" si="85"/>
        <v>0</v>
      </c>
      <c r="W478" s="7"/>
      <c r="X478" s="7"/>
      <c r="Y478" s="7"/>
      <c r="Z478" s="7"/>
    </row>
    <row r="479" ht="14.25" customHeight="1">
      <c r="A479" s="7"/>
      <c r="B479" s="7" t="s">
        <v>516</v>
      </c>
      <c r="C479" s="44"/>
      <c r="D479" s="44"/>
      <c r="E479" s="44"/>
      <c r="F479" s="45"/>
      <c r="G479" s="31"/>
      <c r="H479" s="32"/>
      <c r="I479" s="45" t="s">
        <v>398</v>
      </c>
      <c r="J479" s="63"/>
      <c r="K479" s="60"/>
      <c r="L479" s="63"/>
      <c r="M479" s="60"/>
      <c r="N479" s="109"/>
      <c r="O479" s="109"/>
      <c r="P479" s="60"/>
      <c r="Q479" s="63"/>
      <c r="R479" s="63"/>
      <c r="S479" s="63"/>
      <c r="T479" s="60"/>
      <c r="U479" s="60"/>
      <c r="V479" s="51">
        <f t="shared" si="85"/>
        <v>0</v>
      </c>
      <c r="W479" s="7"/>
      <c r="X479" s="7"/>
      <c r="Y479" s="7"/>
      <c r="Z479" s="7"/>
    </row>
    <row r="480" ht="14.25" customHeight="1">
      <c r="A480" s="7"/>
      <c r="B480" s="7" t="s">
        <v>517</v>
      </c>
      <c r="C480" s="44"/>
      <c r="D480" s="44"/>
      <c r="E480" s="44">
        <v>7.0</v>
      </c>
      <c r="F480" s="45" t="s">
        <v>264</v>
      </c>
      <c r="G480" s="31"/>
      <c r="H480" s="32"/>
      <c r="I480" s="45" t="s">
        <v>489</v>
      </c>
      <c r="J480" s="63"/>
      <c r="K480" s="60"/>
      <c r="L480" s="63"/>
      <c r="M480" s="60"/>
      <c r="N480" s="109"/>
      <c r="O480" s="109"/>
      <c r="P480" s="60"/>
      <c r="Q480" s="112"/>
      <c r="R480" s="63"/>
      <c r="S480" s="63"/>
      <c r="T480" s="60"/>
      <c r="U480" s="60"/>
      <c r="V480" s="51">
        <f t="shared" si="85"/>
        <v>0</v>
      </c>
      <c r="W480" s="7"/>
      <c r="X480" s="7"/>
      <c r="Y480" s="7"/>
      <c r="Z480" s="7"/>
    </row>
    <row r="481" ht="14.25" customHeight="1">
      <c r="A481" s="7"/>
      <c r="B481" s="7" t="s">
        <v>517</v>
      </c>
      <c r="C481" s="44"/>
      <c r="D481" s="44"/>
      <c r="E481" s="44"/>
      <c r="F481" s="53"/>
      <c r="G481" s="31"/>
      <c r="H481" s="32"/>
      <c r="I481" s="45" t="s">
        <v>501</v>
      </c>
      <c r="J481" s="63"/>
      <c r="K481" s="60"/>
      <c r="L481" s="63"/>
      <c r="M481" s="60"/>
      <c r="N481" s="109"/>
      <c r="O481" s="109"/>
      <c r="P481" s="60"/>
      <c r="Q481" s="112"/>
      <c r="R481" s="63"/>
      <c r="S481" s="63"/>
      <c r="T481" s="60"/>
      <c r="U481" s="60"/>
      <c r="V481" s="51">
        <f t="shared" si="85"/>
        <v>0</v>
      </c>
      <c r="W481" s="7"/>
      <c r="X481" s="7"/>
      <c r="Y481" s="7"/>
      <c r="Z481" s="7"/>
    </row>
    <row r="482" ht="14.25" customHeight="1">
      <c r="A482" s="7"/>
      <c r="C482" s="44"/>
      <c r="D482" s="44"/>
      <c r="E482" s="87"/>
      <c r="F482" s="40"/>
      <c r="G482" s="40"/>
      <c r="H482" s="40"/>
      <c r="I482" s="40"/>
      <c r="J482" s="75"/>
      <c r="K482" s="43"/>
      <c r="L482" s="75"/>
      <c r="M482" s="43"/>
      <c r="N482" s="43"/>
      <c r="O482" s="43"/>
      <c r="P482" s="43"/>
      <c r="Q482" s="113"/>
      <c r="R482" s="75"/>
      <c r="S482" s="75"/>
      <c r="T482" s="43"/>
      <c r="U482" s="43"/>
      <c r="V482" s="43"/>
      <c r="W482" s="7"/>
      <c r="X482" s="7"/>
      <c r="Y482" s="7"/>
      <c r="Z482" s="7"/>
    </row>
    <row r="483" ht="14.25" customHeight="1">
      <c r="A483" s="7"/>
      <c r="C483" s="44"/>
      <c r="D483" s="44">
        <v>2.0</v>
      </c>
      <c r="E483" s="45" t="s">
        <v>454</v>
      </c>
      <c r="F483" s="31"/>
      <c r="G483" s="31"/>
      <c r="H483" s="32"/>
      <c r="I483" s="42"/>
      <c r="J483" s="75"/>
      <c r="K483" s="43"/>
      <c r="L483" s="75"/>
      <c r="M483" s="43"/>
      <c r="N483" s="43"/>
      <c r="O483" s="43"/>
      <c r="P483" s="43"/>
      <c r="Q483" s="113"/>
      <c r="R483" s="75"/>
      <c r="S483" s="75"/>
      <c r="T483" s="43"/>
      <c r="U483" s="43"/>
      <c r="V483" s="43"/>
      <c r="W483" s="7"/>
      <c r="X483" s="7"/>
      <c r="Y483" s="7"/>
      <c r="Z483" s="7"/>
    </row>
    <row r="484" ht="14.25" customHeight="1">
      <c r="A484" s="7"/>
      <c r="B484" s="7" t="s">
        <v>518</v>
      </c>
      <c r="C484" s="44"/>
      <c r="D484" s="44"/>
      <c r="E484" s="44">
        <v>1.0</v>
      </c>
      <c r="F484" s="45" t="s">
        <v>248</v>
      </c>
      <c r="G484" s="31"/>
      <c r="H484" s="32"/>
      <c r="I484" s="45" t="s">
        <v>489</v>
      </c>
      <c r="J484" s="60">
        <v>1019.0</v>
      </c>
      <c r="K484" s="48">
        <v>0.0</v>
      </c>
      <c r="L484" s="48">
        <v>0.0</v>
      </c>
      <c r="M484" s="48">
        <v>3627.0</v>
      </c>
      <c r="N484" s="83">
        <v>7090.0</v>
      </c>
      <c r="O484" s="48"/>
      <c r="P484" s="48"/>
      <c r="Q484" s="48"/>
      <c r="R484" s="48"/>
      <c r="S484" s="48"/>
      <c r="T484" s="48"/>
      <c r="U484" s="48"/>
      <c r="V484" s="51">
        <f t="shared" ref="V484:V494" si="86">SUM(J484:U484)</f>
        <v>11736</v>
      </c>
      <c r="W484" s="7"/>
      <c r="X484" s="7"/>
      <c r="Y484" s="7"/>
      <c r="Z484" s="7"/>
    </row>
    <row r="485" ht="14.25" customHeight="1">
      <c r="A485" s="7"/>
      <c r="B485" s="7" t="s">
        <v>518</v>
      </c>
      <c r="C485" s="44"/>
      <c r="D485" s="44"/>
      <c r="E485" s="44"/>
      <c r="F485" s="45"/>
      <c r="G485" s="31"/>
      <c r="H485" s="32"/>
      <c r="I485" s="45" t="s">
        <v>490</v>
      </c>
      <c r="J485" s="48">
        <v>911.0</v>
      </c>
      <c r="K485" s="48">
        <v>374.0</v>
      </c>
      <c r="L485" s="48">
        <v>672.0</v>
      </c>
      <c r="M485" s="48">
        <v>1464.0</v>
      </c>
      <c r="N485" s="83">
        <v>0.0</v>
      </c>
      <c r="O485" s="48"/>
      <c r="P485" s="48"/>
      <c r="Q485" s="48"/>
      <c r="R485" s="48"/>
      <c r="S485" s="48"/>
      <c r="T485" s="48"/>
      <c r="U485" s="48"/>
      <c r="V485" s="51">
        <f t="shared" si="86"/>
        <v>3421</v>
      </c>
      <c r="W485" s="7"/>
      <c r="X485" s="7"/>
      <c r="Y485" s="7"/>
      <c r="Z485" s="7"/>
    </row>
    <row r="486" ht="14.25" customHeight="1">
      <c r="A486" s="7"/>
      <c r="B486" s="7" t="s">
        <v>519</v>
      </c>
      <c r="C486" s="44"/>
      <c r="D486" s="44"/>
      <c r="E486" s="44">
        <v>2.0</v>
      </c>
      <c r="F486" s="45" t="s">
        <v>492</v>
      </c>
      <c r="G486" s="31"/>
      <c r="H486" s="32"/>
      <c r="I486" s="45" t="s">
        <v>489</v>
      </c>
      <c r="J486" s="48">
        <v>1025.0</v>
      </c>
      <c r="K486" s="48">
        <v>1025.0</v>
      </c>
      <c r="L486" s="48">
        <v>3751.0</v>
      </c>
      <c r="M486" s="48">
        <v>1727.0</v>
      </c>
      <c r="N486" s="83">
        <v>2145.0</v>
      </c>
      <c r="O486" s="48"/>
      <c r="P486" s="48"/>
      <c r="Q486" s="48"/>
      <c r="R486" s="48"/>
      <c r="S486" s="48"/>
      <c r="T486" s="48"/>
      <c r="U486" s="48"/>
      <c r="V486" s="51">
        <f t="shared" si="86"/>
        <v>9673</v>
      </c>
      <c r="W486" s="7"/>
      <c r="X486" s="7"/>
      <c r="Y486" s="7"/>
      <c r="Z486" s="7"/>
    </row>
    <row r="487" ht="14.25" customHeight="1">
      <c r="A487" s="7"/>
      <c r="B487" s="7" t="s">
        <v>520</v>
      </c>
      <c r="C487" s="44"/>
      <c r="D487" s="44"/>
      <c r="E487" s="44">
        <v>3.0</v>
      </c>
      <c r="F487" s="45" t="s">
        <v>494</v>
      </c>
      <c r="G487" s="31"/>
      <c r="H487" s="32"/>
      <c r="I487" s="45" t="s">
        <v>489</v>
      </c>
      <c r="J487" s="48">
        <v>697.0</v>
      </c>
      <c r="K487" s="48">
        <v>0.0</v>
      </c>
      <c r="L487" s="48">
        <v>376.0</v>
      </c>
      <c r="M487" s="48">
        <v>417.0</v>
      </c>
      <c r="N487" s="83">
        <v>0.0</v>
      </c>
      <c r="O487" s="48"/>
      <c r="P487" s="48"/>
      <c r="Q487" s="48"/>
      <c r="R487" s="48"/>
      <c r="S487" s="48"/>
      <c r="T487" s="48"/>
      <c r="U487" s="48"/>
      <c r="V487" s="51">
        <f t="shared" si="86"/>
        <v>1490</v>
      </c>
      <c r="W487" s="7"/>
      <c r="X487" s="7"/>
      <c r="Y487" s="7"/>
      <c r="Z487" s="7"/>
    </row>
    <row r="488" ht="14.25" customHeight="1">
      <c r="A488" s="7"/>
      <c r="B488" s="7" t="s">
        <v>521</v>
      </c>
      <c r="C488" s="44"/>
      <c r="D488" s="44"/>
      <c r="E488" s="44">
        <v>4.0</v>
      </c>
      <c r="F488" s="45" t="s">
        <v>258</v>
      </c>
      <c r="G488" s="31"/>
      <c r="H488" s="32"/>
      <c r="I488" s="45" t="s">
        <v>489</v>
      </c>
      <c r="J488" s="48">
        <v>35570.0</v>
      </c>
      <c r="K488" s="48">
        <v>36653.0</v>
      </c>
      <c r="L488" s="48">
        <v>7193.0</v>
      </c>
      <c r="M488" s="48">
        <v>15224.0</v>
      </c>
      <c r="N488" s="83">
        <v>7470.0</v>
      </c>
      <c r="O488" s="48"/>
      <c r="P488" s="48"/>
      <c r="Q488" s="48"/>
      <c r="R488" s="48"/>
      <c r="S488" s="48"/>
      <c r="T488" s="48"/>
      <c r="U488" s="48"/>
      <c r="V488" s="51">
        <f t="shared" si="86"/>
        <v>102110</v>
      </c>
      <c r="W488" s="7"/>
      <c r="X488" s="7"/>
      <c r="Y488" s="7"/>
      <c r="Z488" s="7"/>
    </row>
    <row r="489" ht="14.25" customHeight="1">
      <c r="A489" s="7"/>
      <c r="B489" s="7" t="s">
        <v>522</v>
      </c>
      <c r="C489" s="44"/>
      <c r="D489" s="44"/>
      <c r="E489" s="44">
        <v>5.0</v>
      </c>
      <c r="F489" s="45" t="s">
        <v>254</v>
      </c>
      <c r="G489" s="31"/>
      <c r="H489" s="32"/>
      <c r="I489" s="45" t="s">
        <v>489</v>
      </c>
      <c r="J489" s="63"/>
      <c r="K489" s="60"/>
      <c r="L489" s="63"/>
      <c r="M489" s="60"/>
      <c r="N489" s="109"/>
      <c r="O489" s="109"/>
      <c r="P489" s="60"/>
      <c r="Q489" s="60"/>
      <c r="R489" s="63"/>
      <c r="S489" s="60"/>
      <c r="T489" s="60"/>
      <c r="U489" s="60"/>
      <c r="V489" s="51">
        <f t="shared" si="86"/>
        <v>0</v>
      </c>
      <c r="W489" s="7"/>
      <c r="X489" s="7"/>
      <c r="Y489" s="7"/>
      <c r="Z489" s="7"/>
    </row>
    <row r="490" ht="14.25" customHeight="1">
      <c r="A490" s="7"/>
      <c r="B490" s="7" t="s">
        <v>522</v>
      </c>
      <c r="C490" s="44"/>
      <c r="D490" s="44"/>
      <c r="E490" s="44"/>
      <c r="F490" s="45"/>
      <c r="G490" s="80"/>
      <c r="H490" s="81"/>
      <c r="I490" s="45" t="s">
        <v>497</v>
      </c>
      <c r="J490" s="63"/>
      <c r="K490" s="60"/>
      <c r="L490" s="63"/>
      <c r="M490" s="60"/>
      <c r="N490" s="109"/>
      <c r="O490" s="109"/>
      <c r="P490" s="60"/>
      <c r="Q490" s="60"/>
      <c r="R490" s="63"/>
      <c r="S490" s="60"/>
      <c r="T490" s="60"/>
      <c r="U490" s="60"/>
      <c r="V490" s="51">
        <f t="shared" si="86"/>
        <v>0</v>
      </c>
      <c r="W490" s="7"/>
      <c r="X490" s="7"/>
      <c r="Y490" s="7"/>
      <c r="Z490" s="7"/>
    </row>
    <row r="491" ht="14.25" customHeight="1">
      <c r="A491" s="7"/>
      <c r="B491" s="7" t="s">
        <v>523</v>
      </c>
      <c r="C491" s="44"/>
      <c r="D491" s="44"/>
      <c r="E491" s="44">
        <v>6.0</v>
      </c>
      <c r="F491" s="45" t="s">
        <v>499</v>
      </c>
      <c r="G491" s="31"/>
      <c r="H491" s="32"/>
      <c r="I491" s="45" t="s">
        <v>489</v>
      </c>
      <c r="J491" s="63"/>
      <c r="K491" s="60"/>
      <c r="L491" s="63"/>
      <c r="M491" s="60"/>
      <c r="N491" s="109"/>
      <c r="O491" s="109"/>
      <c r="P491" s="60"/>
      <c r="Q491" s="60"/>
      <c r="R491" s="63"/>
      <c r="S491" s="60"/>
      <c r="T491" s="60"/>
      <c r="U491" s="60"/>
      <c r="V491" s="51">
        <f t="shared" si="86"/>
        <v>0</v>
      </c>
      <c r="W491" s="7"/>
      <c r="X491" s="7"/>
      <c r="Y491" s="7"/>
      <c r="Z491" s="7"/>
    </row>
    <row r="492" ht="14.25" customHeight="1">
      <c r="A492" s="7"/>
      <c r="B492" s="7" t="s">
        <v>523</v>
      </c>
      <c r="C492" s="44"/>
      <c r="D492" s="44"/>
      <c r="E492" s="44"/>
      <c r="F492" s="45"/>
      <c r="G492" s="31"/>
      <c r="H492" s="32"/>
      <c r="I492" s="45" t="s">
        <v>398</v>
      </c>
      <c r="J492" s="63"/>
      <c r="K492" s="60"/>
      <c r="L492" s="63"/>
      <c r="M492" s="60"/>
      <c r="N492" s="109"/>
      <c r="O492" s="109"/>
      <c r="P492" s="60"/>
      <c r="Q492" s="60"/>
      <c r="R492" s="63"/>
      <c r="S492" s="60"/>
      <c r="T492" s="60"/>
      <c r="U492" s="60"/>
      <c r="V492" s="51">
        <f t="shared" si="86"/>
        <v>0</v>
      </c>
      <c r="W492" s="7"/>
      <c r="X492" s="7"/>
      <c r="Y492" s="7"/>
      <c r="Z492" s="7"/>
    </row>
    <row r="493" ht="14.25" customHeight="1">
      <c r="A493" s="7"/>
      <c r="B493" s="7" t="s">
        <v>524</v>
      </c>
      <c r="C493" s="44"/>
      <c r="D493" s="44"/>
      <c r="E493" s="44">
        <v>7.0</v>
      </c>
      <c r="F493" s="45" t="s">
        <v>264</v>
      </c>
      <c r="G493" s="31"/>
      <c r="H493" s="32"/>
      <c r="I493" s="45" t="s">
        <v>489</v>
      </c>
      <c r="J493" s="63"/>
      <c r="K493" s="60"/>
      <c r="L493" s="63"/>
      <c r="M493" s="60"/>
      <c r="N493" s="109"/>
      <c r="O493" s="109"/>
      <c r="P493" s="60"/>
      <c r="Q493" s="60"/>
      <c r="R493" s="63"/>
      <c r="S493" s="60"/>
      <c r="T493" s="60"/>
      <c r="U493" s="60"/>
      <c r="V493" s="51">
        <f t="shared" si="86"/>
        <v>0</v>
      </c>
      <c r="W493" s="7"/>
      <c r="X493" s="7"/>
      <c r="Y493" s="7"/>
      <c r="Z493" s="7"/>
    </row>
    <row r="494" ht="14.25" customHeight="1">
      <c r="A494" s="7"/>
      <c r="B494" s="7" t="s">
        <v>524</v>
      </c>
      <c r="C494" s="44"/>
      <c r="D494" s="44"/>
      <c r="E494" s="44"/>
      <c r="F494" s="53"/>
      <c r="G494" s="31"/>
      <c r="H494" s="32"/>
      <c r="I494" s="45" t="s">
        <v>501</v>
      </c>
      <c r="J494" s="63"/>
      <c r="K494" s="60"/>
      <c r="L494" s="63"/>
      <c r="M494" s="60"/>
      <c r="N494" s="109"/>
      <c r="O494" s="109"/>
      <c r="P494" s="60"/>
      <c r="Q494" s="60"/>
      <c r="R494" s="63"/>
      <c r="S494" s="60"/>
      <c r="T494" s="60"/>
      <c r="U494" s="60"/>
      <c r="V494" s="51">
        <f t="shared" si="86"/>
        <v>0</v>
      </c>
      <c r="W494" s="7"/>
      <c r="X494" s="7"/>
      <c r="Y494" s="7"/>
      <c r="Z494" s="7"/>
    </row>
    <row r="495" ht="14.25" customHeight="1">
      <c r="A495" s="7"/>
      <c r="C495" s="44"/>
      <c r="D495" s="44"/>
      <c r="E495" s="87"/>
      <c r="F495" s="40"/>
      <c r="G495" s="40"/>
      <c r="H495" s="40"/>
      <c r="I495" s="40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7"/>
      <c r="X495" s="7"/>
      <c r="Y495" s="7"/>
      <c r="Z495" s="7"/>
    </row>
    <row r="496" ht="14.25" customHeight="1">
      <c r="A496" s="7"/>
      <c r="C496" s="44"/>
      <c r="D496" s="90" t="s">
        <v>525</v>
      </c>
      <c r="E496" s="18"/>
      <c r="F496" s="18"/>
      <c r="G496" s="18"/>
      <c r="H496" s="19"/>
      <c r="I496" s="45" t="s">
        <v>489</v>
      </c>
      <c r="J496" s="51">
        <f t="shared" ref="J496:V496" si="87">(SUMIF($I$471:$V$481,$I496,J$471:J$481))+(SUMIF($I$484:$V$494,$I496,J$484:J$494))</f>
        <v>131578.8</v>
      </c>
      <c r="K496" s="51">
        <f t="shared" si="87"/>
        <v>101822.48</v>
      </c>
      <c r="L496" s="51">
        <f t="shared" si="87"/>
        <v>86217</v>
      </c>
      <c r="M496" s="51">
        <f t="shared" si="87"/>
        <v>126995.13</v>
      </c>
      <c r="N496" s="51">
        <f t="shared" si="87"/>
        <v>140188</v>
      </c>
      <c r="O496" s="51">
        <f t="shared" si="87"/>
        <v>0</v>
      </c>
      <c r="P496" s="51">
        <f t="shared" si="87"/>
        <v>0</v>
      </c>
      <c r="Q496" s="51">
        <f t="shared" si="87"/>
        <v>0</v>
      </c>
      <c r="R496" s="51">
        <f t="shared" si="87"/>
        <v>0</v>
      </c>
      <c r="S496" s="51">
        <f t="shared" si="87"/>
        <v>0</v>
      </c>
      <c r="T496" s="51">
        <f t="shared" si="87"/>
        <v>0</v>
      </c>
      <c r="U496" s="51">
        <f t="shared" si="87"/>
        <v>0</v>
      </c>
      <c r="V496" s="51">
        <f t="shared" si="87"/>
        <v>586801.41</v>
      </c>
      <c r="W496" s="7"/>
      <c r="X496" s="7"/>
      <c r="Y496" s="7"/>
      <c r="Z496" s="7"/>
    </row>
    <row r="497" ht="14.25" customHeight="1">
      <c r="A497" s="7"/>
      <c r="C497" s="44"/>
      <c r="D497" s="23"/>
      <c r="H497" s="24"/>
      <c r="I497" s="45" t="s">
        <v>490</v>
      </c>
      <c r="J497" s="51">
        <f t="shared" ref="J497:V497" si="88">(SUMIF($I$471:$V$481,$I497,J$471:J$481))+(SUMIF($I$484:$V$494,$I497,J$484:J$494))</f>
        <v>911</v>
      </c>
      <c r="K497" s="51">
        <f t="shared" si="88"/>
        <v>1313</v>
      </c>
      <c r="L497" s="51">
        <f t="shared" si="88"/>
        <v>672</v>
      </c>
      <c r="M497" s="51">
        <f t="shared" si="88"/>
        <v>1464</v>
      </c>
      <c r="N497" s="51">
        <f t="shared" si="88"/>
        <v>0</v>
      </c>
      <c r="O497" s="51">
        <f t="shared" si="88"/>
        <v>0</v>
      </c>
      <c r="P497" s="51">
        <f t="shared" si="88"/>
        <v>0</v>
      </c>
      <c r="Q497" s="51">
        <f t="shared" si="88"/>
        <v>0</v>
      </c>
      <c r="R497" s="51">
        <f t="shared" si="88"/>
        <v>0</v>
      </c>
      <c r="S497" s="51">
        <f t="shared" si="88"/>
        <v>0</v>
      </c>
      <c r="T497" s="51">
        <f t="shared" si="88"/>
        <v>0</v>
      </c>
      <c r="U497" s="51">
        <f t="shared" si="88"/>
        <v>0</v>
      </c>
      <c r="V497" s="51">
        <f t="shared" si="88"/>
        <v>4360</v>
      </c>
      <c r="W497" s="7"/>
      <c r="X497" s="7"/>
      <c r="Y497" s="7"/>
      <c r="Z497" s="7"/>
    </row>
    <row r="498" ht="14.25" customHeight="1">
      <c r="A498" s="7"/>
      <c r="C498" s="44"/>
      <c r="D498" s="23"/>
      <c r="H498" s="24"/>
      <c r="I498" s="45" t="s">
        <v>497</v>
      </c>
      <c r="J498" s="51">
        <f t="shared" ref="J498:V498" si="89">(SUMIF($I$471:$V$481,$I498,J$471:J$481))+(SUMIF($I$484:$V$494,$I498,J$484:J$494))</f>
        <v>0</v>
      </c>
      <c r="K498" s="51">
        <f t="shared" si="89"/>
        <v>0</v>
      </c>
      <c r="L498" s="51">
        <f t="shared" si="89"/>
        <v>0</v>
      </c>
      <c r="M498" s="51">
        <f t="shared" si="89"/>
        <v>0</v>
      </c>
      <c r="N498" s="51">
        <f t="shared" si="89"/>
        <v>0</v>
      </c>
      <c r="O498" s="51">
        <f t="shared" si="89"/>
        <v>0</v>
      </c>
      <c r="P498" s="51">
        <f t="shared" si="89"/>
        <v>0</v>
      </c>
      <c r="Q498" s="51">
        <f t="shared" si="89"/>
        <v>0</v>
      </c>
      <c r="R498" s="51">
        <f t="shared" si="89"/>
        <v>0</v>
      </c>
      <c r="S498" s="51">
        <f t="shared" si="89"/>
        <v>0</v>
      </c>
      <c r="T498" s="51">
        <f t="shared" si="89"/>
        <v>0</v>
      </c>
      <c r="U498" s="51">
        <f t="shared" si="89"/>
        <v>0</v>
      </c>
      <c r="V498" s="51">
        <f t="shared" si="89"/>
        <v>0</v>
      </c>
      <c r="W498" s="7"/>
      <c r="X498" s="7"/>
      <c r="Y498" s="7"/>
      <c r="Z498" s="7"/>
    </row>
    <row r="499" ht="14.25" customHeight="1">
      <c r="A499" s="7"/>
      <c r="C499" s="44"/>
      <c r="D499" s="23"/>
      <c r="H499" s="24"/>
      <c r="I499" s="45" t="s">
        <v>398</v>
      </c>
      <c r="J499" s="51">
        <f t="shared" ref="J499:V499" si="90">(SUMIF($I$471:$V$481,$I499,J$471:J$481))+(SUMIF($I$484:$V$494,$I499,J$484:J$494))</f>
        <v>0</v>
      </c>
      <c r="K499" s="51">
        <f t="shared" si="90"/>
        <v>0</v>
      </c>
      <c r="L499" s="51">
        <f t="shared" si="90"/>
        <v>0</v>
      </c>
      <c r="M499" s="51">
        <f t="shared" si="90"/>
        <v>0</v>
      </c>
      <c r="N499" s="51">
        <f t="shared" si="90"/>
        <v>0</v>
      </c>
      <c r="O499" s="51">
        <f t="shared" si="90"/>
        <v>0</v>
      </c>
      <c r="P499" s="51">
        <f t="shared" si="90"/>
        <v>0</v>
      </c>
      <c r="Q499" s="51">
        <f t="shared" si="90"/>
        <v>0</v>
      </c>
      <c r="R499" s="51">
        <f t="shared" si="90"/>
        <v>0</v>
      </c>
      <c r="S499" s="51">
        <f t="shared" si="90"/>
        <v>0</v>
      </c>
      <c r="T499" s="51">
        <f t="shared" si="90"/>
        <v>0</v>
      </c>
      <c r="U499" s="51">
        <f t="shared" si="90"/>
        <v>0</v>
      </c>
      <c r="V499" s="51">
        <f t="shared" si="90"/>
        <v>0</v>
      </c>
      <c r="W499" s="7"/>
      <c r="X499" s="7"/>
      <c r="Y499" s="7"/>
      <c r="Z499" s="7"/>
    </row>
    <row r="500" ht="14.25" customHeight="1">
      <c r="A500" s="7"/>
      <c r="C500" s="44"/>
      <c r="D500" s="26"/>
      <c r="E500" s="27"/>
      <c r="F500" s="27"/>
      <c r="G500" s="27"/>
      <c r="H500" s="28"/>
      <c r="I500" s="45" t="s">
        <v>501</v>
      </c>
      <c r="J500" s="51">
        <f t="shared" ref="J500:V500" si="91">(SUMIF($I$471:$V$481,$I500,J$471:J$481))+(SUMIF($I$484:$V$494,$I500,J$484:J$494))</f>
        <v>0</v>
      </c>
      <c r="K500" s="51">
        <f t="shared" si="91"/>
        <v>0</v>
      </c>
      <c r="L500" s="51">
        <f t="shared" si="91"/>
        <v>0</v>
      </c>
      <c r="M500" s="51">
        <f t="shared" si="91"/>
        <v>0</v>
      </c>
      <c r="N500" s="51">
        <f t="shared" si="91"/>
        <v>0</v>
      </c>
      <c r="O500" s="51">
        <f t="shared" si="91"/>
        <v>0</v>
      </c>
      <c r="P500" s="51">
        <f t="shared" si="91"/>
        <v>0</v>
      </c>
      <c r="Q500" s="51">
        <f t="shared" si="91"/>
        <v>0</v>
      </c>
      <c r="R500" s="51">
        <f t="shared" si="91"/>
        <v>0</v>
      </c>
      <c r="S500" s="51">
        <f t="shared" si="91"/>
        <v>0</v>
      </c>
      <c r="T500" s="51">
        <f t="shared" si="91"/>
        <v>0</v>
      </c>
      <c r="U500" s="51">
        <f t="shared" si="91"/>
        <v>0</v>
      </c>
      <c r="V500" s="51">
        <f t="shared" si="91"/>
        <v>0</v>
      </c>
      <c r="W500" s="7"/>
      <c r="X500" s="7"/>
      <c r="Y500" s="7"/>
      <c r="Z500" s="7"/>
    </row>
    <row r="501" ht="14.25" customHeight="1">
      <c r="A501" s="7"/>
      <c r="C501" s="53"/>
      <c r="D501" s="31"/>
      <c r="E501" s="31"/>
      <c r="F501" s="31"/>
      <c r="G501" s="31"/>
      <c r="H501" s="32"/>
      <c r="I501" s="42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7"/>
      <c r="X501" s="7"/>
      <c r="Y501" s="7"/>
      <c r="Z501" s="7"/>
    </row>
    <row r="502" ht="14.25" customHeight="1">
      <c r="A502" s="7"/>
      <c r="C502" s="90" t="s">
        <v>526</v>
      </c>
      <c r="D502" s="18"/>
      <c r="E502" s="18"/>
      <c r="F502" s="18"/>
      <c r="G502" s="18"/>
      <c r="H502" s="19"/>
      <c r="I502" s="45" t="s">
        <v>489</v>
      </c>
      <c r="J502" s="51">
        <f t="shared" ref="J502:V502" si="92">J463+J496</f>
        <v>233387.8</v>
      </c>
      <c r="K502" s="51">
        <f t="shared" si="92"/>
        <v>407555.75</v>
      </c>
      <c r="L502" s="51">
        <f t="shared" si="92"/>
        <v>282846</v>
      </c>
      <c r="M502" s="51">
        <f t="shared" si="92"/>
        <v>329821.13</v>
      </c>
      <c r="N502" s="51">
        <f t="shared" si="92"/>
        <v>405457.83</v>
      </c>
      <c r="O502" s="51">
        <f t="shared" si="92"/>
        <v>0</v>
      </c>
      <c r="P502" s="51">
        <f t="shared" si="92"/>
        <v>0</v>
      </c>
      <c r="Q502" s="51">
        <f t="shared" si="92"/>
        <v>0</v>
      </c>
      <c r="R502" s="51">
        <f t="shared" si="92"/>
        <v>0</v>
      </c>
      <c r="S502" s="51">
        <f t="shared" si="92"/>
        <v>0</v>
      </c>
      <c r="T502" s="51">
        <f t="shared" si="92"/>
        <v>0</v>
      </c>
      <c r="U502" s="51">
        <f t="shared" si="92"/>
        <v>0</v>
      </c>
      <c r="V502" s="51">
        <f t="shared" si="92"/>
        <v>1659068.51</v>
      </c>
      <c r="W502" s="7"/>
      <c r="X502" s="7"/>
      <c r="Y502" s="7"/>
      <c r="Z502" s="7"/>
    </row>
    <row r="503" ht="14.25" customHeight="1">
      <c r="A503" s="7"/>
      <c r="C503" s="23"/>
      <c r="H503" s="24"/>
      <c r="I503" s="45" t="s">
        <v>490</v>
      </c>
      <c r="J503" s="51">
        <f t="shared" ref="J503:V503" si="93">J464+J497</f>
        <v>62776</v>
      </c>
      <c r="K503" s="51">
        <f t="shared" si="93"/>
        <v>23676</v>
      </c>
      <c r="L503" s="51">
        <f t="shared" si="93"/>
        <v>88806</v>
      </c>
      <c r="M503" s="51">
        <f t="shared" si="93"/>
        <v>1464</v>
      </c>
      <c r="N503" s="51">
        <f t="shared" si="93"/>
        <v>14772</v>
      </c>
      <c r="O503" s="51">
        <f t="shared" si="93"/>
        <v>0</v>
      </c>
      <c r="P503" s="51">
        <f t="shared" si="93"/>
        <v>0</v>
      </c>
      <c r="Q503" s="51">
        <f t="shared" si="93"/>
        <v>0</v>
      </c>
      <c r="R503" s="51">
        <f t="shared" si="93"/>
        <v>0</v>
      </c>
      <c r="S503" s="51">
        <f t="shared" si="93"/>
        <v>0</v>
      </c>
      <c r="T503" s="51">
        <f t="shared" si="93"/>
        <v>0</v>
      </c>
      <c r="U503" s="51">
        <f t="shared" si="93"/>
        <v>0</v>
      </c>
      <c r="V503" s="51">
        <f t="shared" si="93"/>
        <v>191494</v>
      </c>
      <c r="W503" s="7"/>
      <c r="X503" s="7"/>
      <c r="Y503" s="7"/>
      <c r="Z503" s="7"/>
    </row>
    <row r="504" ht="14.25" customHeight="1">
      <c r="A504" s="7"/>
      <c r="C504" s="23"/>
      <c r="H504" s="24"/>
      <c r="I504" s="45" t="s">
        <v>497</v>
      </c>
      <c r="J504" s="51">
        <f t="shared" ref="J504:V504" si="94">J465+J498</f>
        <v>0</v>
      </c>
      <c r="K504" s="51">
        <f t="shared" si="94"/>
        <v>0</v>
      </c>
      <c r="L504" s="51">
        <f t="shared" si="94"/>
        <v>0</v>
      </c>
      <c r="M504" s="51">
        <f t="shared" si="94"/>
        <v>0</v>
      </c>
      <c r="N504" s="51">
        <f t="shared" si="94"/>
        <v>0</v>
      </c>
      <c r="O504" s="51">
        <f t="shared" si="94"/>
        <v>0</v>
      </c>
      <c r="P504" s="51">
        <f t="shared" si="94"/>
        <v>0</v>
      </c>
      <c r="Q504" s="51">
        <f t="shared" si="94"/>
        <v>0</v>
      </c>
      <c r="R504" s="51">
        <f t="shared" si="94"/>
        <v>0</v>
      </c>
      <c r="S504" s="51">
        <f t="shared" si="94"/>
        <v>0</v>
      </c>
      <c r="T504" s="51">
        <f t="shared" si="94"/>
        <v>0</v>
      </c>
      <c r="U504" s="51">
        <f t="shared" si="94"/>
        <v>0</v>
      </c>
      <c r="V504" s="51">
        <f t="shared" si="94"/>
        <v>0</v>
      </c>
      <c r="W504" s="7"/>
      <c r="X504" s="7"/>
      <c r="Y504" s="7"/>
      <c r="Z504" s="7"/>
    </row>
    <row r="505" ht="14.25" customHeight="1">
      <c r="A505" s="7"/>
      <c r="C505" s="23"/>
      <c r="H505" s="24"/>
      <c r="I505" s="45" t="s">
        <v>398</v>
      </c>
      <c r="J505" s="51">
        <f t="shared" ref="J505:V505" si="95">J466+J499</f>
        <v>0</v>
      </c>
      <c r="K505" s="51">
        <f t="shared" si="95"/>
        <v>0</v>
      </c>
      <c r="L505" s="51">
        <f t="shared" si="95"/>
        <v>0</v>
      </c>
      <c r="M505" s="51">
        <f t="shared" si="95"/>
        <v>0</v>
      </c>
      <c r="N505" s="51">
        <f t="shared" si="95"/>
        <v>0</v>
      </c>
      <c r="O505" s="51">
        <f t="shared" si="95"/>
        <v>0</v>
      </c>
      <c r="P505" s="51">
        <f t="shared" si="95"/>
        <v>0</v>
      </c>
      <c r="Q505" s="51">
        <f t="shared" si="95"/>
        <v>0</v>
      </c>
      <c r="R505" s="51">
        <f t="shared" si="95"/>
        <v>0</v>
      </c>
      <c r="S505" s="51">
        <f t="shared" si="95"/>
        <v>0</v>
      </c>
      <c r="T505" s="51">
        <f t="shared" si="95"/>
        <v>0</v>
      </c>
      <c r="U505" s="51">
        <f t="shared" si="95"/>
        <v>0</v>
      </c>
      <c r="V505" s="51">
        <f t="shared" si="95"/>
        <v>0</v>
      </c>
      <c r="W505" s="7"/>
      <c r="X505" s="7"/>
      <c r="Y505" s="7"/>
      <c r="Z505" s="7"/>
    </row>
    <row r="506" ht="14.25" customHeight="1">
      <c r="A506" s="7"/>
      <c r="C506" s="26"/>
      <c r="D506" s="27"/>
      <c r="E506" s="27"/>
      <c r="F506" s="27"/>
      <c r="G506" s="27"/>
      <c r="H506" s="28"/>
      <c r="I506" s="45" t="s">
        <v>501</v>
      </c>
      <c r="J506" s="51">
        <f t="shared" ref="J506:V506" si="96">J467+J500</f>
        <v>0</v>
      </c>
      <c r="K506" s="51">
        <f t="shared" si="96"/>
        <v>0</v>
      </c>
      <c r="L506" s="51">
        <f t="shared" si="96"/>
        <v>0</v>
      </c>
      <c r="M506" s="51">
        <f t="shared" si="96"/>
        <v>0</v>
      </c>
      <c r="N506" s="51">
        <f t="shared" si="96"/>
        <v>0</v>
      </c>
      <c r="O506" s="51">
        <f t="shared" si="96"/>
        <v>0</v>
      </c>
      <c r="P506" s="51">
        <f t="shared" si="96"/>
        <v>0</v>
      </c>
      <c r="Q506" s="51">
        <f t="shared" si="96"/>
        <v>0</v>
      </c>
      <c r="R506" s="51">
        <f t="shared" si="96"/>
        <v>0</v>
      </c>
      <c r="S506" s="51">
        <f t="shared" si="96"/>
        <v>0</v>
      </c>
      <c r="T506" s="51">
        <f t="shared" si="96"/>
        <v>0</v>
      </c>
      <c r="U506" s="51">
        <f t="shared" si="96"/>
        <v>0</v>
      </c>
      <c r="V506" s="51">
        <f t="shared" si="96"/>
        <v>0</v>
      </c>
      <c r="W506" s="7"/>
      <c r="X506" s="7"/>
      <c r="Y506" s="7"/>
      <c r="Z506" s="7"/>
    </row>
    <row r="507" ht="14.25" customHeight="1">
      <c r="A507" s="7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7"/>
      <c r="X507" s="7"/>
      <c r="Y507" s="7"/>
      <c r="Z507" s="7"/>
    </row>
    <row r="508" ht="14.25" customHeight="1">
      <c r="A508" s="14">
        <v>4.0</v>
      </c>
      <c r="B508" s="15"/>
      <c r="C508" s="14" t="s">
        <v>527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7"/>
      <c r="X508" s="7"/>
      <c r="Y508" s="7"/>
      <c r="Z508" s="7"/>
    </row>
    <row r="509" ht="14.25" customHeight="1">
      <c r="A509" s="7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7"/>
      <c r="X509" s="7"/>
      <c r="Y509" s="7"/>
      <c r="Z509" s="7"/>
    </row>
    <row r="510" ht="14.25" customHeight="1">
      <c r="A510" s="7"/>
      <c r="C510" s="16" t="s">
        <v>228</v>
      </c>
      <c r="D510" s="17" t="s">
        <v>229</v>
      </c>
      <c r="E510" s="18"/>
      <c r="F510" s="18"/>
      <c r="G510" s="18"/>
      <c r="H510" s="19"/>
      <c r="I510" s="20" t="s">
        <v>230</v>
      </c>
      <c r="J510" s="21">
        <f>$H$2</f>
        <v>2026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9"/>
      <c r="W510" s="7"/>
      <c r="X510" s="7"/>
      <c r="Y510" s="7"/>
      <c r="Z510" s="7"/>
    </row>
    <row r="511" ht="14.25" customHeight="1">
      <c r="A511" s="7"/>
      <c r="C511" s="22"/>
      <c r="D511" s="23"/>
      <c r="H511" s="24"/>
      <c r="I511" s="22"/>
      <c r="J511" s="23"/>
      <c r="V511" s="24"/>
      <c r="W511" s="7"/>
      <c r="X511" s="7"/>
      <c r="Y511" s="7"/>
      <c r="Z511" s="7"/>
    </row>
    <row r="512" ht="14.25" customHeight="1">
      <c r="A512" s="7"/>
      <c r="C512" s="25"/>
      <c r="D512" s="26"/>
      <c r="E512" s="27"/>
      <c r="F512" s="27"/>
      <c r="G512" s="27"/>
      <c r="H512" s="28"/>
      <c r="I512" s="25"/>
      <c r="J512" s="29" t="s">
        <v>231</v>
      </c>
      <c r="K512" s="29" t="s">
        <v>232</v>
      </c>
      <c r="L512" s="29" t="s">
        <v>233</v>
      </c>
      <c r="M512" s="29" t="s">
        <v>234</v>
      </c>
      <c r="N512" s="29" t="s">
        <v>235</v>
      </c>
      <c r="O512" s="29" t="s">
        <v>236</v>
      </c>
      <c r="P512" s="29" t="s">
        <v>237</v>
      </c>
      <c r="Q512" s="29" t="s">
        <v>238</v>
      </c>
      <c r="R512" s="29" t="s">
        <v>239</v>
      </c>
      <c r="S512" s="29" t="s">
        <v>240</v>
      </c>
      <c r="T512" s="29" t="s">
        <v>241</v>
      </c>
      <c r="U512" s="29" t="s">
        <v>242</v>
      </c>
      <c r="V512" s="29" t="s">
        <v>243</v>
      </c>
      <c r="W512" s="7"/>
      <c r="X512" s="7"/>
      <c r="Y512" s="7"/>
      <c r="Z512" s="7"/>
    </row>
    <row r="513" ht="14.25" customHeight="1">
      <c r="A513" s="7"/>
      <c r="C513" s="29">
        <v>1.0</v>
      </c>
      <c r="D513" s="30">
        <v>2.0</v>
      </c>
      <c r="E513" s="31"/>
      <c r="F513" s="31"/>
      <c r="G513" s="31"/>
      <c r="H513" s="32"/>
      <c r="I513" s="33">
        <v>3.0</v>
      </c>
      <c r="J513" s="34">
        <v>4.0</v>
      </c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6"/>
      <c r="V513" s="37">
        <v>5.0</v>
      </c>
      <c r="W513" s="7"/>
      <c r="X513" s="7"/>
      <c r="Y513" s="7"/>
      <c r="Z513" s="7"/>
    </row>
    <row r="514" ht="14.25" customHeight="1">
      <c r="A514" s="7"/>
      <c r="C514" s="38"/>
      <c r="D514" s="46"/>
      <c r="E514" s="105"/>
      <c r="F514" s="105"/>
      <c r="G514" s="105"/>
      <c r="H514" s="106"/>
      <c r="I514" s="46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7"/>
      <c r="X514" s="7"/>
      <c r="Y514" s="7"/>
      <c r="Z514" s="7"/>
    </row>
    <row r="515" ht="14.25" customHeight="1">
      <c r="A515" s="7"/>
      <c r="C515" s="66">
        <v>1.0</v>
      </c>
      <c r="D515" s="45" t="s">
        <v>376</v>
      </c>
      <c r="E515" s="31"/>
      <c r="F515" s="31"/>
      <c r="G515" s="31"/>
      <c r="H515" s="32"/>
      <c r="I515" s="42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7"/>
      <c r="X515" s="7"/>
      <c r="Y515" s="7"/>
      <c r="Z515" s="7"/>
    </row>
    <row r="516" ht="14.25" customHeight="1">
      <c r="A516" s="7"/>
      <c r="C516" s="44"/>
      <c r="D516" s="44">
        <v>1.0</v>
      </c>
      <c r="E516" s="45" t="s">
        <v>377</v>
      </c>
      <c r="F516" s="31"/>
      <c r="G516" s="31"/>
      <c r="H516" s="32"/>
      <c r="I516" s="42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7"/>
      <c r="X516" s="7"/>
      <c r="Y516" s="7"/>
      <c r="Z516" s="7"/>
    </row>
    <row r="517" ht="14.25" customHeight="1">
      <c r="A517" s="7"/>
      <c r="B517" s="7" t="s">
        <v>528</v>
      </c>
      <c r="C517" s="44"/>
      <c r="D517" s="44"/>
      <c r="E517" s="44">
        <v>1.0</v>
      </c>
      <c r="F517" s="45" t="s">
        <v>248</v>
      </c>
      <c r="G517" s="31"/>
      <c r="H517" s="32"/>
      <c r="I517" s="45" t="s">
        <v>489</v>
      </c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51">
        <f t="shared" ref="V517:V527" si="97">SUM(J517:U517)</f>
        <v>0</v>
      </c>
      <c r="W517" s="7"/>
      <c r="X517" s="7"/>
      <c r="Y517" s="7"/>
      <c r="Z517" s="7"/>
    </row>
    <row r="518" ht="14.25" customHeight="1">
      <c r="A518" s="7"/>
      <c r="B518" s="7" t="s">
        <v>528</v>
      </c>
      <c r="C518" s="44"/>
      <c r="D518" s="44"/>
      <c r="E518" s="44"/>
      <c r="F518" s="45"/>
      <c r="G518" s="31"/>
      <c r="H518" s="32"/>
      <c r="I518" s="45" t="s">
        <v>490</v>
      </c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51">
        <f t="shared" si="97"/>
        <v>0</v>
      </c>
      <c r="W518" s="7"/>
      <c r="X518" s="7"/>
      <c r="Y518" s="7"/>
      <c r="Z518" s="7"/>
    </row>
    <row r="519" ht="14.25" customHeight="1">
      <c r="A519" s="7"/>
      <c r="B519" s="7" t="s">
        <v>529</v>
      </c>
      <c r="C519" s="44"/>
      <c r="D519" s="44"/>
      <c r="E519" s="44">
        <v>2.0</v>
      </c>
      <c r="F519" s="45" t="s">
        <v>492</v>
      </c>
      <c r="G519" s="31"/>
      <c r="H519" s="32"/>
      <c r="I519" s="45" t="s">
        <v>489</v>
      </c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51">
        <f t="shared" si="97"/>
        <v>0</v>
      </c>
      <c r="W519" s="7"/>
      <c r="X519" s="7"/>
      <c r="Y519" s="7"/>
      <c r="Z519" s="7"/>
    </row>
    <row r="520" ht="14.25" customHeight="1">
      <c r="A520" s="7"/>
      <c r="B520" s="7" t="s">
        <v>530</v>
      </c>
      <c r="C520" s="44"/>
      <c r="D520" s="44"/>
      <c r="E520" s="44">
        <v>3.0</v>
      </c>
      <c r="F520" s="45" t="s">
        <v>494</v>
      </c>
      <c r="G520" s="31"/>
      <c r="H520" s="32"/>
      <c r="I520" s="45" t="s">
        <v>489</v>
      </c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51">
        <f t="shared" si="97"/>
        <v>0</v>
      </c>
      <c r="W520" s="7"/>
      <c r="X520" s="7"/>
      <c r="Y520" s="7"/>
      <c r="Z520" s="7"/>
    </row>
    <row r="521" ht="14.25" customHeight="1">
      <c r="A521" s="7"/>
      <c r="B521" s="7" t="s">
        <v>531</v>
      </c>
      <c r="C521" s="44"/>
      <c r="D521" s="44"/>
      <c r="E521" s="44">
        <v>4.0</v>
      </c>
      <c r="F521" s="45" t="s">
        <v>258</v>
      </c>
      <c r="G521" s="31"/>
      <c r="H521" s="32"/>
      <c r="I521" s="45" t="s">
        <v>489</v>
      </c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51">
        <f t="shared" si="97"/>
        <v>0</v>
      </c>
      <c r="W521" s="7"/>
      <c r="X521" s="7"/>
      <c r="Y521" s="7"/>
      <c r="Z521" s="7"/>
    </row>
    <row r="522" ht="14.25" customHeight="1">
      <c r="A522" s="7"/>
      <c r="B522" s="7" t="s">
        <v>532</v>
      </c>
      <c r="C522" s="44"/>
      <c r="D522" s="44"/>
      <c r="E522" s="44">
        <v>5.0</v>
      </c>
      <c r="F522" s="45" t="s">
        <v>254</v>
      </c>
      <c r="G522" s="31"/>
      <c r="H522" s="32"/>
      <c r="I522" s="45" t="s">
        <v>489</v>
      </c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51">
        <f t="shared" si="97"/>
        <v>0</v>
      </c>
      <c r="W522" s="7"/>
      <c r="X522" s="7"/>
      <c r="Y522" s="7"/>
      <c r="Z522" s="7"/>
    </row>
    <row r="523" ht="14.25" customHeight="1">
      <c r="A523" s="7"/>
      <c r="B523" s="7" t="s">
        <v>532</v>
      </c>
      <c r="C523" s="44"/>
      <c r="D523" s="44"/>
      <c r="E523" s="44"/>
      <c r="F523" s="45"/>
      <c r="G523" s="80"/>
      <c r="H523" s="81"/>
      <c r="I523" s="45" t="s">
        <v>497</v>
      </c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51">
        <f t="shared" si="97"/>
        <v>0</v>
      </c>
      <c r="W523" s="7"/>
      <c r="X523" s="7"/>
      <c r="Y523" s="7"/>
      <c r="Z523" s="7"/>
    </row>
    <row r="524" ht="14.25" customHeight="1">
      <c r="A524" s="7"/>
      <c r="B524" s="7" t="s">
        <v>533</v>
      </c>
      <c r="C524" s="44"/>
      <c r="D524" s="44"/>
      <c r="E524" s="44">
        <v>6.0</v>
      </c>
      <c r="F524" s="45" t="s">
        <v>499</v>
      </c>
      <c r="G524" s="31"/>
      <c r="H524" s="32"/>
      <c r="I524" s="45" t="s">
        <v>489</v>
      </c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51">
        <f t="shared" si="97"/>
        <v>0</v>
      </c>
      <c r="W524" s="7"/>
      <c r="X524" s="7"/>
      <c r="Y524" s="7"/>
      <c r="Z524" s="7"/>
    </row>
    <row r="525" ht="14.25" customHeight="1">
      <c r="A525" s="7"/>
      <c r="B525" s="7" t="s">
        <v>533</v>
      </c>
      <c r="C525" s="44"/>
      <c r="D525" s="44"/>
      <c r="E525" s="44"/>
      <c r="F525" s="45"/>
      <c r="G525" s="31"/>
      <c r="H525" s="32"/>
      <c r="I525" s="45" t="s">
        <v>398</v>
      </c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51">
        <f t="shared" si="97"/>
        <v>0</v>
      </c>
      <c r="W525" s="7"/>
      <c r="X525" s="7"/>
      <c r="Y525" s="7"/>
      <c r="Z525" s="7"/>
    </row>
    <row r="526" ht="14.25" customHeight="1">
      <c r="A526" s="7"/>
      <c r="B526" s="7" t="s">
        <v>534</v>
      </c>
      <c r="C526" s="44"/>
      <c r="D526" s="44"/>
      <c r="E526" s="44">
        <v>7.0</v>
      </c>
      <c r="F526" s="45" t="s">
        <v>264</v>
      </c>
      <c r="G526" s="31"/>
      <c r="H526" s="32"/>
      <c r="I526" s="45" t="s">
        <v>489</v>
      </c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51">
        <f t="shared" si="97"/>
        <v>0</v>
      </c>
      <c r="W526" s="7"/>
      <c r="X526" s="7"/>
      <c r="Y526" s="7"/>
      <c r="Z526" s="7"/>
    </row>
    <row r="527" ht="14.25" customHeight="1">
      <c r="A527" s="7"/>
      <c r="B527" s="7" t="s">
        <v>534</v>
      </c>
      <c r="C527" s="44"/>
      <c r="D527" s="44"/>
      <c r="E527" s="44"/>
      <c r="F527" s="53"/>
      <c r="G527" s="31"/>
      <c r="H527" s="32"/>
      <c r="I527" s="45" t="s">
        <v>501</v>
      </c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51">
        <f t="shared" si="97"/>
        <v>0</v>
      </c>
      <c r="W527" s="7"/>
      <c r="X527" s="7"/>
      <c r="Y527" s="7"/>
      <c r="Z527" s="7"/>
    </row>
    <row r="528" ht="14.25" customHeight="1">
      <c r="A528" s="7"/>
      <c r="C528" s="44"/>
      <c r="D528" s="44"/>
      <c r="E528" s="98"/>
      <c r="F528" s="110"/>
      <c r="G528" s="110"/>
      <c r="H528" s="110"/>
      <c r="I528" s="111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7"/>
      <c r="X528" s="7"/>
      <c r="Y528" s="7"/>
      <c r="Z528" s="7"/>
    </row>
    <row r="529" ht="14.25" customHeight="1">
      <c r="A529" s="7"/>
      <c r="C529" s="44"/>
      <c r="D529" s="44">
        <v>2.0</v>
      </c>
      <c r="E529" s="45" t="s">
        <v>403</v>
      </c>
      <c r="F529" s="31"/>
      <c r="G529" s="31"/>
      <c r="H529" s="32"/>
      <c r="I529" s="42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7"/>
      <c r="X529" s="7"/>
      <c r="Y529" s="7"/>
      <c r="Z529" s="7"/>
    </row>
    <row r="530" ht="14.25" customHeight="1">
      <c r="A530" s="7"/>
      <c r="B530" s="7" t="s">
        <v>535</v>
      </c>
      <c r="C530" s="44"/>
      <c r="D530" s="44"/>
      <c r="E530" s="44">
        <v>1.0</v>
      </c>
      <c r="F530" s="45" t="s">
        <v>248</v>
      </c>
      <c r="G530" s="31"/>
      <c r="H530" s="32"/>
      <c r="I530" s="45" t="s">
        <v>489</v>
      </c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51">
        <f t="shared" ref="V530:V540" si="98">SUM(J530:U530)</f>
        <v>0</v>
      </c>
      <c r="W530" s="7"/>
      <c r="X530" s="7"/>
      <c r="Y530" s="7"/>
      <c r="Z530" s="7"/>
    </row>
    <row r="531" ht="14.25" customHeight="1">
      <c r="A531" s="7"/>
      <c r="B531" s="7" t="s">
        <v>535</v>
      </c>
      <c r="C531" s="44"/>
      <c r="D531" s="44"/>
      <c r="E531" s="44"/>
      <c r="F531" s="45"/>
      <c r="G531" s="31"/>
      <c r="H531" s="32"/>
      <c r="I531" s="45" t="s">
        <v>490</v>
      </c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51">
        <f t="shared" si="98"/>
        <v>0</v>
      </c>
      <c r="W531" s="7"/>
      <c r="X531" s="7"/>
      <c r="Y531" s="7"/>
      <c r="Z531" s="7"/>
    </row>
    <row r="532" ht="14.25" customHeight="1">
      <c r="A532" s="7"/>
      <c r="B532" s="7" t="s">
        <v>536</v>
      </c>
      <c r="C532" s="44"/>
      <c r="D532" s="44"/>
      <c r="E532" s="44">
        <v>2.0</v>
      </c>
      <c r="F532" s="45" t="s">
        <v>492</v>
      </c>
      <c r="G532" s="31"/>
      <c r="H532" s="32"/>
      <c r="I532" s="45" t="s">
        <v>489</v>
      </c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51">
        <f t="shared" si="98"/>
        <v>0</v>
      </c>
      <c r="W532" s="7"/>
      <c r="X532" s="7"/>
      <c r="Y532" s="7"/>
      <c r="Z532" s="7"/>
    </row>
    <row r="533" ht="14.25" customHeight="1">
      <c r="A533" s="7"/>
      <c r="B533" s="7" t="s">
        <v>537</v>
      </c>
      <c r="C533" s="44"/>
      <c r="D533" s="44"/>
      <c r="E533" s="44">
        <v>3.0</v>
      </c>
      <c r="F533" s="45" t="s">
        <v>494</v>
      </c>
      <c r="G533" s="31"/>
      <c r="H533" s="32"/>
      <c r="I533" s="45" t="s">
        <v>489</v>
      </c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51">
        <f t="shared" si="98"/>
        <v>0</v>
      </c>
      <c r="W533" s="7"/>
      <c r="X533" s="7"/>
      <c r="Y533" s="7"/>
      <c r="Z533" s="7"/>
    </row>
    <row r="534" ht="14.25" customHeight="1">
      <c r="A534" s="7"/>
      <c r="B534" s="7" t="s">
        <v>538</v>
      </c>
      <c r="C534" s="44"/>
      <c r="D534" s="44"/>
      <c r="E534" s="44">
        <v>4.0</v>
      </c>
      <c r="F534" s="45" t="s">
        <v>258</v>
      </c>
      <c r="G534" s="31"/>
      <c r="H534" s="32"/>
      <c r="I534" s="45" t="s">
        <v>489</v>
      </c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51">
        <f t="shared" si="98"/>
        <v>0</v>
      </c>
      <c r="W534" s="7"/>
      <c r="X534" s="7"/>
      <c r="Y534" s="7"/>
      <c r="Z534" s="7"/>
    </row>
    <row r="535" ht="14.25" customHeight="1">
      <c r="A535" s="7"/>
      <c r="B535" s="7" t="s">
        <v>539</v>
      </c>
      <c r="C535" s="44"/>
      <c r="D535" s="44"/>
      <c r="E535" s="44">
        <v>5.0</v>
      </c>
      <c r="F535" s="45" t="s">
        <v>254</v>
      </c>
      <c r="G535" s="31"/>
      <c r="H535" s="32"/>
      <c r="I535" s="45" t="s">
        <v>489</v>
      </c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51">
        <f t="shared" si="98"/>
        <v>0</v>
      </c>
      <c r="W535" s="7"/>
      <c r="X535" s="7"/>
      <c r="Y535" s="7"/>
      <c r="Z535" s="7"/>
    </row>
    <row r="536" ht="14.25" customHeight="1">
      <c r="A536" s="7"/>
      <c r="B536" s="7" t="s">
        <v>539</v>
      </c>
      <c r="C536" s="44"/>
      <c r="D536" s="44"/>
      <c r="E536" s="44"/>
      <c r="F536" s="45"/>
      <c r="G536" s="80"/>
      <c r="H536" s="81"/>
      <c r="I536" s="45" t="s">
        <v>497</v>
      </c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51">
        <f t="shared" si="98"/>
        <v>0</v>
      </c>
      <c r="W536" s="7"/>
      <c r="X536" s="7"/>
      <c r="Y536" s="7"/>
      <c r="Z536" s="7"/>
    </row>
    <row r="537" ht="14.25" customHeight="1">
      <c r="A537" s="7"/>
      <c r="B537" s="7" t="s">
        <v>540</v>
      </c>
      <c r="C537" s="44"/>
      <c r="D537" s="44"/>
      <c r="E537" s="44">
        <v>6.0</v>
      </c>
      <c r="F537" s="45" t="s">
        <v>499</v>
      </c>
      <c r="G537" s="31"/>
      <c r="H537" s="32"/>
      <c r="I537" s="45" t="s">
        <v>489</v>
      </c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51">
        <f t="shared" si="98"/>
        <v>0</v>
      </c>
      <c r="W537" s="7"/>
      <c r="X537" s="7"/>
      <c r="Y537" s="7"/>
      <c r="Z537" s="7"/>
    </row>
    <row r="538" ht="14.25" customHeight="1">
      <c r="A538" s="7"/>
      <c r="B538" s="7" t="s">
        <v>540</v>
      </c>
      <c r="C538" s="44"/>
      <c r="D538" s="44"/>
      <c r="E538" s="44"/>
      <c r="F538" s="45"/>
      <c r="G538" s="31"/>
      <c r="H538" s="32"/>
      <c r="I538" s="45" t="s">
        <v>398</v>
      </c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51">
        <f t="shared" si="98"/>
        <v>0</v>
      </c>
      <c r="W538" s="7"/>
      <c r="X538" s="7"/>
      <c r="Y538" s="7"/>
      <c r="Z538" s="7"/>
    </row>
    <row r="539" ht="14.25" customHeight="1">
      <c r="A539" s="7"/>
      <c r="B539" s="7" t="s">
        <v>541</v>
      </c>
      <c r="C539" s="44"/>
      <c r="D539" s="44"/>
      <c r="E539" s="44">
        <v>7.0</v>
      </c>
      <c r="F539" s="45" t="s">
        <v>264</v>
      </c>
      <c r="G539" s="31"/>
      <c r="H539" s="32"/>
      <c r="I539" s="45" t="s">
        <v>489</v>
      </c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51">
        <f t="shared" si="98"/>
        <v>0</v>
      </c>
      <c r="W539" s="7"/>
      <c r="X539" s="7"/>
      <c r="Y539" s="7"/>
      <c r="Z539" s="7"/>
    </row>
    <row r="540" ht="14.25" customHeight="1">
      <c r="A540" s="7"/>
      <c r="B540" s="7" t="s">
        <v>541</v>
      </c>
      <c r="C540" s="44"/>
      <c r="D540" s="44"/>
      <c r="E540" s="44"/>
      <c r="F540" s="45"/>
      <c r="G540" s="31"/>
      <c r="H540" s="32"/>
      <c r="I540" s="45" t="s">
        <v>501</v>
      </c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51">
        <f t="shared" si="98"/>
        <v>0</v>
      </c>
      <c r="W540" s="7"/>
      <c r="X540" s="7"/>
      <c r="Y540" s="7"/>
      <c r="Z540" s="7"/>
    </row>
    <row r="541" ht="14.25" customHeight="1">
      <c r="A541" s="7"/>
      <c r="C541" s="44"/>
      <c r="D541" s="44"/>
      <c r="E541" s="87"/>
      <c r="F541" s="40"/>
      <c r="G541" s="40"/>
      <c r="H541" s="40"/>
      <c r="I541" s="40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7"/>
      <c r="X541" s="7"/>
      <c r="Y541" s="7"/>
      <c r="Z541" s="7"/>
    </row>
    <row r="542" ht="14.25" customHeight="1">
      <c r="A542" s="7"/>
      <c r="C542" s="44"/>
      <c r="D542" s="90" t="s">
        <v>510</v>
      </c>
      <c r="E542" s="18"/>
      <c r="F542" s="18"/>
      <c r="G542" s="18"/>
      <c r="H542" s="19"/>
      <c r="I542" s="45" t="s">
        <v>489</v>
      </c>
      <c r="J542" s="51">
        <f t="shared" ref="J542:V542" si="99">(SUMIF($I$517:$V$527,$I542,J$517:J$527))+(SUMIF($I$530:$V$540,$I542,J$530:J$540))</f>
        <v>0</v>
      </c>
      <c r="K542" s="51">
        <f t="shared" si="99"/>
        <v>0</v>
      </c>
      <c r="L542" s="51">
        <f t="shared" si="99"/>
        <v>0</v>
      </c>
      <c r="M542" s="51">
        <f t="shared" si="99"/>
        <v>0</v>
      </c>
      <c r="N542" s="51">
        <f t="shared" si="99"/>
        <v>0</v>
      </c>
      <c r="O542" s="51">
        <f t="shared" si="99"/>
        <v>0</v>
      </c>
      <c r="P542" s="51">
        <f t="shared" si="99"/>
        <v>0</v>
      </c>
      <c r="Q542" s="51">
        <f t="shared" si="99"/>
        <v>0</v>
      </c>
      <c r="R542" s="51">
        <f t="shared" si="99"/>
        <v>0</v>
      </c>
      <c r="S542" s="51">
        <f t="shared" si="99"/>
        <v>0</v>
      </c>
      <c r="T542" s="51">
        <f t="shared" si="99"/>
        <v>0</v>
      </c>
      <c r="U542" s="51">
        <f t="shared" si="99"/>
        <v>0</v>
      </c>
      <c r="V542" s="51">
        <f t="shared" si="99"/>
        <v>0</v>
      </c>
      <c r="W542" s="7"/>
      <c r="X542" s="7"/>
      <c r="Y542" s="7"/>
      <c r="Z542" s="7"/>
    </row>
    <row r="543" ht="14.25" customHeight="1">
      <c r="A543" s="7"/>
      <c r="C543" s="44"/>
      <c r="D543" s="23"/>
      <c r="H543" s="24"/>
      <c r="I543" s="45" t="s">
        <v>490</v>
      </c>
      <c r="J543" s="51">
        <f t="shared" ref="J543:V543" si="100">(SUMIF($I$517:$V$527,$I543,J$517:J$527))+(SUMIF($I$530:$V$540,$I543,J$530:J$540))</f>
        <v>0</v>
      </c>
      <c r="K543" s="51">
        <f t="shared" si="100"/>
        <v>0</v>
      </c>
      <c r="L543" s="51">
        <f t="shared" si="100"/>
        <v>0</v>
      </c>
      <c r="M543" s="51">
        <f t="shared" si="100"/>
        <v>0</v>
      </c>
      <c r="N543" s="51">
        <f t="shared" si="100"/>
        <v>0</v>
      </c>
      <c r="O543" s="51">
        <f t="shared" si="100"/>
        <v>0</v>
      </c>
      <c r="P543" s="51">
        <f t="shared" si="100"/>
        <v>0</v>
      </c>
      <c r="Q543" s="51">
        <f t="shared" si="100"/>
        <v>0</v>
      </c>
      <c r="R543" s="51">
        <f t="shared" si="100"/>
        <v>0</v>
      </c>
      <c r="S543" s="51">
        <f t="shared" si="100"/>
        <v>0</v>
      </c>
      <c r="T543" s="51">
        <f t="shared" si="100"/>
        <v>0</v>
      </c>
      <c r="U543" s="51">
        <f t="shared" si="100"/>
        <v>0</v>
      </c>
      <c r="V543" s="51">
        <f t="shared" si="100"/>
        <v>0</v>
      </c>
      <c r="W543" s="7"/>
      <c r="X543" s="7"/>
      <c r="Y543" s="7"/>
      <c r="Z543" s="7"/>
    </row>
    <row r="544" ht="14.25" customHeight="1">
      <c r="A544" s="7"/>
      <c r="C544" s="44"/>
      <c r="D544" s="23"/>
      <c r="H544" s="24"/>
      <c r="I544" s="45" t="s">
        <v>497</v>
      </c>
      <c r="J544" s="51">
        <f t="shared" ref="J544:V544" si="101">(SUMIF($I$517:$V$527,$I544,J$517:J$527))+(SUMIF($I$530:$V$540,$I544,J$530:J$540))</f>
        <v>0</v>
      </c>
      <c r="K544" s="51">
        <f t="shared" si="101"/>
        <v>0</v>
      </c>
      <c r="L544" s="51">
        <f t="shared" si="101"/>
        <v>0</v>
      </c>
      <c r="M544" s="51">
        <f t="shared" si="101"/>
        <v>0</v>
      </c>
      <c r="N544" s="51">
        <f t="shared" si="101"/>
        <v>0</v>
      </c>
      <c r="O544" s="51">
        <f t="shared" si="101"/>
        <v>0</v>
      </c>
      <c r="P544" s="51">
        <f t="shared" si="101"/>
        <v>0</v>
      </c>
      <c r="Q544" s="51">
        <f t="shared" si="101"/>
        <v>0</v>
      </c>
      <c r="R544" s="51">
        <f t="shared" si="101"/>
        <v>0</v>
      </c>
      <c r="S544" s="51">
        <f t="shared" si="101"/>
        <v>0</v>
      </c>
      <c r="T544" s="51">
        <f t="shared" si="101"/>
        <v>0</v>
      </c>
      <c r="U544" s="51">
        <f t="shared" si="101"/>
        <v>0</v>
      </c>
      <c r="V544" s="51">
        <f t="shared" si="101"/>
        <v>0</v>
      </c>
      <c r="W544" s="7"/>
      <c r="X544" s="7"/>
      <c r="Y544" s="7"/>
      <c r="Z544" s="7"/>
    </row>
    <row r="545" ht="14.25" customHeight="1">
      <c r="A545" s="7"/>
      <c r="C545" s="44"/>
      <c r="D545" s="23"/>
      <c r="H545" s="24"/>
      <c r="I545" s="45" t="s">
        <v>398</v>
      </c>
      <c r="J545" s="51">
        <f t="shared" ref="J545:V545" si="102">(SUMIF($I$517:$V$527,$I545,J$517:J$527))+(SUMIF($I$530:$V$540,$I545,J$530:J$540))</f>
        <v>0</v>
      </c>
      <c r="K545" s="51">
        <f t="shared" si="102"/>
        <v>0</v>
      </c>
      <c r="L545" s="51">
        <f t="shared" si="102"/>
        <v>0</v>
      </c>
      <c r="M545" s="51">
        <f t="shared" si="102"/>
        <v>0</v>
      </c>
      <c r="N545" s="51">
        <f t="shared" si="102"/>
        <v>0</v>
      </c>
      <c r="O545" s="51">
        <f t="shared" si="102"/>
        <v>0</v>
      </c>
      <c r="P545" s="51">
        <f t="shared" si="102"/>
        <v>0</v>
      </c>
      <c r="Q545" s="51">
        <f t="shared" si="102"/>
        <v>0</v>
      </c>
      <c r="R545" s="51">
        <f t="shared" si="102"/>
        <v>0</v>
      </c>
      <c r="S545" s="51">
        <f t="shared" si="102"/>
        <v>0</v>
      </c>
      <c r="T545" s="51">
        <f t="shared" si="102"/>
        <v>0</v>
      </c>
      <c r="U545" s="51">
        <f t="shared" si="102"/>
        <v>0</v>
      </c>
      <c r="V545" s="51">
        <f t="shared" si="102"/>
        <v>0</v>
      </c>
      <c r="W545" s="7"/>
      <c r="X545" s="7"/>
      <c r="Y545" s="7"/>
      <c r="Z545" s="7"/>
    </row>
    <row r="546" ht="14.25" customHeight="1">
      <c r="A546" s="7"/>
      <c r="C546" s="44"/>
      <c r="D546" s="26"/>
      <c r="E546" s="27"/>
      <c r="F546" s="27"/>
      <c r="G546" s="27"/>
      <c r="H546" s="28"/>
      <c r="I546" s="45" t="s">
        <v>501</v>
      </c>
      <c r="J546" s="51">
        <f t="shared" ref="J546:V546" si="103">(SUMIF($I$517:$V$527,$I546,J$517:J$527))+(SUMIF($I$530:$V$540,$I546,J$530:J$540))</f>
        <v>0</v>
      </c>
      <c r="K546" s="51">
        <f t="shared" si="103"/>
        <v>0</v>
      </c>
      <c r="L546" s="51">
        <f t="shared" si="103"/>
        <v>0</v>
      </c>
      <c r="M546" s="51">
        <f t="shared" si="103"/>
        <v>0</v>
      </c>
      <c r="N546" s="51">
        <f t="shared" si="103"/>
        <v>0</v>
      </c>
      <c r="O546" s="51">
        <f t="shared" si="103"/>
        <v>0</v>
      </c>
      <c r="P546" s="51">
        <f t="shared" si="103"/>
        <v>0</v>
      </c>
      <c r="Q546" s="51">
        <f t="shared" si="103"/>
        <v>0</v>
      </c>
      <c r="R546" s="51">
        <f t="shared" si="103"/>
        <v>0</v>
      </c>
      <c r="S546" s="51">
        <f t="shared" si="103"/>
        <v>0</v>
      </c>
      <c r="T546" s="51">
        <f t="shared" si="103"/>
        <v>0</v>
      </c>
      <c r="U546" s="51">
        <f t="shared" si="103"/>
        <v>0</v>
      </c>
      <c r="V546" s="51">
        <f t="shared" si="103"/>
        <v>0</v>
      </c>
      <c r="W546" s="7"/>
      <c r="X546" s="7"/>
      <c r="Y546" s="7"/>
      <c r="Z546" s="7"/>
    </row>
    <row r="547" ht="14.25" customHeight="1">
      <c r="A547" s="7"/>
      <c r="C547" s="44"/>
      <c r="D547" s="46"/>
      <c r="E547" s="105"/>
      <c r="F547" s="105"/>
      <c r="G547" s="105"/>
      <c r="H547" s="106"/>
      <c r="I547" s="46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7"/>
      <c r="X547" s="7"/>
      <c r="Y547" s="7"/>
      <c r="Z547" s="7"/>
    </row>
    <row r="548" ht="14.25" customHeight="1">
      <c r="A548" s="7"/>
      <c r="C548" s="66">
        <v>2.0</v>
      </c>
      <c r="D548" s="45" t="s">
        <v>437</v>
      </c>
      <c r="E548" s="31"/>
      <c r="F548" s="31"/>
      <c r="G548" s="31"/>
      <c r="H548" s="32"/>
      <c r="I548" s="42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7"/>
      <c r="X548" s="7"/>
      <c r="Y548" s="7"/>
      <c r="Z548" s="7"/>
    </row>
    <row r="549" ht="14.25" customHeight="1">
      <c r="A549" s="7"/>
      <c r="C549" s="44"/>
      <c r="D549" s="44">
        <v>1.0</v>
      </c>
      <c r="E549" s="45" t="s">
        <v>438</v>
      </c>
      <c r="F549" s="31"/>
      <c r="G549" s="31"/>
      <c r="H549" s="32"/>
      <c r="I549" s="42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7"/>
      <c r="X549" s="7"/>
      <c r="Y549" s="7"/>
      <c r="Z549" s="7"/>
    </row>
    <row r="550" ht="14.25" customHeight="1">
      <c r="A550" s="7"/>
      <c r="B550" s="7" t="s">
        <v>542</v>
      </c>
      <c r="C550" s="44"/>
      <c r="D550" s="44"/>
      <c r="E550" s="44">
        <v>1.0</v>
      </c>
      <c r="F550" s="45" t="s">
        <v>248</v>
      </c>
      <c r="G550" s="31"/>
      <c r="H550" s="32"/>
      <c r="I550" s="45" t="s">
        <v>489</v>
      </c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51">
        <f t="shared" ref="V550:V560" si="104">SUM(J550:U550)</f>
        <v>0</v>
      </c>
      <c r="W550" s="7"/>
      <c r="X550" s="7"/>
      <c r="Y550" s="7"/>
      <c r="Z550" s="7"/>
    </row>
    <row r="551" ht="14.25" customHeight="1">
      <c r="A551" s="7"/>
      <c r="B551" s="7" t="s">
        <v>542</v>
      </c>
      <c r="C551" s="44"/>
      <c r="D551" s="44"/>
      <c r="E551" s="44"/>
      <c r="F551" s="45"/>
      <c r="G551" s="31"/>
      <c r="H551" s="32"/>
      <c r="I551" s="45" t="s">
        <v>490</v>
      </c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51">
        <f t="shared" si="104"/>
        <v>0</v>
      </c>
      <c r="W551" s="7"/>
      <c r="X551" s="7"/>
      <c r="Y551" s="7"/>
      <c r="Z551" s="7"/>
    </row>
    <row r="552" ht="14.25" customHeight="1">
      <c r="A552" s="7"/>
      <c r="B552" s="7" t="s">
        <v>543</v>
      </c>
      <c r="C552" s="44"/>
      <c r="D552" s="44"/>
      <c r="E552" s="44">
        <v>2.0</v>
      </c>
      <c r="F552" s="45" t="s">
        <v>492</v>
      </c>
      <c r="G552" s="31"/>
      <c r="H552" s="32"/>
      <c r="I552" s="45" t="s">
        <v>489</v>
      </c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51">
        <f t="shared" si="104"/>
        <v>0</v>
      </c>
      <c r="W552" s="7"/>
      <c r="X552" s="7"/>
      <c r="Y552" s="7"/>
      <c r="Z552" s="7"/>
    </row>
    <row r="553" ht="14.25" customHeight="1">
      <c r="A553" s="7"/>
      <c r="B553" s="7" t="s">
        <v>544</v>
      </c>
      <c r="C553" s="44"/>
      <c r="D553" s="44"/>
      <c r="E553" s="44">
        <v>3.0</v>
      </c>
      <c r="F553" s="45" t="s">
        <v>494</v>
      </c>
      <c r="G553" s="31"/>
      <c r="H553" s="32"/>
      <c r="I553" s="45" t="s">
        <v>489</v>
      </c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51">
        <f t="shared" si="104"/>
        <v>0</v>
      </c>
      <c r="W553" s="7"/>
      <c r="X553" s="7"/>
      <c r="Y553" s="7"/>
      <c r="Z553" s="7"/>
    </row>
    <row r="554" ht="14.25" customHeight="1">
      <c r="A554" s="7"/>
      <c r="B554" s="7" t="s">
        <v>545</v>
      </c>
      <c r="C554" s="44"/>
      <c r="D554" s="44"/>
      <c r="E554" s="44">
        <v>4.0</v>
      </c>
      <c r="F554" s="45" t="s">
        <v>258</v>
      </c>
      <c r="G554" s="31"/>
      <c r="H554" s="32"/>
      <c r="I554" s="45" t="s">
        <v>489</v>
      </c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51">
        <f t="shared" si="104"/>
        <v>0</v>
      </c>
      <c r="W554" s="7"/>
      <c r="X554" s="7"/>
      <c r="Y554" s="7"/>
      <c r="Z554" s="7"/>
    </row>
    <row r="555" ht="14.25" customHeight="1">
      <c r="A555" s="7"/>
      <c r="B555" s="7" t="s">
        <v>546</v>
      </c>
      <c r="C555" s="44"/>
      <c r="D555" s="44"/>
      <c r="E555" s="44">
        <v>5.0</v>
      </c>
      <c r="F555" s="45" t="s">
        <v>254</v>
      </c>
      <c r="G555" s="31"/>
      <c r="H555" s="32"/>
      <c r="I555" s="45" t="s">
        <v>489</v>
      </c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51">
        <f t="shared" si="104"/>
        <v>0</v>
      </c>
      <c r="W555" s="7"/>
      <c r="X555" s="7"/>
      <c r="Y555" s="7"/>
      <c r="Z555" s="7"/>
    </row>
    <row r="556" ht="14.25" customHeight="1">
      <c r="A556" s="7"/>
      <c r="B556" s="7" t="s">
        <v>546</v>
      </c>
      <c r="C556" s="44"/>
      <c r="D556" s="44"/>
      <c r="E556" s="44"/>
      <c r="F556" s="45"/>
      <c r="G556" s="80"/>
      <c r="H556" s="81"/>
      <c r="I556" s="45" t="s">
        <v>497</v>
      </c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51">
        <f t="shared" si="104"/>
        <v>0</v>
      </c>
      <c r="W556" s="7"/>
      <c r="X556" s="7"/>
      <c r="Y556" s="7"/>
      <c r="Z556" s="7"/>
    </row>
    <row r="557" ht="14.25" customHeight="1">
      <c r="A557" s="7"/>
      <c r="B557" s="7" t="s">
        <v>547</v>
      </c>
      <c r="C557" s="44"/>
      <c r="D557" s="44"/>
      <c r="E557" s="44">
        <v>6.0</v>
      </c>
      <c r="F557" s="45" t="s">
        <v>499</v>
      </c>
      <c r="G557" s="31"/>
      <c r="H557" s="32"/>
      <c r="I557" s="45" t="s">
        <v>489</v>
      </c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51">
        <f t="shared" si="104"/>
        <v>0</v>
      </c>
      <c r="W557" s="7"/>
      <c r="X557" s="7"/>
      <c r="Y557" s="7"/>
      <c r="Z557" s="7"/>
    </row>
    <row r="558" ht="14.25" customHeight="1">
      <c r="A558" s="7"/>
      <c r="B558" s="7" t="s">
        <v>547</v>
      </c>
      <c r="C558" s="44"/>
      <c r="D558" s="44"/>
      <c r="E558" s="44"/>
      <c r="F558" s="45"/>
      <c r="G558" s="31"/>
      <c r="H558" s="32"/>
      <c r="I558" s="45" t="s">
        <v>398</v>
      </c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51">
        <f t="shared" si="104"/>
        <v>0</v>
      </c>
      <c r="W558" s="7"/>
      <c r="X558" s="7"/>
      <c r="Y558" s="7"/>
      <c r="Z558" s="7"/>
    </row>
    <row r="559" ht="14.25" customHeight="1">
      <c r="A559" s="7"/>
      <c r="B559" s="7" t="s">
        <v>548</v>
      </c>
      <c r="C559" s="44"/>
      <c r="D559" s="44"/>
      <c r="E559" s="44">
        <v>7.0</v>
      </c>
      <c r="F559" s="45" t="s">
        <v>264</v>
      </c>
      <c r="G559" s="31"/>
      <c r="H559" s="32"/>
      <c r="I559" s="45" t="s">
        <v>489</v>
      </c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51">
        <f t="shared" si="104"/>
        <v>0</v>
      </c>
      <c r="W559" s="7"/>
      <c r="X559" s="7"/>
      <c r="Y559" s="7"/>
      <c r="Z559" s="7"/>
    </row>
    <row r="560" ht="14.25" customHeight="1">
      <c r="A560" s="7"/>
      <c r="B560" s="7" t="s">
        <v>548</v>
      </c>
      <c r="C560" s="44"/>
      <c r="D560" s="44"/>
      <c r="E560" s="44"/>
      <c r="F560" s="53"/>
      <c r="G560" s="31"/>
      <c r="H560" s="32"/>
      <c r="I560" s="45" t="s">
        <v>501</v>
      </c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51">
        <f t="shared" si="104"/>
        <v>0</v>
      </c>
      <c r="W560" s="7"/>
      <c r="X560" s="7"/>
      <c r="Y560" s="7"/>
      <c r="Z560" s="7"/>
    </row>
    <row r="561" ht="14.25" customHeight="1">
      <c r="A561" s="7"/>
      <c r="C561" s="44"/>
      <c r="D561" s="44"/>
      <c r="E561" s="87"/>
      <c r="F561" s="40"/>
      <c r="G561" s="40"/>
      <c r="H561" s="40"/>
      <c r="I561" s="40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7"/>
      <c r="X561" s="7"/>
      <c r="Y561" s="7"/>
      <c r="Z561" s="7"/>
    </row>
    <row r="562" ht="14.25" customHeight="1">
      <c r="A562" s="7"/>
      <c r="C562" s="44"/>
      <c r="D562" s="44">
        <v>2.0</v>
      </c>
      <c r="E562" s="45" t="s">
        <v>454</v>
      </c>
      <c r="F562" s="31"/>
      <c r="G562" s="31"/>
      <c r="H562" s="32"/>
      <c r="I562" s="42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7"/>
      <c r="X562" s="7"/>
      <c r="Y562" s="7"/>
      <c r="Z562" s="7"/>
    </row>
    <row r="563" ht="14.25" customHeight="1">
      <c r="A563" s="7"/>
      <c r="B563" s="7" t="s">
        <v>549</v>
      </c>
      <c r="C563" s="44"/>
      <c r="D563" s="44"/>
      <c r="E563" s="44">
        <v>1.0</v>
      </c>
      <c r="F563" s="45" t="s">
        <v>248</v>
      </c>
      <c r="G563" s="31"/>
      <c r="H563" s="32"/>
      <c r="I563" s="45" t="s">
        <v>489</v>
      </c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51">
        <f t="shared" ref="V563:V573" si="105">SUM(J563:U563)</f>
        <v>0</v>
      </c>
      <c r="W563" s="7"/>
      <c r="X563" s="7"/>
      <c r="Y563" s="7"/>
      <c r="Z563" s="7"/>
    </row>
    <row r="564" ht="14.25" customHeight="1">
      <c r="A564" s="7"/>
      <c r="B564" s="7" t="s">
        <v>549</v>
      </c>
      <c r="C564" s="44"/>
      <c r="D564" s="44"/>
      <c r="E564" s="44"/>
      <c r="F564" s="45"/>
      <c r="G564" s="31"/>
      <c r="H564" s="32"/>
      <c r="I564" s="45" t="s">
        <v>490</v>
      </c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51">
        <f t="shared" si="105"/>
        <v>0</v>
      </c>
      <c r="W564" s="7"/>
      <c r="X564" s="7"/>
      <c r="Y564" s="7"/>
      <c r="Z564" s="7"/>
    </row>
    <row r="565" ht="14.25" customHeight="1">
      <c r="A565" s="7"/>
      <c r="B565" s="7" t="s">
        <v>550</v>
      </c>
      <c r="C565" s="44"/>
      <c r="D565" s="44"/>
      <c r="E565" s="44">
        <v>2.0</v>
      </c>
      <c r="F565" s="45" t="s">
        <v>492</v>
      </c>
      <c r="G565" s="31"/>
      <c r="H565" s="32"/>
      <c r="I565" s="45" t="s">
        <v>489</v>
      </c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51">
        <f t="shared" si="105"/>
        <v>0</v>
      </c>
      <c r="W565" s="7"/>
      <c r="X565" s="7"/>
      <c r="Y565" s="7"/>
      <c r="Z565" s="7"/>
    </row>
    <row r="566" ht="14.25" customHeight="1">
      <c r="A566" s="7"/>
      <c r="B566" s="7" t="s">
        <v>551</v>
      </c>
      <c r="C566" s="44"/>
      <c r="D566" s="44"/>
      <c r="E566" s="44">
        <v>3.0</v>
      </c>
      <c r="F566" s="45" t="s">
        <v>494</v>
      </c>
      <c r="G566" s="31"/>
      <c r="H566" s="32"/>
      <c r="I566" s="45" t="s">
        <v>489</v>
      </c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51">
        <f t="shared" si="105"/>
        <v>0</v>
      </c>
      <c r="W566" s="7"/>
      <c r="X566" s="7"/>
      <c r="Y566" s="7"/>
      <c r="Z566" s="7"/>
    </row>
    <row r="567" ht="14.25" customHeight="1">
      <c r="A567" s="7"/>
      <c r="B567" s="7" t="s">
        <v>552</v>
      </c>
      <c r="C567" s="44"/>
      <c r="D567" s="44"/>
      <c r="E567" s="44">
        <v>4.0</v>
      </c>
      <c r="F567" s="45" t="s">
        <v>258</v>
      </c>
      <c r="G567" s="31"/>
      <c r="H567" s="32"/>
      <c r="I567" s="45" t="s">
        <v>489</v>
      </c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51">
        <f t="shared" si="105"/>
        <v>0</v>
      </c>
      <c r="W567" s="7"/>
      <c r="X567" s="7"/>
      <c r="Y567" s="7"/>
      <c r="Z567" s="7"/>
    </row>
    <row r="568" ht="14.25" customHeight="1">
      <c r="A568" s="7"/>
      <c r="B568" s="7" t="s">
        <v>553</v>
      </c>
      <c r="C568" s="44"/>
      <c r="D568" s="44"/>
      <c r="E568" s="44">
        <v>5.0</v>
      </c>
      <c r="F568" s="45" t="s">
        <v>254</v>
      </c>
      <c r="G568" s="31"/>
      <c r="H568" s="32"/>
      <c r="I568" s="45" t="s">
        <v>489</v>
      </c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51">
        <f t="shared" si="105"/>
        <v>0</v>
      </c>
      <c r="W568" s="7"/>
      <c r="X568" s="7"/>
      <c r="Y568" s="7"/>
      <c r="Z568" s="7"/>
    </row>
    <row r="569" ht="14.25" customHeight="1">
      <c r="A569" s="7"/>
      <c r="B569" s="7" t="s">
        <v>553</v>
      </c>
      <c r="C569" s="44"/>
      <c r="D569" s="44"/>
      <c r="E569" s="44"/>
      <c r="F569" s="45"/>
      <c r="G569" s="80"/>
      <c r="H569" s="81"/>
      <c r="I569" s="45" t="s">
        <v>497</v>
      </c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51">
        <f t="shared" si="105"/>
        <v>0</v>
      </c>
      <c r="W569" s="7"/>
      <c r="X569" s="7"/>
      <c r="Y569" s="7"/>
      <c r="Z569" s="7"/>
    </row>
    <row r="570" ht="14.25" customHeight="1">
      <c r="A570" s="7"/>
      <c r="B570" s="7" t="s">
        <v>554</v>
      </c>
      <c r="C570" s="44"/>
      <c r="D570" s="44"/>
      <c r="E570" s="44">
        <v>6.0</v>
      </c>
      <c r="F570" s="45" t="s">
        <v>499</v>
      </c>
      <c r="G570" s="31"/>
      <c r="H570" s="32"/>
      <c r="I570" s="45" t="s">
        <v>489</v>
      </c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51">
        <f t="shared" si="105"/>
        <v>0</v>
      </c>
      <c r="W570" s="7"/>
      <c r="X570" s="7"/>
      <c r="Y570" s="7"/>
      <c r="Z570" s="7"/>
    </row>
    <row r="571" ht="14.25" customHeight="1">
      <c r="A571" s="7"/>
      <c r="B571" s="7" t="s">
        <v>554</v>
      </c>
      <c r="C571" s="44"/>
      <c r="D571" s="44"/>
      <c r="E571" s="44"/>
      <c r="F571" s="45"/>
      <c r="G571" s="31"/>
      <c r="H571" s="32"/>
      <c r="I571" s="45" t="s">
        <v>398</v>
      </c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51">
        <f t="shared" si="105"/>
        <v>0</v>
      </c>
      <c r="W571" s="7"/>
      <c r="X571" s="7"/>
      <c r="Y571" s="7"/>
      <c r="Z571" s="7"/>
    </row>
    <row r="572" ht="14.25" customHeight="1">
      <c r="A572" s="7"/>
      <c r="B572" s="7" t="s">
        <v>555</v>
      </c>
      <c r="C572" s="44"/>
      <c r="D572" s="44"/>
      <c r="E572" s="44">
        <v>7.0</v>
      </c>
      <c r="F572" s="45" t="s">
        <v>264</v>
      </c>
      <c r="G572" s="31"/>
      <c r="H572" s="32"/>
      <c r="I572" s="45" t="s">
        <v>489</v>
      </c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51">
        <f t="shared" si="105"/>
        <v>0</v>
      </c>
      <c r="W572" s="7"/>
      <c r="X572" s="7"/>
      <c r="Y572" s="7"/>
      <c r="Z572" s="7"/>
    </row>
    <row r="573" ht="14.25" customHeight="1">
      <c r="A573" s="7"/>
      <c r="B573" s="7" t="s">
        <v>555</v>
      </c>
      <c r="C573" s="44"/>
      <c r="D573" s="44"/>
      <c r="E573" s="44"/>
      <c r="F573" s="53"/>
      <c r="G573" s="31"/>
      <c r="H573" s="32"/>
      <c r="I573" s="45" t="s">
        <v>501</v>
      </c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51">
        <f t="shared" si="105"/>
        <v>0</v>
      </c>
      <c r="W573" s="7"/>
      <c r="X573" s="7"/>
      <c r="Y573" s="7"/>
      <c r="Z573" s="7"/>
    </row>
    <row r="574" ht="14.25" customHeight="1">
      <c r="A574" s="7"/>
      <c r="C574" s="44"/>
      <c r="D574" s="44"/>
      <c r="E574" s="87"/>
      <c r="F574" s="40"/>
      <c r="G574" s="40"/>
      <c r="H574" s="40"/>
      <c r="I574" s="40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7"/>
      <c r="X574" s="7"/>
      <c r="Y574" s="7"/>
      <c r="Z574" s="7"/>
    </row>
    <row r="575" ht="14.25" customHeight="1">
      <c r="A575" s="7"/>
      <c r="C575" s="44"/>
      <c r="D575" s="90" t="s">
        <v>525</v>
      </c>
      <c r="E575" s="18"/>
      <c r="F575" s="18"/>
      <c r="G575" s="18"/>
      <c r="H575" s="19"/>
      <c r="I575" s="45" t="s">
        <v>489</v>
      </c>
      <c r="J575" s="51">
        <f t="shared" ref="J575:V575" si="106">(SUMIF($I$550:$V$560,$I575,J$550:J$560))+(SUMIF($I$563:$V$573,$I575,J$563:J$573))</f>
        <v>0</v>
      </c>
      <c r="K575" s="51">
        <f t="shared" si="106"/>
        <v>0</v>
      </c>
      <c r="L575" s="51">
        <f t="shared" si="106"/>
        <v>0</v>
      </c>
      <c r="M575" s="51">
        <f t="shared" si="106"/>
        <v>0</v>
      </c>
      <c r="N575" s="51">
        <f t="shared" si="106"/>
        <v>0</v>
      </c>
      <c r="O575" s="51">
        <f t="shared" si="106"/>
        <v>0</v>
      </c>
      <c r="P575" s="51">
        <f t="shared" si="106"/>
        <v>0</v>
      </c>
      <c r="Q575" s="51">
        <f t="shared" si="106"/>
        <v>0</v>
      </c>
      <c r="R575" s="51">
        <f t="shared" si="106"/>
        <v>0</v>
      </c>
      <c r="S575" s="51">
        <f t="shared" si="106"/>
        <v>0</v>
      </c>
      <c r="T575" s="51">
        <f t="shared" si="106"/>
        <v>0</v>
      </c>
      <c r="U575" s="51">
        <f t="shared" si="106"/>
        <v>0</v>
      </c>
      <c r="V575" s="51">
        <f t="shared" si="106"/>
        <v>0</v>
      </c>
      <c r="W575" s="7"/>
      <c r="X575" s="7"/>
      <c r="Y575" s="7"/>
      <c r="Z575" s="7"/>
    </row>
    <row r="576" ht="14.25" customHeight="1">
      <c r="A576" s="7"/>
      <c r="C576" s="44"/>
      <c r="D576" s="23"/>
      <c r="H576" s="24"/>
      <c r="I576" s="45" t="s">
        <v>490</v>
      </c>
      <c r="J576" s="51">
        <f t="shared" ref="J576:V576" si="107">(SUMIF($I$550:$V$560,$I576,J$550:J$560))+(SUMIF($I$563:$V$573,$I576,J$563:J$573))</f>
        <v>0</v>
      </c>
      <c r="K576" s="51">
        <f t="shared" si="107"/>
        <v>0</v>
      </c>
      <c r="L576" s="51">
        <f t="shared" si="107"/>
        <v>0</v>
      </c>
      <c r="M576" s="51">
        <f t="shared" si="107"/>
        <v>0</v>
      </c>
      <c r="N576" s="51">
        <f t="shared" si="107"/>
        <v>0</v>
      </c>
      <c r="O576" s="51">
        <f t="shared" si="107"/>
        <v>0</v>
      </c>
      <c r="P576" s="51">
        <f t="shared" si="107"/>
        <v>0</v>
      </c>
      <c r="Q576" s="51">
        <f t="shared" si="107"/>
        <v>0</v>
      </c>
      <c r="R576" s="51">
        <f t="shared" si="107"/>
        <v>0</v>
      </c>
      <c r="S576" s="51">
        <f t="shared" si="107"/>
        <v>0</v>
      </c>
      <c r="T576" s="51">
        <f t="shared" si="107"/>
        <v>0</v>
      </c>
      <c r="U576" s="51">
        <f t="shared" si="107"/>
        <v>0</v>
      </c>
      <c r="V576" s="51">
        <f t="shared" si="107"/>
        <v>0</v>
      </c>
      <c r="W576" s="7"/>
      <c r="X576" s="7"/>
      <c r="Y576" s="7"/>
      <c r="Z576" s="7"/>
    </row>
    <row r="577" ht="14.25" customHeight="1">
      <c r="A577" s="7"/>
      <c r="C577" s="44"/>
      <c r="D577" s="23"/>
      <c r="H577" s="24"/>
      <c r="I577" s="45" t="s">
        <v>497</v>
      </c>
      <c r="J577" s="51">
        <f t="shared" ref="J577:V577" si="108">(SUMIF($I$550:$V$560,$I577,J$550:J$560))+(SUMIF($I$563:$V$573,$I577,J$563:J$573))</f>
        <v>0</v>
      </c>
      <c r="K577" s="51">
        <f t="shared" si="108"/>
        <v>0</v>
      </c>
      <c r="L577" s="51">
        <f t="shared" si="108"/>
        <v>0</v>
      </c>
      <c r="M577" s="51">
        <f t="shared" si="108"/>
        <v>0</v>
      </c>
      <c r="N577" s="51">
        <f t="shared" si="108"/>
        <v>0</v>
      </c>
      <c r="O577" s="51">
        <f t="shared" si="108"/>
        <v>0</v>
      </c>
      <c r="P577" s="51">
        <f t="shared" si="108"/>
        <v>0</v>
      </c>
      <c r="Q577" s="51">
        <f t="shared" si="108"/>
        <v>0</v>
      </c>
      <c r="R577" s="51">
        <f t="shared" si="108"/>
        <v>0</v>
      </c>
      <c r="S577" s="51">
        <f t="shared" si="108"/>
        <v>0</v>
      </c>
      <c r="T577" s="51">
        <f t="shared" si="108"/>
        <v>0</v>
      </c>
      <c r="U577" s="51">
        <f t="shared" si="108"/>
        <v>0</v>
      </c>
      <c r="V577" s="51">
        <f t="shared" si="108"/>
        <v>0</v>
      </c>
      <c r="W577" s="7"/>
      <c r="X577" s="7"/>
      <c r="Y577" s="7"/>
      <c r="Z577" s="7"/>
    </row>
    <row r="578" ht="14.25" customHeight="1">
      <c r="A578" s="7"/>
      <c r="C578" s="44"/>
      <c r="D578" s="23"/>
      <c r="H578" s="24"/>
      <c r="I578" s="45" t="s">
        <v>398</v>
      </c>
      <c r="J578" s="51">
        <f t="shared" ref="J578:V578" si="109">(SUMIF($I$550:$V$560,$I578,J$550:J$560))+(SUMIF($I$563:$V$573,$I578,J$563:J$573))</f>
        <v>0</v>
      </c>
      <c r="K578" s="51">
        <f t="shared" si="109"/>
        <v>0</v>
      </c>
      <c r="L578" s="51">
        <f t="shared" si="109"/>
        <v>0</v>
      </c>
      <c r="M578" s="51">
        <f t="shared" si="109"/>
        <v>0</v>
      </c>
      <c r="N578" s="51">
        <f t="shared" si="109"/>
        <v>0</v>
      </c>
      <c r="O578" s="51">
        <f t="shared" si="109"/>
        <v>0</v>
      </c>
      <c r="P578" s="51">
        <f t="shared" si="109"/>
        <v>0</v>
      </c>
      <c r="Q578" s="51">
        <f t="shared" si="109"/>
        <v>0</v>
      </c>
      <c r="R578" s="51">
        <f t="shared" si="109"/>
        <v>0</v>
      </c>
      <c r="S578" s="51">
        <f t="shared" si="109"/>
        <v>0</v>
      </c>
      <c r="T578" s="51">
        <f t="shared" si="109"/>
        <v>0</v>
      </c>
      <c r="U578" s="51">
        <f t="shared" si="109"/>
        <v>0</v>
      </c>
      <c r="V578" s="51">
        <f t="shared" si="109"/>
        <v>0</v>
      </c>
      <c r="W578" s="7"/>
      <c r="X578" s="7"/>
      <c r="Y578" s="7"/>
      <c r="Z578" s="7"/>
    </row>
    <row r="579" ht="14.25" customHeight="1">
      <c r="A579" s="7"/>
      <c r="C579" s="44"/>
      <c r="D579" s="26"/>
      <c r="E579" s="27"/>
      <c r="F579" s="27"/>
      <c r="G579" s="27"/>
      <c r="H579" s="28"/>
      <c r="I579" s="45" t="s">
        <v>501</v>
      </c>
      <c r="J579" s="51">
        <f t="shared" ref="J579:V579" si="110">(SUMIF($I$550:$V$560,$I579,J$550:J$560))+(SUMIF($I$563:$V$573,$I579,J$563:J$573))</f>
        <v>0</v>
      </c>
      <c r="K579" s="51">
        <f t="shared" si="110"/>
        <v>0</v>
      </c>
      <c r="L579" s="51">
        <f t="shared" si="110"/>
        <v>0</v>
      </c>
      <c r="M579" s="51">
        <f t="shared" si="110"/>
        <v>0</v>
      </c>
      <c r="N579" s="51">
        <f t="shared" si="110"/>
        <v>0</v>
      </c>
      <c r="O579" s="51">
        <f t="shared" si="110"/>
        <v>0</v>
      </c>
      <c r="P579" s="51">
        <f t="shared" si="110"/>
        <v>0</v>
      </c>
      <c r="Q579" s="51">
        <f t="shared" si="110"/>
        <v>0</v>
      </c>
      <c r="R579" s="51">
        <f t="shared" si="110"/>
        <v>0</v>
      </c>
      <c r="S579" s="51">
        <f t="shared" si="110"/>
        <v>0</v>
      </c>
      <c r="T579" s="51">
        <f t="shared" si="110"/>
        <v>0</v>
      </c>
      <c r="U579" s="51">
        <f t="shared" si="110"/>
        <v>0</v>
      </c>
      <c r="V579" s="51">
        <f t="shared" si="110"/>
        <v>0</v>
      </c>
      <c r="W579" s="7"/>
      <c r="X579" s="7"/>
      <c r="Y579" s="7"/>
      <c r="Z579" s="7"/>
    </row>
    <row r="580" ht="14.25" customHeight="1">
      <c r="A580" s="7"/>
      <c r="C580" s="53"/>
      <c r="D580" s="31"/>
      <c r="E580" s="31"/>
      <c r="F580" s="31"/>
      <c r="G580" s="31"/>
      <c r="H580" s="32"/>
      <c r="I580" s="42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7"/>
      <c r="X580" s="7"/>
      <c r="Y580" s="7"/>
      <c r="Z580" s="7"/>
    </row>
    <row r="581" ht="14.25" customHeight="1">
      <c r="A581" s="7"/>
      <c r="C581" s="90" t="s">
        <v>526</v>
      </c>
      <c r="D581" s="18"/>
      <c r="E581" s="18"/>
      <c r="F581" s="18"/>
      <c r="G581" s="18"/>
      <c r="H581" s="19"/>
      <c r="I581" s="45" t="s">
        <v>489</v>
      </c>
      <c r="J581" s="51">
        <f t="shared" ref="J581:V581" si="111">J542+J575</f>
        <v>0</v>
      </c>
      <c r="K581" s="51">
        <f t="shared" si="111"/>
        <v>0</v>
      </c>
      <c r="L581" s="51">
        <f t="shared" si="111"/>
        <v>0</v>
      </c>
      <c r="M581" s="51">
        <f t="shared" si="111"/>
        <v>0</v>
      </c>
      <c r="N581" s="51">
        <f t="shared" si="111"/>
        <v>0</v>
      </c>
      <c r="O581" s="51">
        <f t="shared" si="111"/>
        <v>0</v>
      </c>
      <c r="P581" s="51">
        <f t="shared" si="111"/>
        <v>0</v>
      </c>
      <c r="Q581" s="51">
        <f t="shared" si="111"/>
        <v>0</v>
      </c>
      <c r="R581" s="51">
        <f t="shared" si="111"/>
        <v>0</v>
      </c>
      <c r="S581" s="51">
        <f t="shared" si="111"/>
        <v>0</v>
      </c>
      <c r="T581" s="51">
        <f t="shared" si="111"/>
        <v>0</v>
      </c>
      <c r="U581" s="51">
        <f t="shared" si="111"/>
        <v>0</v>
      </c>
      <c r="V581" s="51">
        <f t="shared" si="111"/>
        <v>0</v>
      </c>
      <c r="W581" s="7"/>
      <c r="X581" s="7"/>
      <c r="Y581" s="7"/>
      <c r="Z581" s="7"/>
    </row>
    <row r="582" ht="14.25" customHeight="1">
      <c r="A582" s="7"/>
      <c r="C582" s="23"/>
      <c r="H582" s="24"/>
      <c r="I582" s="45" t="s">
        <v>490</v>
      </c>
      <c r="J582" s="51">
        <f t="shared" ref="J582:V582" si="112">J543+J576</f>
        <v>0</v>
      </c>
      <c r="K582" s="51">
        <f t="shared" si="112"/>
        <v>0</v>
      </c>
      <c r="L582" s="51">
        <f t="shared" si="112"/>
        <v>0</v>
      </c>
      <c r="M582" s="51">
        <f t="shared" si="112"/>
        <v>0</v>
      </c>
      <c r="N582" s="51">
        <f t="shared" si="112"/>
        <v>0</v>
      </c>
      <c r="O582" s="51">
        <f t="shared" si="112"/>
        <v>0</v>
      </c>
      <c r="P582" s="51">
        <f t="shared" si="112"/>
        <v>0</v>
      </c>
      <c r="Q582" s="51">
        <f t="shared" si="112"/>
        <v>0</v>
      </c>
      <c r="R582" s="51">
        <f t="shared" si="112"/>
        <v>0</v>
      </c>
      <c r="S582" s="51">
        <f t="shared" si="112"/>
        <v>0</v>
      </c>
      <c r="T582" s="51">
        <f t="shared" si="112"/>
        <v>0</v>
      </c>
      <c r="U582" s="51">
        <f t="shared" si="112"/>
        <v>0</v>
      </c>
      <c r="V582" s="51">
        <f t="shared" si="112"/>
        <v>0</v>
      </c>
      <c r="W582" s="7"/>
      <c r="X582" s="7"/>
      <c r="Y582" s="7"/>
      <c r="Z582" s="7"/>
    </row>
    <row r="583" ht="14.25" customHeight="1">
      <c r="A583" s="7"/>
      <c r="C583" s="23"/>
      <c r="H583" s="24"/>
      <c r="I583" s="45" t="s">
        <v>497</v>
      </c>
      <c r="J583" s="51">
        <f t="shared" ref="J583:V583" si="113">J544+J577</f>
        <v>0</v>
      </c>
      <c r="K583" s="51">
        <f t="shared" si="113"/>
        <v>0</v>
      </c>
      <c r="L583" s="51">
        <f t="shared" si="113"/>
        <v>0</v>
      </c>
      <c r="M583" s="51">
        <f t="shared" si="113"/>
        <v>0</v>
      </c>
      <c r="N583" s="51">
        <f t="shared" si="113"/>
        <v>0</v>
      </c>
      <c r="O583" s="51">
        <f t="shared" si="113"/>
        <v>0</v>
      </c>
      <c r="P583" s="51">
        <f t="shared" si="113"/>
        <v>0</v>
      </c>
      <c r="Q583" s="51">
        <f t="shared" si="113"/>
        <v>0</v>
      </c>
      <c r="R583" s="51">
        <f t="shared" si="113"/>
        <v>0</v>
      </c>
      <c r="S583" s="51">
        <f t="shared" si="113"/>
        <v>0</v>
      </c>
      <c r="T583" s="51">
        <f t="shared" si="113"/>
        <v>0</v>
      </c>
      <c r="U583" s="51">
        <f t="shared" si="113"/>
        <v>0</v>
      </c>
      <c r="V583" s="51">
        <f t="shared" si="113"/>
        <v>0</v>
      </c>
      <c r="W583" s="7"/>
      <c r="X583" s="7"/>
      <c r="Y583" s="7"/>
      <c r="Z583" s="7"/>
    </row>
    <row r="584" ht="14.25" customHeight="1">
      <c r="A584" s="7"/>
      <c r="C584" s="23"/>
      <c r="H584" s="24"/>
      <c r="I584" s="45" t="s">
        <v>398</v>
      </c>
      <c r="J584" s="51">
        <f t="shared" ref="J584:V584" si="114">J545+J578</f>
        <v>0</v>
      </c>
      <c r="K584" s="51">
        <f t="shared" si="114"/>
        <v>0</v>
      </c>
      <c r="L584" s="51">
        <f t="shared" si="114"/>
        <v>0</v>
      </c>
      <c r="M584" s="51">
        <f t="shared" si="114"/>
        <v>0</v>
      </c>
      <c r="N584" s="51">
        <f t="shared" si="114"/>
        <v>0</v>
      </c>
      <c r="O584" s="51">
        <f t="shared" si="114"/>
        <v>0</v>
      </c>
      <c r="P584" s="51">
        <f t="shared" si="114"/>
        <v>0</v>
      </c>
      <c r="Q584" s="51">
        <f t="shared" si="114"/>
        <v>0</v>
      </c>
      <c r="R584" s="51">
        <f t="shared" si="114"/>
        <v>0</v>
      </c>
      <c r="S584" s="51">
        <f t="shared" si="114"/>
        <v>0</v>
      </c>
      <c r="T584" s="51">
        <f t="shared" si="114"/>
        <v>0</v>
      </c>
      <c r="U584" s="51">
        <f t="shared" si="114"/>
        <v>0</v>
      </c>
      <c r="V584" s="51">
        <f t="shared" si="114"/>
        <v>0</v>
      </c>
      <c r="W584" s="7"/>
      <c r="X584" s="7"/>
      <c r="Y584" s="7"/>
      <c r="Z584" s="7"/>
    </row>
    <row r="585" ht="14.25" customHeight="1">
      <c r="A585" s="7"/>
      <c r="C585" s="26"/>
      <c r="D585" s="27"/>
      <c r="E585" s="27"/>
      <c r="F585" s="27"/>
      <c r="G585" s="27"/>
      <c r="H585" s="28"/>
      <c r="I585" s="45" t="s">
        <v>501</v>
      </c>
      <c r="J585" s="51">
        <f t="shared" ref="J585:V585" si="115">J546+J579</f>
        <v>0</v>
      </c>
      <c r="K585" s="51">
        <f t="shared" si="115"/>
        <v>0</v>
      </c>
      <c r="L585" s="51">
        <f t="shared" si="115"/>
        <v>0</v>
      </c>
      <c r="M585" s="51">
        <f t="shared" si="115"/>
        <v>0</v>
      </c>
      <c r="N585" s="51">
        <f t="shared" si="115"/>
        <v>0</v>
      </c>
      <c r="O585" s="51">
        <f t="shared" si="115"/>
        <v>0</v>
      </c>
      <c r="P585" s="51">
        <f t="shared" si="115"/>
        <v>0</v>
      </c>
      <c r="Q585" s="51">
        <f t="shared" si="115"/>
        <v>0</v>
      </c>
      <c r="R585" s="51">
        <f t="shared" si="115"/>
        <v>0</v>
      </c>
      <c r="S585" s="51">
        <f t="shared" si="115"/>
        <v>0</v>
      </c>
      <c r="T585" s="51">
        <f t="shared" si="115"/>
        <v>0</v>
      </c>
      <c r="U585" s="51">
        <f t="shared" si="115"/>
        <v>0</v>
      </c>
      <c r="V585" s="51">
        <f t="shared" si="115"/>
        <v>0</v>
      </c>
      <c r="W585" s="7"/>
      <c r="X585" s="7"/>
      <c r="Y585" s="7"/>
      <c r="Z585" s="7"/>
    </row>
    <row r="586" ht="14.25" customHeight="1">
      <c r="A586" s="7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7"/>
      <c r="X586" s="7"/>
      <c r="Y586" s="7"/>
      <c r="Z586" s="7"/>
    </row>
    <row r="587" ht="14.25" customHeight="1">
      <c r="A587" s="14">
        <v>5.0</v>
      </c>
      <c r="B587" s="15"/>
      <c r="C587" s="14" t="s">
        <v>556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7"/>
      <c r="X587" s="7"/>
      <c r="Y587" s="7"/>
      <c r="Z587" s="7"/>
    </row>
    <row r="588" ht="14.25" customHeight="1">
      <c r="A588" s="7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7"/>
      <c r="X588" s="7"/>
      <c r="Y588" s="7"/>
      <c r="Z588" s="7"/>
    </row>
    <row r="589" ht="14.25" customHeight="1">
      <c r="A589" s="7"/>
      <c r="C589" s="16" t="s">
        <v>228</v>
      </c>
      <c r="D589" s="17" t="s">
        <v>229</v>
      </c>
      <c r="E589" s="18"/>
      <c r="F589" s="18"/>
      <c r="G589" s="18"/>
      <c r="H589" s="19"/>
      <c r="I589" s="20" t="s">
        <v>230</v>
      </c>
      <c r="J589" s="21">
        <f>$H$2</f>
        <v>2026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9"/>
      <c r="W589" s="7"/>
      <c r="X589" s="7"/>
      <c r="Y589" s="7"/>
      <c r="Z589" s="7"/>
    </row>
    <row r="590" ht="14.25" customHeight="1">
      <c r="A590" s="7"/>
      <c r="C590" s="22"/>
      <c r="D590" s="23"/>
      <c r="H590" s="24"/>
      <c r="I590" s="22"/>
      <c r="J590" s="23"/>
      <c r="V590" s="24"/>
      <c r="W590" s="7"/>
      <c r="X590" s="7"/>
      <c r="Y590" s="7"/>
      <c r="Z590" s="7"/>
    </row>
    <row r="591" ht="14.25" customHeight="1">
      <c r="A591" s="7"/>
      <c r="C591" s="25"/>
      <c r="D591" s="26"/>
      <c r="E591" s="27"/>
      <c r="F591" s="27"/>
      <c r="G591" s="27"/>
      <c r="H591" s="28"/>
      <c r="I591" s="25"/>
      <c r="J591" s="29" t="s">
        <v>231</v>
      </c>
      <c r="K591" s="29" t="s">
        <v>232</v>
      </c>
      <c r="L591" s="29" t="s">
        <v>233</v>
      </c>
      <c r="M591" s="29" t="s">
        <v>234</v>
      </c>
      <c r="N591" s="29" t="s">
        <v>235</v>
      </c>
      <c r="O591" s="29" t="s">
        <v>236</v>
      </c>
      <c r="P591" s="29" t="s">
        <v>237</v>
      </c>
      <c r="Q591" s="29" t="s">
        <v>238</v>
      </c>
      <c r="R591" s="29" t="s">
        <v>239</v>
      </c>
      <c r="S591" s="29" t="s">
        <v>240</v>
      </c>
      <c r="T591" s="29" t="s">
        <v>241</v>
      </c>
      <c r="U591" s="29" t="s">
        <v>242</v>
      </c>
      <c r="V591" s="29" t="s">
        <v>243</v>
      </c>
      <c r="W591" s="7"/>
      <c r="X591" s="7"/>
      <c r="Y591" s="7"/>
      <c r="Z591" s="7"/>
    </row>
    <row r="592" ht="14.25" customHeight="1">
      <c r="A592" s="7"/>
      <c r="C592" s="29">
        <v>1.0</v>
      </c>
      <c r="D592" s="30">
        <v>2.0</v>
      </c>
      <c r="E592" s="31"/>
      <c r="F592" s="31"/>
      <c r="G592" s="31"/>
      <c r="H592" s="32"/>
      <c r="I592" s="33">
        <v>3.0</v>
      </c>
      <c r="J592" s="34">
        <v>4.0</v>
      </c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6"/>
      <c r="V592" s="37">
        <v>5.0</v>
      </c>
      <c r="W592" s="7"/>
      <c r="X592" s="7"/>
      <c r="Y592" s="7"/>
      <c r="Z592" s="7"/>
    </row>
    <row r="593" ht="14.25" customHeight="1">
      <c r="A593" s="7"/>
      <c r="C593" s="38"/>
      <c r="D593" s="46"/>
      <c r="E593" s="105"/>
      <c r="F593" s="105"/>
      <c r="G593" s="105"/>
      <c r="H593" s="106"/>
      <c r="I593" s="46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7"/>
      <c r="X593" s="7"/>
      <c r="Y593" s="7"/>
      <c r="Z593" s="7"/>
    </row>
    <row r="594" ht="14.25" customHeight="1">
      <c r="A594" s="7"/>
      <c r="C594" s="66">
        <v>1.0</v>
      </c>
      <c r="D594" s="45" t="s">
        <v>376</v>
      </c>
      <c r="E594" s="31"/>
      <c r="F594" s="31"/>
      <c r="G594" s="31"/>
      <c r="H594" s="32"/>
      <c r="I594" s="42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7"/>
      <c r="X594" s="7"/>
      <c r="Y594" s="7"/>
      <c r="Z594" s="7"/>
    </row>
    <row r="595" ht="14.25" customHeight="1">
      <c r="A595" s="7"/>
      <c r="B595" s="7" t="s">
        <v>557</v>
      </c>
      <c r="C595" s="44"/>
      <c r="D595" s="44">
        <v>1.0</v>
      </c>
      <c r="E595" s="89" t="s">
        <v>558</v>
      </c>
      <c r="F595" s="31"/>
      <c r="G595" s="31"/>
      <c r="H595" s="32"/>
      <c r="I595" s="45" t="s">
        <v>559</v>
      </c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51">
        <f t="shared" ref="V595:V596" si="116">SUM(J595:U595)</f>
        <v>0</v>
      </c>
      <c r="W595" s="7"/>
      <c r="X595" s="7"/>
      <c r="Y595" s="7"/>
      <c r="Z595" s="7"/>
    </row>
    <row r="596" ht="14.25" customHeight="1">
      <c r="A596" s="7"/>
      <c r="B596" s="7" t="s">
        <v>560</v>
      </c>
      <c r="C596" s="44"/>
      <c r="D596" s="44">
        <v>2.0</v>
      </c>
      <c r="E596" s="89" t="s">
        <v>561</v>
      </c>
      <c r="F596" s="31"/>
      <c r="G596" s="31"/>
      <c r="H596" s="32"/>
      <c r="I596" s="45" t="s">
        <v>559</v>
      </c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51">
        <f t="shared" si="116"/>
        <v>0</v>
      </c>
      <c r="W596" s="7"/>
      <c r="X596" s="7"/>
      <c r="Y596" s="7"/>
      <c r="Z596" s="7"/>
    </row>
    <row r="597" ht="14.25" customHeight="1">
      <c r="A597" s="7"/>
      <c r="C597" s="44"/>
      <c r="D597" s="53"/>
      <c r="E597" s="31"/>
      <c r="F597" s="31"/>
      <c r="G597" s="31"/>
      <c r="H597" s="32"/>
      <c r="I597" s="42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7"/>
      <c r="X597" s="7"/>
      <c r="Y597" s="7"/>
      <c r="Z597" s="7"/>
    </row>
    <row r="598" ht="14.25" customHeight="1">
      <c r="A598" s="7"/>
      <c r="C598" s="44"/>
      <c r="D598" s="90" t="s">
        <v>562</v>
      </c>
      <c r="E598" s="18"/>
      <c r="F598" s="18"/>
      <c r="G598" s="18"/>
      <c r="H598" s="19"/>
      <c r="I598" s="45" t="s">
        <v>559</v>
      </c>
      <c r="J598" s="51">
        <f t="shared" ref="J598:V598" si="117">SUM(J595:J596)</f>
        <v>0</v>
      </c>
      <c r="K598" s="51">
        <f t="shared" si="117"/>
        <v>0</v>
      </c>
      <c r="L598" s="51">
        <f t="shared" si="117"/>
        <v>0</v>
      </c>
      <c r="M598" s="51">
        <f t="shared" si="117"/>
        <v>0</v>
      </c>
      <c r="N598" s="51">
        <f t="shared" si="117"/>
        <v>0</v>
      </c>
      <c r="O598" s="51">
        <f t="shared" si="117"/>
        <v>0</v>
      </c>
      <c r="P598" s="51">
        <f t="shared" si="117"/>
        <v>0</v>
      </c>
      <c r="Q598" s="51">
        <f t="shared" si="117"/>
        <v>0</v>
      </c>
      <c r="R598" s="51">
        <f t="shared" si="117"/>
        <v>0</v>
      </c>
      <c r="S598" s="51">
        <f t="shared" si="117"/>
        <v>0</v>
      </c>
      <c r="T598" s="51">
        <f t="shared" si="117"/>
        <v>0</v>
      </c>
      <c r="U598" s="51">
        <f t="shared" si="117"/>
        <v>0</v>
      </c>
      <c r="V598" s="51">
        <f t="shared" si="117"/>
        <v>0</v>
      </c>
      <c r="W598" s="7"/>
      <c r="X598" s="7"/>
      <c r="Y598" s="7"/>
      <c r="Z598" s="7"/>
    </row>
    <row r="599" ht="14.25" customHeight="1">
      <c r="A599" s="7"/>
      <c r="C599" s="44"/>
      <c r="D599" s="53"/>
      <c r="E599" s="31"/>
      <c r="F599" s="31"/>
      <c r="G599" s="31"/>
      <c r="H599" s="32"/>
      <c r="I599" s="42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7"/>
      <c r="X599" s="7"/>
      <c r="Y599" s="7"/>
      <c r="Z599" s="7"/>
    </row>
    <row r="600" ht="14.25" customHeight="1">
      <c r="A600" s="7"/>
      <c r="C600" s="44">
        <v>2.0</v>
      </c>
      <c r="D600" s="45" t="s">
        <v>437</v>
      </c>
      <c r="E600" s="31"/>
      <c r="F600" s="31"/>
      <c r="G600" s="31"/>
      <c r="H600" s="32"/>
      <c r="I600" s="42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7"/>
      <c r="X600" s="7"/>
      <c r="Y600" s="7"/>
      <c r="Z600" s="7"/>
    </row>
    <row r="601" ht="14.25" customHeight="1">
      <c r="A601" s="7"/>
      <c r="B601" s="7" t="s">
        <v>563</v>
      </c>
      <c r="C601" s="44"/>
      <c r="D601" s="44">
        <v>1.0</v>
      </c>
      <c r="E601" s="89" t="s">
        <v>558</v>
      </c>
      <c r="F601" s="31"/>
      <c r="G601" s="31"/>
      <c r="H601" s="32"/>
      <c r="I601" s="45" t="s">
        <v>559</v>
      </c>
      <c r="J601" s="60"/>
      <c r="K601" s="60"/>
      <c r="L601" s="60">
        <v>135002.0</v>
      </c>
      <c r="M601" s="60"/>
      <c r="N601" s="60"/>
      <c r="O601" s="60"/>
      <c r="P601" s="60"/>
      <c r="Q601" s="60"/>
      <c r="R601" s="60"/>
      <c r="S601" s="60"/>
      <c r="T601" s="60"/>
      <c r="U601" s="60"/>
      <c r="V601" s="51">
        <f t="shared" ref="V601:V602" si="118">SUM(J601:U601)</f>
        <v>135002</v>
      </c>
      <c r="W601" s="7">
        <v>106.854</v>
      </c>
      <c r="X601" s="7"/>
      <c r="Y601" s="7"/>
      <c r="Z601" s="7"/>
    </row>
    <row r="602" ht="14.25" customHeight="1">
      <c r="A602" s="7"/>
      <c r="B602" s="7" t="s">
        <v>564</v>
      </c>
      <c r="C602" s="44"/>
      <c r="D602" s="44">
        <v>2.0</v>
      </c>
      <c r="E602" s="89" t="s">
        <v>561</v>
      </c>
      <c r="F602" s="31"/>
      <c r="G602" s="31"/>
      <c r="H602" s="32"/>
      <c r="I602" s="45" t="s">
        <v>559</v>
      </c>
      <c r="J602" s="60"/>
      <c r="K602" s="60"/>
      <c r="L602" s="60">
        <v>255.0</v>
      </c>
      <c r="M602" s="60"/>
      <c r="N602" s="60"/>
      <c r="O602" s="60"/>
      <c r="P602" s="60"/>
      <c r="Q602" s="60"/>
      <c r="R602" s="60"/>
      <c r="S602" s="60"/>
      <c r="T602" s="60"/>
      <c r="U602" s="60"/>
      <c r="V602" s="51">
        <f t="shared" si="118"/>
        <v>255</v>
      </c>
      <c r="W602" s="7">
        <v>2063.0</v>
      </c>
      <c r="X602" s="7"/>
      <c r="Y602" s="7"/>
      <c r="Z602" s="7"/>
    </row>
    <row r="603" ht="14.25" customHeight="1">
      <c r="A603" s="7"/>
      <c r="C603" s="114"/>
      <c r="D603" s="53"/>
      <c r="E603" s="31"/>
      <c r="F603" s="31"/>
      <c r="G603" s="31"/>
      <c r="H603" s="32"/>
      <c r="I603" s="42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7"/>
      <c r="X603" s="7"/>
      <c r="Y603" s="7"/>
      <c r="Z603" s="7"/>
    </row>
    <row r="604" ht="14.25" customHeight="1">
      <c r="A604" s="7"/>
      <c r="C604" s="44"/>
      <c r="D604" s="115" t="s">
        <v>565</v>
      </c>
      <c r="E604" s="31"/>
      <c r="F604" s="31"/>
      <c r="G604" s="31"/>
      <c r="H604" s="32"/>
      <c r="I604" s="45" t="s">
        <v>559</v>
      </c>
      <c r="J604" s="51">
        <f t="shared" ref="J604:V604" si="119">SUM(J601:J602)</f>
        <v>0</v>
      </c>
      <c r="K604" s="51">
        <f t="shared" si="119"/>
        <v>0</v>
      </c>
      <c r="L604" s="51">
        <f t="shared" si="119"/>
        <v>135257</v>
      </c>
      <c r="M604" s="51">
        <f t="shared" si="119"/>
        <v>0</v>
      </c>
      <c r="N604" s="51">
        <f t="shared" si="119"/>
        <v>0</v>
      </c>
      <c r="O604" s="51">
        <f t="shared" si="119"/>
        <v>0</v>
      </c>
      <c r="P604" s="51">
        <f t="shared" si="119"/>
        <v>0</v>
      </c>
      <c r="Q604" s="51">
        <f t="shared" si="119"/>
        <v>0</v>
      </c>
      <c r="R604" s="51">
        <f t="shared" si="119"/>
        <v>0</v>
      </c>
      <c r="S604" s="51">
        <f t="shared" si="119"/>
        <v>0</v>
      </c>
      <c r="T604" s="51">
        <f t="shared" si="119"/>
        <v>0</v>
      </c>
      <c r="U604" s="51">
        <f t="shared" si="119"/>
        <v>0</v>
      </c>
      <c r="V604" s="51">
        <f t="shared" si="119"/>
        <v>135257</v>
      </c>
      <c r="W604" s="7"/>
      <c r="X604" s="7"/>
      <c r="Y604" s="7"/>
      <c r="Z604" s="7"/>
    </row>
    <row r="605" ht="14.25" customHeight="1">
      <c r="A605" s="7"/>
      <c r="C605" s="114"/>
      <c r="D605" s="53"/>
      <c r="E605" s="31"/>
      <c r="F605" s="31"/>
      <c r="G605" s="31"/>
      <c r="H605" s="32"/>
      <c r="I605" s="42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7"/>
      <c r="X605" s="7"/>
      <c r="Y605" s="7"/>
      <c r="Z605" s="7"/>
    </row>
    <row r="606" ht="14.25" customHeight="1">
      <c r="A606" s="7"/>
      <c r="C606" s="116" t="s">
        <v>566</v>
      </c>
      <c r="D606" s="31"/>
      <c r="E606" s="31"/>
      <c r="F606" s="31"/>
      <c r="G606" s="31"/>
      <c r="H606" s="32"/>
      <c r="I606" s="45" t="s">
        <v>559</v>
      </c>
      <c r="J606" s="51">
        <f t="shared" ref="J606:V606" si="120">J604+J598</f>
        <v>0</v>
      </c>
      <c r="K606" s="51">
        <f t="shared" si="120"/>
        <v>0</v>
      </c>
      <c r="L606" s="51">
        <f t="shared" si="120"/>
        <v>135257</v>
      </c>
      <c r="M606" s="51">
        <f t="shared" si="120"/>
        <v>0</v>
      </c>
      <c r="N606" s="51">
        <f t="shared" si="120"/>
        <v>0</v>
      </c>
      <c r="O606" s="51">
        <f t="shared" si="120"/>
        <v>0</v>
      </c>
      <c r="P606" s="51">
        <f t="shared" si="120"/>
        <v>0</v>
      </c>
      <c r="Q606" s="51">
        <f t="shared" si="120"/>
        <v>0</v>
      </c>
      <c r="R606" s="51">
        <f t="shared" si="120"/>
        <v>0</v>
      </c>
      <c r="S606" s="51">
        <f t="shared" si="120"/>
        <v>0</v>
      </c>
      <c r="T606" s="51">
        <f t="shared" si="120"/>
        <v>0</v>
      </c>
      <c r="U606" s="51">
        <f t="shared" si="120"/>
        <v>0</v>
      </c>
      <c r="V606" s="51">
        <f t="shared" si="120"/>
        <v>135257</v>
      </c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11"/>
      <c r="K660" s="11"/>
      <c r="L660" s="11"/>
      <c r="M660" s="57">
        <v>130.0</v>
      </c>
      <c r="N660" s="11">
        <f t="shared" ref="N660:N661" si="121">M660*1.05</f>
        <v>136.5</v>
      </c>
      <c r="O660" s="11"/>
      <c r="P660" s="11"/>
      <c r="Q660" s="11"/>
      <c r="R660" s="11"/>
      <c r="S660" s="11"/>
      <c r="T660" s="11"/>
      <c r="U660" s="11"/>
      <c r="V660" s="11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11"/>
      <c r="K661" s="11"/>
      <c r="L661" s="11"/>
      <c r="M661" s="57">
        <v>1068034.0</v>
      </c>
      <c r="N661" s="11">
        <f t="shared" si="121"/>
        <v>1121435.7</v>
      </c>
      <c r="O661" s="11"/>
      <c r="P661" s="11"/>
      <c r="Q661" s="11"/>
      <c r="R661" s="11"/>
      <c r="S661" s="11"/>
      <c r="T661" s="11"/>
      <c r="U661" s="11"/>
      <c r="V661" s="11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7"/>
      <c r="X1000" s="7"/>
      <c r="Y1000" s="7"/>
      <c r="Z1000" s="7"/>
    </row>
  </sheetData>
  <mergeCells count="326">
    <mergeCell ref="C1:G1"/>
    <mergeCell ref="C2:G2"/>
    <mergeCell ref="C4:G4"/>
    <mergeCell ref="C6:G6"/>
    <mergeCell ref="C12:C14"/>
    <mergeCell ref="I12:I14"/>
    <mergeCell ref="J12:V13"/>
    <mergeCell ref="J15:U15"/>
    <mergeCell ref="D12:H14"/>
    <mergeCell ref="D15:H15"/>
    <mergeCell ref="D17:H17"/>
    <mergeCell ref="E18:H18"/>
    <mergeCell ref="F19:H19"/>
    <mergeCell ref="G20:H20"/>
    <mergeCell ref="G22:H22"/>
    <mergeCell ref="G24:H24"/>
    <mergeCell ref="G26:H26"/>
    <mergeCell ref="G28:H28"/>
    <mergeCell ref="G30:H30"/>
    <mergeCell ref="G32:H32"/>
    <mergeCell ref="G34:H34"/>
    <mergeCell ref="G36:H36"/>
    <mergeCell ref="G38:H38"/>
    <mergeCell ref="F41:H41"/>
    <mergeCell ref="G42:H42"/>
    <mergeCell ref="G44:H44"/>
    <mergeCell ref="G46:H46"/>
    <mergeCell ref="G48:H48"/>
    <mergeCell ref="G50:H50"/>
    <mergeCell ref="G52:H52"/>
    <mergeCell ref="G54:H54"/>
    <mergeCell ref="G56:H56"/>
    <mergeCell ref="G57:H57"/>
    <mergeCell ref="E58:H58"/>
    <mergeCell ref="E59:H59"/>
    <mergeCell ref="F60:H60"/>
    <mergeCell ref="G61:H61"/>
    <mergeCell ref="G63:H63"/>
    <mergeCell ref="G65:H65"/>
    <mergeCell ref="G67:H67"/>
    <mergeCell ref="G69:H69"/>
    <mergeCell ref="G71:H71"/>
    <mergeCell ref="G73:H73"/>
    <mergeCell ref="G75:H75"/>
    <mergeCell ref="G77:H77"/>
    <mergeCell ref="F80:H80"/>
    <mergeCell ref="G81:H81"/>
    <mergeCell ref="G83:H83"/>
    <mergeCell ref="G85:H85"/>
    <mergeCell ref="G87:H87"/>
    <mergeCell ref="G89:H89"/>
    <mergeCell ref="G91:H91"/>
    <mergeCell ref="G93:H93"/>
    <mergeCell ref="G95:H95"/>
    <mergeCell ref="G96:H96"/>
    <mergeCell ref="E98:H98"/>
    <mergeCell ref="E101:H101"/>
    <mergeCell ref="E104:H104"/>
    <mergeCell ref="F105:H105"/>
    <mergeCell ref="F107:H107"/>
    <mergeCell ref="F109:H109"/>
    <mergeCell ref="F111:H111"/>
    <mergeCell ref="E113:H113"/>
    <mergeCell ref="D114:H115"/>
    <mergeCell ref="D117:H117"/>
    <mergeCell ref="E118:H118"/>
    <mergeCell ref="F119:H119"/>
    <mergeCell ref="G120:H120"/>
    <mergeCell ref="G122:H122"/>
    <mergeCell ref="G124:H124"/>
    <mergeCell ref="G126:H126"/>
    <mergeCell ref="G128:H128"/>
    <mergeCell ref="G130:H130"/>
    <mergeCell ref="G132:H132"/>
    <mergeCell ref="G134:H134"/>
    <mergeCell ref="G136:H136"/>
    <mergeCell ref="E137:H137"/>
    <mergeCell ref="E138:H138"/>
    <mergeCell ref="F139:H139"/>
    <mergeCell ref="G140:H140"/>
    <mergeCell ref="G142:H142"/>
    <mergeCell ref="G144:H144"/>
    <mergeCell ref="G146:H146"/>
    <mergeCell ref="G148:H148"/>
    <mergeCell ref="G150:H150"/>
    <mergeCell ref="G152:H152"/>
    <mergeCell ref="G154:H154"/>
    <mergeCell ref="G156:H156"/>
    <mergeCell ref="D159:H160"/>
    <mergeCell ref="D162:H162"/>
    <mergeCell ref="E163:H163"/>
    <mergeCell ref="F164:H164"/>
    <mergeCell ref="G165:H165"/>
    <mergeCell ref="G167:H167"/>
    <mergeCell ref="G169:H169"/>
    <mergeCell ref="G171:H171"/>
    <mergeCell ref="G173:H173"/>
    <mergeCell ref="G175:H175"/>
    <mergeCell ref="G177:H177"/>
    <mergeCell ref="G179:H179"/>
    <mergeCell ref="G181:H181"/>
    <mergeCell ref="E182:H182"/>
    <mergeCell ref="E183:H183"/>
    <mergeCell ref="F184:H184"/>
    <mergeCell ref="G185:H185"/>
    <mergeCell ref="G187:H187"/>
    <mergeCell ref="G189:H189"/>
    <mergeCell ref="G191:H191"/>
    <mergeCell ref="G193:H193"/>
    <mergeCell ref="G195:H195"/>
    <mergeCell ref="G197:H197"/>
    <mergeCell ref="G199:H199"/>
    <mergeCell ref="G201:H201"/>
    <mergeCell ref="E203:H203"/>
    <mergeCell ref="D204:H205"/>
    <mergeCell ref="D207:H207"/>
    <mergeCell ref="E208:H208"/>
    <mergeCell ref="F209:H209"/>
    <mergeCell ref="G210:H210"/>
    <mergeCell ref="G212:H212"/>
    <mergeCell ref="G214:H214"/>
    <mergeCell ref="G216:H216"/>
    <mergeCell ref="G218:H218"/>
    <mergeCell ref="G220:H220"/>
    <mergeCell ref="G222:H222"/>
    <mergeCell ref="G224:H224"/>
    <mergeCell ref="G226:H226"/>
    <mergeCell ref="E227:H227"/>
    <mergeCell ref="E228:H228"/>
    <mergeCell ref="F229:H229"/>
    <mergeCell ref="G230:H230"/>
    <mergeCell ref="G232:H232"/>
    <mergeCell ref="G234:H234"/>
    <mergeCell ref="G236:H236"/>
    <mergeCell ref="G238:H238"/>
    <mergeCell ref="G240:H240"/>
    <mergeCell ref="G242:H242"/>
    <mergeCell ref="G244:H244"/>
    <mergeCell ref="G246:H246"/>
    <mergeCell ref="E248:H248"/>
    <mergeCell ref="D249:H250"/>
    <mergeCell ref="C252:H253"/>
    <mergeCell ref="C257:C259"/>
    <mergeCell ref="D257:H259"/>
    <mergeCell ref="I257:I259"/>
    <mergeCell ref="J257:V258"/>
    <mergeCell ref="D260:H260"/>
    <mergeCell ref="J260:U260"/>
    <mergeCell ref="D262:H262"/>
    <mergeCell ref="E263:H263"/>
    <mergeCell ref="F264:H264"/>
    <mergeCell ref="G265:H265"/>
    <mergeCell ref="G272:H272"/>
    <mergeCell ref="G277:H277"/>
    <mergeCell ref="G282:H282"/>
    <mergeCell ref="F284:H284"/>
    <mergeCell ref="E289:H289"/>
    <mergeCell ref="F290:H290"/>
    <mergeCell ref="G291:H291"/>
    <mergeCell ref="G298:H298"/>
    <mergeCell ref="G303:H303"/>
    <mergeCell ref="G308:H308"/>
    <mergeCell ref="F310:H310"/>
    <mergeCell ref="E315:H315"/>
    <mergeCell ref="F316:H316"/>
    <mergeCell ref="G317:H317"/>
    <mergeCell ref="G324:H324"/>
    <mergeCell ref="G329:H329"/>
    <mergeCell ref="G334:H334"/>
    <mergeCell ref="F336:H336"/>
    <mergeCell ref="D341:H342"/>
    <mergeCell ref="D344:H344"/>
    <mergeCell ref="E345:H345"/>
    <mergeCell ref="F346:H346"/>
    <mergeCell ref="G347:H347"/>
    <mergeCell ref="G354:H354"/>
    <mergeCell ref="G359:H359"/>
    <mergeCell ref="G364:H364"/>
    <mergeCell ref="F366:H366"/>
    <mergeCell ref="E371:H371"/>
    <mergeCell ref="F372:H372"/>
    <mergeCell ref="G373:H373"/>
    <mergeCell ref="G380:H380"/>
    <mergeCell ref="G385:H385"/>
    <mergeCell ref="G390:H390"/>
    <mergeCell ref="F392:H392"/>
    <mergeCell ref="E397:H397"/>
    <mergeCell ref="F398:H398"/>
    <mergeCell ref="G399:H399"/>
    <mergeCell ref="G406:H406"/>
    <mergeCell ref="I431:I433"/>
    <mergeCell ref="J431:V432"/>
    <mergeCell ref="J434:U434"/>
    <mergeCell ref="F480:H480"/>
    <mergeCell ref="F481:H481"/>
    <mergeCell ref="E483:H483"/>
    <mergeCell ref="F484:H484"/>
    <mergeCell ref="F485:H485"/>
    <mergeCell ref="F486:H486"/>
    <mergeCell ref="F487:H487"/>
    <mergeCell ref="I510:I512"/>
    <mergeCell ref="J510:V511"/>
    <mergeCell ref="J513:U513"/>
    <mergeCell ref="F488:H488"/>
    <mergeCell ref="F489:H489"/>
    <mergeCell ref="F491:H491"/>
    <mergeCell ref="F492:H492"/>
    <mergeCell ref="F493:H493"/>
    <mergeCell ref="F494:H494"/>
    <mergeCell ref="D496:H500"/>
    <mergeCell ref="G411:H411"/>
    <mergeCell ref="G416:H416"/>
    <mergeCell ref="F418:H418"/>
    <mergeCell ref="D423:H424"/>
    <mergeCell ref="C426:H427"/>
    <mergeCell ref="C431:C433"/>
    <mergeCell ref="D431:H433"/>
    <mergeCell ref="D434:H434"/>
    <mergeCell ref="D436:H436"/>
    <mergeCell ref="E437:H437"/>
    <mergeCell ref="F438:H438"/>
    <mergeCell ref="F439:H439"/>
    <mergeCell ref="F440:H440"/>
    <mergeCell ref="F441:H441"/>
    <mergeCell ref="F442:H442"/>
    <mergeCell ref="F443:H443"/>
    <mergeCell ref="F445:H445"/>
    <mergeCell ref="F446:H446"/>
    <mergeCell ref="F447:H447"/>
    <mergeCell ref="F448:H448"/>
    <mergeCell ref="E450:H450"/>
    <mergeCell ref="F451:H451"/>
    <mergeCell ref="F452:H452"/>
    <mergeCell ref="F453:H453"/>
    <mergeCell ref="F454:H454"/>
    <mergeCell ref="F455:H455"/>
    <mergeCell ref="F456:H456"/>
    <mergeCell ref="F458:H458"/>
    <mergeCell ref="F459:H459"/>
    <mergeCell ref="F460:H460"/>
    <mergeCell ref="F461:H461"/>
    <mergeCell ref="D463:H467"/>
    <mergeCell ref="D469:H469"/>
    <mergeCell ref="E470:H470"/>
    <mergeCell ref="F471:H471"/>
    <mergeCell ref="F472:H472"/>
    <mergeCell ref="F473:H473"/>
    <mergeCell ref="F474:H474"/>
    <mergeCell ref="F475:H475"/>
    <mergeCell ref="F476:H476"/>
    <mergeCell ref="F478:H478"/>
    <mergeCell ref="F479:H479"/>
    <mergeCell ref="C501:H501"/>
    <mergeCell ref="C502:H506"/>
    <mergeCell ref="C510:C512"/>
    <mergeCell ref="D510:H512"/>
    <mergeCell ref="D513:H513"/>
    <mergeCell ref="D515:H515"/>
    <mergeCell ref="E516:H516"/>
    <mergeCell ref="F571:H571"/>
    <mergeCell ref="F572:H572"/>
    <mergeCell ref="F573:H573"/>
    <mergeCell ref="D575:H579"/>
    <mergeCell ref="C580:H580"/>
    <mergeCell ref="C581:H585"/>
    <mergeCell ref="C589:C591"/>
    <mergeCell ref="D600:H600"/>
    <mergeCell ref="E601:H601"/>
    <mergeCell ref="E602:H602"/>
    <mergeCell ref="D603:H603"/>
    <mergeCell ref="D604:H604"/>
    <mergeCell ref="D605:H605"/>
    <mergeCell ref="C606:H606"/>
    <mergeCell ref="D592:H592"/>
    <mergeCell ref="D594:H594"/>
    <mergeCell ref="E595:H595"/>
    <mergeCell ref="E596:H596"/>
    <mergeCell ref="D597:H597"/>
    <mergeCell ref="D598:H598"/>
    <mergeCell ref="D599:H599"/>
    <mergeCell ref="F517:H517"/>
    <mergeCell ref="F518:H518"/>
    <mergeCell ref="F519:H519"/>
    <mergeCell ref="F520:H520"/>
    <mergeCell ref="F521:H521"/>
    <mergeCell ref="F522:H522"/>
    <mergeCell ref="F524:H524"/>
    <mergeCell ref="F525:H525"/>
    <mergeCell ref="F526:H526"/>
    <mergeCell ref="F527:H527"/>
    <mergeCell ref="E529:H529"/>
    <mergeCell ref="F530:H530"/>
    <mergeCell ref="F531:H531"/>
    <mergeCell ref="F532:H532"/>
    <mergeCell ref="F533:H533"/>
    <mergeCell ref="F534:H534"/>
    <mergeCell ref="F535:H535"/>
    <mergeCell ref="F537:H537"/>
    <mergeCell ref="F538:H538"/>
    <mergeCell ref="F539:H539"/>
    <mergeCell ref="F540:H540"/>
    <mergeCell ref="D542:H546"/>
    <mergeCell ref="D548:H548"/>
    <mergeCell ref="E549:H549"/>
    <mergeCell ref="F550:H550"/>
    <mergeCell ref="F551:H551"/>
    <mergeCell ref="F552:H552"/>
    <mergeCell ref="F553:H553"/>
    <mergeCell ref="F554:H554"/>
    <mergeCell ref="F555:H555"/>
    <mergeCell ref="F557:H557"/>
    <mergeCell ref="F558:H558"/>
    <mergeCell ref="F559:H559"/>
    <mergeCell ref="F560:H560"/>
    <mergeCell ref="E562:H562"/>
    <mergeCell ref="F563:H563"/>
    <mergeCell ref="F564:H564"/>
    <mergeCell ref="F565:H565"/>
    <mergeCell ref="F566:H566"/>
    <mergeCell ref="F567:H567"/>
    <mergeCell ref="F568:H568"/>
    <mergeCell ref="F570:H570"/>
    <mergeCell ref="D589:H591"/>
    <mergeCell ref="I589:I591"/>
    <mergeCell ref="J589:V590"/>
    <mergeCell ref="J592:U592"/>
  </mergeCells>
  <dataValidations>
    <dataValidation type="decimal" allowBlank="1" showErrorMessage="1" sqref="H2">
      <formula1>2010.0</formula1>
      <formula2>2030.0</formula2>
    </dataValidation>
    <dataValidation type="list" allowBlank="1" showErrorMessage="1" sqref="H4">
      <formula1>Sheet1!$A$3:$A$10</formula1>
    </dataValidation>
    <dataValidation type="list" allowBlank="1" showInputMessage="1" showErrorMessage="1" prompt="Cek - Pilih data yang sesuai" sqref="H6">
      <formula1>INDIRECT(H4)</formula1>
    </dataValidation>
  </dataValidation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9.0" ySplit="15.0" topLeftCell="J16" activePane="bottomRight" state="frozen"/>
      <selection activeCell="J1" sqref="J1" pane="topRight"/>
      <selection activeCell="A16" sqref="A16" pane="bottomLeft"/>
      <selection activeCell="J16" sqref="J16" pane="bottomRight"/>
    </sheetView>
  </sheetViews>
  <sheetFormatPr customHeight="1" defaultColWidth="14.43" defaultRowHeight="15.0"/>
  <cols>
    <col customWidth="1" min="1" max="1" width="2.71"/>
    <col customWidth="1" hidden="1" min="2" max="2" width="15.57"/>
    <col customWidth="1" min="3" max="7" width="6.43"/>
    <col customWidth="1" min="8" max="8" width="16.43"/>
    <col customWidth="1" min="9" max="9" width="7.86"/>
    <col customWidth="1" min="10" max="22" width="15.29"/>
    <col customWidth="1" min="23" max="26" width="8.71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ht="14.25" customHeight="1">
      <c r="A2" s="7"/>
      <c r="B2" s="7"/>
      <c r="C2" s="12" t="s">
        <v>223</v>
      </c>
      <c r="D2" s="10"/>
      <c r="E2" s="10"/>
      <c r="F2" s="10"/>
      <c r="G2" s="10"/>
      <c r="H2" s="13">
        <f>ARUS!H2</f>
        <v>2026</v>
      </c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ht="2.25" customHeight="1">
      <c r="A3" s="7"/>
      <c r="B3" s="7"/>
      <c r="C3" s="7"/>
      <c r="D3" s="7"/>
      <c r="E3" s="7"/>
      <c r="F3" s="7"/>
      <c r="G3" s="7"/>
      <c r="H3" s="7"/>
      <c r="I3" s="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14.25" customHeight="1">
      <c r="A4" s="7"/>
      <c r="B4" s="7" t="str">
        <f>ARUS!B4</f>
        <v>002</v>
      </c>
      <c r="C4" s="12" t="s">
        <v>224</v>
      </c>
      <c r="D4" s="10"/>
      <c r="E4" s="10"/>
      <c r="F4" s="10"/>
      <c r="G4" s="10"/>
      <c r="H4" s="7" t="str">
        <f>ARUS!H4</f>
        <v>Regional.2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ht="1.5" customHeight="1">
      <c r="A5" s="7"/>
      <c r="B5" s="7" t="str">
        <f>ARUS!B5</f>
        <v>RegP2</v>
      </c>
      <c r="C5" s="7"/>
      <c r="D5" s="7"/>
      <c r="E5" s="7"/>
      <c r="F5" s="7"/>
      <c r="G5" s="7"/>
      <c r="H5" s="7"/>
      <c r="I5" s="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ht="14.25" customHeight="1">
      <c r="A6" s="7"/>
      <c r="B6" s="7">
        <f>ARUS!B6</f>
        <v>38</v>
      </c>
      <c r="C6" s="12" t="s">
        <v>225</v>
      </c>
      <c r="D6" s="10"/>
      <c r="E6" s="10"/>
      <c r="F6" s="10"/>
      <c r="G6" s="10"/>
      <c r="H6" s="7" t="str">
        <f>ARUS!H6</f>
        <v>Banten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ht="2.25" customHeight="1">
      <c r="A7" s="7"/>
      <c r="B7" s="7"/>
      <c r="C7" s="7"/>
      <c r="D7" s="7"/>
      <c r="E7" s="7"/>
      <c r="F7" s="7"/>
      <c r="G7" s="7"/>
      <c r="H7" s="7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ht="23.25" customHeight="1">
      <c r="A8" s="14">
        <v>1.0</v>
      </c>
      <c r="B8" s="15"/>
      <c r="C8" s="14" t="s">
        <v>567</v>
      </c>
      <c r="D8" s="7"/>
      <c r="E8" s="7"/>
      <c r="F8" s="7"/>
      <c r="G8" s="7"/>
      <c r="H8" s="7"/>
      <c r="I8" s="7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ht="14.25" hidden="1" customHeight="1">
      <c r="A9" s="15"/>
      <c r="B9" s="15"/>
      <c r="C9" s="14"/>
      <c r="D9" s="7"/>
      <c r="E9" s="7"/>
      <c r="F9" s="7"/>
      <c r="G9" s="7"/>
      <c r="H9" s="7"/>
      <c r="I9" s="7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ht="14.25" hidden="1" customHeight="1">
      <c r="A10" s="15"/>
      <c r="B10" s="15" t="s">
        <v>227</v>
      </c>
      <c r="C10" s="14"/>
      <c r="J10" s="11">
        <v>1.0</v>
      </c>
      <c r="K10" s="11">
        <v>2.0</v>
      </c>
      <c r="L10" s="11">
        <v>3.0</v>
      </c>
      <c r="M10" s="11">
        <v>4.0</v>
      </c>
      <c r="N10" s="11">
        <v>5.0</v>
      </c>
      <c r="O10" s="11">
        <v>6.0</v>
      </c>
      <c r="P10" s="11">
        <v>7.0</v>
      </c>
      <c r="Q10" s="11">
        <v>8.0</v>
      </c>
      <c r="R10" s="11">
        <v>9.0</v>
      </c>
      <c r="S10" s="11">
        <v>10.0</v>
      </c>
      <c r="T10" s="11">
        <v>11.0</v>
      </c>
      <c r="U10" s="11">
        <v>12.0</v>
      </c>
      <c r="V10" s="11"/>
    </row>
    <row r="11" ht="6.0" customHeight="1">
      <c r="A11" s="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ht="15.0" customHeight="1">
      <c r="A12" s="7"/>
      <c r="B12" s="7"/>
      <c r="C12" s="16" t="s">
        <v>228</v>
      </c>
      <c r="D12" s="17" t="s">
        <v>229</v>
      </c>
      <c r="E12" s="18"/>
      <c r="F12" s="18"/>
      <c r="G12" s="18"/>
      <c r="H12" s="19"/>
      <c r="I12" s="20" t="s">
        <v>230</v>
      </c>
      <c r="J12" s="21">
        <f>$H$2</f>
        <v>2026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</row>
    <row r="13" ht="14.25" customHeight="1">
      <c r="A13" s="7"/>
      <c r="B13" s="7"/>
      <c r="C13" s="22"/>
      <c r="D13" s="23"/>
      <c r="H13" s="24"/>
      <c r="I13" s="22"/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</row>
    <row r="14" ht="14.25" customHeight="1">
      <c r="A14" s="7"/>
      <c r="B14" s="7"/>
      <c r="C14" s="25"/>
      <c r="D14" s="26"/>
      <c r="E14" s="27"/>
      <c r="F14" s="27"/>
      <c r="G14" s="27"/>
      <c r="H14" s="28"/>
      <c r="I14" s="25"/>
      <c r="J14" s="117" t="s">
        <v>231</v>
      </c>
      <c r="K14" s="117" t="s">
        <v>232</v>
      </c>
      <c r="L14" s="117" t="s">
        <v>233</v>
      </c>
      <c r="M14" s="117" t="s">
        <v>234</v>
      </c>
      <c r="N14" s="117" t="s">
        <v>235</v>
      </c>
      <c r="O14" s="117" t="s">
        <v>236</v>
      </c>
      <c r="P14" s="117" t="s">
        <v>237</v>
      </c>
      <c r="Q14" s="117" t="s">
        <v>238</v>
      </c>
      <c r="R14" s="117" t="s">
        <v>239</v>
      </c>
      <c r="S14" s="117" t="s">
        <v>240</v>
      </c>
      <c r="T14" s="117" t="s">
        <v>241</v>
      </c>
      <c r="U14" s="117" t="s">
        <v>242</v>
      </c>
      <c r="V14" s="117" t="s">
        <v>243</v>
      </c>
    </row>
    <row r="15" ht="14.25" customHeight="1">
      <c r="A15" s="7"/>
      <c r="B15" s="7"/>
      <c r="C15" s="29">
        <v>1.0</v>
      </c>
      <c r="D15" s="30">
        <v>2.0</v>
      </c>
      <c r="E15" s="31"/>
      <c r="F15" s="31"/>
      <c r="G15" s="31"/>
      <c r="H15" s="32"/>
      <c r="I15" s="33">
        <v>3.0</v>
      </c>
      <c r="J15" s="118">
        <v>4.0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33">
        <v>5.0</v>
      </c>
    </row>
    <row r="16" ht="14.25" customHeight="1">
      <c r="A16" s="7"/>
      <c r="B16" s="7"/>
      <c r="C16" s="44"/>
      <c r="D16" s="53"/>
      <c r="E16" s="31"/>
      <c r="F16" s="31"/>
      <c r="G16" s="31"/>
      <c r="H16" s="32"/>
      <c r="I16" s="66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 ht="14.25" customHeight="1">
      <c r="A17" s="7"/>
      <c r="B17" s="94"/>
      <c r="C17" s="44">
        <v>1.0</v>
      </c>
      <c r="D17" s="45" t="s">
        <v>376</v>
      </c>
      <c r="E17" s="31"/>
      <c r="F17" s="31"/>
      <c r="G17" s="31"/>
      <c r="H17" s="32"/>
      <c r="I17" s="66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 ht="14.25" customHeight="1">
      <c r="A18" s="7"/>
      <c r="B18" s="94" t="s">
        <v>568</v>
      </c>
      <c r="C18" s="44"/>
      <c r="D18" s="53">
        <v>1.0</v>
      </c>
      <c r="E18" s="120" t="s">
        <v>569</v>
      </c>
      <c r="F18" s="31"/>
      <c r="G18" s="31"/>
      <c r="H18" s="32"/>
      <c r="I18" s="66" t="s">
        <v>570</v>
      </c>
      <c r="J18" s="47">
        <v>0.0</v>
      </c>
      <c r="K18" s="48">
        <v>0.0</v>
      </c>
      <c r="L18" s="47">
        <v>0.011904761904761904</v>
      </c>
      <c r="M18" s="49">
        <v>0.01</v>
      </c>
      <c r="N18" s="50">
        <v>0.01</v>
      </c>
      <c r="O18" s="48"/>
      <c r="P18" s="49"/>
      <c r="Q18" s="49"/>
      <c r="R18" s="47"/>
      <c r="S18" s="49"/>
      <c r="T18" s="121"/>
      <c r="U18" s="49"/>
      <c r="V18" s="51">
        <f t="shared" ref="V18:V22" si="1">IFERROR(AVERAGE(J18:U18),"")</f>
        <v>0.006380952381</v>
      </c>
    </row>
    <row r="19" ht="14.25" customHeight="1">
      <c r="A19" s="7"/>
      <c r="B19" s="94" t="s">
        <v>571</v>
      </c>
      <c r="C19" s="44"/>
      <c r="D19" s="53">
        <v>2.0</v>
      </c>
      <c r="E19" s="120" t="s">
        <v>572</v>
      </c>
      <c r="F19" s="31"/>
      <c r="G19" s="31"/>
      <c r="H19" s="32"/>
      <c r="I19" s="66" t="s">
        <v>570</v>
      </c>
      <c r="J19" s="60"/>
      <c r="K19" s="61"/>
      <c r="L19" s="60"/>
      <c r="M19" s="61"/>
      <c r="N19" s="62"/>
      <c r="O19" s="61"/>
      <c r="P19" s="63"/>
      <c r="Q19" s="63"/>
      <c r="R19" s="60"/>
      <c r="S19" s="61"/>
      <c r="T19" s="85"/>
      <c r="U19" s="63"/>
      <c r="V19" s="51" t="str">
        <f t="shared" si="1"/>
        <v/>
      </c>
    </row>
    <row r="20" ht="14.25" customHeight="1">
      <c r="A20" s="7"/>
      <c r="B20" s="94" t="s">
        <v>573</v>
      </c>
      <c r="C20" s="44"/>
      <c r="D20" s="46">
        <v>3.0</v>
      </c>
      <c r="E20" s="122" t="s">
        <v>574</v>
      </c>
      <c r="F20" s="31"/>
      <c r="G20" s="31"/>
      <c r="H20" s="32"/>
      <c r="I20" s="66" t="s">
        <v>570</v>
      </c>
      <c r="J20" s="60"/>
      <c r="K20" s="61"/>
      <c r="L20" s="60"/>
      <c r="M20" s="61"/>
      <c r="N20" s="62"/>
      <c r="O20" s="61"/>
      <c r="P20" s="63"/>
      <c r="Q20" s="63"/>
      <c r="R20" s="60"/>
      <c r="S20" s="61"/>
      <c r="T20" s="85"/>
      <c r="U20" s="63"/>
      <c r="V20" s="51" t="str">
        <f t="shared" si="1"/>
        <v/>
      </c>
    </row>
    <row r="21" ht="14.25" customHeight="1">
      <c r="A21" s="7"/>
      <c r="B21" s="94" t="s">
        <v>575</v>
      </c>
      <c r="C21" s="44"/>
      <c r="D21" s="53">
        <v>4.0</v>
      </c>
      <c r="E21" s="120" t="s">
        <v>576</v>
      </c>
      <c r="F21" s="31"/>
      <c r="G21" s="31"/>
      <c r="H21" s="32"/>
      <c r="I21" s="66" t="s">
        <v>570</v>
      </c>
      <c r="J21" s="47">
        <v>0.75</v>
      </c>
      <c r="K21" s="57">
        <v>0.77</v>
      </c>
      <c r="L21" s="47">
        <v>0.752777777777778</v>
      </c>
      <c r="M21" s="58">
        <v>0.7898550724637682</v>
      </c>
      <c r="N21" s="50">
        <v>0.69</v>
      </c>
      <c r="O21" s="57"/>
      <c r="P21" s="49"/>
      <c r="Q21" s="49"/>
      <c r="R21" s="47"/>
      <c r="S21" s="58"/>
      <c r="T21" s="123"/>
      <c r="U21" s="49"/>
      <c r="V21" s="51">
        <f t="shared" si="1"/>
        <v>0.75052657</v>
      </c>
    </row>
    <row r="22" ht="14.25" customHeight="1">
      <c r="A22" s="7"/>
      <c r="B22" s="94" t="s">
        <v>577</v>
      </c>
      <c r="C22" s="44"/>
      <c r="D22" s="53">
        <v>5.0</v>
      </c>
      <c r="E22" s="120" t="s">
        <v>578</v>
      </c>
      <c r="F22" s="31"/>
      <c r="G22" s="31"/>
      <c r="H22" s="32"/>
      <c r="I22" s="66" t="s">
        <v>570</v>
      </c>
      <c r="J22" s="60"/>
      <c r="K22" s="60"/>
      <c r="L22" s="60"/>
      <c r="M22" s="61"/>
      <c r="N22" s="62"/>
      <c r="O22" s="61"/>
      <c r="P22" s="63"/>
      <c r="Q22" s="63"/>
      <c r="R22" s="60"/>
      <c r="S22" s="61"/>
      <c r="T22" s="85"/>
      <c r="U22" s="63"/>
      <c r="V22" s="51" t="str">
        <f t="shared" si="1"/>
        <v/>
      </c>
    </row>
    <row r="23" ht="14.25" customHeight="1">
      <c r="A23" s="7"/>
      <c r="B23" s="94"/>
      <c r="C23" s="44"/>
      <c r="D23" s="53"/>
      <c r="E23" s="31"/>
      <c r="F23" s="31"/>
      <c r="G23" s="31"/>
      <c r="H23" s="32"/>
      <c r="I23" s="106"/>
      <c r="J23" s="124"/>
      <c r="K23" s="43"/>
      <c r="L23" s="43"/>
      <c r="M23" s="76"/>
      <c r="N23" s="125"/>
      <c r="O23" s="76"/>
      <c r="P23" s="75"/>
      <c r="Q23" s="75"/>
      <c r="R23" s="43"/>
      <c r="S23" s="76"/>
      <c r="T23" s="126"/>
      <c r="U23" s="75"/>
      <c r="V23" s="127"/>
    </row>
    <row r="24" ht="14.25" customHeight="1">
      <c r="A24" s="7"/>
      <c r="B24" s="94"/>
      <c r="C24" s="44">
        <v>2.0</v>
      </c>
      <c r="D24" s="45" t="s">
        <v>437</v>
      </c>
      <c r="E24" s="31"/>
      <c r="F24" s="31"/>
      <c r="G24" s="31"/>
      <c r="H24" s="32"/>
      <c r="I24" s="66"/>
      <c r="J24" s="43"/>
      <c r="K24" s="43"/>
      <c r="L24" s="43"/>
      <c r="M24" s="76"/>
      <c r="N24" s="128"/>
      <c r="O24" s="76"/>
      <c r="P24" s="75"/>
      <c r="Q24" s="75"/>
      <c r="R24" s="43"/>
      <c r="S24" s="76"/>
      <c r="T24" s="126"/>
      <c r="U24" s="75"/>
      <c r="V24" s="127"/>
    </row>
    <row r="25" ht="14.25" customHeight="1">
      <c r="A25" s="7"/>
      <c r="B25" s="94" t="s">
        <v>579</v>
      </c>
      <c r="C25" s="44"/>
      <c r="D25" s="53">
        <v>1.0</v>
      </c>
      <c r="E25" s="120" t="s">
        <v>569</v>
      </c>
      <c r="F25" s="31"/>
      <c r="G25" s="31"/>
      <c r="H25" s="32"/>
      <c r="I25" s="66" t="s">
        <v>570</v>
      </c>
      <c r="J25" s="47">
        <v>0.15</v>
      </c>
      <c r="K25" s="48">
        <v>0.05</v>
      </c>
      <c r="L25" s="47">
        <v>0.041666666666666664</v>
      </c>
      <c r="M25" s="49">
        <v>0.01</v>
      </c>
      <c r="N25" s="50">
        <v>0.01</v>
      </c>
      <c r="O25" s="57"/>
      <c r="P25" s="49"/>
      <c r="Q25" s="49"/>
      <c r="R25" s="47"/>
      <c r="S25" s="58"/>
      <c r="T25" s="123"/>
      <c r="U25" s="49"/>
      <c r="V25" s="51">
        <f t="shared" ref="V25:V29" si="2">IFERROR(AVERAGE(J25:U25),"")</f>
        <v>0.05233333333</v>
      </c>
    </row>
    <row r="26" ht="14.25" customHeight="1">
      <c r="A26" s="7"/>
      <c r="B26" s="94" t="s">
        <v>580</v>
      </c>
      <c r="C26" s="44"/>
      <c r="D26" s="53">
        <v>2.0</v>
      </c>
      <c r="E26" s="120" t="s">
        <v>572</v>
      </c>
      <c r="F26" s="31"/>
      <c r="G26" s="31"/>
      <c r="H26" s="32"/>
      <c r="I26" s="66" t="s">
        <v>570</v>
      </c>
      <c r="J26" s="60"/>
      <c r="K26" s="61"/>
      <c r="L26" s="60"/>
      <c r="M26" s="61"/>
      <c r="N26" s="62"/>
      <c r="O26" s="61"/>
      <c r="P26" s="63"/>
      <c r="Q26" s="63"/>
      <c r="R26" s="60"/>
      <c r="S26" s="61"/>
      <c r="T26" s="85"/>
      <c r="U26" s="63"/>
      <c r="V26" s="51" t="str">
        <f t="shared" si="2"/>
        <v/>
      </c>
    </row>
    <row r="27" ht="14.25" customHeight="1">
      <c r="A27" s="7"/>
      <c r="B27" s="94" t="s">
        <v>581</v>
      </c>
      <c r="C27" s="44"/>
      <c r="D27" s="46">
        <v>3.0</v>
      </c>
      <c r="E27" s="122" t="s">
        <v>574</v>
      </c>
      <c r="F27" s="31"/>
      <c r="G27" s="31"/>
      <c r="H27" s="32"/>
      <c r="I27" s="66" t="s">
        <v>570</v>
      </c>
      <c r="J27" s="60"/>
      <c r="K27" s="61"/>
      <c r="L27" s="60"/>
      <c r="M27" s="61"/>
      <c r="N27" s="62"/>
      <c r="O27" s="61"/>
      <c r="P27" s="63"/>
      <c r="Q27" s="63"/>
      <c r="R27" s="60"/>
      <c r="S27" s="61"/>
      <c r="T27" s="85"/>
      <c r="U27" s="63"/>
      <c r="V27" s="51" t="str">
        <f t="shared" si="2"/>
        <v/>
      </c>
    </row>
    <row r="28" ht="14.25" customHeight="1">
      <c r="A28" s="7"/>
      <c r="B28" s="94" t="s">
        <v>582</v>
      </c>
      <c r="C28" s="44"/>
      <c r="D28" s="53">
        <v>4.0</v>
      </c>
      <c r="E28" s="120" t="s">
        <v>576</v>
      </c>
      <c r="F28" s="31"/>
      <c r="G28" s="31"/>
      <c r="H28" s="32"/>
      <c r="I28" s="66" t="s">
        <v>570</v>
      </c>
      <c r="J28" s="47">
        <v>0.5</v>
      </c>
      <c r="K28" s="57">
        <v>0.53</v>
      </c>
      <c r="L28" s="47">
        <v>0.4810457516339868</v>
      </c>
      <c r="M28" s="58">
        <v>0.4946483180428134</v>
      </c>
      <c r="N28" s="50">
        <v>0.53</v>
      </c>
      <c r="O28" s="57"/>
      <c r="P28" s="49"/>
      <c r="Q28" s="49"/>
      <c r="R28" s="47"/>
      <c r="S28" s="58"/>
      <c r="T28" s="123"/>
      <c r="U28" s="49"/>
      <c r="V28" s="51">
        <f t="shared" si="2"/>
        <v>0.5071388139</v>
      </c>
    </row>
    <row r="29" ht="14.25" customHeight="1">
      <c r="A29" s="7"/>
      <c r="B29" s="94" t="s">
        <v>583</v>
      </c>
      <c r="C29" s="44"/>
      <c r="D29" s="53">
        <v>5.0</v>
      </c>
      <c r="E29" s="120" t="s">
        <v>578</v>
      </c>
      <c r="F29" s="31"/>
      <c r="G29" s="31"/>
      <c r="H29" s="32"/>
      <c r="I29" s="66" t="s">
        <v>570</v>
      </c>
      <c r="J29" s="60"/>
      <c r="K29" s="60"/>
      <c r="L29" s="60"/>
      <c r="M29" s="61"/>
      <c r="N29" s="62"/>
      <c r="O29" s="129"/>
      <c r="P29" s="63"/>
      <c r="Q29" s="63"/>
      <c r="R29" s="60"/>
      <c r="S29" s="61"/>
      <c r="T29" s="85"/>
      <c r="U29" s="60"/>
      <c r="V29" s="51" t="str">
        <f t="shared" si="2"/>
        <v/>
      </c>
    </row>
    <row r="30" ht="14.25" customHeight="1">
      <c r="A30" s="7"/>
      <c r="B30" s="94"/>
      <c r="C30" s="44"/>
      <c r="D30" s="53"/>
      <c r="E30" s="31"/>
      <c r="F30" s="31"/>
      <c r="G30" s="31"/>
      <c r="H30" s="32"/>
      <c r="I30" s="106"/>
      <c r="J30" s="43"/>
      <c r="K30" s="43"/>
      <c r="L30" s="43"/>
      <c r="M30" s="76"/>
      <c r="N30" s="125"/>
      <c r="O30" s="130"/>
      <c r="P30" s="75"/>
      <c r="Q30" s="43"/>
      <c r="R30" s="43"/>
      <c r="S30" s="76"/>
      <c r="T30" s="126"/>
      <c r="U30" s="43"/>
      <c r="V30" s="127"/>
    </row>
    <row r="31" ht="14.25" customHeight="1">
      <c r="A31" s="7"/>
      <c r="B31" s="94"/>
      <c r="C31" s="44">
        <v>3.0</v>
      </c>
      <c r="D31" s="45" t="s">
        <v>584</v>
      </c>
      <c r="E31" s="31"/>
      <c r="F31" s="31"/>
      <c r="G31" s="31"/>
      <c r="H31" s="32"/>
      <c r="I31" s="66"/>
      <c r="J31" s="43"/>
      <c r="K31" s="43"/>
      <c r="L31" s="43"/>
      <c r="M31" s="76"/>
      <c r="N31" s="125"/>
      <c r="O31" s="130"/>
      <c r="P31" s="75"/>
      <c r="Q31" s="43"/>
      <c r="R31" s="43"/>
      <c r="S31" s="76"/>
      <c r="T31" s="126"/>
      <c r="U31" s="43"/>
      <c r="V31" s="127"/>
    </row>
    <row r="32" ht="14.25" customHeight="1">
      <c r="A32" s="7"/>
      <c r="B32" s="94" t="s">
        <v>585</v>
      </c>
      <c r="C32" s="44"/>
      <c r="D32" s="53">
        <v>1.0</v>
      </c>
      <c r="E32" s="120" t="s">
        <v>569</v>
      </c>
      <c r="F32" s="31"/>
      <c r="G32" s="31"/>
      <c r="H32" s="32"/>
      <c r="I32" s="66" t="s">
        <v>570</v>
      </c>
      <c r="J32" s="47">
        <v>0.07</v>
      </c>
      <c r="K32" s="48">
        <v>0.03</v>
      </c>
      <c r="L32" s="47">
        <v>0.026785714285714284</v>
      </c>
      <c r="M32" s="49">
        <v>0.01</v>
      </c>
      <c r="N32" s="50">
        <v>0.0</v>
      </c>
      <c r="O32" s="57"/>
      <c r="P32" s="49"/>
      <c r="Q32" s="49"/>
      <c r="R32" s="47"/>
      <c r="S32" s="58"/>
      <c r="T32" s="123"/>
      <c r="U32" s="49"/>
      <c r="V32" s="51">
        <f t="shared" ref="V32:V36" si="3">IFERROR(AVERAGE(J32:U32),"")</f>
        <v>0.02735714286</v>
      </c>
    </row>
    <row r="33" ht="14.25" customHeight="1">
      <c r="A33" s="7"/>
      <c r="B33" s="94" t="s">
        <v>586</v>
      </c>
      <c r="C33" s="44"/>
      <c r="D33" s="53">
        <v>2.0</v>
      </c>
      <c r="E33" s="120" t="s">
        <v>572</v>
      </c>
      <c r="F33" s="31"/>
      <c r="G33" s="31"/>
      <c r="H33" s="32"/>
      <c r="I33" s="66" t="s">
        <v>570</v>
      </c>
      <c r="J33" s="60"/>
      <c r="K33" s="61"/>
      <c r="L33" s="60"/>
      <c r="M33" s="61"/>
      <c r="N33" s="62"/>
      <c r="O33" s="61"/>
      <c r="P33" s="63"/>
      <c r="Q33" s="63"/>
      <c r="R33" s="60"/>
      <c r="S33" s="61"/>
      <c r="T33" s="85"/>
      <c r="U33" s="63"/>
      <c r="V33" s="51" t="str">
        <f t="shared" si="3"/>
        <v/>
      </c>
    </row>
    <row r="34" ht="14.25" customHeight="1">
      <c r="A34" s="7"/>
      <c r="B34" s="94" t="s">
        <v>587</v>
      </c>
      <c r="C34" s="44"/>
      <c r="D34" s="46">
        <v>3.0</v>
      </c>
      <c r="E34" s="122" t="s">
        <v>574</v>
      </c>
      <c r="F34" s="31"/>
      <c r="G34" s="31"/>
      <c r="H34" s="32"/>
      <c r="I34" s="66" t="s">
        <v>570</v>
      </c>
      <c r="J34" s="60"/>
      <c r="K34" s="61"/>
      <c r="L34" s="60"/>
      <c r="M34" s="61"/>
      <c r="N34" s="62"/>
      <c r="O34" s="61"/>
      <c r="P34" s="63"/>
      <c r="Q34" s="63"/>
      <c r="R34" s="60"/>
      <c r="S34" s="61"/>
      <c r="T34" s="85"/>
      <c r="U34" s="63"/>
      <c r="V34" s="51" t="str">
        <f t="shared" si="3"/>
        <v/>
      </c>
    </row>
    <row r="35" ht="14.25" customHeight="1">
      <c r="A35" s="7"/>
      <c r="B35" s="94" t="s">
        <v>588</v>
      </c>
      <c r="C35" s="44"/>
      <c r="D35" s="53">
        <v>4.0</v>
      </c>
      <c r="E35" s="120" t="s">
        <v>576</v>
      </c>
      <c r="F35" s="31"/>
      <c r="G35" s="31"/>
      <c r="H35" s="32"/>
      <c r="I35" s="66" t="s">
        <v>570</v>
      </c>
      <c r="J35" s="47">
        <v>0.62</v>
      </c>
      <c r="K35" s="57">
        <v>0.65</v>
      </c>
      <c r="L35" s="47">
        <v>0.6169117647058824</v>
      </c>
      <c r="M35" s="58">
        <v>0.6422516952532908</v>
      </c>
      <c r="N35" s="50">
        <v>0.61</v>
      </c>
      <c r="O35" s="57"/>
      <c r="P35" s="49"/>
      <c r="Q35" s="49"/>
      <c r="R35" s="47"/>
      <c r="S35" s="58"/>
      <c r="T35" s="123"/>
      <c r="U35" s="49"/>
      <c r="V35" s="51">
        <f t="shared" si="3"/>
        <v>0.627832692</v>
      </c>
    </row>
    <row r="36" ht="14.25" customHeight="1">
      <c r="A36" s="7"/>
      <c r="B36" s="94" t="s">
        <v>589</v>
      </c>
      <c r="C36" s="44"/>
      <c r="D36" s="53">
        <v>5.0</v>
      </c>
      <c r="E36" s="120" t="s">
        <v>578</v>
      </c>
      <c r="F36" s="31"/>
      <c r="G36" s="31"/>
      <c r="H36" s="32"/>
      <c r="I36" s="66" t="s">
        <v>570</v>
      </c>
      <c r="J36" s="60"/>
      <c r="K36" s="60"/>
      <c r="L36" s="60"/>
      <c r="M36" s="61"/>
      <c r="N36" s="62"/>
      <c r="O36" s="61"/>
      <c r="P36" s="63"/>
      <c r="Q36" s="63"/>
      <c r="R36" s="60"/>
      <c r="S36" s="61"/>
      <c r="T36" s="85"/>
      <c r="U36" s="63"/>
      <c r="V36" s="51" t="str">
        <f t="shared" si="3"/>
        <v/>
      </c>
    </row>
    <row r="37" ht="14.25" customHeight="1">
      <c r="A37" s="7"/>
      <c r="B37" s="94"/>
      <c r="C37" s="44"/>
      <c r="D37" s="53"/>
      <c r="E37" s="31"/>
      <c r="F37" s="31"/>
      <c r="G37" s="31"/>
      <c r="H37" s="32"/>
      <c r="I37" s="106"/>
      <c r="J37" s="43"/>
      <c r="K37" s="43"/>
      <c r="L37" s="43"/>
      <c r="M37" s="76"/>
      <c r="N37" s="125"/>
      <c r="O37" s="76"/>
      <c r="P37" s="75"/>
      <c r="Q37" s="75"/>
      <c r="R37" s="43"/>
      <c r="S37" s="76"/>
      <c r="T37" s="126"/>
      <c r="U37" s="75"/>
      <c r="V37" s="127"/>
    </row>
    <row r="38" ht="14.25" customHeight="1">
      <c r="A38" s="7"/>
      <c r="B38" s="94"/>
      <c r="C38" s="44">
        <v>4.0</v>
      </c>
      <c r="D38" s="45" t="s">
        <v>590</v>
      </c>
      <c r="E38" s="31"/>
      <c r="F38" s="31"/>
      <c r="G38" s="31"/>
      <c r="H38" s="32"/>
      <c r="I38" s="66"/>
      <c r="J38" s="43"/>
      <c r="K38" s="43"/>
      <c r="L38" s="43"/>
      <c r="M38" s="76"/>
      <c r="N38" s="125"/>
      <c r="O38" s="76"/>
      <c r="P38" s="75"/>
      <c r="Q38" s="75"/>
      <c r="R38" s="43"/>
      <c r="S38" s="76"/>
      <c r="T38" s="126"/>
      <c r="U38" s="75"/>
      <c r="V38" s="127"/>
    </row>
    <row r="39" ht="14.25" customHeight="1">
      <c r="A39" s="7"/>
      <c r="B39" s="94" t="s">
        <v>591</v>
      </c>
      <c r="C39" s="44"/>
      <c r="D39" s="53">
        <v>1.0</v>
      </c>
      <c r="E39" s="120" t="s">
        <v>569</v>
      </c>
      <c r="F39" s="31"/>
      <c r="G39" s="31"/>
      <c r="H39" s="32"/>
      <c r="I39" s="66" t="s">
        <v>570</v>
      </c>
      <c r="J39" s="47">
        <v>0.2</v>
      </c>
      <c r="K39" s="48">
        <v>0.06</v>
      </c>
      <c r="L39" s="47">
        <v>0.02780577427821522</v>
      </c>
      <c r="M39" s="58">
        <v>0.01380890052356021</v>
      </c>
      <c r="N39" s="50">
        <v>0.03</v>
      </c>
      <c r="O39" s="57"/>
      <c r="P39" s="49"/>
      <c r="Q39" s="49"/>
      <c r="R39" s="47"/>
      <c r="S39" s="58"/>
      <c r="T39" s="123"/>
      <c r="U39" s="49"/>
      <c r="V39" s="51">
        <f t="shared" ref="V39:V43" si="4">IFERROR(AVERAGE(J39:U39),"")</f>
        <v>0.06632293496</v>
      </c>
    </row>
    <row r="40" ht="14.25" customHeight="1">
      <c r="A40" s="7"/>
      <c r="B40" s="94" t="s">
        <v>592</v>
      </c>
      <c r="C40" s="44"/>
      <c r="D40" s="53">
        <v>2.0</v>
      </c>
      <c r="E40" s="120" t="s">
        <v>572</v>
      </c>
      <c r="F40" s="31"/>
      <c r="G40" s="31"/>
      <c r="H40" s="32"/>
      <c r="I40" s="66" t="s">
        <v>570</v>
      </c>
      <c r="J40" s="60"/>
      <c r="K40" s="61"/>
      <c r="L40" s="60"/>
      <c r="M40" s="61"/>
      <c r="N40" s="62"/>
      <c r="O40" s="61"/>
      <c r="P40" s="63"/>
      <c r="Q40" s="63"/>
      <c r="R40" s="60"/>
      <c r="S40" s="61"/>
      <c r="T40" s="85"/>
      <c r="U40" s="63"/>
      <c r="V40" s="51" t="str">
        <f t="shared" si="4"/>
        <v/>
      </c>
    </row>
    <row r="41" ht="14.25" customHeight="1">
      <c r="A41" s="7"/>
      <c r="B41" s="94" t="s">
        <v>593</v>
      </c>
      <c r="C41" s="44"/>
      <c r="D41" s="46">
        <v>3.0</v>
      </c>
      <c r="E41" s="122" t="s">
        <v>574</v>
      </c>
      <c r="F41" s="31"/>
      <c r="G41" s="31"/>
      <c r="H41" s="32"/>
      <c r="I41" s="66" t="s">
        <v>570</v>
      </c>
      <c r="J41" s="60"/>
      <c r="K41" s="61"/>
      <c r="L41" s="60"/>
      <c r="M41" s="61"/>
      <c r="N41" s="62"/>
      <c r="O41" s="61"/>
      <c r="P41" s="63"/>
      <c r="Q41" s="63"/>
      <c r="R41" s="60"/>
      <c r="S41" s="61"/>
      <c r="T41" s="85"/>
      <c r="U41" s="63"/>
      <c r="V41" s="51" t="str">
        <f t="shared" si="4"/>
        <v/>
      </c>
    </row>
    <row r="42" ht="14.25" customHeight="1">
      <c r="A42" s="7"/>
      <c r="B42" s="94" t="s">
        <v>594</v>
      </c>
      <c r="C42" s="44"/>
      <c r="D42" s="53">
        <v>4.0</v>
      </c>
      <c r="E42" s="120" t="s">
        <v>576</v>
      </c>
      <c r="F42" s="31"/>
      <c r="G42" s="31"/>
      <c r="H42" s="32"/>
      <c r="I42" s="66" t="s">
        <v>570</v>
      </c>
      <c r="J42" s="47">
        <v>0.73</v>
      </c>
      <c r="K42" s="57">
        <v>0.71</v>
      </c>
      <c r="L42" s="47">
        <v>0.7015468066491688</v>
      </c>
      <c r="M42" s="58">
        <v>0.6946226003490406</v>
      </c>
      <c r="N42" s="50">
        <v>0.68</v>
      </c>
      <c r="O42" s="57"/>
      <c r="P42" s="49"/>
      <c r="Q42" s="49"/>
      <c r="R42" s="47"/>
      <c r="S42" s="58"/>
      <c r="T42" s="123"/>
      <c r="U42" s="49"/>
      <c r="V42" s="51">
        <f t="shared" si="4"/>
        <v>0.7032338814</v>
      </c>
    </row>
    <row r="43" ht="14.25" customHeight="1">
      <c r="A43" s="7"/>
      <c r="B43" s="94" t="s">
        <v>595</v>
      </c>
      <c r="C43" s="44"/>
      <c r="D43" s="53">
        <v>5.0</v>
      </c>
      <c r="E43" s="120" t="s">
        <v>578</v>
      </c>
      <c r="F43" s="31"/>
      <c r="G43" s="31"/>
      <c r="H43" s="32"/>
      <c r="I43" s="66" t="s">
        <v>570</v>
      </c>
      <c r="J43" s="60"/>
      <c r="K43" s="67"/>
      <c r="L43" s="131"/>
      <c r="M43" s="61"/>
      <c r="N43" s="62"/>
      <c r="O43" s="132"/>
      <c r="P43" s="60"/>
      <c r="Q43" s="67"/>
      <c r="R43" s="60"/>
      <c r="S43" s="60"/>
      <c r="T43" s="85"/>
      <c r="U43" s="133"/>
      <c r="V43" s="51" t="str">
        <f t="shared" si="4"/>
        <v/>
      </c>
    </row>
    <row r="44" ht="14.25" customHeight="1">
      <c r="A44" s="7"/>
      <c r="B44" s="7"/>
      <c r="C44" s="134"/>
      <c r="D44" s="134"/>
      <c r="E44" s="134"/>
      <c r="F44" s="135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7"/>
    </row>
    <row r="45" ht="14.25" customHeight="1">
      <c r="A45" s="14">
        <v>2.0</v>
      </c>
      <c r="B45" s="7"/>
      <c r="C45" s="138" t="s">
        <v>596</v>
      </c>
      <c r="D45" s="139"/>
      <c r="E45" s="140"/>
      <c r="F45" s="140"/>
      <c r="G45" s="140"/>
      <c r="H45" s="140"/>
      <c r="I45" s="140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0"/>
    </row>
    <row r="46" ht="14.25" customHeight="1">
      <c r="A46" s="7"/>
      <c r="B46" s="7"/>
      <c r="C46" s="142"/>
      <c r="D46" s="142"/>
      <c r="E46" s="142"/>
      <c r="F46" s="142"/>
      <c r="G46" s="7"/>
      <c r="H46" s="7"/>
      <c r="I46" s="143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7"/>
    </row>
    <row r="47" ht="14.25" customHeight="1">
      <c r="A47" s="7"/>
      <c r="B47" s="7"/>
      <c r="C47" s="16" t="s">
        <v>228</v>
      </c>
      <c r="D47" s="17" t="s">
        <v>229</v>
      </c>
      <c r="E47" s="18"/>
      <c r="F47" s="18"/>
      <c r="G47" s="18"/>
      <c r="H47" s="19"/>
      <c r="I47" s="20" t="s">
        <v>230</v>
      </c>
      <c r="J47" s="21">
        <f>$H$2</f>
        <v>2026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ht="14.25" customHeight="1">
      <c r="A48" s="7"/>
      <c r="B48" s="7"/>
      <c r="C48" s="22"/>
      <c r="D48" s="23"/>
      <c r="H48" s="24"/>
      <c r="I48" s="22"/>
      <c r="J48" s="26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/>
    </row>
    <row r="49" ht="14.25" customHeight="1">
      <c r="A49" s="7"/>
      <c r="B49" s="7"/>
      <c r="C49" s="25"/>
      <c r="D49" s="26"/>
      <c r="E49" s="27"/>
      <c r="F49" s="27"/>
      <c r="G49" s="27"/>
      <c r="H49" s="28"/>
      <c r="I49" s="25"/>
      <c r="J49" s="117" t="s">
        <v>231</v>
      </c>
      <c r="K49" s="117" t="s">
        <v>232</v>
      </c>
      <c r="L49" s="117" t="s">
        <v>233</v>
      </c>
      <c r="M49" s="117" t="s">
        <v>234</v>
      </c>
      <c r="N49" s="117" t="s">
        <v>235</v>
      </c>
      <c r="O49" s="117" t="s">
        <v>236</v>
      </c>
      <c r="P49" s="117" t="s">
        <v>237</v>
      </c>
      <c r="Q49" s="117" t="s">
        <v>238</v>
      </c>
      <c r="R49" s="117" t="s">
        <v>239</v>
      </c>
      <c r="S49" s="117" t="s">
        <v>240</v>
      </c>
      <c r="T49" s="117" t="s">
        <v>241</v>
      </c>
      <c r="U49" s="117" t="s">
        <v>242</v>
      </c>
      <c r="V49" s="117" t="s">
        <v>243</v>
      </c>
    </row>
    <row r="50" ht="14.25" customHeight="1">
      <c r="A50" s="7"/>
      <c r="B50" s="7"/>
      <c r="C50" s="29">
        <v>1.0</v>
      </c>
      <c r="D50" s="30">
        <v>2.0</v>
      </c>
      <c r="E50" s="31"/>
      <c r="F50" s="31"/>
      <c r="G50" s="31"/>
      <c r="H50" s="32"/>
      <c r="I50" s="33">
        <v>3.0</v>
      </c>
      <c r="J50" s="118">
        <v>4.0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2"/>
      <c r="V50" s="33">
        <v>5.0</v>
      </c>
    </row>
    <row r="51" ht="14.25" customHeight="1">
      <c r="A51" s="7"/>
      <c r="B51" s="7"/>
      <c r="C51" s="44"/>
      <c r="D51" s="46"/>
      <c r="E51" s="105"/>
      <c r="F51" s="105"/>
      <c r="G51" s="105"/>
      <c r="H51" s="106"/>
      <c r="I51" s="66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</row>
    <row r="52" ht="14.25" customHeight="1">
      <c r="A52" s="7"/>
      <c r="B52" s="94"/>
      <c r="C52" s="66">
        <v>1.0</v>
      </c>
      <c r="D52" s="45" t="s">
        <v>376</v>
      </c>
      <c r="E52" s="31"/>
      <c r="F52" s="31"/>
      <c r="G52" s="31"/>
      <c r="H52" s="32"/>
      <c r="I52" s="66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</row>
    <row r="53" ht="14.25" customHeight="1">
      <c r="A53" s="7"/>
      <c r="B53" s="94"/>
      <c r="C53" s="44"/>
      <c r="D53" s="44">
        <v>1.0</v>
      </c>
      <c r="E53" s="45" t="s">
        <v>597</v>
      </c>
      <c r="F53" s="31"/>
      <c r="G53" s="31"/>
      <c r="H53" s="32"/>
      <c r="I53" s="66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</row>
    <row r="54" ht="14.25" customHeight="1">
      <c r="A54" s="7"/>
      <c r="B54" s="94" t="s">
        <v>598</v>
      </c>
      <c r="C54" s="44"/>
      <c r="D54" s="44"/>
      <c r="E54" s="53">
        <v>1.0</v>
      </c>
      <c r="F54" s="45" t="s">
        <v>599</v>
      </c>
      <c r="G54" s="31"/>
      <c r="H54" s="32"/>
      <c r="I54" s="66" t="s">
        <v>570</v>
      </c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51" t="str">
        <f t="shared" ref="V54:V59" si="5">IFERROR(AVERAGE(J54:U54),"")</f>
        <v/>
      </c>
    </row>
    <row r="55" ht="14.25" customHeight="1">
      <c r="A55" s="7"/>
      <c r="B55" s="94" t="s">
        <v>600</v>
      </c>
      <c r="C55" s="44"/>
      <c r="D55" s="44"/>
      <c r="E55" s="46">
        <v>2.0</v>
      </c>
      <c r="F55" s="89" t="s">
        <v>601</v>
      </c>
      <c r="G55" s="31"/>
      <c r="H55" s="32"/>
      <c r="I55" s="66" t="s">
        <v>570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51" t="str">
        <f t="shared" si="5"/>
        <v/>
      </c>
    </row>
    <row r="56" ht="14.25" customHeight="1">
      <c r="A56" s="7"/>
      <c r="B56" s="94" t="s">
        <v>602</v>
      </c>
      <c r="C56" s="44"/>
      <c r="D56" s="44"/>
      <c r="E56" s="53">
        <v>3.0</v>
      </c>
      <c r="F56" s="89" t="s">
        <v>603</v>
      </c>
      <c r="G56" s="31"/>
      <c r="H56" s="32"/>
      <c r="I56" s="66" t="s">
        <v>570</v>
      </c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51" t="str">
        <f t="shared" si="5"/>
        <v/>
      </c>
    </row>
    <row r="57" ht="14.25" customHeight="1">
      <c r="A57" s="7"/>
      <c r="B57" s="94" t="s">
        <v>604</v>
      </c>
      <c r="C57" s="44"/>
      <c r="D57" s="44"/>
      <c r="E57" s="53">
        <v>4.0</v>
      </c>
      <c r="F57" s="89" t="s">
        <v>605</v>
      </c>
      <c r="G57" s="31"/>
      <c r="H57" s="32"/>
      <c r="I57" s="66" t="s">
        <v>570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51" t="str">
        <f t="shared" si="5"/>
        <v/>
      </c>
    </row>
    <row r="58" ht="14.25" customHeight="1">
      <c r="A58" s="7"/>
      <c r="B58" s="94" t="s">
        <v>606</v>
      </c>
      <c r="C58" s="44"/>
      <c r="D58" s="44"/>
      <c r="E58" s="46">
        <v>5.0</v>
      </c>
      <c r="F58" s="89" t="s">
        <v>607</v>
      </c>
      <c r="G58" s="31"/>
      <c r="H58" s="32"/>
      <c r="I58" s="66" t="s">
        <v>570</v>
      </c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51" t="str">
        <f t="shared" si="5"/>
        <v/>
      </c>
    </row>
    <row r="59" ht="14.25" customHeight="1">
      <c r="A59" s="7"/>
      <c r="B59" s="94" t="s">
        <v>608</v>
      </c>
      <c r="C59" s="44"/>
      <c r="D59" s="44"/>
      <c r="E59" s="53">
        <v>6.0</v>
      </c>
      <c r="F59" s="45" t="s">
        <v>609</v>
      </c>
      <c r="G59" s="31"/>
      <c r="H59" s="32"/>
      <c r="I59" s="66" t="s">
        <v>610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51" t="str">
        <f t="shared" si="5"/>
        <v/>
      </c>
    </row>
    <row r="60" ht="14.25" customHeight="1">
      <c r="A60" s="7"/>
      <c r="B60" s="7"/>
      <c r="C60" s="65"/>
      <c r="D60" s="44"/>
      <c r="E60" s="46"/>
      <c r="F60" s="80"/>
      <c r="G60" s="80"/>
      <c r="H60" s="81"/>
      <c r="I60" s="66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27"/>
    </row>
    <row r="61" ht="14.25" customHeight="1">
      <c r="A61" s="7"/>
      <c r="B61" s="94"/>
      <c r="C61" s="44"/>
      <c r="D61" s="44">
        <v>2.0</v>
      </c>
      <c r="E61" s="45" t="s">
        <v>611</v>
      </c>
      <c r="F61" s="31"/>
      <c r="G61" s="31"/>
      <c r="H61" s="32"/>
      <c r="I61" s="66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</row>
    <row r="62" ht="14.25" customHeight="1">
      <c r="A62" s="7"/>
      <c r="B62" s="94" t="s">
        <v>612</v>
      </c>
      <c r="C62" s="44"/>
      <c r="D62" s="44"/>
      <c r="E62" s="53">
        <v>1.0</v>
      </c>
      <c r="F62" s="45" t="s">
        <v>599</v>
      </c>
      <c r="G62" s="31"/>
      <c r="H62" s="32"/>
      <c r="I62" s="66" t="s">
        <v>570</v>
      </c>
      <c r="J62" s="47">
        <v>133.64</v>
      </c>
      <c r="K62" s="47">
        <v>98.23</v>
      </c>
      <c r="L62" s="47">
        <v>158.92</v>
      </c>
      <c r="M62" s="47">
        <v>88.43</v>
      </c>
      <c r="N62" s="146">
        <v>92.25</v>
      </c>
      <c r="O62" s="47"/>
      <c r="P62" s="47"/>
      <c r="Q62" s="47"/>
      <c r="R62" s="47"/>
      <c r="S62" s="47"/>
      <c r="T62" s="47"/>
      <c r="U62" s="47"/>
      <c r="V62" s="147">
        <f t="shared" ref="V62:V67" si="6">IFERROR(AVERAGE(J62:U62),"")</f>
        <v>114.294</v>
      </c>
    </row>
    <row r="63" ht="14.25" customHeight="1">
      <c r="A63" s="7"/>
      <c r="B63" s="94" t="s">
        <v>613</v>
      </c>
      <c r="C63" s="44"/>
      <c r="D63" s="44"/>
      <c r="E63" s="46">
        <v>2.0</v>
      </c>
      <c r="F63" s="89" t="s">
        <v>601</v>
      </c>
      <c r="G63" s="31"/>
      <c r="H63" s="32"/>
      <c r="I63" s="66" t="s">
        <v>570</v>
      </c>
      <c r="J63" s="47">
        <v>121.19</v>
      </c>
      <c r="K63" s="47">
        <v>83.32</v>
      </c>
      <c r="L63" s="47">
        <v>151.05</v>
      </c>
      <c r="M63" s="47">
        <v>82.86</v>
      </c>
      <c r="N63" s="146">
        <v>86.37</v>
      </c>
      <c r="O63" s="47"/>
      <c r="P63" s="47"/>
      <c r="Q63" s="47"/>
      <c r="R63" s="47"/>
      <c r="S63" s="47"/>
      <c r="T63" s="47"/>
      <c r="U63" s="47"/>
      <c r="V63" s="147">
        <f t="shared" si="6"/>
        <v>104.958</v>
      </c>
    </row>
    <row r="64" ht="14.25" customHeight="1">
      <c r="A64" s="7"/>
      <c r="B64" s="94" t="s">
        <v>614</v>
      </c>
      <c r="C64" s="44"/>
      <c r="D64" s="44"/>
      <c r="E64" s="53">
        <v>3.0</v>
      </c>
      <c r="F64" s="89" t="s">
        <v>603</v>
      </c>
      <c r="G64" s="31"/>
      <c r="H64" s="32"/>
      <c r="I64" s="66" t="s">
        <v>570</v>
      </c>
      <c r="J64" s="47">
        <v>59.99</v>
      </c>
      <c r="K64" s="47">
        <v>54.13</v>
      </c>
      <c r="L64" s="47">
        <v>84.26</v>
      </c>
      <c r="M64" s="47">
        <v>62.24</v>
      </c>
      <c r="N64" s="146">
        <v>51.72</v>
      </c>
      <c r="O64" s="47"/>
      <c r="P64" s="47"/>
      <c r="Q64" s="47"/>
      <c r="R64" s="47"/>
      <c r="S64" s="47"/>
      <c r="T64" s="47"/>
      <c r="U64" s="47"/>
      <c r="V64" s="147">
        <f t="shared" si="6"/>
        <v>62.468</v>
      </c>
    </row>
    <row r="65" ht="14.25" customHeight="1">
      <c r="A65" s="7"/>
      <c r="B65" s="94" t="s">
        <v>615</v>
      </c>
      <c r="C65" s="44"/>
      <c r="D65" s="44"/>
      <c r="E65" s="53">
        <v>4.0</v>
      </c>
      <c r="F65" s="89" t="s">
        <v>605</v>
      </c>
      <c r="G65" s="31"/>
      <c r="H65" s="32"/>
      <c r="I65" s="66" t="s">
        <v>570</v>
      </c>
      <c r="J65" s="47">
        <v>27.18</v>
      </c>
      <c r="K65" s="47">
        <v>14.55</v>
      </c>
      <c r="L65" s="47">
        <v>13.53</v>
      </c>
      <c r="M65" s="47">
        <v>7.97</v>
      </c>
      <c r="N65" s="146">
        <v>12.51</v>
      </c>
      <c r="O65" s="47"/>
      <c r="P65" s="47"/>
      <c r="Q65" s="47"/>
      <c r="R65" s="47"/>
      <c r="S65" s="47"/>
      <c r="T65" s="47"/>
      <c r="U65" s="47"/>
      <c r="V65" s="147">
        <f t="shared" si="6"/>
        <v>15.148</v>
      </c>
    </row>
    <row r="66" ht="14.25" customHeight="1">
      <c r="A66" s="7"/>
      <c r="B66" s="94" t="s">
        <v>616</v>
      </c>
      <c r="C66" s="44"/>
      <c r="D66" s="44"/>
      <c r="E66" s="46">
        <v>5.0</v>
      </c>
      <c r="F66" s="89" t="s">
        <v>607</v>
      </c>
      <c r="G66" s="31"/>
      <c r="H66" s="32"/>
      <c r="I66" s="66" t="s">
        <v>570</v>
      </c>
      <c r="J66" s="47">
        <v>41.65</v>
      </c>
      <c r="K66" s="47">
        <v>36.19</v>
      </c>
      <c r="L66" s="47">
        <v>57.36</v>
      </c>
      <c r="M66" s="47">
        <v>28.62</v>
      </c>
      <c r="N66" s="146">
        <v>34.85</v>
      </c>
      <c r="O66" s="47"/>
      <c r="P66" s="47"/>
      <c r="Q66" s="47"/>
      <c r="R66" s="47"/>
      <c r="S66" s="47"/>
      <c r="T66" s="47"/>
      <c r="U66" s="47"/>
      <c r="V66" s="147">
        <f t="shared" si="6"/>
        <v>39.734</v>
      </c>
    </row>
    <row r="67" ht="14.25" customHeight="1">
      <c r="A67" s="7"/>
      <c r="B67" s="94" t="s">
        <v>617</v>
      </c>
      <c r="C67" s="44"/>
      <c r="D67" s="44"/>
      <c r="E67" s="53">
        <v>6.0</v>
      </c>
      <c r="F67" s="45" t="s">
        <v>609</v>
      </c>
      <c r="G67" s="31"/>
      <c r="H67" s="32"/>
      <c r="I67" s="66" t="s">
        <v>610</v>
      </c>
      <c r="J67" s="47">
        <v>54.01</v>
      </c>
      <c r="K67" s="47">
        <v>60.02</v>
      </c>
      <c r="L67" s="47">
        <v>52.84</v>
      </c>
      <c r="M67" s="47">
        <v>62.32</v>
      </c>
      <c r="N67" s="146">
        <v>58.48</v>
      </c>
      <c r="O67" s="47"/>
      <c r="P67" s="47"/>
      <c r="Q67" s="47"/>
      <c r="R67" s="47"/>
      <c r="S67" s="47"/>
      <c r="T67" s="47"/>
      <c r="U67" s="47"/>
      <c r="V67" s="147">
        <f t="shared" si="6"/>
        <v>57.534</v>
      </c>
    </row>
    <row r="68" ht="14.25" customHeight="1">
      <c r="A68" s="7"/>
      <c r="B68" s="94"/>
      <c r="C68" s="65"/>
      <c r="D68" s="44"/>
      <c r="E68" s="46"/>
      <c r="F68" s="80"/>
      <c r="G68" s="80"/>
      <c r="H68" s="81"/>
      <c r="I68" s="66"/>
      <c r="J68" s="43"/>
      <c r="K68" s="43"/>
      <c r="L68" s="43"/>
      <c r="M68" s="43"/>
      <c r="N68" s="128"/>
      <c r="O68" s="74"/>
      <c r="P68" s="43"/>
      <c r="Q68" s="43"/>
      <c r="R68" s="43"/>
      <c r="S68" s="43"/>
      <c r="T68" s="43"/>
      <c r="U68" s="43"/>
      <c r="V68" s="127"/>
    </row>
    <row r="69" ht="14.25" customHeight="1">
      <c r="A69" s="7"/>
      <c r="B69" s="94"/>
      <c r="C69" s="44"/>
      <c r="D69" s="44">
        <v>3.0</v>
      </c>
      <c r="E69" s="45" t="s">
        <v>618</v>
      </c>
      <c r="F69" s="31"/>
      <c r="G69" s="31"/>
      <c r="H69" s="32"/>
      <c r="I69" s="66"/>
      <c r="J69" s="43"/>
      <c r="K69" s="43"/>
      <c r="L69" s="43"/>
      <c r="M69" s="43"/>
      <c r="N69" s="128"/>
      <c r="O69" s="74"/>
      <c r="P69" s="43"/>
      <c r="Q69" s="43"/>
      <c r="R69" s="43"/>
      <c r="S69" s="43"/>
      <c r="T69" s="43"/>
      <c r="U69" s="43"/>
      <c r="V69" s="127"/>
    </row>
    <row r="70" ht="14.25" customHeight="1">
      <c r="A70" s="7"/>
      <c r="B70" s="94" t="s">
        <v>619</v>
      </c>
      <c r="C70" s="44"/>
      <c r="D70" s="44"/>
      <c r="E70" s="53">
        <v>1.0</v>
      </c>
      <c r="F70" s="45" t="s">
        <v>599</v>
      </c>
      <c r="G70" s="31"/>
      <c r="H70" s="32"/>
      <c r="I70" s="66" t="s">
        <v>570</v>
      </c>
      <c r="J70" s="47">
        <v>20.0</v>
      </c>
      <c r="K70" s="47">
        <v>16.0</v>
      </c>
      <c r="L70" s="47">
        <v>21.0</v>
      </c>
      <c r="M70" s="47">
        <v>24.0</v>
      </c>
      <c r="N70" s="50">
        <v>12.0</v>
      </c>
      <c r="O70" s="47"/>
      <c r="P70" s="47"/>
      <c r="Q70" s="47"/>
      <c r="R70" s="47"/>
      <c r="S70" s="47"/>
      <c r="T70" s="47"/>
      <c r="U70" s="47"/>
      <c r="V70" s="147">
        <f t="shared" ref="V70:V75" si="7">IFERROR(AVERAGE(J70:U70),"")</f>
        <v>18.6</v>
      </c>
    </row>
    <row r="71" ht="14.25" customHeight="1">
      <c r="A71" s="7"/>
      <c r="B71" s="94" t="s">
        <v>620</v>
      </c>
      <c r="C71" s="44"/>
      <c r="D71" s="44"/>
      <c r="E71" s="46">
        <v>2.0</v>
      </c>
      <c r="F71" s="89" t="s">
        <v>601</v>
      </c>
      <c r="G71" s="31"/>
      <c r="H71" s="32"/>
      <c r="I71" s="66" t="s">
        <v>570</v>
      </c>
      <c r="J71" s="47">
        <v>15.76</v>
      </c>
      <c r="K71" s="47">
        <v>8.96</v>
      </c>
      <c r="L71" s="47">
        <v>15.85</v>
      </c>
      <c r="M71" s="47">
        <v>18.4</v>
      </c>
      <c r="N71" s="146">
        <v>5.97</v>
      </c>
      <c r="O71" s="47"/>
      <c r="P71" s="47"/>
      <c r="Q71" s="47"/>
      <c r="R71" s="47"/>
      <c r="S71" s="47"/>
      <c r="T71" s="47"/>
      <c r="U71" s="47"/>
      <c r="V71" s="147">
        <f t="shared" si="7"/>
        <v>12.988</v>
      </c>
    </row>
    <row r="72" ht="14.25" customHeight="1">
      <c r="A72" s="7"/>
      <c r="B72" s="94" t="s">
        <v>621</v>
      </c>
      <c r="C72" s="44"/>
      <c r="D72" s="44"/>
      <c r="E72" s="53">
        <v>3.0</v>
      </c>
      <c r="F72" s="89" t="s">
        <v>603</v>
      </c>
      <c r="G72" s="31"/>
      <c r="H72" s="32"/>
      <c r="I72" s="66" t="s">
        <v>570</v>
      </c>
      <c r="J72" s="47">
        <v>15.74</v>
      </c>
      <c r="K72" s="47">
        <v>8.95</v>
      </c>
      <c r="L72" s="47">
        <v>15.84</v>
      </c>
      <c r="M72" s="47">
        <v>18.38</v>
      </c>
      <c r="N72" s="146">
        <v>5.97</v>
      </c>
      <c r="O72" s="47"/>
      <c r="P72" s="47"/>
      <c r="Q72" s="47"/>
      <c r="R72" s="47"/>
      <c r="S72" s="47"/>
      <c r="T72" s="47"/>
      <c r="U72" s="47"/>
      <c r="V72" s="147">
        <f t="shared" si="7"/>
        <v>12.976</v>
      </c>
    </row>
    <row r="73" ht="14.25" customHeight="1">
      <c r="A73" s="7"/>
      <c r="B73" s="94" t="s">
        <v>622</v>
      </c>
      <c r="C73" s="44"/>
      <c r="D73" s="44"/>
      <c r="E73" s="53">
        <v>4.0</v>
      </c>
      <c r="F73" s="89" t="s">
        <v>605</v>
      </c>
      <c r="G73" s="31"/>
      <c r="H73" s="32"/>
      <c r="I73" s="66" t="s">
        <v>570</v>
      </c>
      <c r="J73" s="47">
        <v>0.0</v>
      </c>
      <c r="K73" s="47">
        <v>0.0</v>
      </c>
      <c r="L73" s="47">
        <v>0.0</v>
      </c>
      <c r="M73" s="47">
        <v>0.16</v>
      </c>
      <c r="N73" s="146">
        <v>0.0</v>
      </c>
      <c r="O73" s="47"/>
      <c r="P73" s="47"/>
      <c r="Q73" s="47"/>
      <c r="R73" s="47"/>
      <c r="S73" s="47"/>
      <c r="T73" s="47"/>
      <c r="U73" s="47"/>
      <c r="V73" s="147">
        <f t="shared" si="7"/>
        <v>0.032</v>
      </c>
    </row>
    <row r="74" ht="14.25" customHeight="1">
      <c r="A74" s="7"/>
      <c r="B74" s="94" t="s">
        <v>623</v>
      </c>
      <c r="C74" s="44"/>
      <c r="D74" s="44"/>
      <c r="E74" s="46">
        <v>5.0</v>
      </c>
      <c r="F74" s="89" t="s">
        <v>607</v>
      </c>
      <c r="G74" s="31"/>
      <c r="H74" s="32"/>
      <c r="I74" s="66" t="s">
        <v>570</v>
      </c>
      <c r="J74" s="47">
        <v>4.54</v>
      </c>
      <c r="K74" s="47">
        <v>6.98</v>
      </c>
      <c r="L74" s="47">
        <v>5.31</v>
      </c>
      <c r="M74" s="47">
        <v>5.78</v>
      </c>
      <c r="N74" s="50">
        <v>5.87</v>
      </c>
      <c r="O74" s="47"/>
      <c r="P74" s="47"/>
      <c r="Q74" s="47"/>
      <c r="R74" s="47"/>
      <c r="S74" s="47"/>
      <c r="T74" s="47"/>
      <c r="U74" s="47"/>
      <c r="V74" s="147">
        <f t="shared" si="7"/>
        <v>5.696</v>
      </c>
    </row>
    <row r="75" ht="14.25" customHeight="1">
      <c r="A75" s="7"/>
      <c r="B75" s="94" t="s">
        <v>624</v>
      </c>
      <c r="C75" s="44"/>
      <c r="D75" s="44"/>
      <c r="E75" s="53">
        <v>6.0</v>
      </c>
      <c r="F75" s="45" t="s">
        <v>609</v>
      </c>
      <c r="G75" s="31"/>
      <c r="H75" s="32"/>
      <c r="I75" s="66" t="s">
        <v>610</v>
      </c>
      <c r="J75" s="47">
        <v>69.49</v>
      </c>
      <c r="K75" s="47">
        <v>53.24</v>
      </c>
      <c r="L75" s="47">
        <v>68.5</v>
      </c>
      <c r="M75" s="47">
        <v>66.74</v>
      </c>
      <c r="N75" s="146">
        <v>48.8</v>
      </c>
      <c r="O75" s="47"/>
      <c r="P75" s="47"/>
      <c r="Q75" s="47"/>
      <c r="R75" s="47"/>
      <c r="S75" s="47"/>
      <c r="T75" s="47"/>
      <c r="U75" s="47"/>
      <c r="V75" s="147">
        <f t="shared" si="7"/>
        <v>61.354</v>
      </c>
    </row>
    <row r="76" ht="14.25" customHeight="1">
      <c r="A76" s="7"/>
      <c r="B76" s="94"/>
      <c r="C76" s="65"/>
      <c r="D76" s="44"/>
      <c r="E76" s="46"/>
      <c r="F76" s="80"/>
      <c r="G76" s="80"/>
      <c r="H76" s="81"/>
      <c r="I76" s="66"/>
      <c r="J76" s="43"/>
      <c r="K76" s="148"/>
      <c r="L76" s="43"/>
      <c r="M76" s="43"/>
      <c r="N76" s="119"/>
      <c r="O76" s="74"/>
      <c r="P76" s="43"/>
      <c r="Q76" s="43"/>
      <c r="R76" s="43"/>
      <c r="S76" s="43"/>
      <c r="T76" s="43"/>
      <c r="U76" s="43"/>
      <c r="V76" s="127"/>
    </row>
    <row r="77" ht="14.25" customHeight="1">
      <c r="A77" s="7"/>
      <c r="B77" s="94"/>
      <c r="C77" s="65"/>
      <c r="D77" s="44">
        <v>4.0</v>
      </c>
      <c r="E77" s="45" t="s">
        <v>625</v>
      </c>
      <c r="F77" s="31"/>
      <c r="G77" s="31"/>
      <c r="H77" s="32"/>
      <c r="I77" s="66"/>
      <c r="J77" s="43"/>
      <c r="K77" s="148"/>
      <c r="L77" s="43"/>
      <c r="M77" s="43"/>
      <c r="N77" s="119"/>
      <c r="O77" s="74"/>
      <c r="P77" s="43"/>
      <c r="Q77" s="43"/>
      <c r="R77" s="43"/>
      <c r="S77" s="43"/>
      <c r="T77" s="43"/>
      <c r="U77" s="43"/>
      <c r="V77" s="127"/>
    </row>
    <row r="78" ht="14.25" customHeight="1">
      <c r="A78" s="7"/>
      <c r="B78" s="94" t="s">
        <v>626</v>
      </c>
      <c r="C78" s="65"/>
      <c r="D78" s="44"/>
      <c r="E78" s="53">
        <v>1.0</v>
      </c>
      <c r="F78" s="45" t="s">
        <v>599</v>
      </c>
      <c r="G78" s="31"/>
      <c r="H78" s="32"/>
      <c r="I78" s="66" t="s">
        <v>570</v>
      </c>
      <c r="J78" s="47">
        <v>92.92</v>
      </c>
      <c r="K78" s="47">
        <v>115.59</v>
      </c>
      <c r="L78" s="47">
        <v>127.53</v>
      </c>
      <c r="M78" s="47">
        <v>54.96</v>
      </c>
      <c r="N78" s="146">
        <v>109.61</v>
      </c>
      <c r="O78" s="47"/>
      <c r="P78" s="47"/>
      <c r="Q78" s="47"/>
      <c r="R78" s="47"/>
      <c r="S78" s="47"/>
      <c r="T78" s="47"/>
      <c r="U78" s="47"/>
      <c r="V78" s="147">
        <f t="shared" ref="V78:V83" si="8">IFERROR(AVERAGE(J78:U78),"")</f>
        <v>100.122</v>
      </c>
    </row>
    <row r="79" ht="14.25" customHeight="1">
      <c r="A79" s="7"/>
      <c r="B79" s="94" t="s">
        <v>627</v>
      </c>
      <c r="C79" s="65"/>
      <c r="D79" s="44"/>
      <c r="E79" s="46">
        <v>2.0</v>
      </c>
      <c r="F79" s="89" t="s">
        <v>601</v>
      </c>
      <c r="G79" s="31"/>
      <c r="H79" s="32"/>
      <c r="I79" s="66" t="s">
        <v>570</v>
      </c>
      <c r="J79" s="47">
        <v>75.17</v>
      </c>
      <c r="K79" s="47">
        <v>106.1</v>
      </c>
      <c r="L79" s="47">
        <v>117.11</v>
      </c>
      <c r="M79" s="47">
        <v>49.5</v>
      </c>
      <c r="N79" s="146">
        <v>102.73</v>
      </c>
      <c r="O79" s="47"/>
      <c r="P79" s="47"/>
      <c r="Q79" s="47"/>
      <c r="R79" s="47"/>
      <c r="S79" s="47"/>
      <c r="T79" s="47"/>
      <c r="U79" s="47"/>
      <c r="V79" s="147">
        <f t="shared" si="8"/>
        <v>90.122</v>
      </c>
    </row>
    <row r="80" ht="14.25" customHeight="1">
      <c r="A80" s="7"/>
      <c r="B80" s="94" t="s">
        <v>628</v>
      </c>
      <c r="C80" s="65"/>
      <c r="D80" s="44"/>
      <c r="E80" s="53">
        <v>3.0</v>
      </c>
      <c r="F80" s="89" t="s">
        <v>603</v>
      </c>
      <c r="G80" s="31"/>
      <c r="H80" s="32"/>
      <c r="I80" s="66" t="s">
        <v>570</v>
      </c>
      <c r="J80" s="47">
        <v>57.74</v>
      </c>
      <c r="K80" s="47">
        <v>56.23</v>
      </c>
      <c r="L80" s="47">
        <v>70.17</v>
      </c>
      <c r="M80" s="47">
        <v>36.35</v>
      </c>
      <c r="N80" s="146">
        <v>71.75</v>
      </c>
      <c r="O80" s="47"/>
      <c r="P80" s="47"/>
      <c r="Q80" s="47"/>
      <c r="R80" s="47"/>
      <c r="S80" s="47"/>
      <c r="T80" s="47"/>
      <c r="U80" s="47"/>
      <c r="V80" s="147">
        <f t="shared" si="8"/>
        <v>58.448</v>
      </c>
    </row>
    <row r="81" ht="14.25" customHeight="1">
      <c r="A81" s="7"/>
      <c r="B81" s="94" t="s">
        <v>629</v>
      </c>
      <c r="C81" s="65"/>
      <c r="D81" s="44"/>
      <c r="E81" s="53">
        <v>4.0</v>
      </c>
      <c r="F81" s="89" t="s">
        <v>605</v>
      </c>
      <c r="G81" s="31"/>
      <c r="H81" s="32"/>
      <c r="I81" s="66" t="s">
        <v>570</v>
      </c>
      <c r="J81" s="47">
        <v>9.96</v>
      </c>
      <c r="K81" s="47">
        <v>39.69</v>
      </c>
      <c r="L81" s="47">
        <v>23.76</v>
      </c>
      <c r="M81" s="47">
        <v>3.28</v>
      </c>
      <c r="N81" s="146">
        <v>13.59</v>
      </c>
      <c r="O81" s="47"/>
      <c r="P81" s="47"/>
      <c r="Q81" s="47"/>
      <c r="R81" s="47"/>
      <c r="S81" s="47"/>
      <c r="T81" s="47"/>
      <c r="U81" s="47"/>
      <c r="V81" s="147">
        <f t="shared" si="8"/>
        <v>18.056</v>
      </c>
    </row>
    <row r="82" ht="14.25" customHeight="1">
      <c r="A82" s="7"/>
      <c r="B82" s="94" t="s">
        <v>630</v>
      </c>
      <c r="C82" s="65"/>
      <c r="D82" s="44"/>
      <c r="E82" s="46">
        <v>5.0</v>
      </c>
      <c r="F82" s="89" t="s">
        <v>607</v>
      </c>
      <c r="G82" s="31"/>
      <c r="H82" s="32"/>
      <c r="I82" s="66" t="s">
        <v>570</v>
      </c>
      <c r="J82" s="47">
        <v>29.33</v>
      </c>
      <c r="K82" s="47">
        <v>28.85</v>
      </c>
      <c r="L82" s="47">
        <v>31.35</v>
      </c>
      <c r="M82" s="47">
        <v>12.68</v>
      </c>
      <c r="N82" s="146">
        <v>19.88</v>
      </c>
      <c r="O82" s="47"/>
      <c r="P82" s="47"/>
      <c r="Q82" s="47"/>
      <c r="R82" s="47"/>
      <c r="S82" s="47"/>
      <c r="T82" s="47"/>
      <c r="U82" s="47"/>
      <c r="V82" s="147">
        <f t="shared" si="8"/>
        <v>24.418</v>
      </c>
    </row>
    <row r="83" ht="14.25" customHeight="1">
      <c r="A83" s="7"/>
      <c r="B83" s="94" t="s">
        <v>631</v>
      </c>
      <c r="C83" s="65"/>
      <c r="D83" s="44"/>
      <c r="E83" s="53">
        <v>6.0</v>
      </c>
      <c r="F83" s="45" t="s">
        <v>609</v>
      </c>
      <c r="G83" s="31"/>
      <c r="H83" s="32"/>
      <c r="I83" s="66" t="s">
        <v>610</v>
      </c>
      <c r="J83" s="47">
        <v>62.14</v>
      </c>
      <c r="K83" s="47">
        <v>50.49</v>
      </c>
      <c r="L83" s="47">
        <v>54.9</v>
      </c>
      <c r="M83" s="47">
        <v>65.32</v>
      </c>
      <c r="N83" s="146">
        <v>66.04</v>
      </c>
      <c r="O83" s="47"/>
      <c r="P83" s="47"/>
      <c r="Q83" s="47"/>
      <c r="R83" s="47"/>
      <c r="S83" s="47"/>
      <c r="T83" s="47"/>
      <c r="U83" s="47"/>
      <c r="V83" s="147">
        <f t="shared" si="8"/>
        <v>59.778</v>
      </c>
    </row>
    <row r="84" ht="14.25" customHeight="1">
      <c r="A84" s="7"/>
      <c r="B84" s="94"/>
      <c r="C84" s="65"/>
      <c r="D84" s="44"/>
      <c r="E84" s="46"/>
      <c r="F84" s="80"/>
      <c r="G84" s="80"/>
      <c r="H84" s="81"/>
      <c r="I84" s="66"/>
      <c r="J84" s="119"/>
      <c r="K84" s="119"/>
      <c r="L84" s="43"/>
      <c r="M84" s="119"/>
      <c r="N84" s="119"/>
      <c r="O84" s="119"/>
      <c r="P84" s="119"/>
      <c r="Q84" s="43"/>
      <c r="R84" s="119"/>
      <c r="S84" s="119"/>
      <c r="T84" s="119"/>
      <c r="U84" s="74"/>
      <c r="V84" s="127"/>
    </row>
    <row r="85" ht="14.25" customHeight="1">
      <c r="A85" s="7"/>
      <c r="B85" s="94"/>
      <c r="C85" s="44"/>
      <c r="D85" s="44">
        <v>5.0</v>
      </c>
      <c r="E85" s="45" t="s">
        <v>632</v>
      </c>
      <c r="F85" s="31"/>
      <c r="G85" s="31"/>
      <c r="H85" s="32"/>
      <c r="I85" s="66"/>
      <c r="J85" s="119"/>
      <c r="K85" s="119"/>
      <c r="L85" s="43"/>
      <c r="M85" s="119"/>
      <c r="N85" s="119"/>
      <c r="O85" s="119"/>
      <c r="P85" s="119"/>
      <c r="Q85" s="43"/>
      <c r="R85" s="119"/>
      <c r="S85" s="119"/>
      <c r="T85" s="119"/>
      <c r="U85" s="74"/>
      <c r="V85" s="127"/>
    </row>
    <row r="86" ht="14.25" customHeight="1">
      <c r="A86" s="7"/>
      <c r="B86" s="94" t="s">
        <v>633</v>
      </c>
      <c r="C86" s="65"/>
      <c r="D86" s="44"/>
      <c r="E86" s="53">
        <v>1.0</v>
      </c>
      <c r="F86" s="45" t="s">
        <v>599</v>
      </c>
      <c r="G86" s="31"/>
      <c r="H86" s="32"/>
      <c r="I86" s="66" t="s">
        <v>570</v>
      </c>
      <c r="J86" s="67"/>
      <c r="K86" s="67"/>
      <c r="L86" s="60"/>
      <c r="M86" s="67"/>
      <c r="N86" s="67"/>
      <c r="O86" s="67"/>
      <c r="P86" s="67"/>
      <c r="Q86" s="60"/>
      <c r="R86" s="67"/>
      <c r="S86" s="67"/>
      <c r="T86" s="67"/>
      <c r="U86" s="64"/>
      <c r="V86" s="147" t="str">
        <f t="shared" ref="V86:V91" si="9">IFERROR(AVERAGE(J86:U86),"")</f>
        <v/>
      </c>
    </row>
    <row r="87" ht="14.25" customHeight="1">
      <c r="A87" s="7"/>
      <c r="B87" s="94" t="s">
        <v>634</v>
      </c>
      <c r="C87" s="65"/>
      <c r="D87" s="44"/>
      <c r="E87" s="46">
        <v>2.0</v>
      </c>
      <c r="F87" s="89" t="s">
        <v>601</v>
      </c>
      <c r="G87" s="31"/>
      <c r="H87" s="32"/>
      <c r="I87" s="66" t="s">
        <v>570</v>
      </c>
      <c r="J87" s="67"/>
      <c r="K87" s="67"/>
      <c r="L87" s="60"/>
      <c r="M87" s="67"/>
      <c r="N87" s="67"/>
      <c r="O87" s="67"/>
      <c r="P87" s="67"/>
      <c r="Q87" s="60"/>
      <c r="R87" s="67"/>
      <c r="S87" s="67"/>
      <c r="T87" s="67"/>
      <c r="U87" s="64"/>
      <c r="V87" s="147" t="str">
        <f t="shared" si="9"/>
        <v/>
      </c>
    </row>
    <row r="88" ht="14.25" customHeight="1">
      <c r="A88" s="7"/>
      <c r="B88" s="94" t="s">
        <v>635</v>
      </c>
      <c r="C88" s="65"/>
      <c r="D88" s="44"/>
      <c r="E88" s="53">
        <v>3.0</v>
      </c>
      <c r="F88" s="89" t="s">
        <v>603</v>
      </c>
      <c r="G88" s="31"/>
      <c r="H88" s="32"/>
      <c r="I88" s="66" t="s">
        <v>570</v>
      </c>
      <c r="J88" s="67"/>
      <c r="K88" s="67"/>
      <c r="L88" s="60"/>
      <c r="M88" s="67"/>
      <c r="N88" s="67"/>
      <c r="O88" s="67"/>
      <c r="P88" s="67"/>
      <c r="Q88" s="60"/>
      <c r="R88" s="67"/>
      <c r="S88" s="67"/>
      <c r="T88" s="67"/>
      <c r="U88" s="64"/>
      <c r="V88" s="147" t="str">
        <f t="shared" si="9"/>
        <v/>
      </c>
    </row>
    <row r="89" ht="14.25" customHeight="1">
      <c r="A89" s="7"/>
      <c r="B89" s="94" t="s">
        <v>636</v>
      </c>
      <c r="C89" s="65"/>
      <c r="D89" s="44"/>
      <c r="E89" s="53">
        <v>4.0</v>
      </c>
      <c r="F89" s="89" t="s">
        <v>605</v>
      </c>
      <c r="G89" s="31"/>
      <c r="H89" s="32"/>
      <c r="I89" s="66" t="s">
        <v>570</v>
      </c>
      <c r="J89" s="67"/>
      <c r="K89" s="67"/>
      <c r="L89" s="60"/>
      <c r="M89" s="67"/>
      <c r="N89" s="67"/>
      <c r="O89" s="67"/>
      <c r="P89" s="67"/>
      <c r="Q89" s="60"/>
      <c r="R89" s="67"/>
      <c r="S89" s="67"/>
      <c r="T89" s="67"/>
      <c r="U89" s="64"/>
      <c r="V89" s="147" t="str">
        <f t="shared" si="9"/>
        <v/>
      </c>
    </row>
    <row r="90" ht="14.25" customHeight="1">
      <c r="A90" s="7"/>
      <c r="B90" s="94" t="s">
        <v>637</v>
      </c>
      <c r="C90" s="65"/>
      <c r="D90" s="44"/>
      <c r="E90" s="46">
        <v>5.0</v>
      </c>
      <c r="F90" s="89" t="s">
        <v>607</v>
      </c>
      <c r="G90" s="31"/>
      <c r="H90" s="32"/>
      <c r="I90" s="66" t="s">
        <v>570</v>
      </c>
      <c r="J90" s="67"/>
      <c r="K90" s="67"/>
      <c r="L90" s="60"/>
      <c r="M90" s="67"/>
      <c r="N90" s="67"/>
      <c r="O90" s="67"/>
      <c r="P90" s="67"/>
      <c r="Q90" s="60"/>
      <c r="R90" s="67"/>
      <c r="S90" s="67"/>
      <c r="T90" s="67"/>
      <c r="U90" s="64"/>
      <c r="V90" s="147" t="str">
        <f t="shared" si="9"/>
        <v/>
      </c>
    </row>
    <row r="91" ht="14.25" customHeight="1">
      <c r="A91" s="7"/>
      <c r="B91" s="94" t="s">
        <v>638</v>
      </c>
      <c r="C91" s="65"/>
      <c r="D91" s="44"/>
      <c r="E91" s="53">
        <v>6.0</v>
      </c>
      <c r="F91" s="45" t="s">
        <v>609</v>
      </c>
      <c r="G91" s="31"/>
      <c r="H91" s="32"/>
      <c r="I91" s="66" t="s">
        <v>610</v>
      </c>
      <c r="J91" s="67"/>
      <c r="K91" s="67"/>
      <c r="L91" s="60"/>
      <c r="M91" s="67"/>
      <c r="N91" s="67"/>
      <c r="O91" s="67"/>
      <c r="P91" s="67"/>
      <c r="Q91" s="60"/>
      <c r="R91" s="67"/>
      <c r="S91" s="67"/>
      <c r="T91" s="67"/>
      <c r="U91" s="64"/>
      <c r="V91" s="147" t="str">
        <f t="shared" si="9"/>
        <v/>
      </c>
    </row>
    <row r="92" ht="14.25" customHeight="1">
      <c r="A92" s="7"/>
      <c r="B92" s="94"/>
      <c r="C92" s="65"/>
      <c r="D92" s="53"/>
      <c r="E92" s="111"/>
      <c r="F92" s="80"/>
      <c r="G92" s="40"/>
      <c r="H92" s="41"/>
      <c r="I92" s="66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27"/>
    </row>
    <row r="93" ht="14.25" customHeight="1">
      <c r="A93" s="7"/>
      <c r="B93" s="94"/>
      <c r="C93" s="66">
        <v>2.0</v>
      </c>
      <c r="D93" s="45" t="s">
        <v>437</v>
      </c>
      <c r="E93" s="31"/>
      <c r="F93" s="31"/>
      <c r="G93" s="31"/>
      <c r="H93" s="32"/>
      <c r="I93" s="66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</row>
    <row r="94" ht="14.25" customHeight="1">
      <c r="A94" s="7"/>
      <c r="B94" s="94"/>
      <c r="C94" s="44"/>
      <c r="D94" s="44">
        <v>1.0</v>
      </c>
      <c r="E94" s="45" t="s">
        <v>597</v>
      </c>
      <c r="F94" s="31"/>
      <c r="G94" s="31"/>
      <c r="H94" s="32"/>
      <c r="I94" s="66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27"/>
    </row>
    <row r="95" ht="14.25" customHeight="1">
      <c r="A95" s="7"/>
      <c r="B95" s="94" t="s">
        <v>639</v>
      </c>
      <c r="C95" s="44"/>
      <c r="D95" s="44"/>
      <c r="E95" s="53">
        <v>1.0</v>
      </c>
      <c r="F95" s="45" t="s">
        <v>599</v>
      </c>
      <c r="G95" s="31"/>
      <c r="H95" s="32"/>
      <c r="I95" s="66" t="s">
        <v>570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147" t="str">
        <f t="shared" ref="V95:V100" si="10">IFERROR(AVERAGE(J95:U95),"")</f>
        <v/>
      </c>
    </row>
    <row r="96" ht="14.25" customHeight="1">
      <c r="A96" s="7"/>
      <c r="B96" s="94" t="s">
        <v>640</v>
      </c>
      <c r="C96" s="44"/>
      <c r="D96" s="44"/>
      <c r="E96" s="46">
        <v>2.0</v>
      </c>
      <c r="F96" s="89" t="s">
        <v>601</v>
      </c>
      <c r="G96" s="31"/>
      <c r="H96" s="32"/>
      <c r="I96" s="66" t="s">
        <v>570</v>
      </c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147" t="str">
        <f t="shared" si="10"/>
        <v/>
      </c>
    </row>
    <row r="97" ht="14.25" customHeight="1">
      <c r="A97" s="7"/>
      <c r="B97" s="94" t="s">
        <v>641</v>
      </c>
      <c r="C97" s="44"/>
      <c r="D97" s="44"/>
      <c r="E97" s="53">
        <v>3.0</v>
      </c>
      <c r="F97" s="89" t="s">
        <v>603</v>
      </c>
      <c r="G97" s="31"/>
      <c r="H97" s="32"/>
      <c r="I97" s="66" t="s">
        <v>570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147" t="str">
        <f t="shared" si="10"/>
        <v/>
      </c>
    </row>
    <row r="98" ht="14.25" customHeight="1">
      <c r="A98" s="7"/>
      <c r="B98" s="94" t="s">
        <v>642</v>
      </c>
      <c r="C98" s="44"/>
      <c r="D98" s="44"/>
      <c r="E98" s="53">
        <v>4.0</v>
      </c>
      <c r="F98" s="89" t="s">
        <v>605</v>
      </c>
      <c r="G98" s="31"/>
      <c r="H98" s="32"/>
      <c r="I98" s="66" t="s">
        <v>570</v>
      </c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147" t="str">
        <f t="shared" si="10"/>
        <v/>
      </c>
    </row>
    <row r="99" ht="14.25" customHeight="1">
      <c r="A99" s="7"/>
      <c r="B99" s="94" t="s">
        <v>643</v>
      </c>
      <c r="C99" s="44"/>
      <c r="D99" s="44"/>
      <c r="E99" s="46">
        <v>5.0</v>
      </c>
      <c r="F99" s="89" t="s">
        <v>607</v>
      </c>
      <c r="G99" s="31"/>
      <c r="H99" s="32"/>
      <c r="I99" s="66" t="s">
        <v>570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147" t="str">
        <f t="shared" si="10"/>
        <v/>
      </c>
    </row>
    <row r="100" ht="14.25" customHeight="1">
      <c r="A100" s="7"/>
      <c r="B100" s="94" t="s">
        <v>644</v>
      </c>
      <c r="C100" s="44"/>
      <c r="D100" s="44"/>
      <c r="E100" s="53">
        <v>6.0</v>
      </c>
      <c r="F100" s="45" t="s">
        <v>609</v>
      </c>
      <c r="G100" s="31"/>
      <c r="H100" s="32"/>
      <c r="I100" s="66" t="s">
        <v>610</v>
      </c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147" t="str">
        <f t="shared" si="10"/>
        <v/>
      </c>
    </row>
    <row r="101" ht="14.25" customHeight="1">
      <c r="A101" s="7"/>
      <c r="B101" s="7"/>
      <c r="C101" s="65"/>
      <c r="D101" s="44"/>
      <c r="E101" s="46"/>
      <c r="F101" s="80"/>
      <c r="G101" s="80"/>
      <c r="H101" s="81"/>
      <c r="I101" s="66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27"/>
    </row>
    <row r="102" ht="14.25" customHeight="1">
      <c r="A102" s="7"/>
      <c r="B102" s="94"/>
      <c r="C102" s="44"/>
      <c r="D102" s="44">
        <v>2.0</v>
      </c>
      <c r="E102" s="45" t="s">
        <v>611</v>
      </c>
      <c r="F102" s="31"/>
      <c r="G102" s="31"/>
      <c r="H102" s="32"/>
      <c r="I102" s="66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27"/>
    </row>
    <row r="103" ht="14.25" customHeight="1">
      <c r="A103" s="7"/>
      <c r="B103" s="94" t="s">
        <v>645</v>
      </c>
      <c r="C103" s="44"/>
      <c r="D103" s="44"/>
      <c r="E103" s="53">
        <v>1.0</v>
      </c>
      <c r="F103" s="45" t="s">
        <v>599</v>
      </c>
      <c r="G103" s="31"/>
      <c r="H103" s="32"/>
      <c r="I103" s="66" t="s">
        <v>570</v>
      </c>
      <c r="J103" s="47">
        <v>59.35</v>
      </c>
      <c r="K103" s="47">
        <v>66.96</v>
      </c>
      <c r="L103" s="47">
        <v>76.28</v>
      </c>
      <c r="M103" s="47">
        <v>68.36</v>
      </c>
      <c r="N103" s="146">
        <v>61.39</v>
      </c>
      <c r="O103" s="47"/>
      <c r="P103" s="47"/>
      <c r="Q103" s="47"/>
      <c r="R103" s="47"/>
      <c r="S103" s="47"/>
      <c r="T103" s="47"/>
      <c r="U103" s="47"/>
      <c r="V103" s="147">
        <f t="shared" ref="V103:V108" si="11">IFERROR(AVERAGE(J103:U103),"")</f>
        <v>66.468</v>
      </c>
    </row>
    <row r="104" ht="14.25" customHeight="1">
      <c r="A104" s="7"/>
      <c r="B104" s="94" t="s">
        <v>646</v>
      </c>
      <c r="C104" s="44"/>
      <c r="D104" s="44"/>
      <c r="E104" s="46">
        <v>2.0</v>
      </c>
      <c r="F104" s="89" t="s">
        <v>601</v>
      </c>
      <c r="G104" s="31"/>
      <c r="H104" s="32"/>
      <c r="I104" s="66" t="s">
        <v>570</v>
      </c>
      <c r="J104" s="47">
        <v>49.07</v>
      </c>
      <c r="K104" s="47">
        <v>53.66</v>
      </c>
      <c r="L104" s="47">
        <v>64.94</v>
      </c>
      <c r="M104" s="47">
        <v>86.46</v>
      </c>
      <c r="N104" s="146">
        <v>50.9</v>
      </c>
      <c r="O104" s="47"/>
      <c r="P104" s="47"/>
      <c r="Q104" s="47"/>
      <c r="R104" s="47"/>
      <c r="S104" s="47"/>
      <c r="T104" s="47"/>
      <c r="U104" s="47"/>
      <c r="V104" s="147">
        <f t="shared" si="11"/>
        <v>61.006</v>
      </c>
    </row>
    <row r="105" ht="14.25" customHeight="1">
      <c r="A105" s="7"/>
      <c r="B105" s="94" t="s">
        <v>647</v>
      </c>
      <c r="C105" s="44"/>
      <c r="D105" s="44"/>
      <c r="E105" s="53">
        <v>3.0</v>
      </c>
      <c r="F105" s="89" t="s">
        <v>603</v>
      </c>
      <c r="G105" s="31"/>
      <c r="H105" s="32"/>
      <c r="I105" s="66" t="s">
        <v>570</v>
      </c>
      <c r="J105" s="47">
        <v>28.47</v>
      </c>
      <c r="K105" s="47">
        <v>32.65</v>
      </c>
      <c r="L105" s="47">
        <v>42.03</v>
      </c>
      <c r="M105" s="47">
        <v>31.97</v>
      </c>
      <c r="N105" s="146">
        <v>35.07</v>
      </c>
      <c r="O105" s="47"/>
      <c r="P105" s="47"/>
      <c r="Q105" s="47"/>
      <c r="R105" s="47"/>
      <c r="S105" s="47"/>
      <c r="T105" s="47"/>
      <c r="U105" s="47"/>
      <c r="V105" s="147">
        <f t="shared" si="11"/>
        <v>34.038</v>
      </c>
    </row>
    <row r="106" ht="14.25" customHeight="1">
      <c r="A106" s="7"/>
      <c r="B106" s="94" t="s">
        <v>648</v>
      </c>
      <c r="C106" s="44"/>
      <c r="D106" s="44"/>
      <c r="E106" s="53">
        <v>4.0</v>
      </c>
      <c r="F106" s="89" t="s">
        <v>605</v>
      </c>
      <c r="G106" s="31"/>
      <c r="H106" s="32"/>
      <c r="I106" s="66" t="s">
        <v>570</v>
      </c>
      <c r="J106" s="47">
        <v>7.23</v>
      </c>
      <c r="K106" s="47">
        <v>9.52</v>
      </c>
      <c r="L106" s="47">
        <v>6.67</v>
      </c>
      <c r="M106" s="47">
        <v>9.19</v>
      </c>
      <c r="N106" s="146">
        <v>5.02</v>
      </c>
      <c r="O106" s="47"/>
      <c r="P106" s="47"/>
      <c r="Q106" s="47"/>
      <c r="R106" s="47"/>
      <c r="S106" s="47"/>
      <c r="T106" s="47"/>
      <c r="U106" s="47"/>
      <c r="V106" s="147">
        <f t="shared" si="11"/>
        <v>7.526</v>
      </c>
    </row>
    <row r="107" ht="14.25" customHeight="1">
      <c r="A107" s="7"/>
      <c r="B107" s="94" t="s">
        <v>649</v>
      </c>
      <c r="C107" s="44"/>
      <c r="D107" s="44"/>
      <c r="E107" s="46">
        <v>5.0</v>
      </c>
      <c r="F107" s="89" t="s">
        <v>607</v>
      </c>
      <c r="G107" s="31"/>
      <c r="H107" s="32"/>
      <c r="I107" s="66" t="s">
        <v>570</v>
      </c>
      <c r="J107" s="47">
        <v>23.6</v>
      </c>
      <c r="K107" s="47">
        <v>25.68</v>
      </c>
      <c r="L107" s="47">
        <v>27.53</v>
      </c>
      <c r="M107" s="47">
        <v>24.44</v>
      </c>
      <c r="N107" s="146">
        <v>27.07</v>
      </c>
      <c r="O107" s="47"/>
      <c r="P107" s="47"/>
      <c r="Q107" s="47"/>
      <c r="R107" s="47"/>
      <c r="S107" s="47"/>
      <c r="T107" s="47"/>
      <c r="U107" s="47"/>
      <c r="V107" s="147">
        <f t="shared" si="11"/>
        <v>25.664</v>
      </c>
    </row>
    <row r="108" ht="14.25" customHeight="1">
      <c r="A108" s="7"/>
      <c r="B108" s="94" t="s">
        <v>650</v>
      </c>
      <c r="C108" s="44"/>
      <c r="D108" s="44"/>
      <c r="E108" s="53">
        <v>6.0</v>
      </c>
      <c r="F108" s="45" t="s">
        <v>609</v>
      </c>
      <c r="G108" s="31"/>
      <c r="H108" s="32"/>
      <c r="I108" s="66" t="s">
        <v>610</v>
      </c>
      <c r="J108" s="47">
        <v>50.87</v>
      </c>
      <c r="K108" s="47">
        <v>49.7</v>
      </c>
      <c r="L108" s="47">
        <v>52.96</v>
      </c>
      <c r="M108" s="47">
        <v>50.24</v>
      </c>
      <c r="N108" s="146">
        <v>55.77</v>
      </c>
      <c r="O108" s="47"/>
      <c r="P108" s="47"/>
      <c r="Q108" s="47"/>
      <c r="R108" s="47"/>
      <c r="S108" s="47"/>
      <c r="T108" s="47"/>
      <c r="U108" s="47"/>
      <c r="V108" s="147">
        <f t="shared" si="11"/>
        <v>51.908</v>
      </c>
      <c r="W108" s="149">
        <f>(V108+V116+V124)/3</f>
        <v>58.648</v>
      </c>
    </row>
    <row r="109" ht="14.25" customHeight="1">
      <c r="A109" s="7"/>
      <c r="B109" s="94"/>
      <c r="C109" s="65"/>
      <c r="D109" s="44"/>
      <c r="E109" s="46"/>
      <c r="F109" s="80"/>
      <c r="G109" s="80"/>
      <c r="H109" s="81"/>
      <c r="I109" s="66"/>
      <c r="J109" s="43"/>
      <c r="K109" s="43"/>
      <c r="L109" s="43"/>
      <c r="M109" s="43"/>
      <c r="N109" s="128"/>
      <c r="O109" s="43"/>
      <c r="P109" s="43"/>
      <c r="Q109" s="43"/>
      <c r="R109" s="43"/>
      <c r="S109" s="43"/>
      <c r="T109" s="43"/>
      <c r="U109" s="43"/>
      <c r="V109" s="127"/>
    </row>
    <row r="110" ht="14.25" customHeight="1">
      <c r="A110" s="7"/>
      <c r="B110" s="94"/>
      <c r="C110" s="44"/>
      <c r="D110" s="44">
        <v>3.0</v>
      </c>
      <c r="E110" s="45" t="s">
        <v>618</v>
      </c>
      <c r="F110" s="31"/>
      <c r="G110" s="31"/>
      <c r="H110" s="32"/>
      <c r="I110" s="66"/>
      <c r="J110" s="43"/>
      <c r="K110" s="43"/>
      <c r="L110" s="43"/>
      <c r="M110" s="43"/>
      <c r="N110" s="128"/>
      <c r="O110" s="43"/>
      <c r="P110" s="43"/>
      <c r="Q110" s="43"/>
      <c r="R110" s="43"/>
      <c r="S110" s="43"/>
      <c r="T110" s="43"/>
      <c r="U110" s="43"/>
      <c r="V110" s="127"/>
    </row>
    <row r="111" ht="14.25" customHeight="1">
      <c r="A111" s="7"/>
      <c r="B111" s="94" t="s">
        <v>651</v>
      </c>
      <c r="C111" s="44"/>
      <c r="D111" s="44"/>
      <c r="E111" s="53">
        <v>1.0</v>
      </c>
      <c r="F111" s="45" t="s">
        <v>599</v>
      </c>
      <c r="G111" s="31"/>
      <c r="H111" s="32"/>
      <c r="I111" s="66" t="s">
        <v>570</v>
      </c>
      <c r="J111" s="47">
        <v>33.0</v>
      </c>
      <c r="K111" s="47">
        <v>35.0</v>
      </c>
      <c r="L111" s="47">
        <v>33.0</v>
      </c>
      <c r="M111" s="47">
        <v>34.0</v>
      </c>
      <c r="N111" s="50">
        <v>41.0</v>
      </c>
      <c r="O111" s="47"/>
      <c r="P111" s="47"/>
      <c r="Q111" s="47"/>
      <c r="R111" s="47"/>
      <c r="S111" s="47"/>
      <c r="T111" s="47"/>
      <c r="U111" s="47"/>
      <c r="V111" s="147">
        <f t="shared" ref="V111:V116" si="12">IFERROR(AVERAGE(J111:U111),"")</f>
        <v>35.2</v>
      </c>
    </row>
    <row r="112" ht="14.25" customHeight="1">
      <c r="A112" s="7"/>
      <c r="B112" s="94" t="s">
        <v>652</v>
      </c>
      <c r="C112" s="44"/>
      <c r="D112" s="44"/>
      <c r="E112" s="46">
        <v>2.0</v>
      </c>
      <c r="F112" s="89" t="s">
        <v>601</v>
      </c>
      <c r="G112" s="31"/>
      <c r="H112" s="32"/>
      <c r="I112" s="66" t="s">
        <v>570</v>
      </c>
      <c r="J112" s="47">
        <v>25.05</v>
      </c>
      <c r="K112" s="47">
        <v>26.46</v>
      </c>
      <c r="L112" s="47">
        <v>27.5</v>
      </c>
      <c r="M112" s="47">
        <v>27.67</v>
      </c>
      <c r="N112" s="146">
        <v>33.52</v>
      </c>
      <c r="O112" s="47"/>
      <c r="P112" s="47"/>
      <c r="Q112" s="47"/>
      <c r="R112" s="47"/>
      <c r="S112" s="47"/>
      <c r="T112" s="47"/>
      <c r="U112" s="47"/>
      <c r="V112" s="147">
        <f t="shared" si="12"/>
        <v>28.04</v>
      </c>
    </row>
    <row r="113" ht="14.25" customHeight="1">
      <c r="A113" s="7"/>
      <c r="B113" s="94" t="s">
        <v>653</v>
      </c>
      <c r="C113" s="44"/>
      <c r="D113" s="44"/>
      <c r="E113" s="53">
        <v>3.0</v>
      </c>
      <c r="F113" s="89" t="s">
        <v>603</v>
      </c>
      <c r="G113" s="31"/>
      <c r="H113" s="32"/>
      <c r="I113" s="66" t="s">
        <v>570</v>
      </c>
      <c r="J113" s="47">
        <v>25.03</v>
      </c>
      <c r="K113" s="47">
        <v>25.65</v>
      </c>
      <c r="L113" s="47">
        <v>27.48</v>
      </c>
      <c r="M113" s="47">
        <v>27.65</v>
      </c>
      <c r="N113" s="146">
        <v>33.5</v>
      </c>
      <c r="O113" s="47"/>
      <c r="P113" s="47"/>
      <c r="Q113" s="47"/>
      <c r="R113" s="47"/>
      <c r="S113" s="47"/>
      <c r="T113" s="47"/>
      <c r="U113" s="47"/>
      <c r="V113" s="147">
        <f t="shared" si="12"/>
        <v>27.862</v>
      </c>
    </row>
    <row r="114" ht="14.25" customHeight="1">
      <c r="A114" s="7"/>
      <c r="B114" s="94" t="s">
        <v>654</v>
      </c>
      <c r="C114" s="44"/>
      <c r="D114" s="44"/>
      <c r="E114" s="53">
        <v>4.0</v>
      </c>
      <c r="F114" s="89" t="s">
        <v>605</v>
      </c>
      <c r="G114" s="31"/>
      <c r="H114" s="32"/>
      <c r="I114" s="66" t="s">
        <v>570</v>
      </c>
      <c r="J114" s="47">
        <v>0.0</v>
      </c>
      <c r="K114" s="47">
        <v>0.78</v>
      </c>
      <c r="L114" s="47">
        <v>0.0</v>
      </c>
      <c r="M114" s="47">
        <v>0.0</v>
      </c>
      <c r="N114" s="146">
        <v>0.0</v>
      </c>
      <c r="O114" s="47"/>
      <c r="P114" s="47"/>
      <c r="Q114" s="47"/>
      <c r="R114" s="47"/>
      <c r="S114" s="47"/>
      <c r="T114" s="47"/>
      <c r="U114" s="47"/>
      <c r="V114" s="147">
        <f t="shared" si="12"/>
        <v>0.156</v>
      </c>
    </row>
    <row r="115" ht="14.25" customHeight="1">
      <c r="A115" s="7"/>
      <c r="B115" s="94" t="s">
        <v>655</v>
      </c>
      <c r="C115" s="44"/>
      <c r="D115" s="44"/>
      <c r="E115" s="46">
        <v>5.0</v>
      </c>
      <c r="F115" s="89" t="s">
        <v>607</v>
      </c>
      <c r="G115" s="31"/>
      <c r="H115" s="32"/>
      <c r="I115" s="66" t="s">
        <v>570</v>
      </c>
      <c r="J115" s="47">
        <v>7.92</v>
      </c>
      <c r="K115" s="47">
        <v>8.52</v>
      </c>
      <c r="L115" s="47">
        <v>5.77</v>
      </c>
      <c r="M115" s="47">
        <v>6.45</v>
      </c>
      <c r="N115" s="146">
        <v>7.04</v>
      </c>
      <c r="O115" s="47"/>
      <c r="P115" s="47"/>
      <c r="Q115" s="47"/>
      <c r="R115" s="47"/>
      <c r="S115" s="47"/>
      <c r="T115" s="47"/>
      <c r="U115" s="47"/>
      <c r="V115" s="147">
        <f t="shared" si="12"/>
        <v>7.14</v>
      </c>
    </row>
    <row r="116" ht="14.25" customHeight="1">
      <c r="A116" s="7"/>
      <c r="B116" s="94" t="s">
        <v>656</v>
      </c>
      <c r="C116" s="44"/>
      <c r="D116" s="44"/>
      <c r="E116" s="53">
        <v>6.0</v>
      </c>
      <c r="F116" s="45" t="s">
        <v>609</v>
      </c>
      <c r="G116" s="31"/>
      <c r="H116" s="32"/>
      <c r="I116" s="66" t="s">
        <v>610</v>
      </c>
      <c r="J116" s="47">
        <v>71.18</v>
      </c>
      <c r="K116" s="47">
        <v>71.93</v>
      </c>
      <c r="L116" s="47">
        <v>79.99</v>
      </c>
      <c r="M116" s="47">
        <v>78.59</v>
      </c>
      <c r="N116" s="146">
        <v>80.66</v>
      </c>
      <c r="O116" s="47"/>
      <c r="P116" s="47"/>
      <c r="Q116" s="47"/>
      <c r="R116" s="47"/>
      <c r="S116" s="47"/>
      <c r="T116" s="47"/>
      <c r="U116" s="47"/>
      <c r="V116" s="147">
        <f t="shared" si="12"/>
        <v>76.47</v>
      </c>
    </row>
    <row r="117" ht="14.25" customHeight="1">
      <c r="A117" s="7"/>
      <c r="B117" s="94"/>
      <c r="C117" s="65"/>
      <c r="D117" s="44"/>
      <c r="E117" s="46"/>
      <c r="F117" s="80"/>
      <c r="G117" s="80"/>
      <c r="H117" s="81"/>
      <c r="I117" s="66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127"/>
    </row>
    <row r="118" ht="14.25" customHeight="1">
      <c r="A118" s="7"/>
      <c r="B118" s="94"/>
      <c r="C118" s="65"/>
      <c r="D118" s="44">
        <v>4.0</v>
      </c>
      <c r="E118" s="45" t="s">
        <v>625</v>
      </c>
      <c r="F118" s="31"/>
      <c r="G118" s="31"/>
      <c r="H118" s="32"/>
      <c r="I118" s="66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127"/>
    </row>
    <row r="119" ht="14.25" customHeight="1">
      <c r="A119" s="7"/>
      <c r="B119" s="94" t="s">
        <v>657</v>
      </c>
      <c r="C119" s="65"/>
      <c r="D119" s="44"/>
      <c r="E119" s="53">
        <v>1.0</v>
      </c>
      <c r="F119" s="45" t="s">
        <v>599</v>
      </c>
      <c r="G119" s="31"/>
      <c r="H119" s="32"/>
      <c r="I119" s="66" t="s">
        <v>570</v>
      </c>
      <c r="J119" s="47">
        <v>45.67</v>
      </c>
      <c r="K119" s="47">
        <v>30.97</v>
      </c>
      <c r="L119" s="47">
        <v>63.33</v>
      </c>
      <c r="M119" s="47">
        <v>51.8</v>
      </c>
      <c r="N119" s="146">
        <v>60.68</v>
      </c>
      <c r="O119" s="47"/>
      <c r="P119" s="47"/>
      <c r="Q119" s="47"/>
      <c r="R119" s="47"/>
      <c r="S119" s="47"/>
      <c r="T119" s="47"/>
      <c r="U119" s="47"/>
      <c r="V119" s="147">
        <f t="shared" ref="V119:V124" si="13">IFERROR(AVERAGE(J119:U119),"")</f>
        <v>50.49</v>
      </c>
    </row>
    <row r="120" ht="14.25" customHeight="1">
      <c r="A120" s="7"/>
      <c r="B120" s="94" t="s">
        <v>658</v>
      </c>
      <c r="C120" s="65"/>
      <c r="D120" s="44"/>
      <c r="E120" s="46">
        <v>2.0</v>
      </c>
      <c r="F120" s="89" t="s">
        <v>601</v>
      </c>
      <c r="G120" s="31"/>
      <c r="H120" s="32"/>
      <c r="I120" s="66" t="s">
        <v>570</v>
      </c>
      <c r="J120" s="47">
        <v>32.96</v>
      </c>
      <c r="K120" s="47">
        <v>23.11</v>
      </c>
      <c r="L120" s="47">
        <v>57.92</v>
      </c>
      <c r="M120" s="47">
        <v>39.43</v>
      </c>
      <c r="N120" s="146">
        <v>53.33</v>
      </c>
      <c r="O120" s="47"/>
      <c r="P120" s="47"/>
      <c r="Q120" s="47"/>
      <c r="R120" s="47"/>
      <c r="S120" s="47"/>
      <c r="T120" s="47"/>
      <c r="U120" s="47"/>
      <c r="V120" s="147">
        <f t="shared" si="13"/>
        <v>41.35</v>
      </c>
    </row>
    <row r="121" ht="14.25" customHeight="1">
      <c r="A121" s="7"/>
      <c r="B121" s="94" t="s">
        <v>659</v>
      </c>
      <c r="C121" s="65"/>
      <c r="D121" s="44"/>
      <c r="E121" s="53">
        <v>3.0</v>
      </c>
      <c r="F121" s="89" t="s">
        <v>603</v>
      </c>
      <c r="G121" s="31"/>
      <c r="H121" s="32"/>
      <c r="I121" s="66" t="s">
        <v>570</v>
      </c>
      <c r="J121" s="47">
        <v>18.94</v>
      </c>
      <c r="K121" s="47">
        <v>13.68</v>
      </c>
      <c r="L121" s="47">
        <v>17.01</v>
      </c>
      <c r="M121" s="47">
        <v>31.47</v>
      </c>
      <c r="N121" s="146">
        <v>28.25</v>
      </c>
      <c r="O121" s="47"/>
      <c r="P121" s="47"/>
      <c r="Q121" s="47"/>
      <c r="R121" s="47"/>
      <c r="S121" s="47"/>
      <c r="T121" s="47"/>
      <c r="U121" s="47"/>
      <c r="V121" s="147">
        <f t="shared" si="13"/>
        <v>21.87</v>
      </c>
    </row>
    <row r="122" ht="14.25" customHeight="1">
      <c r="A122" s="7"/>
      <c r="B122" s="94" t="s">
        <v>660</v>
      </c>
      <c r="C122" s="65"/>
      <c r="D122" s="44"/>
      <c r="E122" s="53">
        <v>4.0</v>
      </c>
      <c r="F122" s="89" t="s">
        <v>605</v>
      </c>
      <c r="G122" s="31"/>
      <c r="H122" s="32"/>
      <c r="I122" s="66" t="s">
        <v>570</v>
      </c>
      <c r="J122" s="47">
        <v>10.95</v>
      </c>
      <c r="K122" s="47">
        <v>7.33</v>
      </c>
      <c r="L122" s="47">
        <v>32.12</v>
      </c>
      <c r="M122" s="47">
        <v>3.0</v>
      </c>
      <c r="N122" s="146">
        <v>10.97</v>
      </c>
      <c r="O122" s="47"/>
      <c r="P122" s="47"/>
      <c r="Q122" s="47"/>
      <c r="R122" s="47"/>
      <c r="S122" s="47"/>
      <c r="T122" s="47"/>
      <c r="U122" s="47"/>
      <c r="V122" s="147">
        <f t="shared" si="13"/>
        <v>12.874</v>
      </c>
    </row>
    <row r="123" ht="14.25" customHeight="1">
      <c r="A123" s="7"/>
      <c r="B123" s="94" t="s">
        <v>661</v>
      </c>
      <c r="C123" s="65"/>
      <c r="D123" s="44"/>
      <c r="E123" s="46">
        <v>5.0</v>
      </c>
      <c r="F123" s="89" t="s">
        <v>607</v>
      </c>
      <c r="G123" s="31"/>
      <c r="H123" s="32"/>
      <c r="I123" s="66" t="s">
        <v>570</v>
      </c>
      <c r="J123" s="47">
        <v>17.36</v>
      </c>
      <c r="K123" s="47">
        <v>17.62</v>
      </c>
      <c r="L123" s="47">
        <v>14.17</v>
      </c>
      <c r="M123" s="47">
        <v>17.5</v>
      </c>
      <c r="N123" s="146">
        <v>16.27</v>
      </c>
      <c r="O123" s="47"/>
      <c r="P123" s="47"/>
      <c r="Q123" s="47"/>
      <c r="R123" s="47"/>
      <c r="S123" s="47"/>
      <c r="T123" s="47"/>
      <c r="U123" s="47"/>
      <c r="V123" s="147">
        <f t="shared" si="13"/>
        <v>16.584</v>
      </c>
    </row>
    <row r="124" ht="14.25" customHeight="1">
      <c r="A124" s="7"/>
      <c r="B124" s="94" t="s">
        <v>662</v>
      </c>
      <c r="C124" s="65"/>
      <c r="D124" s="44"/>
      <c r="E124" s="53">
        <v>6.0</v>
      </c>
      <c r="F124" s="45" t="s">
        <v>609</v>
      </c>
      <c r="G124" s="31"/>
      <c r="H124" s="32"/>
      <c r="I124" s="66" t="s">
        <v>610</v>
      </c>
      <c r="J124" s="47">
        <v>48.75</v>
      </c>
      <c r="K124" s="47">
        <v>47.96</v>
      </c>
      <c r="L124" s="47">
        <v>26.86</v>
      </c>
      <c r="M124" s="47">
        <v>64.62</v>
      </c>
      <c r="N124" s="146">
        <v>49.64</v>
      </c>
      <c r="O124" s="47"/>
      <c r="P124" s="47"/>
      <c r="Q124" s="47"/>
      <c r="R124" s="47"/>
      <c r="S124" s="47"/>
      <c r="T124" s="47"/>
      <c r="U124" s="47"/>
      <c r="V124" s="147">
        <f t="shared" si="13"/>
        <v>47.566</v>
      </c>
    </row>
    <row r="125" ht="14.25" customHeight="1">
      <c r="A125" s="7"/>
      <c r="B125" s="94"/>
      <c r="C125" s="65"/>
      <c r="D125" s="44"/>
      <c r="E125" s="46"/>
      <c r="F125" s="80"/>
      <c r="G125" s="80"/>
      <c r="H125" s="81"/>
      <c r="I125" s="66"/>
      <c r="J125" s="43"/>
      <c r="K125" s="119"/>
      <c r="L125" s="119"/>
      <c r="M125" s="119"/>
      <c r="N125" s="119"/>
      <c r="O125" s="119"/>
      <c r="P125" s="119"/>
      <c r="Q125" s="43"/>
      <c r="R125" s="119"/>
      <c r="S125" s="119"/>
      <c r="T125" s="119"/>
      <c r="U125" s="74"/>
      <c r="V125" s="127"/>
    </row>
    <row r="126" ht="14.25" customHeight="1">
      <c r="A126" s="7"/>
      <c r="B126" s="94"/>
      <c r="C126" s="44"/>
      <c r="D126" s="44">
        <v>5.0</v>
      </c>
      <c r="E126" s="45" t="s">
        <v>632</v>
      </c>
      <c r="F126" s="31"/>
      <c r="G126" s="31"/>
      <c r="H126" s="32"/>
      <c r="I126" s="66"/>
      <c r="J126" s="43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74"/>
      <c r="V126" s="127"/>
    </row>
    <row r="127" ht="14.25" customHeight="1">
      <c r="A127" s="7"/>
      <c r="B127" s="94" t="s">
        <v>663</v>
      </c>
      <c r="C127" s="65"/>
      <c r="D127" s="44"/>
      <c r="E127" s="53">
        <v>1.0</v>
      </c>
      <c r="F127" s="45" t="s">
        <v>599</v>
      </c>
      <c r="G127" s="31"/>
      <c r="H127" s="32"/>
      <c r="I127" s="66" t="s">
        <v>570</v>
      </c>
      <c r="J127" s="60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4"/>
      <c r="V127" s="147" t="str">
        <f t="shared" ref="V127:V132" si="14">IFERROR(AVERAGE(J127:U127),"")</f>
        <v/>
      </c>
    </row>
    <row r="128" ht="14.25" customHeight="1">
      <c r="A128" s="7"/>
      <c r="B128" s="94" t="s">
        <v>664</v>
      </c>
      <c r="C128" s="65"/>
      <c r="D128" s="44"/>
      <c r="E128" s="46">
        <v>2.0</v>
      </c>
      <c r="F128" s="89" t="s">
        <v>601</v>
      </c>
      <c r="G128" s="31"/>
      <c r="H128" s="32"/>
      <c r="I128" s="66" t="s">
        <v>570</v>
      </c>
      <c r="J128" s="60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4"/>
      <c r="V128" s="147" t="str">
        <f t="shared" si="14"/>
        <v/>
      </c>
    </row>
    <row r="129" ht="14.25" customHeight="1">
      <c r="A129" s="7"/>
      <c r="B129" s="94" t="s">
        <v>665</v>
      </c>
      <c r="C129" s="65"/>
      <c r="D129" s="44"/>
      <c r="E129" s="53">
        <v>3.0</v>
      </c>
      <c r="F129" s="89" t="s">
        <v>603</v>
      </c>
      <c r="G129" s="31"/>
      <c r="H129" s="32"/>
      <c r="I129" s="66" t="s">
        <v>570</v>
      </c>
      <c r="J129" s="60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4"/>
      <c r="V129" s="147" t="str">
        <f t="shared" si="14"/>
        <v/>
      </c>
    </row>
    <row r="130" ht="14.25" customHeight="1">
      <c r="A130" s="7"/>
      <c r="B130" s="94" t="s">
        <v>666</v>
      </c>
      <c r="C130" s="65"/>
      <c r="D130" s="44"/>
      <c r="E130" s="53">
        <v>4.0</v>
      </c>
      <c r="F130" s="89" t="s">
        <v>605</v>
      </c>
      <c r="G130" s="31"/>
      <c r="H130" s="32"/>
      <c r="I130" s="66" t="s">
        <v>570</v>
      </c>
      <c r="J130" s="60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4"/>
      <c r="V130" s="147" t="str">
        <f t="shared" si="14"/>
        <v/>
      </c>
    </row>
    <row r="131" ht="14.25" customHeight="1">
      <c r="A131" s="7"/>
      <c r="B131" s="94" t="s">
        <v>667</v>
      </c>
      <c r="C131" s="65"/>
      <c r="D131" s="44"/>
      <c r="E131" s="46">
        <v>5.0</v>
      </c>
      <c r="F131" s="89" t="s">
        <v>607</v>
      </c>
      <c r="G131" s="31"/>
      <c r="H131" s="32"/>
      <c r="I131" s="66" t="s">
        <v>570</v>
      </c>
      <c r="J131" s="60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4"/>
      <c r="V131" s="147" t="str">
        <f t="shared" si="14"/>
        <v/>
      </c>
    </row>
    <row r="132" ht="14.25" customHeight="1">
      <c r="A132" s="7"/>
      <c r="B132" s="94" t="s">
        <v>668</v>
      </c>
      <c r="C132" s="65"/>
      <c r="D132" s="44"/>
      <c r="E132" s="53">
        <v>6.0</v>
      </c>
      <c r="F132" s="45" t="s">
        <v>609</v>
      </c>
      <c r="G132" s="31"/>
      <c r="H132" s="32"/>
      <c r="I132" s="66" t="s">
        <v>610</v>
      </c>
      <c r="J132" s="60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4"/>
      <c r="V132" s="147" t="str">
        <f t="shared" si="14"/>
        <v/>
      </c>
    </row>
    <row r="133" ht="14.25" customHeight="1">
      <c r="A133" s="7"/>
      <c r="B133" s="94"/>
      <c r="C133" s="65"/>
      <c r="D133" s="53"/>
      <c r="E133" s="111"/>
      <c r="F133" s="80"/>
      <c r="G133" s="40"/>
      <c r="H133" s="41"/>
      <c r="I133" s="66"/>
      <c r="J133" s="43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27"/>
    </row>
    <row r="134" ht="14.25" customHeight="1">
      <c r="A134" s="7"/>
      <c r="B134" s="94"/>
      <c r="C134" s="66">
        <v>3.0</v>
      </c>
      <c r="D134" s="45" t="s">
        <v>584</v>
      </c>
      <c r="E134" s="31"/>
      <c r="F134" s="31"/>
      <c r="G134" s="31"/>
      <c r="H134" s="32"/>
      <c r="I134" s="66"/>
      <c r="J134" s="43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43"/>
    </row>
    <row r="135" ht="14.25" customHeight="1">
      <c r="A135" s="7"/>
      <c r="B135" s="94"/>
      <c r="C135" s="44"/>
      <c r="D135" s="44">
        <v>1.0</v>
      </c>
      <c r="E135" s="45" t="s">
        <v>597</v>
      </c>
      <c r="F135" s="31"/>
      <c r="G135" s="31"/>
      <c r="H135" s="32"/>
      <c r="I135" s="66"/>
      <c r="J135" s="43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27"/>
    </row>
    <row r="136" ht="14.25" customHeight="1">
      <c r="A136" s="7"/>
      <c r="B136" s="94" t="s">
        <v>669</v>
      </c>
      <c r="C136" s="44"/>
      <c r="D136" s="44"/>
      <c r="E136" s="53">
        <v>1.0</v>
      </c>
      <c r="F136" s="45" t="s">
        <v>599</v>
      </c>
      <c r="G136" s="31"/>
      <c r="H136" s="32"/>
      <c r="I136" s="66" t="s">
        <v>570</v>
      </c>
      <c r="J136" s="60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147" t="str">
        <f t="shared" ref="V136:V141" si="15">IFERROR(AVERAGE(J136:U136),"")</f>
        <v/>
      </c>
    </row>
    <row r="137" ht="14.25" customHeight="1">
      <c r="A137" s="7"/>
      <c r="B137" s="94" t="s">
        <v>670</v>
      </c>
      <c r="C137" s="44"/>
      <c r="D137" s="44"/>
      <c r="E137" s="46">
        <v>2.0</v>
      </c>
      <c r="F137" s="89" t="s">
        <v>601</v>
      </c>
      <c r="G137" s="31"/>
      <c r="H137" s="32"/>
      <c r="I137" s="66" t="s">
        <v>570</v>
      </c>
      <c r="J137" s="60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147" t="str">
        <f t="shared" si="15"/>
        <v/>
      </c>
    </row>
    <row r="138" ht="14.25" customHeight="1">
      <c r="A138" s="7"/>
      <c r="B138" s="94" t="s">
        <v>671</v>
      </c>
      <c r="C138" s="44"/>
      <c r="D138" s="44"/>
      <c r="E138" s="53">
        <v>3.0</v>
      </c>
      <c r="F138" s="89" t="s">
        <v>603</v>
      </c>
      <c r="G138" s="31"/>
      <c r="H138" s="32"/>
      <c r="I138" s="66" t="s">
        <v>570</v>
      </c>
      <c r="J138" s="60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147" t="str">
        <f t="shared" si="15"/>
        <v/>
      </c>
    </row>
    <row r="139" ht="14.25" customHeight="1">
      <c r="A139" s="7"/>
      <c r="B139" s="94" t="s">
        <v>672</v>
      </c>
      <c r="C139" s="44"/>
      <c r="D139" s="44"/>
      <c r="E139" s="53">
        <v>4.0</v>
      </c>
      <c r="F139" s="89" t="s">
        <v>605</v>
      </c>
      <c r="G139" s="31"/>
      <c r="H139" s="32"/>
      <c r="I139" s="66" t="s">
        <v>570</v>
      </c>
      <c r="J139" s="60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147" t="str">
        <f t="shared" si="15"/>
        <v/>
      </c>
    </row>
    <row r="140" ht="14.25" customHeight="1">
      <c r="A140" s="7"/>
      <c r="B140" s="94" t="s">
        <v>673</v>
      </c>
      <c r="C140" s="44"/>
      <c r="D140" s="44"/>
      <c r="E140" s="46">
        <v>5.0</v>
      </c>
      <c r="F140" s="89" t="s">
        <v>607</v>
      </c>
      <c r="G140" s="31"/>
      <c r="H140" s="32"/>
      <c r="I140" s="66" t="s">
        <v>570</v>
      </c>
      <c r="J140" s="60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147" t="str">
        <f t="shared" si="15"/>
        <v/>
      </c>
    </row>
    <row r="141" ht="14.25" customHeight="1">
      <c r="A141" s="7"/>
      <c r="B141" s="94" t="s">
        <v>674</v>
      </c>
      <c r="C141" s="44"/>
      <c r="D141" s="44"/>
      <c r="E141" s="53">
        <v>6.0</v>
      </c>
      <c r="F141" s="45" t="s">
        <v>609</v>
      </c>
      <c r="G141" s="31"/>
      <c r="H141" s="32"/>
      <c r="I141" s="66" t="s">
        <v>610</v>
      </c>
      <c r="J141" s="60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147" t="str">
        <f t="shared" si="15"/>
        <v/>
      </c>
    </row>
    <row r="142" ht="14.25" customHeight="1">
      <c r="A142" s="7"/>
      <c r="B142" s="7"/>
      <c r="C142" s="65"/>
      <c r="D142" s="44"/>
      <c r="E142" s="46"/>
      <c r="F142" s="80"/>
      <c r="G142" s="80"/>
      <c r="H142" s="81"/>
      <c r="I142" s="66"/>
      <c r="J142" s="43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27"/>
    </row>
    <row r="143" ht="14.25" customHeight="1">
      <c r="A143" s="7"/>
      <c r="B143" s="94"/>
      <c r="C143" s="44"/>
      <c r="D143" s="44">
        <v>2.0</v>
      </c>
      <c r="E143" s="45" t="s">
        <v>611</v>
      </c>
      <c r="F143" s="31"/>
      <c r="G143" s="31"/>
      <c r="H143" s="32"/>
      <c r="I143" s="66"/>
      <c r="J143" s="43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27"/>
    </row>
    <row r="144" ht="14.25" customHeight="1">
      <c r="A144" s="7"/>
      <c r="B144" s="94" t="s">
        <v>675</v>
      </c>
      <c r="C144" s="44"/>
      <c r="D144" s="44"/>
      <c r="E144" s="53">
        <v>1.0</v>
      </c>
      <c r="F144" s="45" t="s">
        <v>599</v>
      </c>
      <c r="G144" s="31"/>
      <c r="H144" s="32"/>
      <c r="I144" s="66" t="s">
        <v>570</v>
      </c>
      <c r="J144" s="47">
        <v>73.28</v>
      </c>
      <c r="K144" s="47">
        <v>79.12</v>
      </c>
      <c r="L144" s="47">
        <v>108.06</v>
      </c>
      <c r="M144" s="47">
        <v>73.37</v>
      </c>
      <c r="N144" s="146">
        <v>70.39</v>
      </c>
      <c r="O144" s="47"/>
      <c r="P144" s="47"/>
      <c r="Q144" s="47"/>
      <c r="R144" s="47"/>
      <c r="S144" s="47"/>
      <c r="T144" s="47"/>
      <c r="U144" s="47"/>
      <c r="V144" s="147">
        <f t="shared" ref="V144:V149" si="16">IFERROR(AVERAGE(J144:U144),"")</f>
        <v>80.844</v>
      </c>
    </row>
    <row r="145" ht="14.25" customHeight="1">
      <c r="A145" s="7"/>
      <c r="B145" s="94" t="s">
        <v>676</v>
      </c>
      <c r="C145" s="44"/>
      <c r="D145" s="44"/>
      <c r="E145" s="46">
        <v>2.0</v>
      </c>
      <c r="F145" s="89" t="s">
        <v>601</v>
      </c>
      <c r="G145" s="31"/>
      <c r="H145" s="32"/>
      <c r="I145" s="66" t="s">
        <v>570</v>
      </c>
      <c r="J145" s="47">
        <v>62.59</v>
      </c>
      <c r="K145" s="47">
        <v>65.19</v>
      </c>
      <c r="L145" s="47">
        <v>98.06</v>
      </c>
      <c r="M145" s="47">
        <v>85.56</v>
      </c>
      <c r="N145" s="146">
        <v>61.24</v>
      </c>
      <c r="O145" s="47"/>
      <c r="P145" s="47"/>
      <c r="Q145" s="47"/>
      <c r="R145" s="47"/>
      <c r="S145" s="47"/>
      <c r="T145" s="47"/>
      <c r="U145" s="47"/>
      <c r="V145" s="147">
        <f t="shared" si="16"/>
        <v>74.528</v>
      </c>
    </row>
    <row r="146" ht="14.25" customHeight="1">
      <c r="A146" s="7"/>
      <c r="B146" s="94" t="s">
        <v>677</v>
      </c>
      <c r="C146" s="44"/>
      <c r="D146" s="44"/>
      <c r="E146" s="53">
        <v>3.0</v>
      </c>
      <c r="F146" s="89" t="s">
        <v>603</v>
      </c>
      <c r="G146" s="31"/>
      <c r="H146" s="32"/>
      <c r="I146" s="66" t="s">
        <v>570</v>
      </c>
      <c r="J146" s="47">
        <v>34.38</v>
      </c>
      <c r="K146" s="47">
        <v>41.0</v>
      </c>
      <c r="L146" s="47">
        <v>58.27</v>
      </c>
      <c r="M146" s="47">
        <v>39.53</v>
      </c>
      <c r="N146" s="146">
        <v>39.93</v>
      </c>
      <c r="O146" s="47"/>
      <c r="P146" s="47"/>
      <c r="Q146" s="47"/>
      <c r="R146" s="47"/>
      <c r="S146" s="47"/>
      <c r="T146" s="47"/>
      <c r="U146" s="47"/>
      <c r="V146" s="147">
        <f t="shared" si="16"/>
        <v>42.622</v>
      </c>
    </row>
    <row r="147" ht="14.25" customHeight="1">
      <c r="A147" s="7"/>
      <c r="B147" s="94" t="s">
        <v>678</v>
      </c>
      <c r="C147" s="44"/>
      <c r="D147" s="44"/>
      <c r="E147" s="53">
        <v>4.0</v>
      </c>
      <c r="F147" s="89" t="s">
        <v>605</v>
      </c>
      <c r="G147" s="31"/>
      <c r="H147" s="32"/>
      <c r="I147" s="66" t="s">
        <v>570</v>
      </c>
      <c r="J147" s="47">
        <v>10.97</v>
      </c>
      <c r="K147" s="47">
        <v>11.47</v>
      </c>
      <c r="L147" s="47">
        <v>9.3</v>
      </c>
      <c r="M147" s="47">
        <v>8.89</v>
      </c>
      <c r="N147" s="146">
        <v>7.2</v>
      </c>
      <c r="O147" s="47"/>
      <c r="P147" s="47"/>
      <c r="Q147" s="47"/>
      <c r="R147" s="47"/>
      <c r="S147" s="47"/>
      <c r="T147" s="47"/>
      <c r="U147" s="47"/>
      <c r="V147" s="147">
        <f t="shared" si="16"/>
        <v>9.566</v>
      </c>
    </row>
    <row r="148" ht="14.25" customHeight="1">
      <c r="A148" s="7"/>
      <c r="B148" s="94" t="s">
        <v>679</v>
      </c>
      <c r="C148" s="44"/>
      <c r="D148" s="44"/>
      <c r="E148" s="46">
        <v>5.0</v>
      </c>
      <c r="F148" s="89" t="s">
        <v>607</v>
      </c>
      <c r="G148" s="31"/>
      <c r="H148" s="32"/>
      <c r="I148" s="66" t="s">
        <v>570</v>
      </c>
      <c r="J148" s="47">
        <v>26.98</v>
      </c>
      <c r="K148" s="47">
        <v>29.77</v>
      </c>
      <c r="L148" s="47">
        <v>39.01</v>
      </c>
      <c r="M148" s="47">
        <v>25.48</v>
      </c>
      <c r="N148" s="146">
        <v>29.34</v>
      </c>
      <c r="O148" s="47"/>
      <c r="P148" s="47"/>
      <c r="Q148" s="47"/>
      <c r="R148" s="47"/>
      <c r="S148" s="47"/>
      <c r="T148" s="47"/>
      <c r="U148" s="47"/>
      <c r="V148" s="147">
        <f t="shared" si="16"/>
        <v>30.116</v>
      </c>
    </row>
    <row r="149" ht="14.25" customHeight="1">
      <c r="A149" s="7"/>
      <c r="B149" s="94" t="s">
        <v>680</v>
      </c>
      <c r="C149" s="44"/>
      <c r="D149" s="44"/>
      <c r="E149" s="53">
        <v>6.0</v>
      </c>
      <c r="F149" s="45" t="s">
        <v>609</v>
      </c>
      <c r="G149" s="31"/>
      <c r="H149" s="32"/>
      <c r="I149" s="66" t="s">
        <v>610</v>
      </c>
      <c r="J149" s="47">
        <v>51.46</v>
      </c>
      <c r="K149" s="47">
        <v>53.71</v>
      </c>
      <c r="L149" s="47">
        <v>52.92</v>
      </c>
      <c r="M149" s="47">
        <v>53.26</v>
      </c>
      <c r="N149" s="146">
        <v>56.56</v>
      </c>
      <c r="O149" s="47"/>
      <c r="P149" s="47"/>
      <c r="Q149" s="47"/>
      <c r="R149" s="47"/>
      <c r="S149" s="47"/>
      <c r="T149" s="47"/>
      <c r="U149" s="47"/>
      <c r="V149" s="147">
        <f t="shared" si="16"/>
        <v>53.582</v>
      </c>
    </row>
    <row r="150" ht="14.25" customHeight="1">
      <c r="A150" s="7"/>
      <c r="B150" s="94"/>
      <c r="C150" s="65"/>
      <c r="D150" s="44"/>
      <c r="E150" s="46"/>
      <c r="F150" s="80"/>
      <c r="G150" s="80"/>
      <c r="H150" s="81"/>
      <c r="I150" s="66"/>
      <c r="J150" s="43"/>
      <c r="K150" s="43"/>
      <c r="L150" s="43"/>
      <c r="M150" s="43"/>
      <c r="N150" s="128"/>
      <c r="O150" s="43"/>
      <c r="P150" s="43"/>
      <c r="Q150" s="43"/>
      <c r="R150" s="43"/>
      <c r="S150" s="43"/>
      <c r="T150" s="43"/>
      <c r="U150" s="43"/>
      <c r="V150" s="127"/>
    </row>
    <row r="151" ht="14.25" customHeight="1">
      <c r="A151" s="7"/>
      <c r="B151" s="94"/>
      <c r="C151" s="44"/>
      <c r="D151" s="44">
        <v>3.0</v>
      </c>
      <c r="E151" s="45" t="s">
        <v>618</v>
      </c>
      <c r="F151" s="31"/>
      <c r="G151" s="31"/>
      <c r="H151" s="32"/>
      <c r="I151" s="66"/>
      <c r="J151" s="43"/>
      <c r="K151" s="43"/>
      <c r="L151" s="43"/>
      <c r="M151" s="43"/>
      <c r="N151" s="128"/>
      <c r="O151" s="43"/>
      <c r="P151" s="43"/>
      <c r="Q151" s="43"/>
      <c r="R151" s="43"/>
      <c r="S151" s="43"/>
      <c r="T151" s="43"/>
      <c r="U151" s="43"/>
      <c r="V151" s="127"/>
    </row>
    <row r="152" ht="14.25" customHeight="1">
      <c r="A152" s="7"/>
      <c r="B152" s="94" t="s">
        <v>681</v>
      </c>
      <c r="C152" s="44"/>
      <c r="D152" s="44"/>
      <c r="E152" s="53">
        <v>1.0</v>
      </c>
      <c r="F152" s="45" t="s">
        <v>599</v>
      </c>
      <c r="G152" s="31"/>
      <c r="H152" s="32"/>
      <c r="I152" s="66" t="s">
        <v>570</v>
      </c>
      <c r="J152" s="47">
        <v>28.75</v>
      </c>
      <c r="K152" s="47">
        <v>26.52</v>
      </c>
      <c r="L152" s="47">
        <v>29.24</v>
      </c>
      <c r="M152" s="47">
        <v>29.7</v>
      </c>
      <c r="N152" s="146">
        <v>22.61</v>
      </c>
      <c r="O152" s="47"/>
      <c r="P152" s="47"/>
      <c r="Q152" s="47"/>
      <c r="R152" s="47"/>
      <c r="S152" s="47"/>
      <c r="T152" s="47"/>
      <c r="U152" s="47"/>
      <c r="V152" s="147">
        <f t="shared" ref="V152:V157" si="17">IFERROR(AVERAGE(J152:U152),"")</f>
        <v>27.364</v>
      </c>
    </row>
    <row r="153" ht="14.25" customHeight="1">
      <c r="A153" s="7"/>
      <c r="B153" s="94" t="s">
        <v>682</v>
      </c>
      <c r="C153" s="44"/>
      <c r="D153" s="44"/>
      <c r="E153" s="46">
        <v>2.0</v>
      </c>
      <c r="F153" s="89" t="s">
        <v>601</v>
      </c>
      <c r="G153" s="31"/>
      <c r="H153" s="32"/>
      <c r="I153" s="66" t="s">
        <v>570</v>
      </c>
      <c r="J153" s="47">
        <v>21.95</v>
      </c>
      <c r="K153" s="47">
        <v>18.68</v>
      </c>
      <c r="L153" s="47">
        <v>23.62</v>
      </c>
      <c r="M153" s="47">
        <v>23.55</v>
      </c>
      <c r="N153" s="146">
        <v>16.3</v>
      </c>
      <c r="O153" s="47"/>
      <c r="P153" s="47"/>
      <c r="Q153" s="47"/>
      <c r="R153" s="47"/>
      <c r="S153" s="47"/>
      <c r="T153" s="47"/>
      <c r="U153" s="47"/>
      <c r="V153" s="147">
        <f t="shared" si="17"/>
        <v>20.82</v>
      </c>
    </row>
    <row r="154" ht="14.25" customHeight="1">
      <c r="A154" s="7"/>
      <c r="B154" s="94" t="s">
        <v>683</v>
      </c>
      <c r="C154" s="44"/>
      <c r="D154" s="44"/>
      <c r="E154" s="53">
        <v>3.0</v>
      </c>
      <c r="F154" s="89" t="s">
        <v>603</v>
      </c>
      <c r="G154" s="31"/>
      <c r="H154" s="32"/>
      <c r="I154" s="66" t="s">
        <v>570</v>
      </c>
      <c r="J154" s="47">
        <v>21.94</v>
      </c>
      <c r="K154" s="47">
        <v>18.23</v>
      </c>
      <c r="L154" s="47">
        <v>23.6</v>
      </c>
      <c r="M154" s="47">
        <v>23.53</v>
      </c>
      <c r="N154" s="146">
        <v>16.29</v>
      </c>
      <c r="O154" s="47"/>
      <c r="P154" s="47"/>
      <c r="Q154" s="47"/>
      <c r="R154" s="47"/>
      <c r="S154" s="47"/>
      <c r="T154" s="47"/>
      <c r="U154" s="47"/>
      <c r="V154" s="147">
        <f t="shared" si="17"/>
        <v>20.718</v>
      </c>
    </row>
    <row r="155" ht="14.25" customHeight="1">
      <c r="A155" s="7"/>
      <c r="B155" s="94" t="s">
        <v>684</v>
      </c>
      <c r="C155" s="44"/>
      <c r="D155" s="44"/>
      <c r="E155" s="53">
        <v>4.0</v>
      </c>
      <c r="F155" s="89" t="s">
        <v>605</v>
      </c>
      <c r="G155" s="31"/>
      <c r="H155" s="32"/>
      <c r="I155" s="66" t="s">
        <v>570</v>
      </c>
      <c r="J155" s="47">
        <v>0.0</v>
      </c>
      <c r="K155" s="47">
        <v>0.43</v>
      </c>
      <c r="L155" s="47">
        <v>0.0</v>
      </c>
      <c r="M155" s="47">
        <v>0.07</v>
      </c>
      <c r="N155" s="146">
        <v>0.0</v>
      </c>
      <c r="O155" s="47"/>
      <c r="P155" s="47"/>
      <c r="Q155" s="47"/>
      <c r="R155" s="47"/>
      <c r="S155" s="47"/>
      <c r="T155" s="47"/>
      <c r="U155" s="47"/>
      <c r="V155" s="147">
        <f t="shared" si="17"/>
        <v>0.1</v>
      </c>
    </row>
    <row r="156" ht="14.25" customHeight="1">
      <c r="A156" s="7"/>
      <c r="B156" s="94" t="s">
        <v>685</v>
      </c>
      <c r="C156" s="44"/>
      <c r="D156" s="44"/>
      <c r="E156" s="46">
        <v>5.0</v>
      </c>
      <c r="F156" s="89" t="s">
        <v>607</v>
      </c>
      <c r="G156" s="31"/>
      <c r="H156" s="32"/>
      <c r="I156" s="66" t="s">
        <v>570</v>
      </c>
      <c r="J156" s="47">
        <v>6.8</v>
      </c>
      <c r="K156" s="47">
        <v>7.84</v>
      </c>
      <c r="L156" s="47">
        <v>5.62</v>
      </c>
      <c r="M156" s="47">
        <v>6.15</v>
      </c>
      <c r="N156" s="146">
        <v>6.31</v>
      </c>
      <c r="O156" s="47"/>
      <c r="P156" s="47"/>
      <c r="Q156" s="47"/>
      <c r="R156" s="47"/>
      <c r="S156" s="47"/>
      <c r="T156" s="47"/>
      <c r="U156" s="47"/>
      <c r="V156" s="147">
        <f t="shared" si="17"/>
        <v>6.544</v>
      </c>
    </row>
    <row r="157" ht="14.25" customHeight="1">
      <c r="A157" s="7"/>
      <c r="B157" s="94" t="s">
        <v>686</v>
      </c>
      <c r="C157" s="44"/>
      <c r="D157" s="44"/>
      <c r="E157" s="53">
        <v>6.0</v>
      </c>
      <c r="F157" s="45" t="s">
        <v>609</v>
      </c>
      <c r="G157" s="31"/>
      <c r="H157" s="32"/>
      <c r="I157" s="66" t="s">
        <v>610</v>
      </c>
      <c r="J157" s="47">
        <v>70.62</v>
      </c>
      <c r="K157" s="47">
        <v>63.62</v>
      </c>
      <c r="L157" s="47">
        <v>76.16</v>
      </c>
      <c r="M157" s="47">
        <v>73.32</v>
      </c>
      <c r="N157" s="146">
        <v>60.74</v>
      </c>
      <c r="O157" s="47"/>
      <c r="P157" s="47"/>
      <c r="Q157" s="47"/>
      <c r="R157" s="47"/>
      <c r="S157" s="47"/>
      <c r="T157" s="47"/>
      <c r="U157" s="47"/>
      <c r="V157" s="147">
        <f t="shared" si="17"/>
        <v>68.892</v>
      </c>
    </row>
    <row r="158" ht="14.25" customHeight="1">
      <c r="A158" s="7"/>
      <c r="B158" s="94"/>
      <c r="C158" s="65"/>
      <c r="D158" s="44"/>
      <c r="E158" s="46"/>
      <c r="F158" s="80"/>
      <c r="G158" s="80"/>
      <c r="H158" s="81"/>
      <c r="I158" s="66"/>
      <c r="J158" s="43"/>
      <c r="K158" s="43"/>
      <c r="L158" s="43"/>
      <c r="M158" s="43"/>
      <c r="N158" s="128"/>
      <c r="O158" s="43"/>
      <c r="P158" s="43"/>
      <c r="Q158" s="43"/>
      <c r="R158" s="43"/>
      <c r="S158" s="43"/>
      <c r="T158" s="43"/>
      <c r="U158" s="43"/>
      <c r="V158" s="127"/>
    </row>
    <row r="159" ht="14.25" customHeight="1">
      <c r="A159" s="7"/>
      <c r="B159" s="94"/>
      <c r="C159" s="65"/>
      <c r="D159" s="44">
        <v>4.0</v>
      </c>
      <c r="E159" s="45" t="s">
        <v>625</v>
      </c>
      <c r="F159" s="31"/>
      <c r="G159" s="31"/>
      <c r="H159" s="32"/>
      <c r="I159" s="66"/>
      <c r="J159" s="43"/>
      <c r="K159" s="43"/>
      <c r="L159" s="43"/>
      <c r="M159" s="43"/>
      <c r="N159" s="128"/>
      <c r="O159" s="43"/>
      <c r="P159" s="43"/>
      <c r="Q159" s="43"/>
      <c r="R159" s="43"/>
      <c r="S159" s="43"/>
      <c r="T159" s="43"/>
      <c r="U159" s="43"/>
      <c r="V159" s="127"/>
    </row>
    <row r="160" ht="14.25" customHeight="1">
      <c r="A160" s="7"/>
      <c r="B160" s="94" t="s">
        <v>687</v>
      </c>
      <c r="C160" s="65"/>
      <c r="D160" s="44"/>
      <c r="E160" s="53">
        <v>1.0</v>
      </c>
      <c r="F160" s="45" t="s">
        <v>599</v>
      </c>
      <c r="G160" s="31"/>
      <c r="H160" s="32"/>
      <c r="I160" s="66" t="s">
        <v>570</v>
      </c>
      <c r="J160" s="47">
        <v>61.42</v>
      </c>
      <c r="K160" s="47">
        <v>90.21</v>
      </c>
      <c r="L160" s="47">
        <v>111.48</v>
      </c>
      <c r="M160" s="47">
        <v>53.2</v>
      </c>
      <c r="N160" s="146">
        <v>75.73</v>
      </c>
      <c r="O160" s="47"/>
      <c r="P160" s="47"/>
      <c r="Q160" s="47"/>
      <c r="R160" s="47"/>
      <c r="S160" s="47"/>
      <c r="T160" s="47"/>
      <c r="U160" s="47"/>
      <c r="V160" s="147">
        <f t="shared" ref="V160:V165" si="18">IFERROR(AVERAGE(J160:U160),"")</f>
        <v>78.408</v>
      </c>
    </row>
    <row r="161" ht="14.25" customHeight="1">
      <c r="A161" s="7"/>
      <c r="B161" s="94" t="s">
        <v>688</v>
      </c>
      <c r="C161" s="65"/>
      <c r="D161" s="44"/>
      <c r="E161" s="46">
        <v>2.0</v>
      </c>
      <c r="F161" s="89" t="s">
        <v>601</v>
      </c>
      <c r="G161" s="31"/>
      <c r="H161" s="32"/>
      <c r="I161" s="66" t="s">
        <v>570</v>
      </c>
      <c r="J161" s="47">
        <v>47.03</v>
      </c>
      <c r="K161" s="47">
        <v>81.2</v>
      </c>
      <c r="L161" s="47">
        <v>102.31</v>
      </c>
      <c r="M161" s="47">
        <v>43.9</v>
      </c>
      <c r="N161" s="146">
        <v>68.53</v>
      </c>
      <c r="O161" s="47"/>
      <c r="P161" s="47"/>
      <c r="Q161" s="47"/>
      <c r="R161" s="47"/>
      <c r="S161" s="47"/>
      <c r="T161" s="47"/>
      <c r="U161" s="47"/>
      <c r="V161" s="147">
        <f t="shared" si="18"/>
        <v>68.594</v>
      </c>
    </row>
    <row r="162" ht="14.25" customHeight="1">
      <c r="A162" s="7"/>
      <c r="B162" s="94" t="s">
        <v>689</v>
      </c>
      <c r="C162" s="65"/>
      <c r="D162" s="44"/>
      <c r="E162" s="53">
        <v>3.0</v>
      </c>
      <c r="F162" s="89" t="s">
        <v>603</v>
      </c>
      <c r="G162" s="31"/>
      <c r="H162" s="32"/>
      <c r="I162" s="66" t="s">
        <v>570</v>
      </c>
      <c r="J162" s="47">
        <v>31.87</v>
      </c>
      <c r="K162" s="47">
        <v>43.47</v>
      </c>
      <c r="L162" s="47">
        <v>56.88</v>
      </c>
      <c r="M162" s="47">
        <v>33.64</v>
      </c>
      <c r="N162" s="146">
        <v>41.63</v>
      </c>
      <c r="O162" s="47"/>
      <c r="P162" s="47"/>
      <c r="Q162" s="47"/>
      <c r="R162" s="47"/>
      <c r="S162" s="47"/>
      <c r="T162" s="47"/>
      <c r="U162" s="47"/>
      <c r="V162" s="147">
        <f t="shared" si="18"/>
        <v>41.498</v>
      </c>
    </row>
    <row r="163" ht="14.25" customHeight="1">
      <c r="A163" s="7"/>
      <c r="B163" s="94" t="s">
        <v>690</v>
      </c>
      <c r="C163" s="65"/>
      <c r="D163" s="44"/>
      <c r="E163" s="53">
        <v>4.0</v>
      </c>
      <c r="F163" s="89" t="s">
        <v>605</v>
      </c>
      <c r="G163" s="31"/>
      <c r="H163" s="32"/>
      <c r="I163" s="66" t="s">
        <v>570</v>
      </c>
      <c r="J163" s="47">
        <v>10.62</v>
      </c>
      <c r="K163" s="47">
        <v>29.98</v>
      </c>
      <c r="L163" s="47">
        <v>25.85</v>
      </c>
      <c r="M163" s="47">
        <v>3.12</v>
      </c>
      <c r="N163" s="146">
        <v>11.77</v>
      </c>
      <c r="O163" s="47"/>
      <c r="P163" s="47"/>
      <c r="Q163" s="47"/>
      <c r="R163" s="47"/>
      <c r="S163" s="47"/>
      <c r="T163" s="47"/>
      <c r="U163" s="47"/>
      <c r="V163" s="147">
        <f t="shared" si="18"/>
        <v>16.268</v>
      </c>
    </row>
    <row r="164" ht="14.25" customHeight="1">
      <c r="A164" s="7"/>
      <c r="B164" s="94" t="s">
        <v>691</v>
      </c>
      <c r="C164" s="65"/>
      <c r="D164" s="44"/>
      <c r="E164" s="46">
        <v>5.0</v>
      </c>
      <c r="F164" s="89" t="s">
        <v>607</v>
      </c>
      <c r="G164" s="31"/>
      <c r="H164" s="32"/>
      <c r="I164" s="66" t="s">
        <v>570</v>
      </c>
      <c r="J164" s="47">
        <v>21.35</v>
      </c>
      <c r="K164" s="47">
        <v>25.48</v>
      </c>
      <c r="L164" s="47">
        <v>27.05</v>
      </c>
      <c r="M164" s="47">
        <v>15.36</v>
      </c>
      <c r="N164" s="146">
        <v>17.38</v>
      </c>
      <c r="O164" s="47"/>
      <c r="P164" s="47"/>
      <c r="Q164" s="47"/>
      <c r="R164" s="47"/>
      <c r="S164" s="47"/>
      <c r="T164" s="47"/>
      <c r="U164" s="47"/>
      <c r="V164" s="147">
        <f t="shared" si="18"/>
        <v>21.324</v>
      </c>
    </row>
    <row r="165" ht="14.25" customHeight="1">
      <c r="A165" s="7"/>
      <c r="B165" s="94" t="s">
        <v>692</v>
      </c>
      <c r="C165" s="65"/>
      <c r="D165" s="44"/>
      <c r="E165" s="53">
        <v>6.0</v>
      </c>
      <c r="F165" s="45" t="s">
        <v>609</v>
      </c>
      <c r="G165" s="31"/>
      <c r="H165" s="32"/>
      <c r="I165" s="66" t="s">
        <v>610</v>
      </c>
      <c r="J165" s="47">
        <v>53.21</v>
      </c>
      <c r="K165" s="47">
        <v>49.73</v>
      </c>
      <c r="L165" s="47">
        <v>47.89</v>
      </c>
      <c r="M165" s="47">
        <v>64.93</v>
      </c>
      <c r="N165" s="146">
        <v>54.69</v>
      </c>
      <c r="O165" s="47"/>
      <c r="P165" s="47"/>
      <c r="Q165" s="47"/>
      <c r="R165" s="47"/>
      <c r="S165" s="47"/>
      <c r="T165" s="47"/>
      <c r="U165" s="47"/>
      <c r="V165" s="147">
        <f t="shared" si="18"/>
        <v>54.09</v>
      </c>
    </row>
    <row r="166" ht="14.25" customHeight="1">
      <c r="A166" s="7"/>
      <c r="B166" s="94"/>
      <c r="C166" s="65"/>
      <c r="D166" s="44"/>
      <c r="E166" s="46"/>
      <c r="F166" s="80"/>
      <c r="G166" s="80"/>
      <c r="H166" s="81"/>
      <c r="I166" s="66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74"/>
      <c r="V166" s="127"/>
    </row>
    <row r="167" ht="14.25" customHeight="1">
      <c r="A167" s="7"/>
      <c r="B167" s="94"/>
      <c r="C167" s="44"/>
      <c r="D167" s="44">
        <v>5.0</v>
      </c>
      <c r="E167" s="45" t="s">
        <v>632</v>
      </c>
      <c r="F167" s="31"/>
      <c r="G167" s="31"/>
      <c r="H167" s="32"/>
      <c r="I167" s="66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74"/>
      <c r="V167" s="127"/>
    </row>
    <row r="168" ht="14.25" customHeight="1">
      <c r="A168" s="7"/>
      <c r="B168" s="94" t="s">
        <v>693</v>
      </c>
      <c r="C168" s="65"/>
      <c r="D168" s="44"/>
      <c r="E168" s="53">
        <v>1.0</v>
      </c>
      <c r="F168" s="45" t="s">
        <v>599</v>
      </c>
      <c r="G168" s="31"/>
      <c r="H168" s="32"/>
      <c r="I168" s="66" t="s">
        <v>570</v>
      </c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4"/>
      <c r="V168" s="147" t="str">
        <f t="shared" ref="V168:V173" si="19">IFERROR(AVERAGE(J168:U168),"")</f>
        <v/>
      </c>
    </row>
    <row r="169" ht="14.25" customHeight="1">
      <c r="A169" s="7"/>
      <c r="B169" s="94" t="s">
        <v>694</v>
      </c>
      <c r="C169" s="65"/>
      <c r="D169" s="44"/>
      <c r="E169" s="46">
        <v>2.0</v>
      </c>
      <c r="F169" s="89" t="s">
        <v>601</v>
      </c>
      <c r="G169" s="31"/>
      <c r="H169" s="32"/>
      <c r="I169" s="66" t="s">
        <v>570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4"/>
      <c r="V169" s="147" t="str">
        <f t="shared" si="19"/>
        <v/>
      </c>
    </row>
    <row r="170" ht="14.25" customHeight="1">
      <c r="A170" s="7"/>
      <c r="B170" s="94" t="s">
        <v>695</v>
      </c>
      <c r="C170" s="65"/>
      <c r="D170" s="44"/>
      <c r="E170" s="53">
        <v>3.0</v>
      </c>
      <c r="F170" s="89" t="s">
        <v>603</v>
      </c>
      <c r="G170" s="31"/>
      <c r="H170" s="32"/>
      <c r="I170" s="66" t="s">
        <v>570</v>
      </c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4"/>
      <c r="V170" s="147" t="str">
        <f t="shared" si="19"/>
        <v/>
      </c>
    </row>
    <row r="171" ht="14.25" customHeight="1">
      <c r="A171" s="7"/>
      <c r="B171" s="94" t="s">
        <v>696</v>
      </c>
      <c r="C171" s="65"/>
      <c r="D171" s="44"/>
      <c r="E171" s="53">
        <v>4.0</v>
      </c>
      <c r="F171" s="89" t="s">
        <v>605</v>
      </c>
      <c r="G171" s="31"/>
      <c r="H171" s="32"/>
      <c r="I171" s="66" t="s">
        <v>570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4"/>
      <c r="V171" s="147" t="str">
        <f t="shared" si="19"/>
        <v/>
      </c>
    </row>
    <row r="172" ht="14.25" customHeight="1">
      <c r="A172" s="7"/>
      <c r="B172" s="94" t="s">
        <v>697</v>
      </c>
      <c r="C172" s="65"/>
      <c r="D172" s="44"/>
      <c r="E172" s="46">
        <v>5.0</v>
      </c>
      <c r="F172" s="89" t="s">
        <v>607</v>
      </c>
      <c r="G172" s="31"/>
      <c r="H172" s="32"/>
      <c r="I172" s="66" t="s">
        <v>570</v>
      </c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4"/>
      <c r="V172" s="147" t="str">
        <f t="shared" si="19"/>
        <v/>
      </c>
    </row>
    <row r="173" ht="14.25" customHeight="1">
      <c r="A173" s="7"/>
      <c r="B173" s="94" t="s">
        <v>698</v>
      </c>
      <c r="C173" s="65"/>
      <c r="D173" s="44"/>
      <c r="E173" s="53">
        <v>6.0</v>
      </c>
      <c r="F173" s="45" t="s">
        <v>609</v>
      </c>
      <c r="G173" s="31"/>
      <c r="H173" s="32"/>
      <c r="I173" s="66" t="s">
        <v>610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4"/>
      <c r="V173" s="147" t="str">
        <f t="shared" si="19"/>
        <v/>
      </c>
    </row>
    <row r="174" ht="14.25" customHeight="1">
      <c r="A174" s="7"/>
      <c r="B174" s="7"/>
      <c r="C174" s="150"/>
      <c r="D174" s="134"/>
      <c r="E174" s="134"/>
      <c r="F174" s="135"/>
      <c r="G174" s="151"/>
      <c r="H174" s="151"/>
      <c r="I174" s="152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7"/>
    </row>
    <row r="175" ht="14.25" customHeight="1">
      <c r="A175" s="14">
        <v>3.0</v>
      </c>
      <c r="B175" s="7"/>
      <c r="C175" s="138" t="s">
        <v>699</v>
      </c>
      <c r="D175" s="139"/>
      <c r="E175" s="140"/>
      <c r="F175" s="140"/>
      <c r="G175" s="140"/>
      <c r="H175" s="140"/>
      <c r="I175" s="140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0"/>
    </row>
    <row r="176" ht="14.25" customHeight="1">
      <c r="A176" s="7"/>
      <c r="B176" s="7"/>
      <c r="C176" s="142"/>
      <c r="D176" s="142"/>
      <c r="E176" s="142"/>
      <c r="F176" s="142"/>
      <c r="G176" s="142"/>
      <c r="H176" s="142"/>
      <c r="I176" s="142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42"/>
    </row>
    <row r="177" ht="14.25" customHeight="1">
      <c r="A177" s="7"/>
      <c r="B177" s="7"/>
      <c r="C177" s="16" t="s">
        <v>228</v>
      </c>
      <c r="D177" s="17" t="s">
        <v>229</v>
      </c>
      <c r="E177" s="18"/>
      <c r="F177" s="18"/>
      <c r="G177" s="18"/>
      <c r="H177" s="19"/>
      <c r="I177" s="20" t="s">
        <v>230</v>
      </c>
      <c r="J177" s="21">
        <f>$H$2</f>
        <v>2026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/>
    </row>
    <row r="178" ht="14.25" customHeight="1">
      <c r="A178" s="7"/>
      <c r="B178" s="7"/>
      <c r="C178" s="22"/>
      <c r="D178" s="23"/>
      <c r="H178" s="24"/>
      <c r="I178" s="22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8"/>
    </row>
    <row r="179" ht="14.25" customHeight="1">
      <c r="A179" s="7"/>
      <c r="B179" s="7"/>
      <c r="C179" s="25"/>
      <c r="D179" s="26"/>
      <c r="E179" s="27"/>
      <c r="F179" s="27"/>
      <c r="G179" s="27"/>
      <c r="H179" s="28"/>
      <c r="I179" s="25"/>
      <c r="J179" s="117" t="s">
        <v>231</v>
      </c>
      <c r="K179" s="117" t="s">
        <v>232</v>
      </c>
      <c r="L179" s="117" t="s">
        <v>233</v>
      </c>
      <c r="M179" s="117" t="s">
        <v>234</v>
      </c>
      <c r="N179" s="117" t="s">
        <v>235</v>
      </c>
      <c r="O179" s="117" t="s">
        <v>236</v>
      </c>
      <c r="P179" s="117" t="s">
        <v>237</v>
      </c>
      <c r="Q179" s="117" t="s">
        <v>238</v>
      </c>
      <c r="R179" s="117" t="s">
        <v>239</v>
      </c>
      <c r="S179" s="117" t="s">
        <v>240</v>
      </c>
      <c r="T179" s="117" t="s">
        <v>241</v>
      </c>
      <c r="U179" s="117" t="s">
        <v>242</v>
      </c>
      <c r="V179" s="117" t="s">
        <v>243</v>
      </c>
    </row>
    <row r="180" ht="14.25" customHeight="1">
      <c r="A180" s="7"/>
      <c r="B180" s="7"/>
      <c r="C180" s="29">
        <v>1.0</v>
      </c>
      <c r="D180" s="30">
        <v>2.0</v>
      </c>
      <c r="E180" s="31"/>
      <c r="F180" s="31"/>
      <c r="G180" s="31"/>
      <c r="H180" s="32"/>
      <c r="I180" s="33">
        <v>3.0</v>
      </c>
      <c r="J180" s="118">
        <v>4.0</v>
      </c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2"/>
      <c r="V180" s="33">
        <v>5.0</v>
      </c>
    </row>
    <row r="181" ht="14.25" customHeight="1">
      <c r="A181" s="7"/>
      <c r="B181" s="7"/>
      <c r="C181" s="44"/>
      <c r="D181" s="53"/>
      <c r="E181" s="31"/>
      <c r="F181" s="31"/>
      <c r="G181" s="31"/>
      <c r="H181" s="32"/>
      <c r="I181" s="66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</row>
    <row r="182" ht="14.25" customHeight="1">
      <c r="A182" s="7"/>
      <c r="B182" s="7"/>
      <c r="C182" s="44">
        <v>1.0</v>
      </c>
      <c r="D182" s="45" t="s">
        <v>700</v>
      </c>
      <c r="E182" s="31"/>
      <c r="F182" s="31"/>
      <c r="G182" s="31"/>
      <c r="H182" s="32"/>
      <c r="I182" s="66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</row>
    <row r="183" ht="14.25" customHeight="1">
      <c r="A183" s="7"/>
      <c r="B183" s="7"/>
      <c r="C183" s="44"/>
      <c r="D183" s="44">
        <v>1.0</v>
      </c>
      <c r="E183" s="45" t="s">
        <v>701</v>
      </c>
      <c r="F183" s="31"/>
      <c r="G183" s="31"/>
      <c r="H183" s="32"/>
      <c r="I183" s="66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</row>
    <row r="184" ht="14.25" customHeight="1">
      <c r="A184" s="7"/>
      <c r="B184" s="7"/>
      <c r="C184" s="44"/>
      <c r="D184" s="53"/>
      <c r="E184" s="66">
        <v>1.0</v>
      </c>
      <c r="F184" s="45" t="s">
        <v>702</v>
      </c>
      <c r="G184" s="31"/>
      <c r="H184" s="32"/>
      <c r="I184" s="106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27"/>
    </row>
    <row r="185" ht="14.25" customHeight="1">
      <c r="A185" s="7"/>
      <c r="B185" s="7" t="s">
        <v>703</v>
      </c>
      <c r="C185" s="44"/>
      <c r="D185" s="44"/>
      <c r="E185" s="154"/>
      <c r="F185" s="155">
        <v>1.0</v>
      </c>
      <c r="G185" s="45" t="s">
        <v>704</v>
      </c>
      <c r="H185" s="32"/>
      <c r="I185" s="66" t="s">
        <v>705</v>
      </c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147" t="str">
        <f t="shared" ref="V185:V187" si="20">IFERROR(AVERAGE(J185:U185),"")</f>
        <v/>
      </c>
    </row>
    <row r="186" ht="14.25" customHeight="1">
      <c r="A186" s="7"/>
      <c r="B186" s="7" t="s">
        <v>706</v>
      </c>
      <c r="C186" s="44"/>
      <c r="D186" s="44"/>
      <c r="E186" s="46"/>
      <c r="F186" s="66">
        <v>2.0</v>
      </c>
      <c r="G186" s="45" t="s">
        <v>707</v>
      </c>
      <c r="H186" s="32"/>
      <c r="I186" s="66" t="s">
        <v>705</v>
      </c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147" t="str">
        <f t="shared" si="20"/>
        <v/>
      </c>
    </row>
    <row r="187" ht="14.25" customHeight="1">
      <c r="A187" s="7"/>
      <c r="B187" s="7" t="s">
        <v>708</v>
      </c>
      <c r="C187" s="44"/>
      <c r="D187" s="44"/>
      <c r="E187" s="46"/>
      <c r="F187" s="66">
        <v>3.0</v>
      </c>
      <c r="G187" s="45" t="s">
        <v>709</v>
      </c>
      <c r="H187" s="32"/>
      <c r="I187" s="66" t="s">
        <v>705</v>
      </c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147" t="str">
        <f t="shared" si="20"/>
        <v/>
      </c>
    </row>
    <row r="188" ht="14.25" customHeight="1">
      <c r="A188" s="7"/>
      <c r="B188" s="7"/>
      <c r="C188" s="44"/>
      <c r="D188" s="44"/>
      <c r="E188" s="46">
        <v>2.0</v>
      </c>
      <c r="F188" s="45" t="s">
        <v>710</v>
      </c>
      <c r="G188" s="31"/>
      <c r="H188" s="32"/>
      <c r="I188" s="66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27"/>
    </row>
    <row r="189" ht="14.25" customHeight="1">
      <c r="A189" s="7"/>
      <c r="B189" s="7" t="s">
        <v>711</v>
      </c>
      <c r="C189" s="44"/>
      <c r="D189" s="44"/>
      <c r="E189" s="46"/>
      <c r="F189" s="66">
        <v>1.0</v>
      </c>
      <c r="G189" s="45" t="s">
        <v>712</v>
      </c>
      <c r="H189" s="32"/>
      <c r="I189" s="66" t="s">
        <v>705</v>
      </c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147" t="str">
        <f t="shared" ref="V189:V191" si="21">IFERROR(AVERAGE(J189:U189),"")</f>
        <v/>
      </c>
    </row>
    <row r="190" ht="14.25" customHeight="1">
      <c r="A190" s="7"/>
      <c r="B190" s="7" t="s">
        <v>713</v>
      </c>
      <c r="C190" s="44"/>
      <c r="D190" s="44"/>
      <c r="E190" s="46"/>
      <c r="F190" s="66">
        <v>2.0</v>
      </c>
      <c r="G190" s="45" t="s">
        <v>714</v>
      </c>
      <c r="H190" s="32"/>
      <c r="I190" s="66" t="s">
        <v>705</v>
      </c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147" t="str">
        <f t="shared" si="21"/>
        <v/>
      </c>
    </row>
    <row r="191" ht="14.25" customHeight="1">
      <c r="A191" s="7"/>
      <c r="B191" s="7" t="s">
        <v>715</v>
      </c>
      <c r="C191" s="44"/>
      <c r="D191" s="44"/>
      <c r="E191" s="46"/>
      <c r="F191" s="66">
        <v>3.0</v>
      </c>
      <c r="G191" s="45" t="s">
        <v>716</v>
      </c>
      <c r="H191" s="32"/>
      <c r="I191" s="66" t="s">
        <v>705</v>
      </c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147" t="str">
        <f t="shared" si="21"/>
        <v/>
      </c>
    </row>
    <row r="192" ht="14.25" customHeight="1">
      <c r="A192" s="7"/>
      <c r="B192" s="7"/>
      <c r="C192" s="44"/>
      <c r="D192" s="53"/>
      <c r="E192" s="31"/>
      <c r="F192" s="31"/>
      <c r="G192" s="31"/>
      <c r="H192" s="32"/>
      <c r="I192" s="66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27"/>
    </row>
    <row r="193" ht="14.25" customHeight="1">
      <c r="A193" s="7"/>
      <c r="B193" s="7"/>
      <c r="C193" s="44"/>
      <c r="D193" s="44">
        <v>2.0</v>
      </c>
      <c r="E193" s="45" t="s">
        <v>717</v>
      </c>
      <c r="F193" s="31"/>
      <c r="G193" s="31"/>
      <c r="H193" s="32"/>
      <c r="I193" s="66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27"/>
    </row>
    <row r="194" ht="14.25" customHeight="1">
      <c r="A194" s="7"/>
      <c r="B194" s="7"/>
      <c r="C194" s="44"/>
      <c r="D194" s="44"/>
      <c r="E194" s="154">
        <v>1.0</v>
      </c>
      <c r="F194" s="45" t="s">
        <v>702</v>
      </c>
      <c r="G194" s="31"/>
      <c r="H194" s="32"/>
      <c r="I194" s="66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27"/>
    </row>
    <row r="195" ht="14.25" customHeight="1">
      <c r="A195" s="7"/>
      <c r="B195" s="7" t="s">
        <v>718</v>
      </c>
      <c r="C195" s="44"/>
      <c r="D195" s="44"/>
      <c r="E195" s="46"/>
      <c r="F195" s="66">
        <v>1.0</v>
      </c>
      <c r="G195" s="45" t="s">
        <v>704</v>
      </c>
      <c r="H195" s="32"/>
      <c r="I195" s="66" t="s">
        <v>705</v>
      </c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147" t="str">
        <f t="shared" ref="V195:V197" si="22">IFERROR(AVERAGE(J195:U195),"")</f>
        <v/>
      </c>
    </row>
    <row r="196" ht="14.25" customHeight="1">
      <c r="A196" s="7"/>
      <c r="B196" s="7" t="s">
        <v>719</v>
      </c>
      <c r="C196" s="44"/>
      <c r="D196" s="44"/>
      <c r="E196" s="46"/>
      <c r="F196" s="66">
        <v>2.0</v>
      </c>
      <c r="G196" s="45" t="s">
        <v>707</v>
      </c>
      <c r="H196" s="32"/>
      <c r="I196" s="66" t="s">
        <v>705</v>
      </c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147" t="str">
        <f t="shared" si="22"/>
        <v/>
      </c>
    </row>
    <row r="197" ht="14.25" customHeight="1">
      <c r="A197" s="7"/>
      <c r="B197" s="7" t="s">
        <v>720</v>
      </c>
      <c r="C197" s="44"/>
      <c r="D197" s="44"/>
      <c r="E197" s="46"/>
      <c r="F197" s="66">
        <v>3.0</v>
      </c>
      <c r="G197" s="45" t="s">
        <v>709</v>
      </c>
      <c r="H197" s="32"/>
      <c r="I197" s="66" t="s">
        <v>705</v>
      </c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147" t="str">
        <f t="shared" si="22"/>
        <v/>
      </c>
    </row>
    <row r="198" ht="14.25" customHeight="1">
      <c r="A198" s="7"/>
      <c r="B198" s="7"/>
      <c r="C198" s="44"/>
      <c r="D198" s="44"/>
      <c r="E198" s="46">
        <v>2.0</v>
      </c>
      <c r="F198" s="45" t="s">
        <v>710</v>
      </c>
      <c r="G198" s="31"/>
      <c r="H198" s="32"/>
      <c r="I198" s="66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27"/>
    </row>
    <row r="199" ht="14.25" customHeight="1">
      <c r="A199" s="7"/>
      <c r="B199" s="7" t="s">
        <v>721</v>
      </c>
      <c r="C199" s="44"/>
      <c r="D199" s="44"/>
      <c r="E199" s="46"/>
      <c r="F199" s="66">
        <v>1.0</v>
      </c>
      <c r="G199" s="45" t="s">
        <v>712</v>
      </c>
      <c r="H199" s="32"/>
      <c r="I199" s="66" t="s">
        <v>705</v>
      </c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147" t="str">
        <f t="shared" ref="V199:V201" si="23">IFERROR(AVERAGE(J199:U199),"")</f>
        <v/>
      </c>
    </row>
    <row r="200" ht="14.25" customHeight="1">
      <c r="A200" s="7"/>
      <c r="B200" s="7" t="s">
        <v>722</v>
      </c>
      <c r="C200" s="44"/>
      <c r="D200" s="44"/>
      <c r="E200" s="46"/>
      <c r="F200" s="66">
        <v>2.0</v>
      </c>
      <c r="G200" s="45" t="s">
        <v>714</v>
      </c>
      <c r="H200" s="32"/>
      <c r="I200" s="66" t="s">
        <v>705</v>
      </c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147" t="str">
        <f t="shared" si="23"/>
        <v/>
      </c>
    </row>
    <row r="201" ht="14.25" customHeight="1">
      <c r="A201" s="7"/>
      <c r="B201" s="7" t="s">
        <v>723</v>
      </c>
      <c r="C201" s="44"/>
      <c r="D201" s="44"/>
      <c r="E201" s="46"/>
      <c r="F201" s="66">
        <v>3.0</v>
      </c>
      <c r="G201" s="45" t="s">
        <v>716</v>
      </c>
      <c r="H201" s="32"/>
      <c r="I201" s="66" t="s">
        <v>705</v>
      </c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147" t="str">
        <f t="shared" si="23"/>
        <v/>
      </c>
    </row>
    <row r="202" ht="14.25" customHeight="1">
      <c r="A202" s="7"/>
      <c r="B202" s="7"/>
      <c r="C202" s="44"/>
      <c r="D202" s="53"/>
      <c r="E202" s="31"/>
      <c r="F202" s="31"/>
      <c r="G202" s="31"/>
      <c r="H202" s="32"/>
      <c r="I202" s="66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27"/>
    </row>
    <row r="203" ht="14.25" customHeight="1">
      <c r="A203" s="7"/>
      <c r="B203" s="94"/>
      <c r="C203" s="44"/>
      <c r="D203" s="44">
        <v>3.0</v>
      </c>
      <c r="E203" s="45" t="s">
        <v>724</v>
      </c>
      <c r="F203" s="31"/>
      <c r="G203" s="31"/>
      <c r="H203" s="32"/>
      <c r="I203" s="66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27"/>
    </row>
    <row r="204" ht="14.25" customHeight="1">
      <c r="A204" s="7"/>
      <c r="B204" s="94"/>
      <c r="C204" s="44"/>
      <c r="D204" s="44"/>
      <c r="E204" s="46">
        <v>1.0</v>
      </c>
      <c r="F204" s="45" t="s">
        <v>702</v>
      </c>
      <c r="G204" s="31"/>
      <c r="H204" s="32"/>
      <c r="I204" s="66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27"/>
    </row>
    <row r="205" ht="14.25" customHeight="1">
      <c r="A205" s="7"/>
      <c r="B205" s="94" t="s">
        <v>725</v>
      </c>
      <c r="C205" s="44"/>
      <c r="D205" s="44"/>
      <c r="E205" s="46"/>
      <c r="F205" s="66">
        <v>1.0</v>
      </c>
      <c r="G205" s="45" t="s">
        <v>704</v>
      </c>
      <c r="H205" s="32"/>
      <c r="I205" s="66" t="s">
        <v>705</v>
      </c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147" t="str">
        <f t="shared" ref="V205:V207" si="24">IFERROR(AVERAGE(J205:U205),"")</f>
        <v/>
      </c>
    </row>
    <row r="206" ht="14.25" customHeight="1">
      <c r="A206" s="7"/>
      <c r="B206" s="94" t="s">
        <v>726</v>
      </c>
      <c r="C206" s="44"/>
      <c r="D206" s="44"/>
      <c r="E206" s="46"/>
      <c r="F206" s="66">
        <v>2.0</v>
      </c>
      <c r="G206" s="45" t="s">
        <v>707</v>
      </c>
      <c r="H206" s="32"/>
      <c r="I206" s="66" t="s">
        <v>705</v>
      </c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147" t="str">
        <f t="shared" si="24"/>
        <v/>
      </c>
    </row>
    <row r="207" ht="14.25" customHeight="1">
      <c r="A207" s="7"/>
      <c r="B207" s="94" t="s">
        <v>727</v>
      </c>
      <c r="C207" s="44"/>
      <c r="D207" s="44"/>
      <c r="E207" s="46"/>
      <c r="F207" s="66">
        <v>3.0</v>
      </c>
      <c r="G207" s="45" t="s">
        <v>709</v>
      </c>
      <c r="H207" s="32"/>
      <c r="I207" s="66" t="s">
        <v>705</v>
      </c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147" t="str">
        <f t="shared" si="24"/>
        <v/>
      </c>
    </row>
    <row r="208" ht="14.25" customHeight="1">
      <c r="A208" s="7"/>
      <c r="B208" s="94"/>
      <c r="C208" s="44"/>
      <c r="D208" s="44"/>
      <c r="E208" s="46">
        <v>2.0</v>
      </c>
      <c r="F208" s="45" t="s">
        <v>710</v>
      </c>
      <c r="G208" s="31"/>
      <c r="H208" s="32"/>
      <c r="I208" s="66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27"/>
    </row>
    <row r="209" ht="14.25" customHeight="1">
      <c r="A209" s="7"/>
      <c r="B209" s="94" t="s">
        <v>728</v>
      </c>
      <c r="C209" s="44"/>
      <c r="D209" s="44"/>
      <c r="E209" s="46"/>
      <c r="F209" s="66">
        <v>1.0</v>
      </c>
      <c r="G209" s="45" t="s">
        <v>712</v>
      </c>
      <c r="H209" s="32"/>
      <c r="I209" s="66" t="s">
        <v>705</v>
      </c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147" t="str">
        <f t="shared" ref="V209:V211" si="25">IFERROR(AVERAGE(J209:U209),"")</f>
        <v/>
      </c>
    </row>
    <row r="210" ht="14.25" customHeight="1">
      <c r="A210" s="7"/>
      <c r="B210" s="94" t="s">
        <v>729</v>
      </c>
      <c r="C210" s="44"/>
      <c r="D210" s="44"/>
      <c r="E210" s="46"/>
      <c r="F210" s="66">
        <v>2.0</v>
      </c>
      <c r="G210" s="45" t="s">
        <v>714</v>
      </c>
      <c r="H210" s="32"/>
      <c r="I210" s="66" t="s">
        <v>705</v>
      </c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147" t="str">
        <f t="shared" si="25"/>
        <v/>
      </c>
    </row>
    <row r="211" ht="14.25" customHeight="1">
      <c r="A211" s="7"/>
      <c r="B211" s="94" t="s">
        <v>730</v>
      </c>
      <c r="C211" s="44"/>
      <c r="D211" s="44"/>
      <c r="E211" s="46"/>
      <c r="F211" s="66">
        <v>3.0</v>
      </c>
      <c r="G211" s="45" t="s">
        <v>716</v>
      </c>
      <c r="H211" s="32"/>
      <c r="I211" s="66" t="s">
        <v>705</v>
      </c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147" t="str">
        <f t="shared" si="25"/>
        <v/>
      </c>
    </row>
    <row r="212" ht="14.25" customHeight="1">
      <c r="A212" s="7"/>
      <c r="B212" s="7"/>
      <c r="C212" s="44"/>
      <c r="D212" s="53"/>
      <c r="E212" s="31"/>
      <c r="F212" s="31"/>
      <c r="G212" s="31"/>
      <c r="H212" s="32"/>
      <c r="I212" s="106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27"/>
    </row>
    <row r="213" ht="14.25" customHeight="1">
      <c r="A213" s="7"/>
      <c r="B213" s="7"/>
      <c r="C213" s="44">
        <v>2.0</v>
      </c>
      <c r="D213" s="45" t="s">
        <v>731</v>
      </c>
      <c r="E213" s="31"/>
      <c r="F213" s="31"/>
      <c r="G213" s="31"/>
      <c r="H213" s="32"/>
      <c r="I213" s="66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27"/>
    </row>
    <row r="214" ht="14.25" customHeight="1">
      <c r="A214" s="7"/>
      <c r="B214" s="7"/>
      <c r="C214" s="44"/>
      <c r="D214" s="44">
        <v>1.0</v>
      </c>
      <c r="E214" s="45" t="s">
        <v>732</v>
      </c>
      <c r="F214" s="31"/>
      <c r="G214" s="31"/>
      <c r="H214" s="32"/>
      <c r="I214" s="66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27"/>
    </row>
    <row r="215" ht="14.25" customHeight="1">
      <c r="A215" s="7"/>
      <c r="B215" s="7"/>
      <c r="C215" s="44"/>
      <c r="D215" s="44"/>
      <c r="E215" s="46">
        <v>1.0</v>
      </c>
      <c r="F215" s="45" t="s">
        <v>377</v>
      </c>
      <c r="G215" s="31"/>
      <c r="H215" s="32"/>
      <c r="I215" s="66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27"/>
    </row>
    <row r="216" ht="14.25" customHeight="1">
      <c r="A216" s="7"/>
      <c r="B216" s="7" t="s">
        <v>733</v>
      </c>
      <c r="C216" s="44"/>
      <c r="D216" s="44"/>
      <c r="E216" s="46"/>
      <c r="F216" s="66">
        <v>1.0</v>
      </c>
      <c r="G216" s="45" t="s">
        <v>734</v>
      </c>
      <c r="H216" s="32"/>
      <c r="I216" s="66" t="s">
        <v>735</v>
      </c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147" t="str">
        <f t="shared" ref="V216:V221" si="26">IFERROR(AVERAGE(J216:U216),"")</f>
        <v/>
      </c>
    </row>
    <row r="217" ht="14.25" customHeight="1">
      <c r="A217" s="7"/>
      <c r="B217" s="7" t="s">
        <v>736</v>
      </c>
      <c r="C217" s="44"/>
      <c r="D217" s="44"/>
      <c r="E217" s="46"/>
      <c r="F217" s="66"/>
      <c r="G217" s="66">
        <v>1.0</v>
      </c>
      <c r="H217" s="81" t="s">
        <v>378</v>
      </c>
      <c r="I217" s="66" t="s">
        <v>735</v>
      </c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147" t="str">
        <f t="shared" si="26"/>
        <v/>
      </c>
    </row>
    <row r="218" ht="14.25" customHeight="1">
      <c r="A218" s="7"/>
      <c r="B218" s="7" t="s">
        <v>737</v>
      </c>
      <c r="C218" s="44"/>
      <c r="D218" s="44"/>
      <c r="E218" s="46"/>
      <c r="F218" s="46"/>
      <c r="G218" s="66">
        <v>2.0</v>
      </c>
      <c r="H218" s="81" t="s">
        <v>399</v>
      </c>
      <c r="I218" s="66" t="s">
        <v>735</v>
      </c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147" t="str">
        <f t="shared" si="26"/>
        <v/>
      </c>
    </row>
    <row r="219" ht="14.25" customHeight="1">
      <c r="A219" s="7"/>
      <c r="B219" s="7" t="s">
        <v>738</v>
      </c>
      <c r="C219" s="44"/>
      <c r="D219" s="44"/>
      <c r="E219" s="46"/>
      <c r="F219" s="46">
        <v>2.0</v>
      </c>
      <c r="G219" s="45" t="s">
        <v>739</v>
      </c>
      <c r="H219" s="32"/>
      <c r="I219" s="66" t="s">
        <v>740</v>
      </c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147" t="str">
        <f t="shared" si="26"/>
        <v/>
      </c>
    </row>
    <row r="220" ht="14.25" customHeight="1">
      <c r="A220" s="7"/>
      <c r="B220" s="7" t="s">
        <v>741</v>
      </c>
      <c r="C220" s="44"/>
      <c r="D220" s="44"/>
      <c r="E220" s="46"/>
      <c r="F220" s="66"/>
      <c r="G220" s="66">
        <v>1.0</v>
      </c>
      <c r="H220" s="81" t="s">
        <v>742</v>
      </c>
      <c r="I220" s="66" t="s">
        <v>740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147" t="str">
        <f t="shared" si="26"/>
        <v/>
      </c>
    </row>
    <row r="221" ht="14.25" customHeight="1">
      <c r="A221" s="7"/>
      <c r="B221" s="7" t="s">
        <v>743</v>
      </c>
      <c r="C221" s="44"/>
      <c r="D221" s="44"/>
      <c r="E221" s="46"/>
      <c r="F221" s="46"/>
      <c r="G221" s="66">
        <v>2.0</v>
      </c>
      <c r="H221" s="81" t="s">
        <v>744</v>
      </c>
      <c r="I221" s="66" t="s">
        <v>740</v>
      </c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147" t="str">
        <f t="shared" si="26"/>
        <v/>
      </c>
    </row>
    <row r="222" ht="14.25" customHeight="1">
      <c r="A222" s="7"/>
      <c r="B222" s="7"/>
      <c r="C222" s="44"/>
      <c r="D222" s="44"/>
      <c r="E222" s="46">
        <v>2.0</v>
      </c>
      <c r="F222" s="45" t="s">
        <v>403</v>
      </c>
      <c r="G222" s="31"/>
      <c r="H222" s="32"/>
      <c r="I222" s="66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27"/>
    </row>
    <row r="223" ht="14.25" customHeight="1">
      <c r="A223" s="7"/>
      <c r="B223" s="7" t="s">
        <v>745</v>
      </c>
      <c r="C223" s="44"/>
      <c r="D223" s="44"/>
      <c r="E223" s="46"/>
      <c r="F223" s="66">
        <v>1.0</v>
      </c>
      <c r="G223" s="45" t="s">
        <v>734</v>
      </c>
      <c r="H223" s="32"/>
      <c r="I223" s="66" t="s">
        <v>735</v>
      </c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147" t="str">
        <f t="shared" ref="V223:V228" si="27">IFERROR(AVERAGE(J223:U223),"")</f>
        <v/>
      </c>
    </row>
    <row r="224" ht="14.25" customHeight="1">
      <c r="A224" s="7"/>
      <c r="B224" s="7" t="s">
        <v>746</v>
      </c>
      <c r="C224" s="44"/>
      <c r="D224" s="44"/>
      <c r="E224" s="46"/>
      <c r="F224" s="66"/>
      <c r="G224" s="66">
        <v>1.0</v>
      </c>
      <c r="H224" s="81" t="s">
        <v>378</v>
      </c>
      <c r="I224" s="66" t="s">
        <v>735</v>
      </c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147" t="str">
        <f t="shared" si="27"/>
        <v/>
      </c>
    </row>
    <row r="225" ht="14.25" customHeight="1">
      <c r="A225" s="7"/>
      <c r="B225" s="7" t="s">
        <v>747</v>
      </c>
      <c r="C225" s="44"/>
      <c r="D225" s="44"/>
      <c r="E225" s="46"/>
      <c r="F225" s="46"/>
      <c r="G225" s="66">
        <v>2.0</v>
      </c>
      <c r="H225" s="81" t="s">
        <v>399</v>
      </c>
      <c r="I225" s="66" t="s">
        <v>735</v>
      </c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147" t="str">
        <f t="shared" si="27"/>
        <v/>
      </c>
    </row>
    <row r="226" ht="14.25" customHeight="1">
      <c r="A226" s="7"/>
      <c r="B226" s="7" t="s">
        <v>748</v>
      </c>
      <c r="C226" s="44"/>
      <c r="D226" s="44"/>
      <c r="E226" s="46"/>
      <c r="F226" s="46">
        <v>2.0</v>
      </c>
      <c r="G226" s="45" t="s">
        <v>739</v>
      </c>
      <c r="H226" s="32"/>
      <c r="I226" s="66" t="s">
        <v>740</v>
      </c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147" t="str">
        <f t="shared" si="27"/>
        <v/>
      </c>
    </row>
    <row r="227" ht="14.25" customHeight="1">
      <c r="A227" s="7"/>
      <c r="B227" s="7" t="s">
        <v>749</v>
      </c>
      <c r="C227" s="44"/>
      <c r="D227" s="44"/>
      <c r="E227" s="46"/>
      <c r="F227" s="66"/>
      <c r="G227" s="66">
        <v>1.0</v>
      </c>
      <c r="H227" s="81" t="s">
        <v>750</v>
      </c>
      <c r="I227" s="66" t="s">
        <v>740</v>
      </c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147" t="str">
        <f t="shared" si="27"/>
        <v/>
      </c>
    </row>
    <row r="228" ht="14.25" customHeight="1">
      <c r="A228" s="7"/>
      <c r="B228" s="7" t="s">
        <v>751</v>
      </c>
      <c r="C228" s="44"/>
      <c r="D228" s="44"/>
      <c r="E228" s="46"/>
      <c r="F228" s="46"/>
      <c r="G228" s="66">
        <v>2.0</v>
      </c>
      <c r="H228" s="81" t="s">
        <v>752</v>
      </c>
      <c r="I228" s="66" t="s">
        <v>740</v>
      </c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147" t="str">
        <f t="shared" si="27"/>
        <v/>
      </c>
    </row>
    <row r="229" ht="14.25" customHeight="1">
      <c r="A229" s="7"/>
      <c r="B229" s="7"/>
      <c r="C229" s="44"/>
      <c r="D229" s="44"/>
      <c r="E229" s="46"/>
      <c r="F229" s="105"/>
      <c r="G229" s="105"/>
      <c r="H229" s="156"/>
      <c r="I229" s="66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27"/>
    </row>
    <row r="230" ht="14.25" customHeight="1">
      <c r="A230" s="7"/>
      <c r="B230" s="7" t="s">
        <v>753</v>
      </c>
      <c r="C230" s="44"/>
      <c r="D230" s="44"/>
      <c r="E230" s="45" t="s">
        <v>754</v>
      </c>
      <c r="F230" s="31"/>
      <c r="G230" s="31"/>
      <c r="H230" s="32"/>
      <c r="I230" s="66" t="s">
        <v>735</v>
      </c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147" t="str">
        <f t="shared" ref="V230:V231" si="28">IFERROR(AVERAGE(J230:U230),"")</f>
        <v/>
      </c>
    </row>
    <row r="231" ht="14.25" customHeight="1">
      <c r="A231" s="7"/>
      <c r="B231" s="7" t="s">
        <v>755</v>
      </c>
      <c r="C231" s="44"/>
      <c r="D231" s="44"/>
      <c r="E231" s="45" t="s">
        <v>756</v>
      </c>
      <c r="F231" s="31"/>
      <c r="G231" s="31"/>
      <c r="H231" s="32"/>
      <c r="I231" s="66" t="s">
        <v>740</v>
      </c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147" t="str">
        <f t="shared" si="28"/>
        <v/>
      </c>
    </row>
    <row r="232" ht="14.25" customHeight="1">
      <c r="A232" s="7"/>
      <c r="B232" s="7"/>
      <c r="C232" s="44"/>
      <c r="D232" s="44"/>
      <c r="E232" s="46"/>
      <c r="F232" s="105"/>
      <c r="G232" s="105"/>
      <c r="H232" s="156"/>
      <c r="I232" s="66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27"/>
    </row>
    <row r="233" ht="14.25" customHeight="1">
      <c r="A233" s="7"/>
      <c r="B233" s="7"/>
      <c r="C233" s="44"/>
      <c r="D233" s="44">
        <v>2.0</v>
      </c>
      <c r="E233" s="45" t="s">
        <v>757</v>
      </c>
      <c r="F233" s="31"/>
      <c r="G233" s="31"/>
      <c r="H233" s="32"/>
      <c r="I233" s="66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27"/>
    </row>
    <row r="234" ht="14.25" customHeight="1">
      <c r="A234" s="7"/>
      <c r="B234" s="7"/>
      <c r="C234" s="44"/>
      <c r="D234" s="44"/>
      <c r="E234" s="46">
        <v>1.0</v>
      </c>
      <c r="F234" s="45" t="s">
        <v>438</v>
      </c>
      <c r="G234" s="31"/>
      <c r="H234" s="32"/>
      <c r="I234" s="66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27"/>
    </row>
    <row r="235" ht="14.25" customHeight="1">
      <c r="A235" s="7"/>
      <c r="B235" s="7" t="s">
        <v>758</v>
      </c>
      <c r="C235" s="44"/>
      <c r="D235" s="44"/>
      <c r="E235" s="46"/>
      <c r="F235" s="66">
        <v>1.0</v>
      </c>
      <c r="G235" s="45" t="s">
        <v>734</v>
      </c>
      <c r="H235" s="32"/>
      <c r="I235" s="66" t="s">
        <v>735</v>
      </c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147" t="str">
        <f t="shared" ref="V235:V240" si="29">IFERROR(AVERAGE(J235:U235),"")</f>
        <v/>
      </c>
    </row>
    <row r="236" ht="14.25" customHeight="1">
      <c r="A236" s="7"/>
      <c r="B236" s="7" t="s">
        <v>759</v>
      </c>
      <c r="C236" s="44"/>
      <c r="D236" s="44"/>
      <c r="E236" s="46"/>
      <c r="F236" s="66"/>
      <c r="G236" s="66">
        <v>1.0</v>
      </c>
      <c r="H236" s="81" t="s">
        <v>378</v>
      </c>
      <c r="I236" s="66" t="s">
        <v>735</v>
      </c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147" t="str">
        <f t="shared" si="29"/>
        <v/>
      </c>
    </row>
    <row r="237" ht="14.25" customHeight="1">
      <c r="A237" s="7"/>
      <c r="B237" s="7" t="s">
        <v>760</v>
      </c>
      <c r="C237" s="44"/>
      <c r="D237" s="44"/>
      <c r="E237" s="46"/>
      <c r="F237" s="46"/>
      <c r="G237" s="66">
        <v>2.0</v>
      </c>
      <c r="H237" s="81" t="s">
        <v>399</v>
      </c>
      <c r="I237" s="66" t="s">
        <v>735</v>
      </c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147" t="str">
        <f t="shared" si="29"/>
        <v/>
      </c>
    </row>
    <row r="238" ht="14.25" customHeight="1">
      <c r="A238" s="7"/>
      <c r="B238" s="7" t="s">
        <v>761</v>
      </c>
      <c r="C238" s="44"/>
      <c r="D238" s="44"/>
      <c r="E238" s="46"/>
      <c r="F238" s="46">
        <v>2.0</v>
      </c>
      <c r="G238" s="45" t="s">
        <v>739</v>
      </c>
      <c r="H238" s="32"/>
      <c r="I238" s="66" t="s">
        <v>740</v>
      </c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147" t="str">
        <f t="shared" si="29"/>
        <v/>
      </c>
    </row>
    <row r="239" ht="14.25" customHeight="1">
      <c r="A239" s="7"/>
      <c r="B239" s="7" t="s">
        <v>762</v>
      </c>
      <c r="C239" s="44"/>
      <c r="D239" s="44"/>
      <c r="E239" s="46"/>
      <c r="F239" s="66"/>
      <c r="G239" s="66">
        <v>1.0</v>
      </c>
      <c r="H239" s="81" t="s">
        <v>742</v>
      </c>
      <c r="I239" s="66" t="s">
        <v>740</v>
      </c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147" t="str">
        <f t="shared" si="29"/>
        <v/>
      </c>
    </row>
    <row r="240" ht="14.25" customHeight="1">
      <c r="A240" s="7"/>
      <c r="B240" s="7" t="s">
        <v>763</v>
      </c>
      <c r="C240" s="65"/>
      <c r="D240" s="44"/>
      <c r="E240" s="46"/>
      <c r="F240" s="46"/>
      <c r="G240" s="66">
        <v>2.0</v>
      </c>
      <c r="H240" s="81" t="s">
        <v>744</v>
      </c>
      <c r="I240" s="66" t="s">
        <v>740</v>
      </c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147" t="str">
        <f t="shared" si="29"/>
        <v/>
      </c>
    </row>
    <row r="241" ht="14.25" customHeight="1">
      <c r="A241" s="7"/>
      <c r="B241" s="7"/>
      <c r="C241" s="44"/>
      <c r="D241" s="44"/>
      <c r="E241" s="46">
        <v>2.0</v>
      </c>
      <c r="F241" s="45" t="s">
        <v>454</v>
      </c>
      <c r="G241" s="31"/>
      <c r="H241" s="32"/>
      <c r="I241" s="66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27"/>
    </row>
    <row r="242" ht="14.25" customHeight="1">
      <c r="A242" s="7"/>
      <c r="B242" s="7" t="s">
        <v>764</v>
      </c>
      <c r="C242" s="44"/>
      <c r="D242" s="44"/>
      <c r="E242" s="46"/>
      <c r="F242" s="66">
        <v>1.0</v>
      </c>
      <c r="G242" s="45" t="s">
        <v>734</v>
      </c>
      <c r="H242" s="32"/>
      <c r="I242" s="66" t="s">
        <v>735</v>
      </c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147" t="str">
        <f t="shared" ref="V242:V247" si="30">IFERROR(AVERAGE(J242:U242),"")</f>
        <v/>
      </c>
    </row>
    <row r="243" ht="14.25" customHeight="1">
      <c r="A243" s="7"/>
      <c r="B243" s="7" t="s">
        <v>765</v>
      </c>
      <c r="C243" s="44"/>
      <c r="D243" s="44"/>
      <c r="E243" s="46"/>
      <c r="F243" s="66"/>
      <c r="G243" s="66">
        <v>1.0</v>
      </c>
      <c r="H243" s="81" t="s">
        <v>378</v>
      </c>
      <c r="I243" s="66" t="s">
        <v>735</v>
      </c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147" t="str">
        <f t="shared" si="30"/>
        <v/>
      </c>
    </row>
    <row r="244" ht="14.25" customHeight="1">
      <c r="A244" s="7"/>
      <c r="B244" s="7" t="s">
        <v>766</v>
      </c>
      <c r="C244" s="44"/>
      <c r="D244" s="44"/>
      <c r="E244" s="46"/>
      <c r="F244" s="46"/>
      <c r="G244" s="66">
        <v>2.0</v>
      </c>
      <c r="H244" s="81" t="s">
        <v>399</v>
      </c>
      <c r="I244" s="66" t="s">
        <v>735</v>
      </c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147" t="str">
        <f t="shared" si="30"/>
        <v/>
      </c>
    </row>
    <row r="245" ht="14.25" customHeight="1">
      <c r="A245" s="7"/>
      <c r="B245" s="7" t="s">
        <v>767</v>
      </c>
      <c r="C245" s="44"/>
      <c r="D245" s="44"/>
      <c r="E245" s="46"/>
      <c r="F245" s="46">
        <v>2.0</v>
      </c>
      <c r="G245" s="45" t="s">
        <v>739</v>
      </c>
      <c r="H245" s="32"/>
      <c r="I245" s="66" t="s">
        <v>740</v>
      </c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147" t="str">
        <f t="shared" si="30"/>
        <v/>
      </c>
    </row>
    <row r="246" ht="14.25" customHeight="1">
      <c r="A246" s="7"/>
      <c r="B246" s="7" t="s">
        <v>768</v>
      </c>
      <c r="C246" s="44"/>
      <c r="D246" s="44"/>
      <c r="E246" s="46"/>
      <c r="F246" s="66"/>
      <c r="G246" s="66">
        <v>1.0</v>
      </c>
      <c r="H246" s="81" t="s">
        <v>750</v>
      </c>
      <c r="I246" s="66" t="s">
        <v>740</v>
      </c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147" t="str">
        <f t="shared" si="30"/>
        <v/>
      </c>
    </row>
    <row r="247" ht="14.25" customHeight="1">
      <c r="A247" s="7"/>
      <c r="B247" s="7" t="s">
        <v>769</v>
      </c>
      <c r="C247" s="44"/>
      <c r="D247" s="44"/>
      <c r="E247" s="46"/>
      <c r="F247" s="46"/>
      <c r="G247" s="66">
        <v>2.0</v>
      </c>
      <c r="H247" s="81" t="s">
        <v>752</v>
      </c>
      <c r="I247" s="66" t="s">
        <v>740</v>
      </c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147" t="str">
        <f t="shared" si="30"/>
        <v/>
      </c>
    </row>
    <row r="248" ht="14.25" customHeight="1">
      <c r="A248" s="7"/>
      <c r="B248" s="7"/>
      <c r="C248" s="44"/>
      <c r="D248" s="44"/>
      <c r="E248" s="46"/>
      <c r="F248" s="105"/>
      <c r="G248" s="105"/>
      <c r="H248" s="156"/>
      <c r="I248" s="66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27"/>
    </row>
    <row r="249" ht="14.25" customHeight="1">
      <c r="A249" s="7"/>
      <c r="B249" s="7" t="s">
        <v>770</v>
      </c>
      <c r="C249" s="44"/>
      <c r="D249" s="44"/>
      <c r="E249" s="45" t="s">
        <v>771</v>
      </c>
      <c r="F249" s="31"/>
      <c r="G249" s="31"/>
      <c r="H249" s="32"/>
      <c r="I249" s="66" t="s">
        <v>735</v>
      </c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147" t="str">
        <f t="shared" ref="V249:V250" si="31">IFERROR(AVERAGE(J249:U249),"")</f>
        <v/>
      </c>
    </row>
    <row r="250" ht="14.25" customHeight="1">
      <c r="A250" s="7"/>
      <c r="B250" s="7" t="s">
        <v>772</v>
      </c>
      <c r="C250" s="44"/>
      <c r="D250" s="44"/>
      <c r="E250" s="45" t="s">
        <v>773</v>
      </c>
      <c r="F250" s="31"/>
      <c r="G250" s="31"/>
      <c r="H250" s="32"/>
      <c r="I250" s="66" t="s">
        <v>740</v>
      </c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147" t="str">
        <f t="shared" si="31"/>
        <v/>
      </c>
    </row>
    <row r="251" ht="14.25" customHeight="1">
      <c r="A251" s="7"/>
      <c r="B251" s="7"/>
      <c r="C251" s="44"/>
      <c r="D251" s="44"/>
      <c r="E251" s="46"/>
      <c r="F251" s="105"/>
      <c r="G251" s="105"/>
      <c r="H251" s="156"/>
      <c r="I251" s="66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27"/>
    </row>
    <row r="252" ht="14.25" customHeight="1">
      <c r="A252" s="7"/>
      <c r="B252" s="7" t="s">
        <v>774</v>
      </c>
      <c r="C252" s="44"/>
      <c r="D252" s="45" t="s">
        <v>775</v>
      </c>
      <c r="E252" s="31"/>
      <c r="F252" s="31"/>
      <c r="G252" s="31"/>
      <c r="H252" s="32"/>
      <c r="I252" s="66" t="s">
        <v>735</v>
      </c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147" t="str">
        <f t="shared" ref="V252:V253" si="32">IFERROR(AVERAGE(J252:U252),"")</f>
        <v/>
      </c>
    </row>
    <row r="253" ht="14.25" customHeight="1">
      <c r="A253" s="7"/>
      <c r="B253" s="7" t="s">
        <v>776</v>
      </c>
      <c r="C253" s="44"/>
      <c r="D253" s="45" t="s">
        <v>777</v>
      </c>
      <c r="E253" s="31"/>
      <c r="F253" s="31"/>
      <c r="G253" s="31"/>
      <c r="H253" s="32"/>
      <c r="I253" s="66" t="s">
        <v>740</v>
      </c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147" t="str">
        <f t="shared" si="32"/>
        <v/>
      </c>
    </row>
    <row r="254" ht="14.25" customHeight="1">
      <c r="A254" s="7"/>
      <c r="B254" s="7"/>
      <c r="C254" s="134"/>
      <c r="D254" s="134"/>
      <c r="E254" s="152"/>
      <c r="F254" s="152"/>
      <c r="G254" s="99"/>
      <c r="H254" s="18"/>
      <c r="I254" s="152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42"/>
    </row>
    <row r="255" ht="14.25" customHeight="1">
      <c r="A255" s="14">
        <v>4.0</v>
      </c>
      <c r="B255" s="7"/>
      <c r="C255" s="138" t="s">
        <v>778</v>
      </c>
      <c r="D255" s="139"/>
      <c r="E255" s="140"/>
      <c r="F255" s="140"/>
      <c r="G255" s="140"/>
      <c r="H255" s="140"/>
      <c r="I255" s="140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0"/>
    </row>
    <row r="256" ht="14.25" customHeight="1">
      <c r="A256" s="7"/>
      <c r="B256" s="7"/>
      <c r="C256" s="142"/>
      <c r="D256" s="142"/>
      <c r="E256" s="142"/>
      <c r="F256" s="142"/>
      <c r="G256" s="7"/>
      <c r="H256" s="7"/>
      <c r="I256" s="143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7"/>
    </row>
    <row r="257" ht="14.25" customHeight="1">
      <c r="A257" s="7"/>
      <c r="B257" s="7"/>
      <c r="C257" s="16" t="s">
        <v>228</v>
      </c>
      <c r="D257" s="17" t="s">
        <v>229</v>
      </c>
      <c r="E257" s="18"/>
      <c r="F257" s="18"/>
      <c r="G257" s="18"/>
      <c r="H257" s="19"/>
      <c r="I257" s="20" t="s">
        <v>230</v>
      </c>
      <c r="J257" s="21">
        <f>$H$2</f>
        <v>2026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/>
    </row>
    <row r="258" ht="14.25" customHeight="1">
      <c r="A258" s="7"/>
      <c r="B258" s="7"/>
      <c r="C258" s="22"/>
      <c r="D258" s="23"/>
      <c r="H258" s="24"/>
      <c r="I258" s="22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8"/>
    </row>
    <row r="259" ht="14.25" customHeight="1">
      <c r="A259" s="7"/>
      <c r="B259" s="7"/>
      <c r="C259" s="25"/>
      <c r="D259" s="26"/>
      <c r="E259" s="27"/>
      <c r="F259" s="27"/>
      <c r="G259" s="27"/>
      <c r="H259" s="28"/>
      <c r="I259" s="25"/>
      <c r="J259" s="117" t="s">
        <v>231</v>
      </c>
      <c r="K259" s="117" t="s">
        <v>232</v>
      </c>
      <c r="L259" s="117" t="s">
        <v>233</v>
      </c>
      <c r="M259" s="117" t="s">
        <v>234</v>
      </c>
      <c r="N259" s="117" t="s">
        <v>235</v>
      </c>
      <c r="O259" s="117" t="s">
        <v>236</v>
      </c>
      <c r="P259" s="117" t="s">
        <v>237</v>
      </c>
      <c r="Q259" s="117" t="s">
        <v>238</v>
      </c>
      <c r="R259" s="117" t="s">
        <v>239</v>
      </c>
      <c r="S259" s="117" t="s">
        <v>240</v>
      </c>
      <c r="T259" s="117" t="s">
        <v>241</v>
      </c>
      <c r="U259" s="117" t="s">
        <v>242</v>
      </c>
      <c r="V259" s="117" t="s">
        <v>243</v>
      </c>
    </row>
    <row r="260" ht="14.25" customHeight="1">
      <c r="A260" s="7"/>
      <c r="B260" s="7"/>
      <c r="C260" s="29">
        <v>1.0</v>
      </c>
      <c r="D260" s="30">
        <v>2.0</v>
      </c>
      <c r="E260" s="31"/>
      <c r="F260" s="31"/>
      <c r="G260" s="31"/>
      <c r="H260" s="32"/>
      <c r="I260" s="33">
        <v>3.0</v>
      </c>
      <c r="J260" s="118">
        <v>4.0</v>
      </c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3">
        <v>5.0</v>
      </c>
    </row>
    <row r="261" ht="14.25" customHeight="1">
      <c r="A261" s="7"/>
      <c r="B261" s="7"/>
      <c r="C261" s="44"/>
      <c r="D261" s="46"/>
      <c r="E261" s="105"/>
      <c r="F261" s="105"/>
      <c r="G261" s="105"/>
      <c r="H261" s="106"/>
      <c r="I261" s="66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</row>
    <row r="262" ht="14.25" customHeight="1">
      <c r="A262" s="7"/>
      <c r="B262" s="7"/>
      <c r="C262" s="66">
        <v>1.0</v>
      </c>
      <c r="D262" s="45" t="s">
        <v>376</v>
      </c>
      <c r="E262" s="31"/>
      <c r="F262" s="31"/>
      <c r="G262" s="31"/>
      <c r="H262" s="32"/>
      <c r="I262" s="66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</row>
    <row r="263" ht="14.25" customHeight="1">
      <c r="A263" s="7"/>
      <c r="B263" s="7"/>
      <c r="C263" s="44"/>
      <c r="D263" s="44">
        <v>1.0</v>
      </c>
      <c r="E263" s="45" t="s">
        <v>611</v>
      </c>
      <c r="F263" s="31"/>
      <c r="G263" s="31"/>
      <c r="H263" s="32"/>
      <c r="I263" s="66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4"/>
    </row>
    <row r="264" ht="14.25" customHeight="1">
      <c r="A264" s="7"/>
      <c r="B264" s="7" t="s">
        <v>779</v>
      </c>
      <c r="C264" s="44"/>
      <c r="D264" s="44"/>
      <c r="E264" s="44">
        <v>1.0</v>
      </c>
      <c r="F264" s="45" t="s">
        <v>248</v>
      </c>
      <c r="G264" s="31"/>
      <c r="H264" s="32"/>
      <c r="I264" s="66" t="s">
        <v>780</v>
      </c>
      <c r="J264" s="48">
        <v>391.55</v>
      </c>
      <c r="K264" s="48">
        <v>184.26</v>
      </c>
      <c r="L264" s="48">
        <v>373.58</v>
      </c>
      <c r="M264" s="48">
        <v>122.69</v>
      </c>
      <c r="N264" s="158">
        <v>145.78</v>
      </c>
      <c r="O264" s="48"/>
      <c r="P264" s="48"/>
      <c r="Q264" s="48"/>
      <c r="R264" s="48"/>
      <c r="S264" s="48"/>
      <c r="T264" s="48"/>
      <c r="U264" s="48"/>
      <c r="V264" s="147">
        <f t="shared" ref="V264:V297" si="33">IFERROR(AVERAGE(J264:U264),"")</f>
        <v>243.572</v>
      </c>
    </row>
    <row r="265" ht="14.25" customHeight="1">
      <c r="A265" s="7"/>
      <c r="B265" s="7" t="s">
        <v>779</v>
      </c>
      <c r="C265" s="44"/>
      <c r="D265" s="44"/>
      <c r="E265" s="44"/>
      <c r="F265" s="45"/>
      <c r="G265" s="40"/>
      <c r="H265" s="41"/>
      <c r="I265" s="66" t="s">
        <v>781</v>
      </c>
      <c r="J265" s="48">
        <v>5872.92</v>
      </c>
      <c r="K265" s="48">
        <v>3612.68</v>
      </c>
      <c r="L265" s="48">
        <v>3516.82</v>
      </c>
      <c r="M265" s="48">
        <v>3429.28</v>
      </c>
      <c r="N265" s="158">
        <v>4033.64</v>
      </c>
      <c r="O265" s="48"/>
      <c r="P265" s="48"/>
      <c r="Q265" s="48"/>
      <c r="R265" s="48"/>
      <c r="S265" s="48"/>
      <c r="T265" s="48"/>
      <c r="U265" s="48"/>
      <c r="V265" s="147">
        <f t="shared" si="33"/>
        <v>4093.068</v>
      </c>
    </row>
    <row r="266" ht="14.25" customHeight="1">
      <c r="A266" s="7"/>
      <c r="B266" s="7" t="s">
        <v>782</v>
      </c>
      <c r="C266" s="44"/>
      <c r="D266" s="44"/>
      <c r="E266" s="44">
        <v>2.0</v>
      </c>
      <c r="F266" s="45" t="s">
        <v>492</v>
      </c>
      <c r="G266" s="31"/>
      <c r="H266" s="32"/>
      <c r="I266" s="66" t="s">
        <v>780</v>
      </c>
      <c r="J266" s="63"/>
      <c r="K266" s="63"/>
      <c r="L266" s="63"/>
      <c r="M266" s="63"/>
      <c r="N266" s="86"/>
      <c r="O266" s="63"/>
      <c r="P266" s="60"/>
      <c r="Q266" s="63"/>
      <c r="R266" s="63"/>
      <c r="S266" s="63"/>
      <c r="T266" s="48"/>
      <c r="U266" s="63"/>
      <c r="V266" s="147" t="str">
        <f t="shared" si="33"/>
        <v/>
      </c>
    </row>
    <row r="267" ht="14.25" customHeight="1">
      <c r="A267" s="7"/>
      <c r="B267" s="7" t="s">
        <v>782</v>
      </c>
      <c r="C267" s="44"/>
      <c r="D267" s="44"/>
      <c r="E267" s="44"/>
      <c r="F267" s="45"/>
      <c r="G267" s="40"/>
      <c r="H267" s="41"/>
      <c r="I267" s="66" t="s">
        <v>781</v>
      </c>
      <c r="J267" s="63"/>
      <c r="K267" s="63"/>
      <c r="L267" s="63"/>
      <c r="M267" s="63"/>
      <c r="N267" s="86"/>
      <c r="O267" s="63"/>
      <c r="P267" s="60"/>
      <c r="Q267" s="63"/>
      <c r="R267" s="63"/>
      <c r="S267" s="63"/>
      <c r="T267" s="48"/>
      <c r="U267" s="112"/>
      <c r="V267" s="147" t="str">
        <f t="shared" si="33"/>
        <v/>
      </c>
    </row>
    <row r="268" ht="14.25" customHeight="1">
      <c r="A268" s="7"/>
      <c r="B268" s="7" t="s">
        <v>783</v>
      </c>
      <c r="C268" s="44"/>
      <c r="D268" s="44"/>
      <c r="E268" s="44">
        <v>3.0</v>
      </c>
      <c r="F268" s="45" t="s">
        <v>494</v>
      </c>
      <c r="G268" s="31"/>
      <c r="H268" s="32"/>
      <c r="I268" s="66" t="s">
        <v>780</v>
      </c>
      <c r="J268" s="48">
        <v>178.04</v>
      </c>
      <c r="K268" s="63"/>
      <c r="L268" s="63"/>
      <c r="M268" s="48">
        <v>286.46</v>
      </c>
      <c r="N268" s="158">
        <v>435.31</v>
      </c>
      <c r="O268" s="63"/>
      <c r="P268" s="60"/>
      <c r="Q268" s="63"/>
      <c r="R268" s="63"/>
      <c r="S268" s="63"/>
      <c r="T268" s="60"/>
      <c r="U268" s="112"/>
      <c r="V268" s="147">
        <f t="shared" si="33"/>
        <v>299.9366667</v>
      </c>
    </row>
    <row r="269" ht="14.25" customHeight="1">
      <c r="A269" s="7"/>
      <c r="B269" s="7" t="s">
        <v>783</v>
      </c>
      <c r="C269" s="44"/>
      <c r="D269" s="44"/>
      <c r="E269" s="44"/>
      <c r="F269" s="45"/>
      <c r="G269" s="40"/>
      <c r="H269" s="41"/>
      <c r="I269" s="66" t="s">
        <v>781</v>
      </c>
      <c r="J269" s="48">
        <v>1608.0</v>
      </c>
      <c r="K269" s="63"/>
      <c r="L269" s="63"/>
      <c r="M269" s="48">
        <v>5580.72</v>
      </c>
      <c r="N269" s="158">
        <v>8875.68</v>
      </c>
      <c r="O269" s="63"/>
      <c r="P269" s="60"/>
      <c r="Q269" s="63"/>
      <c r="R269" s="63"/>
      <c r="S269" s="63"/>
      <c r="T269" s="60"/>
      <c r="U269" s="112"/>
      <c r="V269" s="147">
        <f t="shared" si="33"/>
        <v>5354.8</v>
      </c>
    </row>
    <row r="270" ht="14.25" customHeight="1">
      <c r="A270" s="7"/>
      <c r="B270" s="7" t="s">
        <v>784</v>
      </c>
      <c r="C270" s="44"/>
      <c r="D270" s="44"/>
      <c r="E270" s="44"/>
      <c r="F270" s="46">
        <v>1.0</v>
      </c>
      <c r="G270" s="45" t="s">
        <v>785</v>
      </c>
      <c r="H270" s="32"/>
      <c r="I270" s="66" t="s">
        <v>780</v>
      </c>
      <c r="J270" s="63"/>
      <c r="K270" s="63"/>
      <c r="L270" s="63"/>
      <c r="M270" s="60"/>
      <c r="N270" s="159"/>
      <c r="O270" s="109"/>
      <c r="P270" s="60"/>
      <c r="Q270" s="63"/>
      <c r="R270" s="63"/>
      <c r="S270" s="63"/>
      <c r="T270" s="60"/>
      <c r="U270" s="112"/>
      <c r="V270" s="147" t="str">
        <f t="shared" si="33"/>
        <v/>
      </c>
    </row>
    <row r="271" ht="14.25" customHeight="1">
      <c r="A271" s="7"/>
      <c r="B271" s="7" t="s">
        <v>784</v>
      </c>
      <c r="C271" s="44"/>
      <c r="D271" s="44"/>
      <c r="E271" s="44"/>
      <c r="F271" s="46"/>
      <c r="G271" s="45"/>
      <c r="H271" s="41"/>
      <c r="I271" s="66" t="s">
        <v>781</v>
      </c>
      <c r="J271" s="63"/>
      <c r="K271" s="63"/>
      <c r="L271" s="63"/>
      <c r="M271" s="60"/>
      <c r="N271" s="159"/>
      <c r="O271" s="109"/>
      <c r="P271" s="60"/>
      <c r="Q271" s="63"/>
      <c r="R271" s="63"/>
      <c r="S271" s="63"/>
      <c r="T271" s="60"/>
      <c r="U271" s="112"/>
      <c r="V271" s="147" t="str">
        <f t="shared" si="33"/>
        <v/>
      </c>
    </row>
    <row r="272" ht="14.25" customHeight="1">
      <c r="A272" s="7"/>
      <c r="B272" s="7" t="s">
        <v>786</v>
      </c>
      <c r="C272" s="44"/>
      <c r="D272" s="44"/>
      <c r="E272" s="44"/>
      <c r="F272" s="46">
        <v>2.0</v>
      </c>
      <c r="G272" s="45" t="s">
        <v>787</v>
      </c>
      <c r="H272" s="32"/>
      <c r="I272" s="66" t="s">
        <v>780</v>
      </c>
      <c r="J272" s="63"/>
      <c r="K272" s="63"/>
      <c r="L272" s="63"/>
      <c r="M272" s="60"/>
      <c r="N272" s="159"/>
      <c r="O272" s="109"/>
      <c r="P272" s="60"/>
      <c r="Q272" s="63"/>
      <c r="R272" s="63"/>
      <c r="S272" s="63"/>
      <c r="T272" s="60"/>
      <c r="U272" s="112"/>
      <c r="V272" s="147" t="str">
        <f t="shared" si="33"/>
        <v/>
      </c>
    </row>
    <row r="273" ht="14.25" customHeight="1">
      <c r="A273" s="7"/>
      <c r="B273" s="7" t="s">
        <v>786</v>
      </c>
      <c r="C273" s="44"/>
      <c r="D273" s="44"/>
      <c r="E273" s="44"/>
      <c r="F273" s="46"/>
      <c r="G273" s="80"/>
      <c r="H273" s="41"/>
      <c r="I273" s="66" t="s">
        <v>781</v>
      </c>
      <c r="J273" s="63"/>
      <c r="K273" s="63"/>
      <c r="L273" s="63"/>
      <c r="M273" s="60"/>
      <c r="N273" s="159"/>
      <c r="O273" s="109"/>
      <c r="P273" s="60"/>
      <c r="Q273" s="63"/>
      <c r="R273" s="63"/>
      <c r="S273" s="63"/>
      <c r="T273" s="60"/>
      <c r="U273" s="112"/>
      <c r="V273" s="147" t="str">
        <f t="shared" si="33"/>
        <v/>
      </c>
    </row>
    <row r="274" ht="14.25" customHeight="1">
      <c r="A274" s="7"/>
      <c r="B274" s="7" t="s">
        <v>788</v>
      </c>
      <c r="C274" s="44"/>
      <c r="D274" s="44"/>
      <c r="E274" s="44">
        <v>4.0</v>
      </c>
      <c r="F274" s="45" t="s">
        <v>258</v>
      </c>
      <c r="G274" s="31"/>
      <c r="H274" s="32"/>
      <c r="I274" s="66" t="s">
        <v>780</v>
      </c>
      <c r="J274" s="48">
        <v>350.87</v>
      </c>
      <c r="K274" s="63"/>
      <c r="L274" s="63"/>
      <c r="M274" s="60"/>
      <c r="N274" s="159"/>
      <c r="O274" s="109"/>
      <c r="P274" s="48"/>
      <c r="Q274" s="63"/>
      <c r="R274" s="63"/>
      <c r="S274" s="63"/>
      <c r="T274" s="60"/>
      <c r="U274" s="112"/>
      <c r="V274" s="147">
        <f t="shared" si="33"/>
        <v>350.87</v>
      </c>
    </row>
    <row r="275" ht="14.25" customHeight="1">
      <c r="A275" s="7"/>
      <c r="B275" s="7" t="s">
        <v>788</v>
      </c>
      <c r="C275" s="44"/>
      <c r="D275" s="44"/>
      <c r="E275" s="44"/>
      <c r="F275" s="45"/>
      <c r="G275" s="40"/>
      <c r="H275" s="41"/>
      <c r="I275" s="66" t="s">
        <v>781</v>
      </c>
      <c r="J275" s="48">
        <v>6957.36</v>
      </c>
      <c r="K275" s="63"/>
      <c r="L275" s="63"/>
      <c r="M275" s="60"/>
      <c r="N275" s="159"/>
      <c r="O275" s="109"/>
      <c r="P275" s="48"/>
      <c r="Q275" s="63"/>
      <c r="R275" s="63"/>
      <c r="S275" s="63"/>
      <c r="T275" s="60"/>
      <c r="U275" s="112"/>
      <c r="V275" s="147">
        <f t="shared" si="33"/>
        <v>6957.36</v>
      </c>
    </row>
    <row r="276" ht="14.25" customHeight="1">
      <c r="A276" s="7"/>
      <c r="B276" s="7" t="s">
        <v>789</v>
      </c>
      <c r="C276" s="44"/>
      <c r="D276" s="44"/>
      <c r="E276" s="44"/>
      <c r="F276" s="46">
        <v>1.0</v>
      </c>
      <c r="G276" s="45" t="s">
        <v>785</v>
      </c>
      <c r="H276" s="32"/>
      <c r="I276" s="66" t="s">
        <v>780</v>
      </c>
      <c r="J276" s="63"/>
      <c r="K276" s="63"/>
      <c r="L276" s="63"/>
      <c r="M276" s="60"/>
      <c r="N276" s="159"/>
      <c r="O276" s="109"/>
      <c r="P276" s="60"/>
      <c r="Q276" s="63"/>
      <c r="R276" s="63"/>
      <c r="S276" s="63"/>
      <c r="T276" s="60"/>
      <c r="U276" s="112"/>
      <c r="V276" s="147" t="str">
        <f t="shared" si="33"/>
        <v/>
      </c>
    </row>
    <row r="277" ht="14.25" customHeight="1">
      <c r="A277" s="7"/>
      <c r="B277" s="7" t="s">
        <v>789</v>
      </c>
      <c r="C277" s="44"/>
      <c r="D277" s="44"/>
      <c r="E277" s="44"/>
      <c r="F277" s="46"/>
      <c r="G277" s="45"/>
      <c r="H277" s="41"/>
      <c r="I277" s="66" t="s">
        <v>781</v>
      </c>
      <c r="J277" s="63"/>
      <c r="K277" s="63"/>
      <c r="L277" s="63"/>
      <c r="M277" s="60"/>
      <c r="N277" s="159"/>
      <c r="O277" s="109"/>
      <c r="P277" s="60"/>
      <c r="Q277" s="63"/>
      <c r="R277" s="63"/>
      <c r="S277" s="63"/>
      <c r="T277" s="60"/>
      <c r="U277" s="112"/>
      <c r="V277" s="147" t="str">
        <f t="shared" si="33"/>
        <v/>
      </c>
    </row>
    <row r="278" ht="14.25" customHeight="1">
      <c r="A278" s="7"/>
      <c r="B278" s="7" t="s">
        <v>790</v>
      </c>
      <c r="C278" s="44"/>
      <c r="D278" s="44"/>
      <c r="E278" s="44"/>
      <c r="F278" s="46">
        <v>2.0</v>
      </c>
      <c r="G278" s="45" t="s">
        <v>787</v>
      </c>
      <c r="H278" s="32"/>
      <c r="I278" s="66" t="s">
        <v>780</v>
      </c>
      <c r="J278" s="63"/>
      <c r="K278" s="63"/>
      <c r="L278" s="63"/>
      <c r="M278" s="60"/>
      <c r="N278" s="159"/>
      <c r="O278" s="109"/>
      <c r="P278" s="60"/>
      <c r="Q278" s="63"/>
      <c r="R278" s="63"/>
      <c r="S278" s="63"/>
      <c r="T278" s="60"/>
      <c r="U278" s="112"/>
      <c r="V278" s="147" t="str">
        <f t="shared" si="33"/>
        <v/>
      </c>
    </row>
    <row r="279" ht="14.25" customHeight="1">
      <c r="A279" s="7"/>
      <c r="B279" s="7" t="s">
        <v>790</v>
      </c>
      <c r="C279" s="44"/>
      <c r="D279" s="44"/>
      <c r="E279" s="44"/>
      <c r="F279" s="46"/>
      <c r="G279" s="45"/>
      <c r="H279" s="41"/>
      <c r="I279" s="66" t="s">
        <v>781</v>
      </c>
      <c r="J279" s="63"/>
      <c r="K279" s="63"/>
      <c r="L279" s="63"/>
      <c r="M279" s="60"/>
      <c r="N279" s="159"/>
      <c r="O279" s="109"/>
      <c r="P279" s="60"/>
      <c r="Q279" s="63"/>
      <c r="R279" s="63"/>
      <c r="S279" s="63"/>
      <c r="T279" s="60"/>
      <c r="U279" s="112"/>
      <c r="V279" s="147" t="str">
        <f t="shared" si="33"/>
        <v/>
      </c>
    </row>
    <row r="280" ht="14.25" customHeight="1">
      <c r="A280" s="7"/>
      <c r="B280" s="7" t="s">
        <v>791</v>
      </c>
      <c r="C280" s="44"/>
      <c r="D280" s="44"/>
      <c r="E280" s="44"/>
      <c r="F280" s="46">
        <v>3.0</v>
      </c>
      <c r="G280" s="45" t="s">
        <v>792</v>
      </c>
      <c r="H280" s="32"/>
      <c r="I280" s="66" t="s">
        <v>780</v>
      </c>
      <c r="J280" s="63"/>
      <c r="K280" s="63"/>
      <c r="L280" s="63"/>
      <c r="M280" s="60"/>
      <c r="N280" s="159"/>
      <c r="O280" s="109"/>
      <c r="P280" s="60"/>
      <c r="Q280" s="63"/>
      <c r="R280" s="63"/>
      <c r="S280" s="63"/>
      <c r="T280" s="60"/>
      <c r="U280" s="112"/>
      <c r="V280" s="147" t="str">
        <f t="shared" si="33"/>
        <v/>
      </c>
    </row>
    <row r="281" ht="14.25" customHeight="1">
      <c r="A281" s="7"/>
      <c r="B281" s="7" t="s">
        <v>791</v>
      </c>
      <c r="C281" s="44"/>
      <c r="D281" s="44"/>
      <c r="E281" s="53"/>
      <c r="F281" s="105"/>
      <c r="G281" s="80"/>
      <c r="H281" s="41"/>
      <c r="I281" s="66" t="s">
        <v>781</v>
      </c>
      <c r="J281" s="63"/>
      <c r="K281" s="63"/>
      <c r="L281" s="63"/>
      <c r="M281" s="60"/>
      <c r="N281" s="159"/>
      <c r="O281" s="109"/>
      <c r="P281" s="60"/>
      <c r="Q281" s="63"/>
      <c r="R281" s="63"/>
      <c r="S281" s="63"/>
      <c r="T281" s="60"/>
      <c r="U281" s="112"/>
      <c r="V281" s="147" t="str">
        <f t="shared" si="33"/>
        <v/>
      </c>
    </row>
    <row r="282" ht="14.25" customHeight="1">
      <c r="A282" s="7"/>
      <c r="B282" s="7" t="s">
        <v>793</v>
      </c>
      <c r="C282" s="44"/>
      <c r="D282" s="44">
        <v>2.0</v>
      </c>
      <c r="E282" s="45" t="s">
        <v>618</v>
      </c>
      <c r="F282" s="31"/>
      <c r="G282" s="31"/>
      <c r="H282" s="32"/>
      <c r="I282" s="66" t="s">
        <v>780</v>
      </c>
      <c r="J282" s="48">
        <v>175.27</v>
      </c>
      <c r="K282" s="48">
        <v>167.77</v>
      </c>
      <c r="L282" s="48">
        <v>329.95</v>
      </c>
      <c r="M282" s="48">
        <v>284.92</v>
      </c>
      <c r="N282" s="158">
        <v>227.23</v>
      </c>
      <c r="O282" s="48"/>
      <c r="P282" s="48"/>
      <c r="Q282" s="48"/>
      <c r="R282" s="48"/>
      <c r="S282" s="48"/>
      <c r="T282" s="48"/>
      <c r="U282" s="48"/>
      <c r="V282" s="147">
        <f t="shared" si="33"/>
        <v>237.028</v>
      </c>
    </row>
    <row r="283" ht="14.25" customHeight="1">
      <c r="A283" s="7"/>
      <c r="B283" s="7" t="s">
        <v>793</v>
      </c>
      <c r="C283" s="44"/>
      <c r="D283" s="44"/>
      <c r="E283" s="45"/>
      <c r="F283" s="40"/>
      <c r="G283" s="40"/>
      <c r="H283" s="41"/>
      <c r="I283" s="66" t="s">
        <v>781</v>
      </c>
      <c r="J283" s="48">
        <v>2991.5</v>
      </c>
      <c r="K283" s="48">
        <v>2349.9</v>
      </c>
      <c r="L283" s="48">
        <v>3737.28</v>
      </c>
      <c r="M283" s="48">
        <v>3157.23</v>
      </c>
      <c r="N283" s="158">
        <v>2511.89</v>
      </c>
      <c r="O283" s="48"/>
      <c r="P283" s="48"/>
      <c r="Q283" s="48"/>
      <c r="R283" s="48"/>
      <c r="S283" s="48"/>
      <c r="T283" s="48"/>
      <c r="U283" s="48"/>
      <c r="V283" s="147">
        <f t="shared" si="33"/>
        <v>2949.56</v>
      </c>
    </row>
    <row r="284" ht="14.25" customHeight="1">
      <c r="A284" s="7"/>
      <c r="B284" s="7" t="s">
        <v>794</v>
      </c>
      <c r="C284" s="44"/>
      <c r="D284" s="44"/>
      <c r="E284" s="45"/>
      <c r="F284" s="46">
        <v>1.0</v>
      </c>
      <c r="G284" s="45" t="s">
        <v>785</v>
      </c>
      <c r="H284" s="32"/>
      <c r="I284" s="66" t="s">
        <v>780</v>
      </c>
      <c r="J284" s="63"/>
      <c r="K284" s="63"/>
      <c r="L284" s="63"/>
      <c r="M284" s="63"/>
      <c r="N284" s="86"/>
      <c r="O284" s="63"/>
      <c r="P284" s="63"/>
      <c r="Q284" s="63"/>
      <c r="R284" s="63"/>
      <c r="S284" s="63"/>
      <c r="T284" s="63"/>
      <c r="U284" s="63"/>
      <c r="V284" s="147" t="str">
        <f t="shared" si="33"/>
        <v/>
      </c>
    </row>
    <row r="285" ht="14.25" customHeight="1">
      <c r="A285" s="7"/>
      <c r="B285" s="7" t="s">
        <v>794</v>
      </c>
      <c r="C285" s="44"/>
      <c r="D285" s="44"/>
      <c r="E285" s="45"/>
      <c r="F285" s="46"/>
      <c r="G285" s="45"/>
      <c r="H285" s="41"/>
      <c r="I285" s="66" t="s">
        <v>781</v>
      </c>
      <c r="J285" s="63"/>
      <c r="K285" s="63"/>
      <c r="L285" s="63"/>
      <c r="M285" s="63"/>
      <c r="N285" s="86"/>
      <c r="O285" s="63"/>
      <c r="P285" s="63"/>
      <c r="Q285" s="63"/>
      <c r="R285" s="63"/>
      <c r="S285" s="63"/>
      <c r="T285" s="63"/>
      <c r="U285" s="63"/>
      <c r="V285" s="147" t="str">
        <f t="shared" si="33"/>
        <v/>
      </c>
    </row>
    <row r="286" ht="14.25" customHeight="1">
      <c r="A286" s="7"/>
      <c r="B286" s="7" t="s">
        <v>795</v>
      </c>
      <c r="C286" s="44"/>
      <c r="D286" s="44"/>
      <c r="E286" s="45"/>
      <c r="F286" s="46">
        <v>2.0</v>
      </c>
      <c r="G286" s="45" t="s">
        <v>787</v>
      </c>
      <c r="H286" s="32"/>
      <c r="I286" s="66" t="s">
        <v>780</v>
      </c>
      <c r="J286" s="63"/>
      <c r="K286" s="63"/>
      <c r="L286" s="63"/>
      <c r="M286" s="63"/>
      <c r="N286" s="86"/>
      <c r="O286" s="63"/>
      <c r="P286" s="63"/>
      <c r="Q286" s="63"/>
      <c r="R286" s="63"/>
      <c r="S286" s="63"/>
      <c r="T286" s="63"/>
      <c r="U286" s="63"/>
      <c r="V286" s="147" t="str">
        <f t="shared" si="33"/>
        <v/>
      </c>
    </row>
    <row r="287" ht="14.25" customHeight="1">
      <c r="A287" s="7"/>
      <c r="B287" s="7" t="s">
        <v>795</v>
      </c>
      <c r="C287" s="44"/>
      <c r="D287" s="44"/>
      <c r="E287" s="45"/>
      <c r="F287" s="105"/>
      <c r="G287" s="80"/>
      <c r="H287" s="41"/>
      <c r="I287" s="66" t="s">
        <v>781</v>
      </c>
      <c r="J287" s="63"/>
      <c r="K287" s="63"/>
      <c r="L287" s="63"/>
      <c r="M287" s="63"/>
      <c r="N287" s="86"/>
      <c r="O287" s="63"/>
      <c r="P287" s="63"/>
      <c r="Q287" s="63"/>
      <c r="R287" s="63"/>
      <c r="S287" s="63"/>
      <c r="T287" s="63"/>
      <c r="U287" s="63"/>
      <c r="V287" s="147" t="str">
        <f t="shared" si="33"/>
        <v/>
      </c>
    </row>
    <row r="288" ht="14.25" customHeight="1">
      <c r="A288" s="7"/>
      <c r="B288" s="7" t="s">
        <v>796</v>
      </c>
      <c r="C288" s="44"/>
      <c r="D288" s="44">
        <v>3.0</v>
      </c>
      <c r="E288" s="45" t="s">
        <v>625</v>
      </c>
      <c r="F288" s="31"/>
      <c r="G288" s="31"/>
      <c r="H288" s="32"/>
      <c r="I288" s="66" t="s">
        <v>780</v>
      </c>
      <c r="J288" s="48">
        <v>328.72</v>
      </c>
      <c r="K288" s="48">
        <v>196.21</v>
      </c>
      <c r="L288" s="48">
        <v>301.14</v>
      </c>
      <c r="M288" s="48">
        <v>136.78</v>
      </c>
      <c r="N288" s="158">
        <v>245.61</v>
      </c>
      <c r="O288" s="48"/>
      <c r="P288" s="48"/>
      <c r="Q288" s="48"/>
      <c r="R288" s="48"/>
      <c r="S288" s="48"/>
      <c r="T288" s="48"/>
      <c r="U288" s="48"/>
      <c r="V288" s="147">
        <f t="shared" si="33"/>
        <v>241.692</v>
      </c>
    </row>
    <row r="289">
      <c r="A289" s="7"/>
      <c r="B289" s="7" t="s">
        <v>796</v>
      </c>
      <c r="C289" s="44"/>
      <c r="D289" s="111"/>
      <c r="E289" s="80"/>
      <c r="F289" s="40"/>
      <c r="G289" s="40"/>
      <c r="H289" s="41"/>
      <c r="I289" s="66" t="s">
        <v>781</v>
      </c>
      <c r="J289" s="48">
        <v>7054.2</v>
      </c>
      <c r="K289" s="48">
        <v>6640.15</v>
      </c>
      <c r="L289" s="48">
        <v>8254.48</v>
      </c>
      <c r="M289" s="48">
        <v>6884.88</v>
      </c>
      <c r="N289" s="158">
        <v>8921.82</v>
      </c>
      <c r="O289" s="48"/>
      <c r="P289" s="48"/>
      <c r="Q289" s="48"/>
      <c r="R289" s="48"/>
      <c r="S289" s="48"/>
      <c r="T289" s="48"/>
      <c r="U289" s="48"/>
      <c r="V289" s="147">
        <f t="shared" si="33"/>
        <v>7551.106</v>
      </c>
    </row>
    <row r="290" ht="14.25" customHeight="1">
      <c r="A290" s="7"/>
      <c r="B290" s="7" t="s">
        <v>797</v>
      </c>
      <c r="C290" s="44"/>
      <c r="D290" s="111"/>
      <c r="E290" s="80"/>
      <c r="F290" s="46">
        <v>1.0</v>
      </c>
      <c r="G290" s="45" t="s">
        <v>785</v>
      </c>
      <c r="H290" s="32"/>
      <c r="I290" s="66" t="s">
        <v>780</v>
      </c>
      <c r="J290" s="63"/>
      <c r="K290" s="63"/>
      <c r="L290" s="63"/>
      <c r="M290" s="77"/>
      <c r="N290" s="86"/>
      <c r="O290" s="68"/>
      <c r="P290" s="60"/>
      <c r="Q290" s="63"/>
      <c r="R290" s="63"/>
      <c r="S290" s="63"/>
      <c r="T290" s="79"/>
      <c r="U290" s="79"/>
      <c r="V290" s="147" t="str">
        <f t="shared" si="33"/>
        <v/>
      </c>
    </row>
    <row r="291" ht="14.25" customHeight="1">
      <c r="A291" s="7"/>
      <c r="B291" s="7" t="s">
        <v>797</v>
      </c>
      <c r="C291" s="44"/>
      <c r="D291" s="111"/>
      <c r="E291" s="80"/>
      <c r="F291" s="46"/>
      <c r="G291" s="45"/>
      <c r="H291" s="41"/>
      <c r="I291" s="66" t="s">
        <v>781</v>
      </c>
      <c r="J291" s="63"/>
      <c r="K291" s="63"/>
      <c r="L291" s="63"/>
      <c r="M291" s="77"/>
      <c r="N291" s="86"/>
      <c r="O291" s="68"/>
      <c r="P291" s="60"/>
      <c r="Q291" s="63"/>
      <c r="R291" s="63"/>
      <c r="S291" s="63"/>
      <c r="T291" s="79"/>
      <c r="U291" s="79"/>
      <c r="V291" s="147" t="str">
        <f t="shared" si="33"/>
        <v/>
      </c>
    </row>
    <row r="292" ht="14.25" customHeight="1">
      <c r="A292" s="7"/>
      <c r="B292" s="7" t="s">
        <v>798</v>
      </c>
      <c r="C292" s="44"/>
      <c r="D292" s="111"/>
      <c r="E292" s="80"/>
      <c r="F292" s="46">
        <v>2.0</v>
      </c>
      <c r="G292" s="45" t="s">
        <v>787</v>
      </c>
      <c r="H292" s="32"/>
      <c r="I292" s="66" t="s">
        <v>780</v>
      </c>
      <c r="J292" s="63"/>
      <c r="K292" s="63"/>
      <c r="L292" s="63"/>
      <c r="M292" s="60"/>
      <c r="N292" s="159"/>
      <c r="O292" s="68"/>
      <c r="P292" s="60"/>
      <c r="Q292" s="63"/>
      <c r="R292" s="63"/>
      <c r="S292" s="63"/>
      <c r="T292" s="60"/>
      <c r="U292" s="112"/>
      <c r="V292" s="147" t="str">
        <f t="shared" si="33"/>
        <v/>
      </c>
    </row>
    <row r="293" ht="14.25" customHeight="1">
      <c r="A293" s="7"/>
      <c r="B293" s="7" t="s">
        <v>798</v>
      </c>
      <c r="C293" s="44"/>
      <c r="D293" s="111"/>
      <c r="E293" s="80"/>
      <c r="F293" s="46"/>
      <c r="G293" s="45"/>
      <c r="H293" s="41"/>
      <c r="I293" s="66" t="s">
        <v>781</v>
      </c>
      <c r="J293" s="63"/>
      <c r="K293" s="63"/>
      <c r="L293" s="63"/>
      <c r="M293" s="60"/>
      <c r="N293" s="159"/>
      <c r="O293" s="68"/>
      <c r="P293" s="60"/>
      <c r="Q293" s="63"/>
      <c r="R293" s="63"/>
      <c r="S293" s="63"/>
      <c r="T293" s="60"/>
      <c r="U293" s="112"/>
      <c r="V293" s="147" t="str">
        <f t="shared" si="33"/>
        <v/>
      </c>
    </row>
    <row r="294" ht="14.25" customHeight="1">
      <c r="A294" s="7"/>
      <c r="B294" s="7" t="s">
        <v>799</v>
      </c>
      <c r="C294" s="44"/>
      <c r="D294" s="111"/>
      <c r="E294" s="80"/>
      <c r="F294" s="46">
        <v>3.0</v>
      </c>
      <c r="G294" s="45" t="s">
        <v>792</v>
      </c>
      <c r="H294" s="32"/>
      <c r="I294" s="66" t="s">
        <v>780</v>
      </c>
      <c r="J294" s="63"/>
      <c r="K294" s="63"/>
      <c r="L294" s="63"/>
      <c r="M294" s="60"/>
      <c r="N294" s="159"/>
      <c r="O294" s="68"/>
      <c r="P294" s="60"/>
      <c r="Q294" s="63"/>
      <c r="R294" s="63"/>
      <c r="S294" s="63"/>
      <c r="T294" s="60"/>
      <c r="U294" s="112"/>
      <c r="V294" s="147" t="str">
        <f t="shared" si="33"/>
        <v/>
      </c>
    </row>
    <row r="295" ht="14.25" customHeight="1">
      <c r="A295" s="7"/>
      <c r="B295" s="7" t="s">
        <v>799</v>
      </c>
      <c r="C295" s="44"/>
      <c r="D295" s="111"/>
      <c r="E295" s="80"/>
      <c r="F295" s="105"/>
      <c r="G295" s="80"/>
      <c r="H295" s="41"/>
      <c r="I295" s="66" t="s">
        <v>781</v>
      </c>
      <c r="J295" s="63"/>
      <c r="K295" s="63"/>
      <c r="L295" s="63"/>
      <c r="M295" s="60"/>
      <c r="N295" s="159"/>
      <c r="O295" s="68"/>
      <c r="P295" s="60"/>
      <c r="Q295" s="63"/>
      <c r="R295" s="63"/>
      <c r="S295" s="63"/>
      <c r="T295" s="60"/>
      <c r="U295" s="112"/>
      <c r="V295" s="147" t="str">
        <f t="shared" si="33"/>
        <v/>
      </c>
    </row>
    <row r="296" ht="14.25" customHeight="1">
      <c r="A296" s="7"/>
      <c r="B296" s="7" t="s">
        <v>800</v>
      </c>
      <c r="C296" s="44"/>
      <c r="D296" s="111">
        <v>4.0</v>
      </c>
      <c r="E296" s="45" t="s">
        <v>801</v>
      </c>
      <c r="F296" s="31"/>
      <c r="G296" s="31"/>
      <c r="H296" s="32"/>
      <c r="I296" s="66" t="s">
        <v>802</v>
      </c>
      <c r="J296" s="63"/>
      <c r="K296" s="63"/>
      <c r="L296" s="63"/>
      <c r="M296" s="60"/>
      <c r="N296" s="159"/>
      <c r="O296" s="68"/>
      <c r="P296" s="60"/>
      <c r="Q296" s="63"/>
      <c r="R296" s="63"/>
      <c r="S296" s="63"/>
      <c r="T296" s="60"/>
      <c r="U296" s="112"/>
      <c r="V296" s="147" t="str">
        <f t="shared" si="33"/>
        <v/>
      </c>
    </row>
    <row r="297" ht="14.25" customHeight="1">
      <c r="A297" s="7"/>
      <c r="B297" s="7" t="s">
        <v>800</v>
      </c>
      <c r="C297" s="44"/>
      <c r="D297" s="111"/>
      <c r="E297" s="80"/>
      <c r="F297" s="40"/>
      <c r="G297" s="40"/>
      <c r="H297" s="41"/>
      <c r="I297" s="66" t="s">
        <v>803</v>
      </c>
      <c r="J297" s="63"/>
      <c r="K297" s="63"/>
      <c r="L297" s="63"/>
      <c r="M297" s="60"/>
      <c r="N297" s="159"/>
      <c r="O297" s="68"/>
      <c r="P297" s="60"/>
      <c r="Q297" s="63"/>
      <c r="R297" s="63"/>
      <c r="S297" s="63"/>
      <c r="T297" s="60"/>
      <c r="U297" s="112"/>
      <c r="V297" s="147" t="str">
        <f t="shared" si="33"/>
        <v/>
      </c>
    </row>
    <row r="298" ht="14.25" customHeight="1">
      <c r="A298" s="7"/>
      <c r="B298" s="7"/>
      <c r="C298" s="44"/>
      <c r="D298" s="111"/>
      <c r="E298" s="80"/>
      <c r="F298" s="105"/>
      <c r="G298" s="80"/>
      <c r="H298" s="81"/>
      <c r="I298" s="66"/>
      <c r="J298" s="145"/>
      <c r="K298" s="145"/>
      <c r="L298" s="145"/>
      <c r="M298" s="145"/>
      <c r="N298" s="145"/>
      <c r="O298" s="74"/>
      <c r="P298" s="145"/>
      <c r="Q298" s="43"/>
      <c r="R298" s="43"/>
      <c r="S298" s="43"/>
      <c r="T298" s="145"/>
      <c r="U298" s="74"/>
      <c r="V298" s="144"/>
    </row>
    <row r="299" ht="14.25" customHeight="1">
      <c r="A299" s="7"/>
      <c r="B299" s="7"/>
      <c r="C299" s="66">
        <v>2.0</v>
      </c>
      <c r="D299" s="45" t="s">
        <v>437</v>
      </c>
      <c r="E299" s="31"/>
      <c r="F299" s="31"/>
      <c r="G299" s="31"/>
      <c r="H299" s="32"/>
      <c r="I299" s="66"/>
      <c r="J299" s="145"/>
      <c r="K299" s="145"/>
      <c r="L299" s="145"/>
      <c r="M299" s="145"/>
      <c r="N299" s="145"/>
      <c r="O299" s="74"/>
      <c r="P299" s="145"/>
      <c r="Q299" s="43"/>
      <c r="R299" s="43"/>
      <c r="S299" s="43"/>
      <c r="T299" s="145"/>
      <c r="U299" s="74"/>
      <c r="V299" s="144"/>
    </row>
    <row r="300" ht="14.25" customHeight="1">
      <c r="A300" s="7"/>
      <c r="B300" s="7"/>
      <c r="C300" s="44"/>
      <c r="D300" s="44">
        <v>1.0</v>
      </c>
      <c r="E300" s="45" t="s">
        <v>611</v>
      </c>
      <c r="F300" s="31"/>
      <c r="G300" s="31"/>
      <c r="H300" s="32"/>
      <c r="I300" s="66"/>
      <c r="J300" s="145"/>
      <c r="K300" s="145"/>
      <c r="L300" s="145"/>
      <c r="M300" s="145"/>
      <c r="O300" s="74"/>
      <c r="P300" s="145"/>
      <c r="Q300" s="43"/>
      <c r="R300" s="43"/>
      <c r="S300" s="43"/>
      <c r="T300" s="145"/>
      <c r="U300" s="74"/>
      <c r="V300" s="144"/>
    </row>
    <row r="301" ht="14.25" customHeight="1">
      <c r="A301" s="7"/>
      <c r="B301" s="7" t="s">
        <v>804</v>
      </c>
      <c r="C301" s="44"/>
      <c r="D301" s="44"/>
      <c r="E301" s="44">
        <v>1.0</v>
      </c>
      <c r="F301" s="45" t="s">
        <v>248</v>
      </c>
      <c r="G301" s="31"/>
      <c r="H301" s="32"/>
      <c r="I301" s="66" t="s">
        <v>780</v>
      </c>
      <c r="J301" s="48">
        <v>133.81</v>
      </c>
      <c r="K301" s="48">
        <v>96.45</v>
      </c>
      <c r="L301" s="48">
        <v>38.54</v>
      </c>
      <c r="M301" s="48">
        <v>39.64</v>
      </c>
      <c r="N301" s="158">
        <v>311.82</v>
      </c>
      <c r="O301" s="48"/>
      <c r="P301" s="48"/>
      <c r="Q301" s="48"/>
      <c r="R301" s="48"/>
      <c r="S301" s="48"/>
      <c r="T301" s="48"/>
      <c r="U301" s="48"/>
      <c r="V301" s="147">
        <f t="shared" ref="V301:V334" si="34">IFERROR(AVERAGE(J301:U301),"")</f>
        <v>124.052</v>
      </c>
    </row>
    <row r="302" ht="14.25" customHeight="1">
      <c r="A302" s="7"/>
      <c r="B302" s="7" t="s">
        <v>804</v>
      </c>
      <c r="C302" s="44"/>
      <c r="D302" s="44"/>
      <c r="E302" s="44"/>
      <c r="F302" s="45"/>
      <c r="G302" s="40"/>
      <c r="H302" s="41"/>
      <c r="I302" s="66" t="s">
        <v>781</v>
      </c>
      <c r="J302" s="48">
        <v>368.64</v>
      </c>
      <c r="K302" s="48">
        <v>836.28</v>
      </c>
      <c r="L302" s="48">
        <v>260.64</v>
      </c>
      <c r="M302" s="48">
        <v>555.6</v>
      </c>
      <c r="N302" s="158">
        <v>1415.95</v>
      </c>
      <c r="O302" s="48"/>
      <c r="P302" s="48"/>
      <c r="Q302" s="48"/>
      <c r="R302" s="48"/>
      <c r="S302" s="48"/>
      <c r="T302" s="48"/>
      <c r="U302" s="48"/>
      <c r="V302" s="147">
        <f t="shared" si="34"/>
        <v>687.422</v>
      </c>
    </row>
    <row r="303" ht="14.25" customHeight="1">
      <c r="A303" s="7"/>
      <c r="B303" s="7" t="s">
        <v>805</v>
      </c>
      <c r="C303" s="44"/>
      <c r="D303" s="44"/>
      <c r="E303" s="44">
        <v>2.0</v>
      </c>
      <c r="F303" s="45" t="s">
        <v>492</v>
      </c>
      <c r="G303" s="31"/>
      <c r="H303" s="32"/>
      <c r="I303" s="66" t="s">
        <v>780</v>
      </c>
      <c r="J303" s="48">
        <v>97.9</v>
      </c>
      <c r="K303" s="48">
        <v>40.56</v>
      </c>
      <c r="L303" s="48">
        <v>46.5</v>
      </c>
      <c r="M303" s="48">
        <v>23.62</v>
      </c>
      <c r="N303" s="158">
        <v>25.29</v>
      </c>
      <c r="O303" s="48"/>
      <c r="P303" s="48"/>
      <c r="Q303" s="48"/>
      <c r="R303" s="48"/>
      <c r="S303" s="63"/>
      <c r="T303" s="48"/>
      <c r="U303" s="63"/>
      <c r="V303" s="147">
        <f t="shared" si="34"/>
        <v>46.774</v>
      </c>
    </row>
    <row r="304" ht="14.25" customHeight="1">
      <c r="A304" s="7"/>
      <c r="B304" s="7" t="s">
        <v>805</v>
      </c>
      <c r="C304" s="44"/>
      <c r="D304" s="44"/>
      <c r="E304" s="44"/>
      <c r="F304" s="45"/>
      <c r="G304" s="40"/>
      <c r="H304" s="41"/>
      <c r="I304" s="66" t="s">
        <v>781</v>
      </c>
      <c r="J304" s="48">
        <v>908.4</v>
      </c>
      <c r="K304" s="48">
        <v>571.32</v>
      </c>
      <c r="L304" s="48">
        <v>714.0</v>
      </c>
      <c r="M304" s="48">
        <v>233.28</v>
      </c>
      <c r="N304" s="158">
        <v>400.32</v>
      </c>
      <c r="O304" s="48"/>
      <c r="P304" s="48"/>
      <c r="Q304" s="48"/>
      <c r="R304" s="48"/>
      <c r="S304" s="63"/>
      <c r="T304" s="48"/>
      <c r="U304" s="63"/>
      <c r="V304" s="147">
        <f t="shared" si="34"/>
        <v>565.464</v>
      </c>
    </row>
    <row r="305" ht="14.25" customHeight="1">
      <c r="A305" s="7"/>
      <c r="B305" s="7" t="s">
        <v>806</v>
      </c>
      <c r="C305" s="44"/>
      <c r="D305" s="44"/>
      <c r="E305" s="44">
        <v>3.0</v>
      </c>
      <c r="F305" s="45" t="s">
        <v>494</v>
      </c>
      <c r="G305" s="31"/>
      <c r="H305" s="32"/>
      <c r="I305" s="66" t="s">
        <v>780</v>
      </c>
      <c r="J305" s="63"/>
      <c r="K305" s="63"/>
      <c r="L305" s="63"/>
      <c r="M305" s="48">
        <v>141.37</v>
      </c>
      <c r="N305" s="158">
        <v>149.17</v>
      </c>
      <c r="O305" s="48"/>
      <c r="P305" s="48"/>
      <c r="Q305" s="63"/>
      <c r="R305" s="63"/>
      <c r="S305" s="63"/>
      <c r="T305" s="63"/>
      <c r="U305" s="63"/>
      <c r="V305" s="147">
        <f t="shared" si="34"/>
        <v>145.27</v>
      </c>
    </row>
    <row r="306" ht="14.25" customHeight="1">
      <c r="A306" s="7"/>
      <c r="B306" s="7" t="s">
        <v>806</v>
      </c>
      <c r="C306" s="44"/>
      <c r="D306" s="44"/>
      <c r="E306" s="44"/>
      <c r="F306" s="45"/>
      <c r="G306" s="40"/>
      <c r="H306" s="41"/>
      <c r="I306" s="66" t="s">
        <v>781</v>
      </c>
      <c r="J306" s="63"/>
      <c r="K306" s="63"/>
      <c r="L306" s="63"/>
      <c r="M306" s="48">
        <v>1726.32</v>
      </c>
      <c r="N306" s="158">
        <v>2511.76</v>
      </c>
      <c r="O306" s="48"/>
      <c r="P306" s="48"/>
      <c r="Q306" s="63"/>
      <c r="R306" s="63"/>
      <c r="S306" s="63"/>
      <c r="T306" s="63"/>
      <c r="U306" s="63"/>
      <c r="V306" s="147">
        <f t="shared" si="34"/>
        <v>2119.04</v>
      </c>
    </row>
    <row r="307" ht="14.25" customHeight="1">
      <c r="A307" s="7"/>
      <c r="B307" s="7" t="s">
        <v>807</v>
      </c>
      <c r="C307" s="44"/>
      <c r="D307" s="44"/>
      <c r="E307" s="44"/>
      <c r="F307" s="46">
        <v>1.0</v>
      </c>
      <c r="G307" s="45" t="s">
        <v>785</v>
      </c>
      <c r="H307" s="32"/>
      <c r="I307" s="66" t="s">
        <v>780</v>
      </c>
      <c r="J307" s="63"/>
      <c r="K307" s="63"/>
      <c r="L307" s="63"/>
      <c r="M307" s="63"/>
      <c r="N307" s="86"/>
      <c r="O307" s="63"/>
      <c r="P307" s="63"/>
      <c r="Q307" s="63"/>
      <c r="R307" s="63"/>
      <c r="S307" s="63"/>
      <c r="T307" s="63"/>
      <c r="U307" s="63"/>
      <c r="V307" s="147" t="str">
        <f t="shared" si="34"/>
        <v/>
      </c>
    </row>
    <row r="308" ht="14.25" customHeight="1">
      <c r="A308" s="7"/>
      <c r="B308" s="7" t="s">
        <v>807</v>
      </c>
      <c r="C308" s="44"/>
      <c r="D308" s="44"/>
      <c r="E308" s="44"/>
      <c r="F308" s="46"/>
      <c r="G308" s="45"/>
      <c r="H308" s="41"/>
      <c r="I308" s="66" t="s">
        <v>781</v>
      </c>
      <c r="J308" s="63"/>
      <c r="K308" s="63"/>
      <c r="L308" s="63"/>
      <c r="M308" s="63"/>
      <c r="N308" s="86"/>
      <c r="O308" s="63"/>
      <c r="P308" s="63"/>
      <c r="Q308" s="63"/>
      <c r="R308" s="63"/>
      <c r="S308" s="63"/>
      <c r="T308" s="63"/>
      <c r="U308" s="63"/>
      <c r="V308" s="147" t="str">
        <f t="shared" si="34"/>
        <v/>
      </c>
    </row>
    <row r="309" ht="14.25" customHeight="1">
      <c r="A309" s="7"/>
      <c r="B309" s="7" t="s">
        <v>808</v>
      </c>
      <c r="C309" s="44"/>
      <c r="D309" s="44"/>
      <c r="E309" s="44"/>
      <c r="F309" s="46">
        <v>2.0</v>
      </c>
      <c r="G309" s="45" t="s">
        <v>787</v>
      </c>
      <c r="H309" s="32"/>
      <c r="I309" s="66" t="s">
        <v>780</v>
      </c>
      <c r="J309" s="63"/>
      <c r="K309" s="63"/>
      <c r="L309" s="63"/>
      <c r="M309" s="63"/>
      <c r="N309" s="86"/>
      <c r="O309" s="63"/>
      <c r="P309" s="63"/>
      <c r="Q309" s="63"/>
      <c r="R309" s="63"/>
      <c r="S309" s="63"/>
      <c r="T309" s="63"/>
      <c r="U309" s="63"/>
      <c r="V309" s="147" t="str">
        <f t="shared" si="34"/>
        <v/>
      </c>
    </row>
    <row r="310" ht="14.25" customHeight="1">
      <c r="A310" s="7"/>
      <c r="B310" s="7" t="s">
        <v>808</v>
      </c>
      <c r="C310" s="44"/>
      <c r="D310" s="44"/>
      <c r="E310" s="44"/>
      <c r="F310" s="46"/>
      <c r="G310" s="80"/>
      <c r="H310" s="41"/>
      <c r="I310" s="66" t="s">
        <v>781</v>
      </c>
      <c r="J310" s="63"/>
      <c r="K310" s="63"/>
      <c r="L310" s="63"/>
      <c r="M310" s="63"/>
      <c r="N310" s="86"/>
      <c r="O310" s="63"/>
      <c r="P310" s="63"/>
      <c r="Q310" s="63"/>
      <c r="R310" s="63"/>
      <c r="S310" s="63"/>
      <c r="T310" s="63"/>
      <c r="U310" s="63"/>
      <c r="V310" s="147" t="str">
        <f t="shared" si="34"/>
        <v/>
      </c>
    </row>
    <row r="311" ht="14.25" customHeight="1">
      <c r="A311" s="7"/>
      <c r="B311" s="7" t="s">
        <v>809</v>
      </c>
      <c r="C311" s="44"/>
      <c r="D311" s="44"/>
      <c r="E311" s="44">
        <v>4.0</v>
      </c>
      <c r="F311" s="45" t="s">
        <v>258</v>
      </c>
      <c r="G311" s="31"/>
      <c r="H311" s="32"/>
      <c r="I311" s="66" t="s">
        <v>780</v>
      </c>
      <c r="J311" s="48">
        <v>368.47</v>
      </c>
      <c r="K311" s="48">
        <v>248.89</v>
      </c>
      <c r="L311" s="48">
        <v>162.39</v>
      </c>
      <c r="M311" s="48">
        <v>214.21</v>
      </c>
      <c r="N311" s="158">
        <v>198.91</v>
      </c>
      <c r="O311" s="48"/>
      <c r="P311" s="48"/>
      <c r="Q311" s="48"/>
      <c r="R311" s="48"/>
      <c r="S311" s="48"/>
      <c r="T311" s="48"/>
      <c r="U311" s="48"/>
      <c r="V311" s="147">
        <f t="shared" si="34"/>
        <v>238.574</v>
      </c>
    </row>
    <row r="312" ht="14.25" customHeight="1">
      <c r="A312" s="7"/>
      <c r="B312" s="7" t="s">
        <v>809</v>
      </c>
      <c r="C312" s="44"/>
      <c r="D312" s="44"/>
      <c r="E312" s="44"/>
      <c r="F312" s="45"/>
      <c r="G312" s="40"/>
      <c r="H312" s="41"/>
      <c r="I312" s="66" t="s">
        <v>781</v>
      </c>
      <c r="J312" s="48">
        <v>3856.89</v>
      </c>
      <c r="K312" s="48">
        <v>3438.44</v>
      </c>
      <c r="L312" s="48">
        <v>2526.12</v>
      </c>
      <c r="M312" s="48">
        <v>2848.29</v>
      </c>
      <c r="N312" s="158">
        <v>2694.48</v>
      </c>
      <c r="O312" s="48"/>
      <c r="P312" s="48"/>
      <c r="Q312" s="48"/>
      <c r="R312" s="48"/>
      <c r="S312" s="48"/>
      <c r="T312" s="48"/>
      <c r="U312" s="48"/>
      <c r="V312" s="147">
        <f t="shared" si="34"/>
        <v>3072.844</v>
      </c>
    </row>
    <row r="313" ht="14.25" customHeight="1">
      <c r="A313" s="7"/>
      <c r="B313" s="7" t="s">
        <v>810</v>
      </c>
      <c r="C313" s="44"/>
      <c r="D313" s="44"/>
      <c r="E313" s="44"/>
      <c r="F313" s="46">
        <v>1.0</v>
      </c>
      <c r="G313" s="45" t="s">
        <v>785</v>
      </c>
      <c r="H313" s="32"/>
      <c r="I313" s="66" t="s">
        <v>780</v>
      </c>
      <c r="J313" s="63"/>
      <c r="K313" s="63"/>
      <c r="L313" s="63"/>
      <c r="M313" s="63"/>
      <c r="N313" s="86"/>
      <c r="O313" s="63"/>
      <c r="P313" s="63"/>
      <c r="Q313" s="63"/>
      <c r="R313" s="63"/>
      <c r="S313" s="63"/>
      <c r="T313" s="63"/>
      <c r="U313" s="79"/>
      <c r="V313" s="147" t="str">
        <f t="shared" si="34"/>
        <v/>
      </c>
    </row>
    <row r="314" ht="14.25" customHeight="1">
      <c r="A314" s="7"/>
      <c r="B314" s="7" t="s">
        <v>810</v>
      </c>
      <c r="C314" s="44"/>
      <c r="D314" s="44"/>
      <c r="E314" s="44"/>
      <c r="F314" s="46"/>
      <c r="G314" s="45"/>
      <c r="H314" s="41"/>
      <c r="I314" s="66" t="s">
        <v>781</v>
      </c>
      <c r="J314" s="63"/>
      <c r="K314" s="63"/>
      <c r="L314" s="63"/>
      <c r="M314" s="63"/>
      <c r="N314" s="86"/>
      <c r="O314" s="63"/>
      <c r="P314" s="63"/>
      <c r="Q314" s="63"/>
      <c r="R314" s="63"/>
      <c r="S314" s="63"/>
      <c r="T314" s="63"/>
      <c r="U314" s="79"/>
      <c r="V314" s="147" t="str">
        <f t="shared" si="34"/>
        <v/>
      </c>
    </row>
    <row r="315" ht="14.25" customHeight="1">
      <c r="A315" s="7"/>
      <c r="B315" s="7" t="s">
        <v>811</v>
      </c>
      <c r="C315" s="44"/>
      <c r="D315" s="44"/>
      <c r="E315" s="44"/>
      <c r="F315" s="46">
        <v>2.0</v>
      </c>
      <c r="G315" s="45" t="s">
        <v>787</v>
      </c>
      <c r="H315" s="32"/>
      <c r="I315" s="66" t="s">
        <v>780</v>
      </c>
      <c r="J315" s="63"/>
      <c r="K315" s="63"/>
      <c r="L315" s="63"/>
      <c r="M315" s="63"/>
      <c r="N315" s="86"/>
      <c r="O315" s="63"/>
      <c r="P315" s="63"/>
      <c r="Q315" s="63"/>
      <c r="R315" s="63"/>
      <c r="S315" s="63"/>
      <c r="T315" s="63"/>
      <c r="U315" s="112"/>
      <c r="V315" s="147" t="str">
        <f t="shared" si="34"/>
        <v/>
      </c>
    </row>
    <row r="316" ht="14.25" customHeight="1">
      <c r="A316" s="7"/>
      <c r="B316" s="7" t="s">
        <v>811</v>
      </c>
      <c r="C316" s="44"/>
      <c r="D316" s="44"/>
      <c r="E316" s="44"/>
      <c r="F316" s="46"/>
      <c r="G316" s="45"/>
      <c r="H316" s="41"/>
      <c r="I316" s="66" t="s">
        <v>781</v>
      </c>
      <c r="J316" s="63"/>
      <c r="K316" s="63"/>
      <c r="L316" s="63"/>
      <c r="M316" s="63"/>
      <c r="N316" s="86"/>
      <c r="O316" s="63"/>
      <c r="P316" s="63"/>
      <c r="Q316" s="63"/>
      <c r="R316" s="63"/>
      <c r="S316" s="63"/>
      <c r="T316" s="63"/>
      <c r="U316" s="112"/>
      <c r="V316" s="147" t="str">
        <f t="shared" si="34"/>
        <v/>
      </c>
    </row>
    <row r="317" ht="14.25" customHeight="1">
      <c r="A317" s="7"/>
      <c r="B317" s="7" t="s">
        <v>812</v>
      </c>
      <c r="C317" s="44"/>
      <c r="D317" s="44"/>
      <c r="E317" s="44"/>
      <c r="F317" s="46">
        <v>3.0</v>
      </c>
      <c r="G317" s="45" t="s">
        <v>792</v>
      </c>
      <c r="H317" s="32"/>
      <c r="I317" s="66" t="s">
        <v>780</v>
      </c>
      <c r="J317" s="63"/>
      <c r="K317" s="63"/>
      <c r="L317" s="63"/>
      <c r="M317" s="63"/>
      <c r="N317" s="86"/>
      <c r="O317" s="63"/>
      <c r="P317" s="63"/>
      <c r="Q317" s="63"/>
      <c r="R317" s="63"/>
      <c r="S317" s="63"/>
      <c r="T317" s="63"/>
      <c r="U317" s="112"/>
      <c r="V317" s="147" t="str">
        <f t="shared" si="34"/>
        <v/>
      </c>
    </row>
    <row r="318" ht="14.25" customHeight="1">
      <c r="A318" s="7"/>
      <c r="B318" s="7" t="s">
        <v>812</v>
      </c>
      <c r="C318" s="44"/>
      <c r="D318" s="44"/>
      <c r="E318" s="53"/>
      <c r="F318" s="105"/>
      <c r="G318" s="80"/>
      <c r="H318" s="41"/>
      <c r="I318" s="66" t="s">
        <v>781</v>
      </c>
      <c r="J318" s="63"/>
      <c r="K318" s="63"/>
      <c r="L318" s="63"/>
      <c r="M318" s="63"/>
      <c r="N318" s="86"/>
      <c r="O318" s="63"/>
      <c r="P318" s="63"/>
      <c r="Q318" s="63"/>
      <c r="R318" s="63"/>
      <c r="S318" s="63"/>
      <c r="T318" s="63"/>
      <c r="U318" s="112"/>
      <c r="V318" s="147" t="str">
        <f t="shared" si="34"/>
        <v/>
      </c>
    </row>
    <row r="319" ht="14.25" customHeight="1">
      <c r="A319" s="7"/>
      <c r="B319" s="7" t="s">
        <v>813</v>
      </c>
      <c r="C319" s="44"/>
      <c r="D319" s="44">
        <v>2.0</v>
      </c>
      <c r="E319" s="45" t="s">
        <v>618</v>
      </c>
      <c r="F319" s="31"/>
      <c r="G319" s="31"/>
      <c r="H319" s="32"/>
      <c r="I319" s="66" t="s">
        <v>780</v>
      </c>
      <c r="J319" s="48">
        <v>172.63</v>
      </c>
      <c r="K319" s="48">
        <v>163.95</v>
      </c>
      <c r="L319" s="48">
        <v>162.71</v>
      </c>
      <c r="M319" s="48">
        <v>163.65</v>
      </c>
      <c r="N319" s="158">
        <v>142.0</v>
      </c>
      <c r="O319" s="48"/>
      <c r="P319" s="48"/>
      <c r="Q319" s="48"/>
      <c r="R319" s="48"/>
      <c r="S319" s="48"/>
      <c r="T319" s="48"/>
      <c r="U319" s="48"/>
      <c r="V319" s="147">
        <f t="shared" si="34"/>
        <v>160.988</v>
      </c>
    </row>
    <row r="320" ht="14.25" customHeight="1">
      <c r="A320" s="7"/>
      <c r="B320" s="7" t="s">
        <v>813</v>
      </c>
      <c r="C320" s="44"/>
      <c r="D320" s="44"/>
      <c r="E320" s="45"/>
      <c r="F320" s="40"/>
      <c r="G320" s="40"/>
      <c r="H320" s="41"/>
      <c r="I320" s="66" t="s">
        <v>781</v>
      </c>
      <c r="J320" s="48">
        <v>2872.14</v>
      </c>
      <c r="K320" s="48">
        <v>2660.5</v>
      </c>
      <c r="L320" s="48">
        <v>2925.84</v>
      </c>
      <c r="M320" s="48">
        <v>2911.78</v>
      </c>
      <c r="N320" s="158">
        <v>2703.28</v>
      </c>
      <c r="O320" s="48"/>
      <c r="P320" s="48"/>
      <c r="Q320" s="48"/>
      <c r="R320" s="48"/>
      <c r="S320" s="48"/>
      <c r="T320" s="48"/>
      <c r="U320" s="48"/>
      <c r="V320" s="147">
        <f t="shared" si="34"/>
        <v>2814.708</v>
      </c>
    </row>
    <row r="321" ht="14.25" customHeight="1">
      <c r="A321" s="7"/>
      <c r="B321" s="7" t="s">
        <v>814</v>
      </c>
      <c r="C321" s="44"/>
      <c r="D321" s="44"/>
      <c r="E321" s="45"/>
      <c r="F321" s="46">
        <v>1.0</v>
      </c>
      <c r="G321" s="45" t="s">
        <v>785</v>
      </c>
      <c r="H321" s="32"/>
      <c r="I321" s="66" t="s">
        <v>780</v>
      </c>
      <c r="J321" s="63"/>
      <c r="K321" s="63"/>
      <c r="L321" s="63"/>
      <c r="M321" s="63"/>
      <c r="N321" s="86"/>
      <c r="O321" s="63"/>
      <c r="P321" s="63"/>
      <c r="Q321" s="63"/>
      <c r="R321" s="63"/>
      <c r="S321" s="63"/>
      <c r="T321" s="63"/>
      <c r="U321" s="63"/>
      <c r="V321" s="147" t="str">
        <f t="shared" si="34"/>
        <v/>
      </c>
    </row>
    <row r="322" ht="14.25" customHeight="1">
      <c r="A322" s="7"/>
      <c r="B322" s="7" t="s">
        <v>814</v>
      </c>
      <c r="C322" s="44"/>
      <c r="D322" s="44"/>
      <c r="E322" s="45"/>
      <c r="F322" s="46"/>
      <c r="G322" s="45"/>
      <c r="H322" s="41"/>
      <c r="I322" s="66" t="s">
        <v>781</v>
      </c>
      <c r="J322" s="63"/>
      <c r="K322" s="63"/>
      <c r="L322" s="63"/>
      <c r="M322" s="63"/>
      <c r="N322" s="86"/>
      <c r="O322" s="63"/>
      <c r="P322" s="63"/>
      <c r="Q322" s="63"/>
      <c r="R322" s="63"/>
      <c r="S322" s="63"/>
      <c r="T322" s="63"/>
      <c r="U322" s="63"/>
      <c r="V322" s="147" t="str">
        <f t="shared" si="34"/>
        <v/>
      </c>
    </row>
    <row r="323" ht="14.25" customHeight="1">
      <c r="A323" s="7"/>
      <c r="B323" s="7" t="s">
        <v>815</v>
      </c>
      <c r="C323" s="44"/>
      <c r="D323" s="44"/>
      <c r="E323" s="45"/>
      <c r="F323" s="46">
        <v>2.0</v>
      </c>
      <c r="G323" s="45" t="s">
        <v>787</v>
      </c>
      <c r="H323" s="32"/>
      <c r="I323" s="66" t="s">
        <v>780</v>
      </c>
      <c r="J323" s="63"/>
      <c r="K323" s="63"/>
      <c r="L323" s="63"/>
      <c r="M323" s="63"/>
      <c r="N323" s="86"/>
      <c r="O323" s="63"/>
      <c r="P323" s="63"/>
      <c r="Q323" s="63"/>
      <c r="R323" s="63"/>
      <c r="S323" s="63"/>
      <c r="T323" s="63"/>
      <c r="U323" s="63"/>
      <c r="V323" s="147" t="str">
        <f t="shared" si="34"/>
        <v/>
      </c>
    </row>
    <row r="324" ht="14.25" customHeight="1">
      <c r="A324" s="7"/>
      <c r="B324" s="7" t="s">
        <v>815</v>
      </c>
      <c r="C324" s="44"/>
      <c r="D324" s="44"/>
      <c r="E324" s="45"/>
      <c r="F324" s="105"/>
      <c r="G324" s="80"/>
      <c r="H324" s="41"/>
      <c r="I324" s="66" t="s">
        <v>781</v>
      </c>
      <c r="J324" s="63"/>
      <c r="K324" s="63"/>
      <c r="L324" s="63"/>
      <c r="M324" s="63"/>
      <c r="N324" s="86"/>
      <c r="O324" s="63"/>
      <c r="P324" s="63"/>
      <c r="Q324" s="63"/>
      <c r="R324" s="63"/>
      <c r="S324" s="63"/>
      <c r="T324" s="63"/>
      <c r="U324" s="63"/>
      <c r="V324" s="147" t="str">
        <f t="shared" si="34"/>
        <v/>
      </c>
    </row>
    <row r="325" ht="14.25" customHeight="1">
      <c r="A325" s="7"/>
      <c r="B325" s="7" t="s">
        <v>816</v>
      </c>
      <c r="C325" s="44"/>
      <c r="D325" s="44">
        <v>3.0</v>
      </c>
      <c r="E325" s="45" t="s">
        <v>625</v>
      </c>
      <c r="F325" s="31"/>
      <c r="G325" s="31"/>
      <c r="H325" s="32"/>
      <c r="I325" s="66" t="s">
        <v>780</v>
      </c>
      <c r="J325" s="48">
        <v>166.9</v>
      </c>
      <c r="K325" s="48">
        <v>221.59</v>
      </c>
      <c r="L325" s="48">
        <v>49.13</v>
      </c>
      <c r="M325" s="48">
        <v>242.48</v>
      </c>
      <c r="N325" s="158">
        <v>139.24</v>
      </c>
      <c r="O325" s="48"/>
      <c r="P325" s="48"/>
      <c r="Q325" s="48"/>
      <c r="R325" s="48"/>
      <c r="S325" s="63"/>
      <c r="T325" s="48"/>
      <c r="U325" s="48"/>
      <c r="V325" s="147">
        <f t="shared" si="34"/>
        <v>163.868</v>
      </c>
    </row>
    <row r="326" ht="14.25" customHeight="1">
      <c r="A326" s="7"/>
      <c r="B326" s="7" t="s">
        <v>816</v>
      </c>
      <c r="C326" s="44"/>
      <c r="D326" s="111"/>
      <c r="E326" s="80"/>
      <c r="F326" s="40"/>
      <c r="G326" s="40"/>
      <c r="H326" s="41"/>
      <c r="I326" s="66" t="s">
        <v>781</v>
      </c>
      <c r="J326" s="48">
        <v>915.72</v>
      </c>
      <c r="K326" s="48">
        <v>2978.56</v>
      </c>
      <c r="L326" s="48">
        <v>566.4</v>
      </c>
      <c r="M326" s="48">
        <v>2867.76</v>
      </c>
      <c r="N326" s="158">
        <v>2096.77</v>
      </c>
      <c r="O326" s="48"/>
      <c r="P326" s="48"/>
      <c r="Q326" s="48"/>
      <c r="R326" s="48"/>
      <c r="S326" s="63"/>
      <c r="T326" s="48"/>
      <c r="U326" s="48"/>
      <c r="V326" s="147">
        <f t="shared" si="34"/>
        <v>1885.042</v>
      </c>
    </row>
    <row r="327" ht="14.25" customHeight="1">
      <c r="A327" s="7"/>
      <c r="B327" s="7" t="s">
        <v>817</v>
      </c>
      <c r="C327" s="44"/>
      <c r="D327" s="111"/>
      <c r="E327" s="80"/>
      <c r="F327" s="46">
        <v>1.0</v>
      </c>
      <c r="G327" s="45" t="s">
        <v>785</v>
      </c>
      <c r="H327" s="32"/>
      <c r="I327" s="66" t="s">
        <v>780</v>
      </c>
      <c r="J327" s="63"/>
      <c r="K327" s="63"/>
      <c r="L327" s="63"/>
      <c r="M327" s="79"/>
      <c r="N327" s="86"/>
      <c r="O327" s="68"/>
      <c r="P327" s="60"/>
      <c r="Q327" s="63"/>
      <c r="R327" s="63"/>
      <c r="S327" s="63"/>
      <c r="T327" s="79"/>
      <c r="U327" s="79"/>
      <c r="V327" s="147" t="str">
        <f t="shared" si="34"/>
        <v/>
      </c>
    </row>
    <row r="328" ht="14.25" customHeight="1">
      <c r="A328" s="7"/>
      <c r="B328" s="7" t="s">
        <v>817</v>
      </c>
      <c r="C328" s="44"/>
      <c r="D328" s="111"/>
      <c r="E328" s="80"/>
      <c r="F328" s="46"/>
      <c r="G328" s="45"/>
      <c r="H328" s="41"/>
      <c r="I328" s="66" t="s">
        <v>781</v>
      </c>
      <c r="J328" s="63"/>
      <c r="K328" s="63"/>
      <c r="L328" s="63"/>
      <c r="M328" s="79"/>
      <c r="N328" s="86"/>
      <c r="O328" s="68"/>
      <c r="P328" s="60"/>
      <c r="Q328" s="63"/>
      <c r="R328" s="63"/>
      <c r="S328" s="63"/>
      <c r="T328" s="79"/>
      <c r="U328" s="79"/>
      <c r="V328" s="147" t="str">
        <f t="shared" si="34"/>
        <v/>
      </c>
    </row>
    <row r="329" ht="14.25" customHeight="1">
      <c r="A329" s="7"/>
      <c r="B329" s="7" t="s">
        <v>818</v>
      </c>
      <c r="C329" s="44"/>
      <c r="D329" s="111"/>
      <c r="E329" s="80"/>
      <c r="F329" s="46">
        <v>2.0</v>
      </c>
      <c r="G329" s="45" t="s">
        <v>787</v>
      </c>
      <c r="H329" s="32"/>
      <c r="I329" s="66" t="s">
        <v>780</v>
      </c>
      <c r="J329" s="63"/>
      <c r="K329" s="63"/>
      <c r="L329" s="63"/>
      <c r="M329" s="60"/>
      <c r="N329" s="86"/>
      <c r="O329" s="68"/>
      <c r="P329" s="60"/>
      <c r="Q329" s="63"/>
      <c r="R329" s="63"/>
      <c r="S329" s="63"/>
      <c r="T329" s="79"/>
      <c r="U329" s="112"/>
      <c r="V329" s="147" t="str">
        <f t="shared" si="34"/>
        <v/>
      </c>
    </row>
    <row r="330" ht="14.25" customHeight="1">
      <c r="A330" s="7"/>
      <c r="B330" s="7" t="s">
        <v>818</v>
      </c>
      <c r="C330" s="44"/>
      <c r="D330" s="111"/>
      <c r="E330" s="80"/>
      <c r="F330" s="46"/>
      <c r="G330" s="45"/>
      <c r="H330" s="41"/>
      <c r="I330" s="66" t="s">
        <v>781</v>
      </c>
      <c r="J330" s="63"/>
      <c r="K330" s="63"/>
      <c r="L330" s="63"/>
      <c r="M330" s="60"/>
      <c r="N330" s="86"/>
      <c r="O330" s="68"/>
      <c r="P330" s="60"/>
      <c r="Q330" s="63"/>
      <c r="R330" s="63"/>
      <c r="S330" s="63"/>
      <c r="T330" s="79"/>
      <c r="U330" s="112"/>
      <c r="V330" s="147" t="str">
        <f t="shared" si="34"/>
        <v/>
      </c>
    </row>
    <row r="331" ht="14.25" customHeight="1">
      <c r="A331" s="7"/>
      <c r="B331" s="7" t="s">
        <v>819</v>
      </c>
      <c r="C331" s="44"/>
      <c r="D331" s="111"/>
      <c r="E331" s="80"/>
      <c r="F331" s="46">
        <v>3.0</v>
      </c>
      <c r="G331" s="45" t="s">
        <v>792</v>
      </c>
      <c r="H331" s="32"/>
      <c r="I331" s="66" t="s">
        <v>780</v>
      </c>
      <c r="J331" s="63"/>
      <c r="K331" s="63"/>
      <c r="L331" s="63"/>
      <c r="M331" s="60"/>
      <c r="N331" s="86"/>
      <c r="O331" s="68"/>
      <c r="P331" s="60"/>
      <c r="Q331" s="63"/>
      <c r="R331" s="63"/>
      <c r="S331" s="63"/>
      <c r="T331" s="60"/>
      <c r="U331" s="112"/>
      <c r="V331" s="147" t="str">
        <f t="shared" si="34"/>
        <v/>
      </c>
    </row>
    <row r="332" ht="14.25" customHeight="1">
      <c r="A332" s="7"/>
      <c r="B332" s="7" t="s">
        <v>819</v>
      </c>
      <c r="C332" s="44"/>
      <c r="D332" s="111"/>
      <c r="E332" s="80"/>
      <c r="F332" s="105"/>
      <c r="G332" s="80"/>
      <c r="H332" s="41"/>
      <c r="I332" s="66" t="s">
        <v>781</v>
      </c>
      <c r="J332" s="63"/>
      <c r="K332" s="63"/>
      <c r="L332" s="63"/>
      <c r="M332" s="60"/>
      <c r="N332" s="86"/>
      <c r="O332" s="68"/>
      <c r="P332" s="60"/>
      <c r="Q332" s="63"/>
      <c r="R332" s="63"/>
      <c r="S332" s="63"/>
      <c r="T332" s="60"/>
      <c r="U332" s="112"/>
      <c r="V332" s="147" t="str">
        <f t="shared" si="34"/>
        <v/>
      </c>
    </row>
    <row r="333" ht="14.25" customHeight="1">
      <c r="A333" s="7"/>
      <c r="B333" s="7" t="s">
        <v>820</v>
      </c>
      <c r="C333" s="44"/>
      <c r="D333" s="111">
        <v>4.0</v>
      </c>
      <c r="E333" s="45" t="s">
        <v>801</v>
      </c>
      <c r="F333" s="31"/>
      <c r="G333" s="31"/>
      <c r="H333" s="32"/>
      <c r="I333" s="66" t="s">
        <v>802</v>
      </c>
      <c r="J333" s="63"/>
      <c r="K333" s="63"/>
      <c r="L333" s="63"/>
      <c r="M333" s="60"/>
      <c r="N333" s="86"/>
      <c r="O333" s="68"/>
      <c r="P333" s="60"/>
      <c r="Q333" s="63"/>
      <c r="R333" s="63"/>
      <c r="S333" s="63"/>
      <c r="T333" s="60"/>
      <c r="U333" s="112"/>
      <c r="V333" s="147" t="str">
        <f t="shared" si="34"/>
        <v/>
      </c>
    </row>
    <row r="334" ht="14.25" customHeight="1">
      <c r="A334" s="7"/>
      <c r="B334" s="7" t="s">
        <v>820</v>
      </c>
      <c r="C334" s="44"/>
      <c r="D334" s="111"/>
      <c r="E334" s="80"/>
      <c r="F334" s="40"/>
      <c r="G334" s="40"/>
      <c r="H334" s="41"/>
      <c r="I334" s="66" t="s">
        <v>803</v>
      </c>
      <c r="J334" s="63"/>
      <c r="K334" s="63"/>
      <c r="L334" s="63"/>
      <c r="M334" s="60"/>
      <c r="N334" s="86"/>
      <c r="O334" s="68"/>
      <c r="P334" s="60"/>
      <c r="Q334" s="63"/>
      <c r="R334" s="63"/>
      <c r="S334" s="63"/>
      <c r="T334" s="60"/>
      <c r="U334" s="112"/>
      <c r="V334" s="147" t="str">
        <f t="shared" si="34"/>
        <v/>
      </c>
    </row>
    <row r="335" ht="14.25" customHeight="1">
      <c r="A335" s="7"/>
      <c r="B335" s="7"/>
      <c r="C335" s="44"/>
      <c r="D335" s="53"/>
      <c r="E335" s="31"/>
      <c r="F335" s="31"/>
      <c r="G335" s="31"/>
      <c r="H335" s="32"/>
      <c r="I335" s="66"/>
      <c r="J335" s="145"/>
      <c r="K335" s="145"/>
      <c r="L335" s="145"/>
      <c r="M335" s="145"/>
      <c r="N335" s="145"/>
      <c r="O335" s="145"/>
      <c r="P335" s="145"/>
      <c r="Q335" s="145"/>
      <c r="R335" s="145"/>
      <c r="S335" s="43"/>
      <c r="T335" s="145"/>
      <c r="U335" s="145"/>
      <c r="V335" s="144"/>
    </row>
    <row r="336" ht="14.25" customHeight="1">
      <c r="A336" s="7"/>
      <c r="B336" s="7"/>
      <c r="C336" s="44">
        <v>3.0</v>
      </c>
      <c r="D336" s="45" t="s">
        <v>821</v>
      </c>
      <c r="E336" s="31"/>
      <c r="F336" s="31"/>
      <c r="G336" s="31"/>
      <c r="H336" s="32"/>
      <c r="I336" s="66"/>
      <c r="J336" s="145"/>
      <c r="K336" s="145"/>
      <c r="L336" s="145"/>
      <c r="M336" s="145"/>
      <c r="N336" s="145"/>
      <c r="O336" s="145"/>
      <c r="P336" s="145"/>
      <c r="Q336" s="145"/>
      <c r="R336" s="145"/>
      <c r="S336" s="43"/>
      <c r="T336" s="145"/>
      <c r="U336" s="145"/>
      <c r="V336" s="144"/>
    </row>
    <row r="337" ht="14.25" customHeight="1">
      <c r="A337" s="7"/>
      <c r="B337" s="7"/>
      <c r="C337" s="44"/>
      <c r="D337" s="44">
        <v>1.0</v>
      </c>
      <c r="E337" s="45" t="s">
        <v>611</v>
      </c>
      <c r="F337" s="31"/>
      <c r="G337" s="31"/>
      <c r="H337" s="32"/>
      <c r="I337" s="66"/>
      <c r="J337" s="145"/>
      <c r="K337" s="145"/>
      <c r="L337" s="145"/>
      <c r="M337" s="145"/>
      <c r="N337" s="145"/>
      <c r="O337" s="145"/>
      <c r="P337" s="145"/>
      <c r="Q337" s="145"/>
      <c r="R337" s="145"/>
      <c r="S337" s="43"/>
      <c r="T337" s="145"/>
      <c r="U337" s="145"/>
      <c r="V337" s="144"/>
    </row>
    <row r="338" ht="14.25" customHeight="1">
      <c r="A338" s="7"/>
      <c r="B338" s="7" t="s">
        <v>822</v>
      </c>
      <c r="C338" s="44"/>
      <c r="D338" s="44"/>
      <c r="E338" s="44">
        <v>1.0</v>
      </c>
      <c r="F338" s="45" t="s">
        <v>248</v>
      </c>
      <c r="G338" s="31"/>
      <c r="H338" s="32"/>
      <c r="I338" s="66" t="s">
        <v>780</v>
      </c>
      <c r="J338" s="48">
        <f t="shared" ref="J338:J341" si="35">AVERAGE(J264,J301)</f>
        <v>262.68</v>
      </c>
      <c r="K338" s="48">
        <v>140.36</v>
      </c>
      <c r="L338" s="48">
        <v>809.95</v>
      </c>
      <c r="M338" s="48">
        <v>81.16</v>
      </c>
      <c r="N338" s="158">
        <v>221.25</v>
      </c>
      <c r="O338" s="48"/>
      <c r="P338" s="48"/>
      <c r="Q338" s="48"/>
      <c r="R338" s="48"/>
      <c r="S338" s="48"/>
      <c r="T338" s="48"/>
      <c r="U338" s="48"/>
      <c r="V338" s="147">
        <f t="shared" ref="V338:V371" si="36">IFERROR(AVERAGE(J338:U338),"")</f>
        <v>303.08</v>
      </c>
    </row>
    <row r="339" ht="14.25" customHeight="1">
      <c r="A339" s="7"/>
      <c r="B339" s="7" t="s">
        <v>822</v>
      </c>
      <c r="C339" s="44"/>
      <c r="D339" s="44"/>
      <c r="E339" s="44"/>
      <c r="F339" s="45"/>
      <c r="G339" s="40"/>
      <c r="H339" s="41"/>
      <c r="I339" s="66" t="s">
        <v>781</v>
      </c>
      <c r="J339" s="48">
        <f t="shared" si="35"/>
        <v>3120.78</v>
      </c>
      <c r="K339" s="48">
        <v>2224.48</v>
      </c>
      <c r="L339" s="48">
        <v>1888.73</v>
      </c>
      <c r="M339" s="48">
        <v>1992.44</v>
      </c>
      <c r="N339" s="158">
        <v>2843.78</v>
      </c>
      <c r="O339" s="48"/>
      <c r="P339" s="48"/>
      <c r="Q339" s="48"/>
      <c r="R339" s="48"/>
      <c r="S339" s="48"/>
      <c r="T339" s="48"/>
      <c r="U339" s="48"/>
      <c r="V339" s="147">
        <f t="shared" si="36"/>
        <v>2414.042</v>
      </c>
    </row>
    <row r="340" ht="14.25" customHeight="1">
      <c r="A340" s="7"/>
      <c r="B340" s="7" t="s">
        <v>823</v>
      </c>
      <c r="C340" s="44"/>
      <c r="D340" s="44"/>
      <c r="E340" s="44">
        <v>2.0</v>
      </c>
      <c r="F340" s="45" t="s">
        <v>492</v>
      </c>
      <c r="G340" s="31"/>
      <c r="H340" s="32"/>
      <c r="I340" s="66" t="s">
        <v>780</v>
      </c>
      <c r="J340" s="48">
        <f t="shared" si="35"/>
        <v>97.9</v>
      </c>
      <c r="K340" s="48">
        <v>40.56</v>
      </c>
      <c r="L340" s="48">
        <v>46.5</v>
      </c>
      <c r="M340" s="48">
        <v>23.62</v>
      </c>
      <c r="N340" s="158">
        <v>25.29</v>
      </c>
      <c r="O340" s="48"/>
      <c r="P340" s="48"/>
      <c r="Q340" s="48"/>
      <c r="R340" s="48"/>
      <c r="S340" s="63"/>
      <c r="T340" s="48"/>
      <c r="U340" s="63"/>
      <c r="V340" s="147">
        <f t="shared" si="36"/>
        <v>46.774</v>
      </c>
    </row>
    <row r="341" ht="14.25" customHeight="1">
      <c r="A341" s="7"/>
      <c r="B341" s="7" t="s">
        <v>823</v>
      </c>
      <c r="C341" s="44"/>
      <c r="D341" s="44"/>
      <c r="E341" s="44"/>
      <c r="F341" s="45"/>
      <c r="G341" s="40"/>
      <c r="H341" s="41"/>
      <c r="I341" s="66" t="s">
        <v>781</v>
      </c>
      <c r="J341" s="48">
        <f t="shared" si="35"/>
        <v>908.4</v>
      </c>
      <c r="K341" s="48">
        <v>571.32</v>
      </c>
      <c r="L341" s="48">
        <v>714.0</v>
      </c>
      <c r="M341" s="48">
        <v>233.28</v>
      </c>
      <c r="N341" s="158">
        <v>400.32</v>
      </c>
      <c r="O341" s="48"/>
      <c r="P341" s="48"/>
      <c r="Q341" s="48"/>
      <c r="R341" s="48"/>
      <c r="S341" s="63"/>
      <c r="T341" s="48"/>
      <c r="U341" s="63"/>
      <c r="V341" s="147">
        <f t="shared" si="36"/>
        <v>565.464</v>
      </c>
    </row>
    <row r="342" ht="14.25" customHeight="1">
      <c r="A342" s="7"/>
      <c r="B342" s="7" t="s">
        <v>824</v>
      </c>
      <c r="C342" s="44"/>
      <c r="D342" s="44"/>
      <c r="E342" s="44">
        <v>3.0</v>
      </c>
      <c r="F342" s="45" t="s">
        <v>494</v>
      </c>
      <c r="G342" s="31"/>
      <c r="H342" s="32"/>
      <c r="I342" s="66" t="s">
        <v>780</v>
      </c>
      <c r="J342" s="63"/>
      <c r="K342" s="63"/>
      <c r="L342" s="63"/>
      <c r="M342" s="48">
        <v>213.92</v>
      </c>
      <c r="N342" s="158">
        <v>220.71</v>
      </c>
      <c r="O342" s="48"/>
      <c r="P342" s="48"/>
      <c r="Q342" s="63"/>
      <c r="R342" s="63"/>
      <c r="S342" s="63"/>
      <c r="T342" s="63"/>
      <c r="U342" s="63"/>
      <c r="V342" s="147">
        <f t="shared" si="36"/>
        <v>217.315</v>
      </c>
    </row>
    <row r="343" ht="14.25" customHeight="1">
      <c r="A343" s="7"/>
      <c r="B343" s="7" t="s">
        <v>824</v>
      </c>
      <c r="C343" s="44"/>
      <c r="D343" s="44"/>
      <c r="E343" s="44"/>
      <c r="F343" s="45"/>
      <c r="G343" s="40"/>
      <c r="H343" s="41"/>
      <c r="I343" s="66" t="s">
        <v>781</v>
      </c>
      <c r="J343" s="63"/>
      <c r="K343" s="63"/>
      <c r="L343" s="63"/>
      <c r="M343" s="48">
        <v>3653.52</v>
      </c>
      <c r="N343" s="158">
        <v>4102.74</v>
      </c>
      <c r="O343" s="48"/>
      <c r="P343" s="48"/>
      <c r="Q343" s="63"/>
      <c r="R343" s="63"/>
      <c r="S343" s="63"/>
      <c r="T343" s="63"/>
      <c r="U343" s="63"/>
      <c r="V343" s="147">
        <f t="shared" si="36"/>
        <v>3878.13</v>
      </c>
    </row>
    <row r="344" ht="14.25" customHeight="1">
      <c r="A344" s="7"/>
      <c r="B344" s="7" t="s">
        <v>825</v>
      </c>
      <c r="C344" s="44"/>
      <c r="D344" s="44"/>
      <c r="E344" s="44"/>
      <c r="F344" s="46">
        <v>1.0</v>
      </c>
      <c r="G344" s="45" t="s">
        <v>785</v>
      </c>
      <c r="H344" s="32"/>
      <c r="I344" s="66" t="s">
        <v>780</v>
      </c>
      <c r="J344" s="63"/>
      <c r="K344" s="63"/>
      <c r="L344" s="63"/>
      <c r="M344" s="63"/>
      <c r="N344" s="86"/>
      <c r="O344" s="63"/>
      <c r="P344" s="63"/>
      <c r="Q344" s="63"/>
      <c r="R344" s="63"/>
      <c r="S344" s="63"/>
      <c r="T344" s="63"/>
      <c r="U344" s="63"/>
      <c r="V344" s="147" t="str">
        <f t="shared" si="36"/>
        <v/>
      </c>
    </row>
    <row r="345" ht="14.25" customHeight="1">
      <c r="A345" s="7"/>
      <c r="B345" s="7" t="s">
        <v>825</v>
      </c>
      <c r="C345" s="44"/>
      <c r="D345" s="44"/>
      <c r="E345" s="44"/>
      <c r="F345" s="46"/>
      <c r="G345" s="45"/>
      <c r="H345" s="41"/>
      <c r="I345" s="66" t="s">
        <v>781</v>
      </c>
      <c r="J345" s="63"/>
      <c r="K345" s="63"/>
      <c r="L345" s="63"/>
      <c r="M345" s="63"/>
      <c r="N345" s="86"/>
      <c r="O345" s="63"/>
      <c r="P345" s="63"/>
      <c r="Q345" s="63"/>
      <c r="R345" s="63"/>
      <c r="S345" s="63"/>
      <c r="T345" s="63"/>
      <c r="U345" s="63"/>
      <c r="V345" s="147" t="str">
        <f t="shared" si="36"/>
        <v/>
      </c>
    </row>
    <row r="346" ht="14.25" customHeight="1">
      <c r="A346" s="7"/>
      <c r="B346" s="7" t="s">
        <v>826</v>
      </c>
      <c r="C346" s="44"/>
      <c r="D346" s="44"/>
      <c r="E346" s="44"/>
      <c r="F346" s="46">
        <v>2.0</v>
      </c>
      <c r="G346" s="45" t="s">
        <v>787</v>
      </c>
      <c r="H346" s="32"/>
      <c r="I346" s="66" t="s">
        <v>780</v>
      </c>
      <c r="J346" s="63"/>
      <c r="K346" s="63"/>
      <c r="L346" s="63"/>
      <c r="M346" s="63"/>
      <c r="N346" s="86"/>
      <c r="O346" s="63"/>
      <c r="P346" s="63"/>
      <c r="Q346" s="63"/>
      <c r="R346" s="63"/>
      <c r="S346" s="63"/>
      <c r="T346" s="63"/>
      <c r="U346" s="63"/>
      <c r="V346" s="147" t="str">
        <f t="shared" si="36"/>
        <v/>
      </c>
    </row>
    <row r="347" ht="14.25" customHeight="1">
      <c r="A347" s="7"/>
      <c r="B347" s="7" t="s">
        <v>826</v>
      </c>
      <c r="C347" s="44"/>
      <c r="D347" s="44"/>
      <c r="E347" s="44"/>
      <c r="F347" s="46"/>
      <c r="G347" s="80"/>
      <c r="H347" s="41"/>
      <c r="I347" s="66" t="s">
        <v>781</v>
      </c>
      <c r="J347" s="63"/>
      <c r="K347" s="63"/>
      <c r="L347" s="63"/>
      <c r="M347" s="63"/>
      <c r="N347" s="86"/>
      <c r="O347" s="63"/>
      <c r="P347" s="63"/>
      <c r="Q347" s="63"/>
      <c r="R347" s="63"/>
      <c r="S347" s="63"/>
      <c r="T347" s="63"/>
      <c r="U347" s="63"/>
      <c r="V347" s="147" t="str">
        <f t="shared" si="36"/>
        <v/>
      </c>
    </row>
    <row r="348" ht="14.25" customHeight="1">
      <c r="A348" s="7"/>
      <c r="B348" s="7" t="s">
        <v>827</v>
      </c>
      <c r="C348" s="44"/>
      <c r="D348" s="44"/>
      <c r="E348" s="44">
        <v>4.0</v>
      </c>
      <c r="F348" s="45" t="s">
        <v>258</v>
      </c>
      <c r="G348" s="31"/>
      <c r="H348" s="32"/>
      <c r="I348" s="66" t="s">
        <v>780</v>
      </c>
      <c r="J348" s="48">
        <f t="shared" ref="J348:J349" si="37">AVERAGE(J274,J311)</f>
        <v>359.67</v>
      </c>
      <c r="K348" s="48">
        <v>248.89</v>
      </c>
      <c r="L348" s="48">
        <v>162.39</v>
      </c>
      <c r="M348" s="48">
        <v>214.21</v>
      </c>
      <c r="N348" s="158">
        <v>198.91</v>
      </c>
      <c r="O348" s="48"/>
      <c r="P348" s="48"/>
      <c r="Q348" s="48"/>
      <c r="R348" s="48"/>
      <c r="S348" s="48"/>
      <c r="T348" s="48"/>
      <c r="U348" s="48"/>
      <c r="V348" s="147">
        <f t="shared" si="36"/>
        <v>236.814</v>
      </c>
    </row>
    <row r="349" ht="14.25" customHeight="1">
      <c r="A349" s="7"/>
      <c r="B349" s="7" t="s">
        <v>827</v>
      </c>
      <c r="C349" s="44"/>
      <c r="D349" s="44"/>
      <c r="E349" s="44"/>
      <c r="F349" s="45"/>
      <c r="G349" s="40"/>
      <c r="H349" s="41"/>
      <c r="I349" s="66" t="s">
        <v>781</v>
      </c>
      <c r="J349" s="48">
        <f t="shared" si="37"/>
        <v>5407.125</v>
      </c>
      <c r="K349" s="48">
        <v>3438.44</v>
      </c>
      <c r="L349" s="48">
        <v>2526.12</v>
      </c>
      <c r="M349" s="48">
        <v>2848.29</v>
      </c>
      <c r="N349" s="158">
        <v>2694.48</v>
      </c>
      <c r="O349" s="48"/>
      <c r="P349" s="48"/>
      <c r="Q349" s="48"/>
      <c r="R349" s="48"/>
      <c r="S349" s="48"/>
      <c r="T349" s="48"/>
      <c r="U349" s="48"/>
      <c r="V349" s="147">
        <f t="shared" si="36"/>
        <v>3382.891</v>
      </c>
    </row>
    <row r="350" ht="14.25" customHeight="1">
      <c r="A350" s="7"/>
      <c r="B350" s="7" t="s">
        <v>828</v>
      </c>
      <c r="C350" s="44"/>
      <c r="D350" s="44"/>
      <c r="E350" s="44"/>
      <c r="F350" s="46">
        <v>1.0</v>
      </c>
      <c r="G350" s="45" t="s">
        <v>785</v>
      </c>
      <c r="H350" s="32"/>
      <c r="I350" s="66" t="s">
        <v>780</v>
      </c>
      <c r="J350" s="63"/>
      <c r="K350" s="63"/>
      <c r="L350" s="63"/>
      <c r="M350" s="63"/>
      <c r="N350" s="86"/>
      <c r="O350" s="63"/>
      <c r="P350" s="63"/>
      <c r="Q350" s="63"/>
      <c r="R350" s="63"/>
      <c r="S350" s="63"/>
      <c r="T350" s="63"/>
      <c r="U350" s="160"/>
      <c r="V350" s="147" t="str">
        <f t="shared" si="36"/>
        <v/>
      </c>
    </row>
    <row r="351" ht="14.25" customHeight="1">
      <c r="A351" s="7"/>
      <c r="B351" s="7" t="s">
        <v>828</v>
      </c>
      <c r="C351" s="44"/>
      <c r="D351" s="44"/>
      <c r="E351" s="44"/>
      <c r="F351" s="46"/>
      <c r="G351" s="45"/>
      <c r="H351" s="41"/>
      <c r="I351" s="66" t="s">
        <v>781</v>
      </c>
      <c r="J351" s="63"/>
      <c r="K351" s="63"/>
      <c r="L351" s="63"/>
      <c r="M351" s="63"/>
      <c r="N351" s="86"/>
      <c r="O351" s="63"/>
      <c r="P351" s="63"/>
      <c r="Q351" s="63"/>
      <c r="R351" s="63"/>
      <c r="S351" s="63"/>
      <c r="T351" s="63"/>
      <c r="U351" s="160"/>
      <c r="V351" s="147" t="str">
        <f t="shared" si="36"/>
        <v/>
      </c>
    </row>
    <row r="352" ht="14.25" customHeight="1">
      <c r="A352" s="7"/>
      <c r="B352" s="7" t="s">
        <v>829</v>
      </c>
      <c r="C352" s="44"/>
      <c r="D352" s="44"/>
      <c r="E352" s="44"/>
      <c r="F352" s="46">
        <v>2.0</v>
      </c>
      <c r="G352" s="45" t="s">
        <v>787</v>
      </c>
      <c r="H352" s="32"/>
      <c r="I352" s="66" t="s">
        <v>780</v>
      </c>
      <c r="J352" s="63"/>
      <c r="K352" s="63"/>
      <c r="L352" s="63"/>
      <c r="M352" s="63"/>
      <c r="N352" s="86"/>
      <c r="O352" s="63"/>
      <c r="P352" s="63"/>
      <c r="Q352" s="63"/>
      <c r="R352" s="63"/>
      <c r="S352" s="63"/>
      <c r="T352" s="63"/>
      <c r="U352" s="112"/>
      <c r="V352" s="147" t="str">
        <f t="shared" si="36"/>
        <v/>
      </c>
    </row>
    <row r="353" ht="14.25" customHeight="1">
      <c r="A353" s="7"/>
      <c r="B353" s="7" t="s">
        <v>829</v>
      </c>
      <c r="C353" s="44"/>
      <c r="D353" s="44"/>
      <c r="E353" s="44"/>
      <c r="F353" s="46"/>
      <c r="G353" s="45"/>
      <c r="H353" s="41"/>
      <c r="I353" s="66" t="s">
        <v>781</v>
      </c>
      <c r="J353" s="63"/>
      <c r="K353" s="63"/>
      <c r="L353" s="63"/>
      <c r="M353" s="63"/>
      <c r="N353" s="86"/>
      <c r="O353" s="63"/>
      <c r="P353" s="63"/>
      <c r="Q353" s="63"/>
      <c r="R353" s="63"/>
      <c r="S353" s="63"/>
      <c r="T353" s="63"/>
      <c r="U353" s="112"/>
      <c r="V353" s="147" t="str">
        <f t="shared" si="36"/>
        <v/>
      </c>
    </row>
    <row r="354" ht="14.25" customHeight="1">
      <c r="A354" s="7"/>
      <c r="B354" s="7" t="s">
        <v>830</v>
      </c>
      <c r="C354" s="44"/>
      <c r="D354" s="44"/>
      <c r="E354" s="44"/>
      <c r="F354" s="46">
        <v>3.0</v>
      </c>
      <c r="G354" s="45" t="s">
        <v>792</v>
      </c>
      <c r="H354" s="32"/>
      <c r="I354" s="66" t="s">
        <v>780</v>
      </c>
      <c r="J354" s="63"/>
      <c r="K354" s="63"/>
      <c r="L354" s="63"/>
      <c r="M354" s="63"/>
      <c r="N354" s="86"/>
      <c r="O354" s="63"/>
      <c r="P354" s="63"/>
      <c r="Q354" s="63"/>
      <c r="R354" s="63"/>
      <c r="S354" s="63"/>
      <c r="T354" s="63"/>
      <c r="U354" s="112"/>
      <c r="V354" s="147" t="str">
        <f t="shared" si="36"/>
        <v/>
      </c>
    </row>
    <row r="355" ht="14.25" customHeight="1">
      <c r="A355" s="7"/>
      <c r="B355" s="7" t="s">
        <v>830</v>
      </c>
      <c r="C355" s="44"/>
      <c r="D355" s="44"/>
      <c r="E355" s="53"/>
      <c r="F355" s="105"/>
      <c r="G355" s="80"/>
      <c r="H355" s="41"/>
      <c r="I355" s="66" t="s">
        <v>781</v>
      </c>
      <c r="J355" s="63"/>
      <c r="K355" s="63"/>
      <c r="L355" s="63"/>
      <c r="M355" s="63"/>
      <c r="N355" s="86"/>
      <c r="O355" s="63"/>
      <c r="P355" s="63"/>
      <c r="Q355" s="63"/>
      <c r="R355" s="63"/>
      <c r="S355" s="63"/>
      <c r="T355" s="63"/>
      <c r="U355" s="112"/>
      <c r="V355" s="147" t="str">
        <f t="shared" si="36"/>
        <v/>
      </c>
    </row>
    <row r="356" ht="14.25" customHeight="1">
      <c r="A356" s="7"/>
      <c r="B356" s="7" t="s">
        <v>831</v>
      </c>
      <c r="C356" s="44"/>
      <c r="D356" s="44">
        <v>2.0</v>
      </c>
      <c r="E356" s="45" t="s">
        <v>618</v>
      </c>
      <c r="F356" s="31"/>
      <c r="G356" s="31"/>
      <c r="H356" s="32"/>
      <c r="I356" s="66" t="s">
        <v>780</v>
      </c>
      <c r="J356" s="48">
        <f t="shared" ref="J356:J357" si="38">AVERAGE(J282,J319)</f>
        <v>173.95</v>
      </c>
      <c r="K356" s="48">
        <v>165.86</v>
      </c>
      <c r="L356" s="48">
        <v>246.33</v>
      </c>
      <c r="M356" s="48">
        <v>224.29</v>
      </c>
      <c r="N356" s="83">
        <v>195265.0</v>
      </c>
      <c r="O356" s="48"/>
      <c r="P356" s="48"/>
      <c r="Q356" s="48"/>
      <c r="R356" s="48"/>
      <c r="S356" s="48"/>
      <c r="T356" s="48"/>
      <c r="U356" s="48"/>
      <c r="V356" s="147">
        <f t="shared" si="36"/>
        <v>39215.086</v>
      </c>
    </row>
    <row r="357" ht="14.25" customHeight="1">
      <c r="A357" s="7"/>
      <c r="B357" s="7" t="s">
        <v>831</v>
      </c>
      <c r="C357" s="44"/>
      <c r="D357" s="44"/>
      <c r="E357" s="45"/>
      <c r="F357" s="40"/>
      <c r="G357" s="40"/>
      <c r="H357" s="41"/>
      <c r="I357" s="66" t="s">
        <v>781</v>
      </c>
      <c r="J357" s="48">
        <f t="shared" si="38"/>
        <v>2931.82</v>
      </c>
      <c r="K357" s="48">
        <v>2505.2</v>
      </c>
      <c r="L357" s="48">
        <v>3331.56</v>
      </c>
      <c r="M357" s="48">
        <v>3034.5</v>
      </c>
      <c r="N357" s="158">
        <v>2583.66</v>
      </c>
      <c r="O357" s="48"/>
      <c r="P357" s="48"/>
      <c r="Q357" s="48"/>
      <c r="R357" s="48"/>
      <c r="S357" s="48"/>
      <c r="T357" s="48"/>
      <c r="U357" s="48"/>
      <c r="V357" s="147">
        <f t="shared" si="36"/>
        <v>2877.348</v>
      </c>
    </row>
    <row r="358" ht="14.25" customHeight="1">
      <c r="A358" s="7"/>
      <c r="B358" s="7" t="s">
        <v>832</v>
      </c>
      <c r="C358" s="44"/>
      <c r="D358" s="44"/>
      <c r="E358" s="45"/>
      <c r="F358" s="46">
        <v>1.0</v>
      </c>
      <c r="G358" s="45" t="s">
        <v>785</v>
      </c>
      <c r="H358" s="32"/>
      <c r="I358" s="66" t="s">
        <v>780</v>
      </c>
      <c r="J358" s="63"/>
      <c r="K358" s="63"/>
      <c r="L358" s="63"/>
      <c r="M358" s="63"/>
      <c r="N358" s="86"/>
      <c r="O358" s="63"/>
      <c r="P358" s="63"/>
      <c r="Q358" s="63"/>
      <c r="R358" s="63"/>
      <c r="S358" s="63"/>
      <c r="T358" s="63"/>
      <c r="U358" s="63"/>
      <c r="V358" s="147" t="str">
        <f t="shared" si="36"/>
        <v/>
      </c>
    </row>
    <row r="359" ht="14.25" customHeight="1">
      <c r="A359" s="7"/>
      <c r="B359" s="7" t="s">
        <v>832</v>
      </c>
      <c r="C359" s="44"/>
      <c r="D359" s="44"/>
      <c r="E359" s="45"/>
      <c r="F359" s="46"/>
      <c r="G359" s="45"/>
      <c r="H359" s="41"/>
      <c r="I359" s="66" t="s">
        <v>781</v>
      </c>
      <c r="J359" s="63"/>
      <c r="K359" s="63"/>
      <c r="L359" s="63"/>
      <c r="M359" s="63"/>
      <c r="N359" s="86"/>
      <c r="O359" s="63"/>
      <c r="P359" s="63"/>
      <c r="Q359" s="63"/>
      <c r="R359" s="63"/>
      <c r="S359" s="63"/>
      <c r="T359" s="63"/>
      <c r="U359" s="63"/>
      <c r="V359" s="147" t="str">
        <f t="shared" si="36"/>
        <v/>
      </c>
    </row>
    <row r="360" ht="14.25" customHeight="1">
      <c r="A360" s="7"/>
      <c r="B360" s="7" t="s">
        <v>833</v>
      </c>
      <c r="C360" s="44"/>
      <c r="D360" s="44"/>
      <c r="E360" s="45"/>
      <c r="F360" s="46">
        <v>2.0</v>
      </c>
      <c r="G360" s="45" t="s">
        <v>787</v>
      </c>
      <c r="H360" s="32"/>
      <c r="I360" s="66" t="s">
        <v>780</v>
      </c>
      <c r="J360" s="63"/>
      <c r="K360" s="63"/>
      <c r="L360" s="63"/>
      <c r="M360" s="63"/>
      <c r="N360" s="86"/>
      <c r="O360" s="63"/>
      <c r="P360" s="63"/>
      <c r="Q360" s="63"/>
      <c r="R360" s="63"/>
      <c r="S360" s="63"/>
      <c r="T360" s="63"/>
      <c r="U360" s="63"/>
      <c r="V360" s="147" t="str">
        <f t="shared" si="36"/>
        <v/>
      </c>
    </row>
    <row r="361" ht="14.25" customHeight="1">
      <c r="A361" s="7"/>
      <c r="B361" s="7" t="s">
        <v>833</v>
      </c>
      <c r="C361" s="44"/>
      <c r="D361" s="44"/>
      <c r="E361" s="45"/>
      <c r="F361" s="105"/>
      <c r="G361" s="80"/>
      <c r="H361" s="41"/>
      <c r="I361" s="66" t="s">
        <v>781</v>
      </c>
      <c r="J361" s="63"/>
      <c r="K361" s="63"/>
      <c r="L361" s="63"/>
      <c r="M361" s="63"/>
      <c r="N361" s="86"/>
      <c r="O361" s="63"/>
      <c r="P361" s="63"/>
      <c r="Q361" s="63"/>
      <c r="R361" s="63"/>
      <c r="S361" s="63"/>
      <c r="T361" s="63"/>
      <c r="U361" s="63"/>
      <c r="V361" s="147" t="str">
        <f t="shared" si="36"/>
        <v/>
      </c>
    </row>
    <row r="362" ht="14.25" customHeight="1">
      <c r="A362" s="7"/>
      <c r="B362" s="7" t="s">
        <v>834</v>
      </c>
      <c r="C362" s="44"/>
      <c r="D362" s="44">
        <v>3.0</v>
      </c>
      <c r="E362" s="45" t="s">
        <v>625</v>
      </c>
      <c r="F362" s="31"/>
      <c r="G362" s="31"/>
      <c r="H362" s="32"/>
      <c r="I362" s="66" t="s">
        <v>780</v>
      </c>
      <c r="J362" s="48">
        <f t="shared" ref="J362:J363" si="39">AVERAGE(J288,J325)</f>
        <v>247.81</v>
      </c>
      <c r="K362" s="48">
        <v>208.9</v>
      </c>
      <c r="L362" s="48">
        <v>175.13</v>
      </c>
      <c r="M362" s="48">
        <v>189.63</v>
      </c>
      <c r="N362" s="158">
        <v>171.97</v>
      </c>
      <c r="O362" s="48"/>
      <c r="P362" s="48"/>
      <c r="Q362" s="48"/>
      <c r="R362" s="48"/>
      <c r="S362" s="48"/>
      <c r="T362" s="48"/>
      <c r="U362" s="48"/>
      <c r="V362" s="147">
        <f t="shared" si="36"/>
        <v>198.688</v>
      </c>
    </row>
    <row r="363" ht="14.25" customHeight="1">
      <c r="A363" s="7"/>
      <c r="B363" s="7" t="s">
        <v>834</v>
      </c>
      <c r="C363" s="44"/>
      <c r="D363" s="111"/>
      <c r="E363" s="80"/>
      <c r="F363" s="40"/>
      <c r="G363" s="40"/>
      <c r="H363" s="41"/>
      <c r="I363" s="66" t="s">
        <v>781</v>
      </c>
      <c r="J363" s="48">
        <f t="shared" si="39"/>
        <v>3984.96</v>
      </c>
      <c r="K363" s="48">
        <v>4809.35</v>
      </c>
      <c r="L363" s="48">
        <v>4410.44</v>
      </c>
      <c r="M363" s="48">
        <v>4876.32</v>
      </c>
      <c r="N363" s="158">
        <v>4196.79</v>
      </c>
      <c r="O363" s="48"/>
      <c r="P363" s="48"/>
      <c r="Q363" s="48"/>
      <c r="R363" s="48"/>
      <c r="S363" s="48"/>
      <c r="T363" s="48"/>
      <c r="U363" s="48"/>
      <c r="V363" s="147">
        <f t="shared" si="36"/>
        <v>4455.572</v>
      </c>
    </row>
    <row r="364" ht="14.25" customHeight="1">
      <c r="A364" s="7"/>
      <c r="B364" s="7" t="s">
        <v>835</v>
      </c>
      <c r="C364" s="44"/>
      <c r="D364" s="111"/>
      <c r="E364" s="80"/>
      <c r="F364" s="46">
        <v>1.0</v>
      </c>
      <c r="G364" s="45" t="s">
        <v>785</v>
      </c>
      <c r="H364" s="32"/>
      <c r="I364" s="66" t="s">
        <v>780</v>
      </c>
      <c r="J364" s="63"/>
      <c r="K364" s="63"/>
      <c r="L364" s="63"/>
      <c r="M364" s="63"/>
      <c r="N364" s="86"/>
      <c r="O364" s="63"/>
      <c r="P364" s="63"/>
      <c r="Q364" s="63"/>
      <c r="R364" s="63"/>
      <c r="S364" s="63"/>
      <c r="T364" s="63"/>
      <c r="U364" s="160"/>
      <c r="V364" s="147" t="str">
        <f t="shared" si="36"/>
        <v/>
      </c>
    </row>
    <row r="365" ht="14.25" customHeight="1">
      <c r="A365" s="7"/>
      <c r="B365" s="7" t="s">
        <v>835</v>
      </c>
      <c r="C365" s="44"/>
      <c r="D365" s="111"/>
      <c r="E365" s="80"/>
      <c r="F365" s="46"/>
      <c r="G365" s="45"/>
      <c r="H365" s="41"/>
      <c r="I365" s="66" t="s">
        <v>781</v>
      </c>
      <c r="J365" s="63"/>
      <c r="K365" s="63"/>
      <c r="L365" s="63"/>
      <c r="M365" s="63"/>
      <c r="N365" s="86"/>
      <c r="O365" s="63"/>
      <c r="P365" s="63"/>
      <c r="Q365" s="63"/>
      <c r="R365" s="63"/>
      <c r="S365" s="63"/>
      <c r="T365" s="63"/>
      <c r="U365" s="160"/>
      <c r="V365" s="147" t="str">
        <f t="shared" si="36"/>
        <v/>
      </c>
    </row>
    <row r="366" ht="14.25" customHeight="1">
      <c r="A366" s="7"/>
      <c r="B366" s="7" t="s">
        <v>836</v>
      </c>
      <c r="C366" s="44"/>
      <c r="D366" s="111"/>
      <c r="E366" s="80"/>
      <c r="F366" s="46">
        <v>2.0</v>
      </c>
      <c r="G366" s="45" t="s">
        <v>787</v>
      </c>
      <c r="H366" s="32"/>
      <c r="I366" s="66" t="s">
        <v>780</v>
      </c>
      <c r="J366" s="63"/>
      <c r="K366" s="63"/>
      <c r="L366" s="63"/>
      <c r="M366" s="63"/>
      <c r="N366" s="86"/>
      <c r="O366" s="63"/>
      <c r="P366" s="63"/>
      <c r="Q366" s="63"/>
      <c r="R366" s="63"/>
      <c r="S366" s="63"/>
      <c r="T366" s="63"/>
      <c r="U366" s="112"/>
      <c r="V366" s="161" t="str">
        <f t="shared" si="36"/>
        <v/>
      </c>
    </row>
    <row r="367" ht="14.25" customHeight="1">
      <c r="A367" s="7"/>
      <c r="B367" s="7" t="s">
        <v>836</v>
      </c>
      <c r="C367" s="44"/>
      <c r="D367" s="111"/>
      <c r="E367" s="80"/>
      <c r="F367" s="46"/>
      <c r="G367" s="45"/>
      <c r="H367" s="41"/>
      <c r="I367" s="66" t="s">
        <v>781</v>
      </c>
      <c r="J367" s="63"/>
      <c r="K367" s="63"/>
      <c r="L367" s="63"/>
      <c r="M367" s="63"/>
      <c r="N367" s="86"/>
      <c r="O367" s="63"/>
      <c r="P367" s="63"/>
      <c r="Q367" s="63"/>
      <c r="R367" s="63"/>
      <c r="S367" s="63"/>
      <c r="T367" s="63"/>
      <c r="U367" s="112"/>
      <c r="V367" s="161" t="str">
        <f t="shared" si="36"/>
        <v/>
      </c>
    </row>
    <row r="368" ht="14.25" customHeight="1">
      <c r="A368" s="7"/>
      <c r="B368" s="7" t="s">
        <v>837</v>
      </c>
      <c r="C368" s="44"/>
      <c r="D368" s="111"/>
      <c r="E368" s="80"/>
      <c r="F368" s="46">
        <v>3.0</v>
      </c>
      <c r="G368" s="45" t="s">
        <v>792</v>
      </c>
      <c r="H368" s="32"/>
      <c r="I368" s="66" t="s">
        <v>780</v>
      </c>
      <c r="J368" s="63"/>
      <c r="K368" s="63"/>
      <c r="L368" s="63"/>
      <c r="M368" s="63"/>
      <c r="N368" s="86"/>
      <c r="O368" s="63"/>
      <c r="P368" s="63"/>
      <c r="Q368" s="63"/>
      <c r="R368" s="63"/>
      <c r="S368" s="63"/>
      <c r="T368" s="63"/>
      <c r="U368" s="112"/>
      <c r="V368" s="147" t="str">
        <f t="shared" si="36"/>
        <v/>
      </c>
    </row>
    <row r="369" ht="14.25" customHeight="1">
      <c r="A369" s="7"/>
      <c r="B369" s="7" t="s">
        <v>837</v>
      </c>
      <c r="C369" s="44"/>
      <c r="D369" s="111"/>
      <c r="E369" s="80"/>
      <c r="F369" s="105"/>
      <c r="G369" s="80"/>
      <c r="H369" s="41"/>
      <c r="I369" s="66" t="s">
        <v>781</v>
      </c>
      <c r="J369" s="63"/>
      <c r="K369" s="63"/>
      <c r="L369" s="63"/>
      <c r="M369" s="63"/>
      <c r="N369" s="86"/>
      <c r="O369" s="63"/>
      <c r="P369" s="63"/>
      <c r="Q369" s="63"/>
      <c r="R369" s="63"/>
      <c r="S369" s="63"/>
      <c r="T369" s="63"/>
      <c r="U369" s="112"/>
      <c r="V369" s="147" t="str">
        <f t="shared" si="36"/>
        <v/>
      </c>
    </row>
    <row r="370" ht="14.25" customHeight="1">
      <c r="A370" s="7"/>
      <c r="B370" s="7" t="s">
        <v>838</v>
      </c>
      <c r="C370" s="44"/>
      <c r="D370" s="111">
        <v>4.0</v>
      </c>
      <c r="E370" s="45" t="s">
        <v>801</v>
      </c>
      <c r="F370" s="31"/>
      <c r="G370" s="31"/>
      <c r="H370" s="32"/>
      <c r="I370" s="66" t="s">
        <v>802</v>
      </c>
      <c r="J370" s="63"/>
      <c r="K370" s="63"/>
      <c r="L370" s="63"/>
      <c r="M370" s="63"/>
      <c r="N370" s="86"/>
      <c r="O370" s="63"/>
      <c r="P370" s="63"/>
      <c r="Q370" s="63"/>
      <c r="R370" s="63"/>
      <c r="S370" s="63"/>
      <c r="T370" s="63"/>
      <c r="U370" s="112"/>
      <c r="V370" s="147" t="str">
        <f t="shared" si="36"/>
        <v/>
      </c>
    </row>
    <row r="371" ht="14.25" customHeight="1">
      <c r="A371" s="7"/>
      <c r="B371" s="7" t="s">
        <v>838</v>
      </c>
      <c r="C371" s="44"/>
      <c r="D371" s="111"/>
      <c r="E371" s="80"/>
      <c r="F371" s="40"/>
      <c r="G371" s="40"/>
      <c r="H371" s="41"/>
      <c r="I371" s="66" t="s">
        <v>803</v>
      </c>
      <c r="J371" s="63"/>
      <c r="K371" s="63"/>
      <c r="L371" s="63"/>
      <c r="M371" s="63"/>
      <c r="N371" s="86"/>
      <c r="O371" s="63"/>
      <c r="P371" s="63"/>
      <c r="Q371" s="63"/>
      <c r="R371" s="63"/>
      <c r="S371" s="63"/>
      <c r="T371" s="63"/>
      <c r="U371" s="112"/>
      <c r="V371" s="147" t="str">
        <f t="shared" si="36"/>
        <v/>
      </c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6">
    <mergeCell ref="C2:G2"/>
    <mergeCell ref="C4:G4"/>
    <mergeCell ref="C6:G6"/>
    <mergeCell ref="C12:C14"/>
    <mergeCell ref="D12:H14"/>
    <mergeCell ref="I12:I14"/>
    <mergeCell ref="J12:V13"/>
    <mergeCell ref="D15:H15"/>
    <mergeCell ref="J15:U15"/>
    <mergeCell ref="D16:H16"/>
    <mergeCell ref="D17:H17"/>
    <mergeCell ref="E18:H18"/>
    <mergeCell ref="E19:H19"/>
    <mergeCell ref="E20:H20"/>
    <mergeCell ref="E21:H21"/>
    <mergeCell ref="E22:H22"/>
    <mergeCell ref="D23:H23"/>
    <mergeCell ref="D24:H24"/>
    <mergeCell ref="E25:H25"/>
    <mergeCell ref="E26:H26"/>
    <mergeCell ref="E27:H27"/>
    <mergeCell ref="E28:H28"/>
    <mergeCell ref="E29:H29"/>
    <mergeCell ref="D30:H30"/>
    <mergeCell ref="D31:H31"/>
    <mergeCell ref="E32:H32"/>
    <mergeCell ref="E33:H33"/>
    <mergeCell ref="E34:H34"/>
    <mergeCell ref="E35:H35"/>
    <mergeCell ref="E36:H36"/>
    <mergeCell ref="D37:H37"/>
    <mergeCell ref="D38:H38"/>
    <mergeCell ref="E39:H39"/>
    <mergeCell ref="E40:H40"/>
    <mergeCell ref="E41:H41"/>
    <mergeCell ref="E42:H42"/>
    <mergeCell ref="E43:H43"/>
    <mergeCell ref="F44:H44"/>
    <mergeCell ref="C47:C49"/>
    <mergeCell ref="D47:H49"/>
    <mergeCell ref="I47:I49"/>
    <mergeCell ref="J47:V48"/>
    <mergeCell ref="D50:H50"/>
    <mergeCell ref="J50:U50"/>
    <mergeCell ref="D52:H52"/>
    <mergeCell ref="E53:H53"/>
    <mergeCell ref="F54:H54"/>
    <mergeCell ref="F55:H55"/>
    <mergeCell ref="F56:H56"/>
    <mergeCell ref="F105:H105"/>
    <mergeCell ref="F106:H106"/>
    <mergeCell ref="F107:H107"/>
    <mergeCell ref="F108:H108"/>
    <mergeCell ref="E110:H110"/>
    <mergeCell ref="F111:H111"/>
    <mergeCell ref="F112:H112"/>
    <mergeCell ref="F113:H113"/>
    <mergeCell ref="F114:H114"/>
    <mergeCell ref="F115:H115"/>
    <mergeCell ref="F116:H116"/>
    <mergeCell ref="E118:H118"/>
    <mergeCell ref="F119:H119"/>
    <mergeCell ref="F120:H120"/>
    <mergeCell ref="F57:H57"/>
    <mergeCell ref="F58:H58"/>
    <mergeCell ref="F59:H59"/>
    <mergeCell ref="E61:H61"/>
    <mergeCell ref="F62:H62"/>
    <mergeCell ref="F63:H63"/>
    <mergeCell ref="F64:H64"/>
    <mergeCell ref="F65:H65"/>
    <mergeCell ref="F66:H66"/>
    <mergeCell ref="F67:H67"/>
    <mergeCell ref="E69:H69"/>
    <mergeCell ref="F70:H70"/>
    <mergeCell ref="F71:H71"/>
    <mergeCell ref="F72:H72"/>
    <mergeCell ref="F73:H73"/>
    <mergeCell ref="F74:H74"/>
    <mergeCell ref="F75:H75"/>
    <mergeCell ref="E77:H77"/>
    <mergeCell ref="F78:H78"/>
    <mergeCell ref="F79:H79"/>
    <mergeCell ref="F80:H80"/>
    <mergeCell ref="F81:H81"/>
    <mergeCell ref="F82:H82"/>
    <mergeCell ref="F83:H83"/>
    <mergeCell ref="E85:H85"/>
    <mergeCell ref="F86:H86"/>
    <mergeCell ref="F87:H87"/>
    <mergeCell ref="F88:H88"/>
    <mergeCell ref="F89:H89"/>
    <mergeCell ref="F90:H90"/>
    <mergeCell ref="F91:H91"/>
    <mergeCell ref="D93:H93"/>
    <mergeCell ref="E94:H94"/>
    <mergeCell ref="F95:H95"/>
    <mergeCell ref="F96:H96"/>
    <mergeCell ref="F97:H97"/>
    <mergeCell ref="F98:H98"/>
    <mergeCell ref="F99:H99"/>
    <mergeCell ref="F100:H100"/>
    <mergeCell ref="E102:H102"/>
    <mergeCell ref="F103:H103"/>
    <mergeCell ref="F104:H104"/>
    <mergeCell ref="F121:H121"/>
    <mergeCell ref="F122:H122"/>
    <mergeCell ref="F123:H123"/>
    <mergeCell ref="F124:H124"/>
    <mergeCell ref="E126:H126"/>
    <mergeCell ref="F127:H127"/>
    <mergeCell ref="F128:H128"/>
    <mergeCell ref="F129:H129"/>
    <mergeCell ref="F130:H130"/>
    <mergeCell ref="F131:H131"/>
    <mergeCell ref="F132:H132"/>
    <mergeCell ref="D134:H134"/>
    <mergeCell ref="E135:H135"/>
    <mergeCell ref="F136:H136"/>
    <mergeCell ref="F137:H137"/>
    <mergeCell ref="F138:H138"/>
    <mergeCell ref="F139:H139"/>
    <mergeCell ref="F140:H140"/>
    <mergeCell ref="F141:H141"/>
    <mergeCell ref="E143:H143"/>
    <mergeCell ref="F144:H144"/>
    <mergeCell ref="F145:H145"/>
    <mergeCell ref="F146:H146"/>
    <mergeCell ref="F147:H147"/>
    <mergeCell ref="F148:H148"/>
    <mergeCell ref="F149:H149"/>
    <mergeCell ref="E151:H151"/>
    <mergeCell ref="F152:H152"/>
    <mergeCell ref="F153:H153"/>
    <mergeCell ref="F154:H154"/>
    <mergeCell ref="F155:H155"/>
    <mergeCell ref="F156:H156"/>
    <mergeCell ref="F157:H157"/>
    <mergeCell ref="E159:H159"/>
    <mergeCell ref="F160:H160"/>
    <mergeCell ref="F161:H161"/>
    <mergeCell ref="F162:H162"/>
    <mergeCell ref="F163:H163"/>
    <mergeCell ref="F164:H164"/>
    <mergeCell ref="F165:H165"/>
    <mergeCell ref="E167:H167"/>
    <mergeCell ref="F168:H168"/>
    <mergeCell ref="I177:I179"/>
    <mergeCell ref="J177:V178"/>
    <mergeCell ref="J180:U180"/>
    <mergeCell ref="F169:H169"/>
    <mergeCell ref="F170:H170"/>
    <mergeCell ref="F171:H171"/>
    <mergeCell ref="F172:H172"/>
    <mergeCell ref="F173:H173"/>
    <mergeCell ref="C177:C179"/>
    <mergeCell ref="D177:H179"/>
    <mergeCell ref="D180:H180"/>
    <mergeCell ref="D181:H181"/>
    <mergeCell ref="D182:H182"/>
    <mergeCell ref="E183:H183"/>
    <mergeCell ref="F184:H184"/>
    <mergeCell ref="G185:H185"/>
    <mergeCell ref="G186:H186"/>
    <mergeCell ref="G187:H187"/>
    <mergeCell ref="F188:H188"/>
    <mergeCell ref="G189:H189"/>
    <mergeCell ref="G190:H190"/>
    <mergeCell ref="G191:H191"/>
    <mergeCell ref="D192:H192"/>
    <mergeCell ref="E193:H193"/>
    <mergeCell ref="F194:H194"/>
    <mergeCell ref="G195:H195"/>
    <mergeCell ref="G196:H196"/>
    <mergeCell ref="G197:H197"/>
    <mergeCell ref="F198:H198"/>
    <mergeCell ref="G199:H199"/>
    <mergeCell ref="G200:H200"/>
    <mergeCell ref="G201:H201"/>
    <mergeCell ref="D202:H202"/>
    <mergeCell ref="E203:H203"/>
    <mergeCell ref="F204:H204"/>
    <mergeCell ref="G205:H205"/>
    <mergeCell ref="G206:H206"/>
    <mergeCell ref="G207:H207"/>
    <mergeCell ref="F208:H208"/>
    <mergeCell ref="G209:H209"/>
    <mergeCell ref="G210:H210"/>
    <mergeCell ref="G211:H211"/>
    <mergeCell ref="D212:H212"/>
    <mergeCell ref="D213:H213"/>
    <mergeCell ref="E214:H214"/>
    <mergeCell ref="F215:H215"/>
    <mergeCell ref="G216:H216"/>
    <mergeCell ref="G219:H219"/>
    <mergeCell ref="F222:H222"/>
    <mergeCell ref="G223:H223"/>
    <mergeCell ref="G226:H226"/>
    <mergeCell ref="E230:H230"/>
    <mergeCell ref="E231:H231"/>
    <mergeCell ref="E233:H233"/>
    <mergeCell ref="F234:H234"/>
    <mergeCell ref="G235:H235"/>
    <mergeCell ref="G238:H238"/>
    <mergeCell ref="F241:H241"/>
    <mergeCell ref="G242:H242"/>
    <mergeCell ref="G327:H327"/>
    <mergeCell ref="G329:H329"/>
    <mergeCell ref="G331:H331"/>
    <mergeCell ref="E333:H333"/>
    <mergeCell ref="D335:H335"/>
    <mergeCell ref="D336:H336"/>
    <mergeCell ref="E337:H337"/>
    <mergeCell ref="F338:H338"/>
    <mergeCell ref="F340:H340"/>
    <mergeCell ref="F342:H342"/>
    <mergeCell ref="G344:H344"/>
    <mergeCell ref="G346:H346"/>
    <mergeCell ref="F348:H348"/>
    <mergeCell ref="G350:H350"/>
    <mergeCell ref="G366:H366"/>
    <mergeCell ref="G368:H368"/>
    <mergeCell ref="E370:H370"/>
    <mergeCell ref="G352:H352"/>
    <mergeCell ref="G354:H354"/>
    <mergeCell ref="E356:H356"/>
    <mergeCell ref="G358:H358"/>
    <mergeCell ref="G360:H360"/>
    <mergeCell ref="E362:H362"/>
    <mergeCell ref="G364:H364"/>
    <mergeCell ref="D257:H259"/>
    <mergeCell ref="I257:I259"/>
    <mergeCell ref="J257:V258"/>
    <mergeCell ref="J260:U260"/>
    <mergeCell ref="G245:H245"/>
    <mergeCell ref="E249:H249"/>
    <mergeCell ref="E250:H250"/>
    <mergeCell ref="D252:H252"/>
    <mergeCell ref="D253:H253"/>
    <mergeCell ref="G254:H254"/>
    <mergeCell ref="C257:C259"/>
    <mergeCell ref="D260:H260"/>
    <mergeCell ref="D262:H262"/>
    <mergeCell ref="E263:H263"/>
    <mergeCell ref="F264:H264"/>
    <mergeCell ref="F266:H266"/>
    <mergeCell ref="F268:H268"/>
    <mergeCell ref="G270:H270"/>
    <mergeCell ref="G272:H272"/>
    <mergeCell ref="F274:H274"/>
    <mergeCell ref="G276:H276"/>
    <mergeCell ref="G278:H278"/>
    <mergeCell ref="G280:H280"/>
    <mergeCell ref="E282:H282"/>
    <mergeCell ref="G284:H284"/>
    <mergeCell ref="G286:H286"/>
    <mergeCell ref="E288:H288"/>
    <mergeCell ref="G290:H290"/>
    <mergeCell ref="G292:H292"/>
    <mergeCell ref="G294:H294"/>
    <mergeCell ref="E296:H296"/>
    <mergeCell ref="D299:H299"/>
    <mergeCell ref="E300:H300"/>
    <mergeCell ref="F301:H301"/>
    <mergeCell ref="F303:H303"/>
    <mergeCell ref="F305:H305"/>
    <mergeCell ref="G307:H307"/>
    <mergeCell ref="G309:H309"/>
    <mergeCell ref="F311:H311"/>
    <mergeCell ref="G313:H313"/>
    <mergeCell ref="G315:H315"/>
    <mergeCell ref="G317:H317"/>
    <mergeCell ref="E319:H319"/>
    <mergeCell ref="G321:H321"/>
    <mergeCell ref="G323:H323"/>
    <mergeCell ref="E325:H325"/>
  </mergeCells>
  <printOptions/>
  <pageMargins bottom="0.75" footer="0.0" header="0.0" left="0.7" right="0.7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9.0" ySplit="15.0" topLeftCell="J16" activePane="bottomRight" state="frozen"/>
      <selection activeCell="J1" sqref="J1" pane="topRight"/>
      <selection activeCell="A16" sqref="A16" pane="bottomLeft"/>
      <selection activeCell="J16" sqref="J16" pane="bottomRight"/>
    </sheetView>
  </sheetViews>
  <sheetFormatPr customHeight="1" defaultColWidth="14.43" defaultRowHeight="15.0"/>
  <cols>
    <col customWidth="1" min="1" max="1" width="2.71"/>
    <col hidden="1" min="2" max="2" width="14.43"/>
    <col customWidth="1" min="3" max="3" width="7.14"/>
    <col customWidth="1" min="4" max="7" width="6.0"/>
    <col customWidth="1" min="8" max="8" width="14.29"/>
    <col customWidth="1" min="9" max="9" width="8.14"/>
    <col customWidth="1" min="10" max="22" width="14.71"/>
    <col customWidth="1" min="23" max="26" width="9.14"/>
  </cols>
  <sheetData>
    <row r="1" ht="14.25" hidden="1" customHeight="1">
      <c r="A1" s="7"/>
      <c r="B1" s="7"/>
      <c r="C1" s="7"/>
      <c r="D1" s="7"/>
      <c r="E1" s="7"/>
      <c r="F1" s="7"/>
      <c r="G1" s="7"/>
      <c r="H1" s="7"/>
      <c r="I1" s="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7"/>
      <c r="X1" s="7"/>
      <c r="Y1" s="7"/>
      <c r="Z1" s="7"/>
    </row>
    <row r="2" ht="14.25" hidden="1" customHeight="1">
      <c r="A2" s="7"/>
      <c r="B2" s="7"/>
      <c r="C2" s="12" t="s">
        <v>223</v>
      </c>
      <c r="D2" s="10"/>
      <c r="E2" s="10"/>
      <c r="F2" s="10"/>
      <c r="G2" s="10"/>
      <c r="H2" s="13">
        <f>ARUS!H2</f>
        <v>2026</v>
      </c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7"/>
      <c r="X2" s="7"/>
      <c r="Y2" s="7"/>
      <c r="Z2" s="7"/>
    </row>
    <row r="3" ht="14.25" hidden="1" customHeight="1">
      <c r="A3" s="7"/>
      <c r="B3" s="7"/>
      <c r="C3" s="7"/>
      <c r="D3" s="7"/>
      <c r="E3" s="7"/>
      <c r="F3" s="7"/>
      <c r="G3" s="7"/>
      <c r="H3" s="7"/>
      <c r="I3" s="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7"/>
      <c r="X3" s="7"/>
      <c r="Y3" s="7"/>
      <c r="Z3" s="7"/>
    </row>
    <row r="4" ht="14.25" hidden="1" customHeight="1">
      <c r="A4" s="7"/>
      <c r="B4" s="7" t="str">
        <f>ARUS!B4</f>
        <v>002</v>
      </c>
      <c r="C4" s="12" t="s">
        <v>224</v>
      </c>
      <c r="D4" s="10"/>
      <c r="E4" s="10"/>
      <c r="F4" s="10"/>
      <c r="G4" s="10"/>
      <c r="H4" s="7" t="str">
        <f>ARUS!H4</f>
        <v>Regional.2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7"/>
      <c r="X4" s="7"/>
      <c r="Y4" s="7"/>
      <c r="Z4" s="7"/>
    </row>
    <row r="5" ht="14.25" hidden="1" customHeight="1">
      <c r="A5" s="7"/>
      <c r="B5" s="7" t="str">
        <f>ARUS!B5</f>
        <v>RegP2</v>
      </c>
      <c r="C5" s="7"/>
      <c r="D5" s="7"/>
      <c r="E5" s="7"/>
      <c r="F5" s="7"/>
      <c r="G5" s="7"/>
      <c r="H5" s="7"/>
      <c r="I5" s="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7"/>
      <c r="X5" s="7"/>
      <c r="Y5" s="7"/>
      <c r="Z5" s="7"/>
    </row>
    <row r="6" ht="14.25" hidden="1" customHeight="1">
      <c r="A6" s="7"/>
      <c r="B6" s="7">
        <f>ARUS!B6</f>
        <v>38</v>
      </c>
      <c r="C6" s="12" t="s">
        <v>225</v>
      </c>
      <c r="D6" s="10"/>
      <c r="E6" s="10"/>
      <c r="F6" s="10"/>
      <c r="G6" s="10"/>
      <c r="H6" s="7" t="str">
        <f>ARUS!H6</f>
        <v>Banten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  <c r="X7" s="7"/>
      <c r="Y7" s="7"/>
      <c r="Z7" s="7"/>
    </row>
    <row r="8" ht="14.25" customHeight="1">
      <c r="A8" s="14">
        <v>1.0</v>
      </c>
      <c r="B8" s="15"/>
      <c r="C8" s="14" t="s">
        <v>839</v>
      </c>
      <c r="D8" s="7"/>
      <c r="E8" s="7"/>
      <c r="F8" s="7"/>
      <c r="G8" s="7"/>
      <c r="H8" s="7"/>
      <c r="I8" s="14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7"/>
      <c r="X8" s="7"/>
      <c r="Y8" s="7"/>
      <c r="Z8" s="7"/>
    </row>
    <row r="9" ht="14.25" hidden="1" customHeight="1">
      <c r="A9" s="15"/>
      <c r="B9" s="15"/>
      <c r="C9" s="14"/>
      <c r="D9" s="7"/>
      <c r="E9" s="7"/>
      <c r="F9" s="7"/>
      <c r="G9" s="7"/>
      <c r="H9" s="7"/>
      <c r="I9" s="14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7"/>
      <c r="X9" s="7"/>
      <c r="Y9" s="7"/>
      <c r="Z9" s="7"/>
    </row>
    <row r="10" ht="14.25" hidden="1" customHeight="1">
      <c r="A10" s="15"/>
      <c r="B10" s="15" t="s">
        <v>227</v>
      </c>
      <c r="C10" s="14"/>
      <c r="I10" s="143"/>
      <c r="J10" s="11">
        <v>1.0</v>
      </c>
      <c r="K10" s="11">
        <v>2.0</v>
      </c>
      <c r="L10" s="11">
        <v>3.0</v>
      </c>
      <c r="M10" s="11">
        <v>4.0</v>
      </c>
      <c r="N10" s="11">
        <v>5.0</v>
      </c>
      <c r="O10" s="11">
        <v>6.0</v>
      </c>
      <c r="P10" s="11">
        <v>7.0</v>
      </c>
      <c r="Q10" s="11">
        <v>8.0</v>
      </c>
      <c r="R10" s="11">
        <v>9.0</v>
      </c>
      <c r="S10" s="11">
        <v>10.0</v>
      </c>
      <c r="T10" s="11">
        <v>11.0</v>
      </c>
      <c r="U10" s="11">
        <v>12.0</v>
      </c>
      <c r="V10" s="11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14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7"/>
      <c r="X11" s="7"/>
      <c r="Y11" s="7"/>
      <c r="Z11" s="7"/>
    </row>
    <row r="12" ht="15.0" customHeight="1">
      <c r="A12" s="7"/>
      <c r="B12" s="7"/>
      <c r="C12" s="16" t="s">
        <v>228</v>
      </c>
      <c r="D12" s="17" t="s">
        <v>229</v>
      </c>
      <c r="E12" s="18"/>
      <c r="F12" s="18"/>
      <c r="G12" s="18"/>
      <c r="H12" s="19"/>
      <c r="I12" s="20" t="s">
        <v>230</v>
      </c>
      <c r="J12" s="21">
        <f>$H$2</f>
        <v>2026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7"/>
      <c r="X12" s="7"/>
      <c r="Y12" s="7"/>
      <c r="Z12" s="7"/>
    </row>
    <row r="13" ht="14.25" customHeight="1">
      <c r="A13" s="7"/>
      <c r="B13" s="7"/>
      <c r="C13" s="22"/>
      <c r="D13" s="23"/>
      <c r="H13" s="24"/>
      <c r="I13" s="22"/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  <c r="W13" s="7"/>
      <c r="X13" s="7"/>
      <c r="Y13" s="7"/>
      <c r="Z13" s="7"/>
    </row>
    <row r="14" ht="14.25" customHeight="1">
      <c r="A14" s="7"/>
      <c r="B14" s="7"/>
      <c r="C14" s="25"/>
      <c r="D14" s="26"/>
      <c r="E14" s="27"/>
      <c r="F14" s="27"/>
      <c r="G14" s="27"/>
      <c r="H14" s="28"/>
      <c r="I14" s="25"/>
      <c r="J14" s="117" t="s">
        <v>231</v>
      </c>
      <c r="K14" s="117" t="s">
        <v>232</v>
      </c>
      <c r="L14" s="117" t="s">
        <v>233</v>
      </c>
      <c r="M14" s="117" t="s">
        <v>234</v>
      </c>
      <c r="N14" s="117" t="s">
        <v>235</v>
      </c>
      <c r="O14" s="117" t="s">
        <v>236</v>
      </c>
      <c r="P14" s="117" t="s">
        <v>237</v>
      </c>
      <c r="Q14" s="117" t="s">
        <v>238</v>
      </c>
      <c r="R14" s="117" t="s">
        <v>239</v>
      </c>
      <c r="S14" s="117" t="s">
        <v>240</v>
      </c>
      <c r="T14" s="117" t="s">
        <v>241</v>
      </c>
      <c r="U14" s="117" t="s">
        <v>242</v>
      </c>
      <c r="V14" s="117" t="s">
        <v>243</v>
      </c>
      <c r="W14" s="7"/>
      <c r="X14" s="7"/>
      <c r="Y14" s="7"/>
      <c r="Z14" s="7"/>
    </row>
    <row r="15" ht="14.25" customHeight="1">
      <c r="A15" s="7"/>
      <c r="B15" s="7"/>
      <c r="C15" s="29">
        <v>1.0</v>
      </c>
      <c r="D15" s="30">
        <v>2.0</v>
      </c>
      <c r="E15" s="31"/>
      <c r="F15" s="31"/>
      <c r="G15" s="31"/>
      <c r="H15" s="32"/>
      <c r="I15" s="33">
        <v>3.0</v>
      </c>
      <c r="J15" s="118">
        <v>4.0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33">
        <v>5.0</v>
      </c>
      <c r="W15" s="7"/>
      <c r="X15" s="7"/>
      <c r="Y15" s="7"/>
      <c r="Z15" s="7"/>
    </row>
    <row r="16" ht="14.25" customHeight="1">
      <c r="A16" s="7"/>
      <c r="B16" s="7"/>
      <c r="C16" s="44"/>
      <c r="D16" s="53"/>
      <c r="E16" s="31"/>
      <c r="F16" s="31"/>
      <c r="G16" s="31"/>
      <c r="H16" s="32"/>
      <c r="I16" s="66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7"/>
      <c r="X16" s="7"/>
      <c r="Y16" s="7"/>
      <c r="Z16" s="7"/>
    </row>
    <row r="17" ht="14.25" customHeight="1">
      <c r="A17" s="7"/>
      <c r="B17" s="7"/>
      <c r="C17" s="44">
        <v>1.0</v>
      </c>
      <c r="D17" s="45" t="s">
        <v>597</v>
      </c>
      <c r="E17" s="31"/>
      <c r="F17" s="31"/>
      <c r="G17" s="31"/>
      <c r="H17" s="32"/>
      <c r="I17" s="66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7"/>
      <c r="X17" s="7"/>
      <c r="Y17" s="7"/>
      <c r="Z17" s="7"/>
    </row>
    <row r="18" ht="14.25" customHeight="1">
      <c r="A18" s="7"/>
      <c r="B18" s="7" t="s">
        <v>840</v>
      </c>
      <c r="C18" s="44"/>
      <c r="D18" s="44">
        <v>1.0</v>
      </c>
      <c r="E18" s="45" t="s">
        <v>841</v>
      </c>
      <c r="F18" s="31"/>
      <c r="G18" s="31"/>
      <c r="H18" s="32"/>
      <c r="I18" s="66" t="s">
        <v>610</v>
      </c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147"/>
      <c r="W18" s="7"/>
      <c r="X18" s="7"/>
      <c r="Y18" s="7"/>
      <c r="Z18" s="7"/>
    </row>
    <row r="19" ht="14.25" customHeight="1">
      <c r="A19" s="7"/>
      <c r="B19" s="7" t="s">
        <v>842</v>
      </c>
      <c r="C19" s="44"/>
      <c r="D19" s="44">
        <v>2.0</v>
      </c>
      <c r="E19" s="45" t="s">
        <v>843</v>
      </c>
      <c r="F19" s="31"/>
      <c r="G19" s="31"/>
      <c r="H19" s="32"/>
      <c r="I19" s="66" t="s">
        <v>610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147" t="str">
        <f>IFERROR(AVERAGE(J19:U19),"")</f>
        <v/>
      </c>
      <c r="W19" s="7"/>
      <c r="X19" s="7"/>
      <c r="Y19" s="7"/>
      <c r="Z19" s="7"/>
    </row>
    <row r="20" ht="14.25" customHeight="1">
      <c r="A20" s="7"/>
      <c r="B20" s="7"/>
      <c r="C20" s="44"/>
      <c r="D20" s="53"/>
      <c r="E20" s="31"/>
      <c r="F20" s="31"/>
      <c r="G20" s="31"/>
      <c r="H20" s="32"/>
      <c r="I20" s="66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7"/>
      <c r="X20" s="7"/>
      <c r="Y20" s="7"/>
      <c r="Z20" s="7"/>
    </row>
    <row r="21" ht="14.25" customHeight="1">
      <c r="A21" s="7"/>
      <c r="B21" s="7"/>
      <c r="C21" s="44">
        <v>2.0</v>
      </c>
      <c r="D21" s="45" t="s">
        <v>611</v>
      </c>
      <c r="E21" s="31"/>
      <c r="F21" s="31"/>
      <c r="G21" s="31"/>
      <c r="H21" s="32"/>
      <c r="I21" s="66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7"/>
      <c r="X21" s="7"/>
      <c r="Y21" s="7"/>
      <c r="Z21" s="7"/>
    </row>
    <row r="22" ht="14.25" customHeight="1">
      <c r="A22" s="7"/>
      <c r="B22" s="7" t="s">
        <v>844</v>
      </c>
      <c r="C22" s="44"/>
      <c r="D22" s="44">
        <v>1.0</v>
      </c>
      <c r="E22" s="45" t="s">
        <v>841</v>
      </c>
      <c r="F22" s="31"/>
      <c r="G22" s="31"/>
      <c r="H22" s="32"/>
      <c r="I22" s="66" t="s">
        <v>610</v>
      </c>
      <c r="J22" s="47">
        <v>22.62</v>
      </c>
      <c r="K22" s="47">
        <v>14.34</v>
      </c>
      <c r="L22" s="47">
        <v>13.28</v>
      </c>
      <c r="M22" s="47">
        <v>20.55</v>
      </c>
      <c r="N22" s="50">
        <v>21.94</v>
      </c>
      <c r="O22" s="47"/>
      <c r="P22" s="47"/>
      <c r="Q22" s="47"/>
      <c r="R22" s="47"/>
      <c r="S22" s="47"/>
      <c r="T22" s="47"/>
      <c r="U22" s="47"/>
      <c r="V22" s="147"/>
      <c r="W22" s="7"/>
      <c r="X22" s="7"/>
      <c r="Y22" s="7"/>
      <c r="Z22" s="7"/>
    </row>
    <row r="23" ht="14.25" customHeight="1">
      <c r="A23" s="7"/>
      <c r="B23" s="7" t="s">
        <v>845</v>
      </c>
      <c r="C23" s="44"/>
      <c r="D23" s="44">
        <v>2.0</v>
      </c>
      <c r="E23" s="45" t="s">
        <v>843</v>
      </c>
      <c r="F23" s="31"/>
      <c r="G23" s="31"/>
      <c r="H23" s="32"/>
      <c r="I23" s="66" t="s">
        <v>610</v>
      </c>
      <c r="J23" s="60"/>
      <c r="K23" s="60"/>
      <c r="L23" s="47">
        <v>4.72</v>
      </c>
      <c r="M23" s="47">
        <v>6.82</v>
      </c>
      <c r="N23" s="50">
        <v>1.36</v>
      </c>
      <c r="O23" s="47"/>
      <c r="P23" s="47"/>
      <c r="Q23" s="47"/>
      <c r="R23" s="47"/>
      <c r="S23" s="47"/>
      <c r="T23" s="47"/>
      <c r="U23" s="47"/>
      <c r="V23" s="147"/>
      <c r="W23" s="7"/>
      <c r="X23" s="7"/>
      <c r="Y23" s="7"/>
      <c r="Z23" s="7"/>
    </row>
    <row r="24" ht="14.25" customHeight="1">
      <c r="A24" s="7"/>
      <c r="B24" s="7" t="s">
        <v>846</v>
      </c>
      <c r="C24" s="44"/>
      <c r="D24" s="44">
        <v>3.0</v>
      </c>
      <c r="E24" s="45" t="s">
        <v>847</v>
      </c>
      <c r="F24" s="31"/>
      <c r="G24" s="31"/>
      <c r="H24" s="32"/>
      <c r="I24" s="66" t="s">
        <v>610</v>
      </c>
      <c r="J24" s="60"/>
      <c r="K24" s="60"/>
      <c r="L24" s="60"/>
      <c r="M24" s="60"/>
      <c r="N24" s="62"/>
      <c r="O24" s="60"/>
      <c r="P24" s="60"/>
      <c r="Q24" s="60"/>
      <c r="R24" s="60"/>
      <c r="S24" s="60"/>
      <c r="T24" s="60"/>
      <c r="U24" s="60"/>
      <c r="V24" s="147"/>
      <c r="W24" s="7"/>
      <c r="X24" s="7"/>
      <c r="Y24" s="7"/>
      <c r="Z24" s="7"/>
    </row>
    <row r="25" ht="14.25" customHeight="1">
      <c r="A25" s="7"/>
      <c r="B25" s="7"/>
      <c r="C25" s="162"/>
      <c r="D25" s="163"/>
      <c r="E25" s="27"/>
      <c r="F25" s="27"/>
      <c r="G25" s="27"/>
      <c r="H25" s="28"/>
      <c r="I25" s="66"/>
      <c r="J25" s="43"/>
      <c r="K25" s="43"/>
      <c r="L25" s="43"/>
      <c r="M25" s="43"/>
      <c r="N25" s="128"/>
      <c r="O25" s="43"/>
      <c r="P25" s="43"/>
      <c r="Q25" s="43"/>
      <c r="R25" s="43"/>
      <c r="S25" s="43"/>
      <c r="T25" s="43"/>
      <c r="U25" s="43"/>
      <c r="V25" s="119"/>
      <c r="W25" s="7"/>
      <c r="X25" s="7"/>
      <c r="Y25" s="7"/>
      <c r="Z25" s="7"/>
    </row>
    <row r="26" ht="14.25" customHeight="1">
      <c r="A26" s="7"/>
      <c r="B26" s="7"/>
      <c r="C26" s="44">
        <v>3.0</v>
      </c>
      <c r="D26" s="45" t="s">
        <v>618</v>
      </c>
      <c r="E26" s="31"/>
      <c r="F26" s="31"/>
      <c r="G26" s="31"/>
      <c r="H26" s="32"/>
      <c r="I26" s="66"/>
      <c r="J26" s="43"/>
      <c r="K26" s="43"/>
      <c r="L26" s="43"/>
      <c r="M26" s="43"/>
      <c r="N26" s="128"/>
      <c r="O26" s="43"/>
      <c r="P26" s="43"/>
      <c r="Q26" s="43"/>
      <c r="R26" s="43"/>
      <c r="S26" s="43"/>
      <c r="T26" s="43"/>
      <c r="U26" s="43"/>
      <c r="V26" s="119"/>
      <c r="W26" s="7"/>
      <c r="X26" s="7"/>
      <c r="Y26" s="7"/>
      <c r="Z26" s="7"/>
    </row>
    <row r="27" ht="14.25" customHeight="1">
      <c r="A27" s="7"/>
      <c r="B27" s="7" t="s">
        <v>848</v>
      </c>
      <c r="C27" s="44"/>
      <c r="D27" s="44"/>
      <c r="E27" s="45" t="s">
        <v>841</v>
      </c>
      <c r="F27" s="31"/>
      <c r="G27" s="31"/>
      <c r="H27" s="32"/>
      <c r="I27" s="66" t="s">
        <v>610</v>
      </c>
      <c r="J27" s="47">
        <v>47.69</v>
      </c>
      <c r="K27" s="47">
        <v>35.37</v>
      </c>
      <c r="L27" s="47">
        <v>47.88</v>
      </c>
      <c r="M27" s="47">
        <v>31.29</v>
      </c>
      <c r="N27" s="50">
        <v>24.31</v>
      </c>
      <c r="O27" s="47"/>
      <c r="P27" s="47"/>
      <c r="Q27" s="47"/>
      <c r="R27" s="47"/>
      <c r="S27" s="47"/>
      <c r="T27" s="47"/>
      <c r="U27" s="47"/>
      <c r="V27" s="147"/>
      <c r="W27" s="7"/>
      <c r="X27" s="7"/>
      <c r="Y27" s="7"/>
      <c r="Z27" s="7"/>
    </row>
    <row r="28" ht="14.25" customHeight="1">
      <c r="A28" s="7"/>
      <c r="B28" s="7"/>
      <c r="C28" s="44"/>
      <c r="D28" s="53"/>
      <c r="E28" s="31"/>
      <c r="F28" s="31"/>
      <c r="G28" s="31"/>
      <c r="H28" s="32"/>
      <c r="I28" s="66"/>
      <c r="J28" s="43"/>
      <c r="K28" s="43"/>
      <c r="L28" s="43"/>
      <c r="M28" s="43"/>
      <c r="N28" s="128"/>
      <c r="O28" s="43"/>
      <c r="P28" s="43"/>
      <c r="Q28" s="43"/>
      <c r="R28" s="43"/>
      <c r="S28" s="43"/>
      <c r="T28" s="43"/>
      <c r="U28" s="43"/>
      <c r="V28" s="119"/>
      <c r="W28" s="7"/>
      <c r="X28" s="7"/>
      <c r="Y28" s="7"/>
      <c r="Z28" s="7"/>
    </row>
    <row r="29" ht="14.25" customHeight="1">
      <c r="A29" s="7"/>
      <c r="B29" s="7"/>
      <c r="C29" s="44">
        <v>4.0</v>
      </c>
      <c r="D29" s="45" t="s">
        <v>625</v>
      </c>
      <c r="E29" s="31"/>
      <c r="F29" s="31"/>
      <c r="G29" s="31"/>
      <c r="H29" s="32"/>
      <c r="I29" s="66"/>
      <c r="J29" s="43"/>
      <c r="K29" s="43"/>
      <c r="L29" s="43"/>
      <c r="M29" s="43"/>
      <c r="N29" s="128"/>
      <c r="O29" s="43"/>
      <c r="P29" s="43"/>
      <c r="Q29" s="43"/>
      <c r="R29" s="43"/>
      <c r="S29" s="43"/>
      <c r="T29" s="43"/>
      <c r="U29" s="43"/>
      <c r="V29" s="119"/>
      <c r="W29" s="7"/>
      <c r="X29" s="7"/>
      <c r="Y29" s="7"/>
      <c r="Z29" s="7"/>
    </row>
    <row r="30" ht="14.25" customHeight="1">
      <c r="A30" s="7"/>
      <c r="B30" s="7" t="s">
        <v>849</v>
      </c>
      <c r="C30" s="44"/>
      <c r="D30" s="44">
        <v>1.0</v>
      </c>
      <c r="E30" s="45" t="s">
        <v>841</v>
      </c>
      <c r="F30" s="31"/>
      <c r="G30" s="31"/>
      <c r="H30" s="32"/>
      <c r="I30" s="66" t="s">
        <v>610</v>
      </c>
      <c r="J30" s="47">
        <v>8.8</v>
      </c>
      <c r="K30" s="47">
        <v>50.61</v>
      </c>
      <c r="L30" s="47">
        <v>29.8</v>
      </c>
      <c r="M30" s="47">
        <v>28.36</v>
      </c>
      <c r="N30" s="50">
        <v>41.49</v>
      </c>
      <c r="O30" s="47"/>
      <c r="P30" s="47"/>
      <c r="Q30" s="47"/>
      <c r="R30" s="47"/>
      <c r="S30" s="47"/>
      <c r="T30" s="47"/>
      <c r="U30" s="47"/>
      <c r="V30" s="147"/>
      <c r="W30" s="7"/>
      <c r="X30" s="7"/>
      <c r="Y30" s="7"/>
      <c r="Z30" s="7"/>
    </row>
    <row r="31" ht="14.25" customHeight="1">
      <c r="A31" s="7"/>
      <c r="B31" s="7" t="s">
        <v>850</v>
      </c>
      <c r="C31" s="44"/>
      <c r="D31" s="44">
        <v>2.0</v>
      </c>
      <c r="E31" s="45" t="s">
        <v>843</v>
      </c>
      <c r="F31" s="31"/>
      <c r="G31" s="31"/>
      <c r="H31" s="32"/>
      <c r="I31" s="66" t="s">
        <v>610</v>
      </c>
      <c r="J31" s="60"/>
      <c r="K31" s="60"/>
      <c r="L31" s="60"/>
      <c r="M31" s="60"/>
      <c r="N31" s="62"/>
      <c r="O31" s="132"/>
      <c r="P31" s="60"/>
      <c r="Q31" s="60"/>
      <c r="R31" s="60"/>
      <c r="S31" s="60"/>
      <c r="T31" s="60"/>
      <c r="U31" s="60"/>
      <c r="V31" s="147"/>
      <c r="W31" s="7"/>
      <c r="X31" s="7"/>
      <c r="Y31" s="7"/>
      <c r="Z31" s="7"/>
    </row>
    <row r="32" ht="14.25" customHeight="1">
      <c r="A32" s="7"/>
      <c r="B32" s="7" t="s">
        <v>851</v>
      </c>
      <c r="C32" s="44"/>
      <c r="D32" s="53">
        <v>3.0</v>
      </c>
      <c r="E32" s="45" t="s">
        <v>847</v>
      </c>
      <c r="F32" s="31"/>
      <c r="G32" s="31"/>
      <c r="H32" s="32"/>
      <c r="I32" s="66" t="s">
        <v>610</v>
      </c>
      <c r="J32" s="47">
        <v>10.43</v>
      </c>
      <c r="K32" s="47">
        <v>28.24</v>
      </c>
      <c r="L32" s="47">
        <v>66.82</v>
      </c>
      <c r="M32" s="47">
        <v>49.22</v>
      </c>
      <c r="N32" s="50">
        <v>59.61</v>
      </c>
      <c r="O32" s="67"/>
      <c r="P32" s="47"/>
      <c r="Q32" s="47"/>
      <c r="R32" s="47"/>
      <c r="S32" s="47"/>
      <c r="T32" s="47"/>
      <c r="U32" s="47"/>
      <c r="V32" s="147"/>
      <c r="W32" s="7"/>
      <c r="X32" s="7"/>
      <c r="Y32" s="7"/>
      <c r="Z32" s="7"/>
    </row>
    <row r="33" ht="14.25" customHeight="1">
      <c r="A33" s="7"/>
      <c r="B33" s="7"/>
      <c r="C33" s="44"/>
      <c r="D33" s="53"/>
      <c r="E33" s="111"/>
      <c r="F33" s="80"/>
      <c r="G33" s="80"/>
      <c r="H33" s="81"/>
      <c r="I33" s="66"/>
      <c r="J33" s="43"/>
      <c r="K33" s="145"/>
      <c r="L33" s="145"/>
      <c r="M33" s="145"/>
      <c r="N33" s="145"/>
      <c r="O33" s="145"/>
      <c r="P33" s="145"/>
      <c r="Q33" s="43"/>
      <c r="R33" s="43"/>
      <c r="S33" s="43"/>
      <c r="T33" s="145"/>
      <c r="U33" s="145"/>
      <c r="V33" s="119"/>
      <c r="W33" s="7"/>
      <c r="X33" s="7"/>
      <c r="Y33" s="7"/>
      <c r="Z33" s="7"/>
    </row>
    <row r="34" ht="14.25" customHeight="1">
      <c r="A34" s="7"/>
      <c r="B34" s="7"/>
      <c r="C34" s="164">
        <v>5.0</v>
      </c>
      <c r="D34" s="70" t="s">
        <v>632</v>
      </c>
      <c r="E34" s="31"/>
      <c r="F34" s="31"/>
      <c r="G34" s="31"/>
      <c r="H34" s="32"/>
      <c r="I34" s="66"/>
      <c r="J34" s="43"/>
      <c r="K34" s="145"/>
      <c r="L34" s="145"/>
      <c r="M34" s="145"/>
      <c r="N34" s="145"/>
      <c r="O34" s="145"/>
      <c r="P34" s="145"/>
      <c r="Q34" s="43"/>
      <c r="R34" s="43"/>
      <c r="S34" s="43"/>
      <c r="T34" s="145"/>
      <c r="U34" s="145"/>
      <c r="V34" s="119"/>
      <c r="W34" s="7"/>
      <c r="X34" s="7"/>
      <c r="Y34" s="7"/>
      <c r="Z34" s="7"/>
    </row>
    <row r="35" ht="14.25" customHeight="1">
      <c r="A35" s="7"/>
      <c r="B35" s="7" t="s">
        <v>852</v>
      </c>
      <c r="C35" s="165"/>
      <c r="D35" s="166">
        <v>1.0</v>
      </c>
      <c r="E35" s="70" t="s">
        <v>841</v>
      </c>
      <c r="F35" s="31"/>
      <c r="G35" s="31"/>
      <c r="H35" s="32"/>
      <c r="I35" s="66" t="s">
        <v>610</v>
      </c>
      <c r="J35" s="60"/>
      <c r="K35" s="67"/>
      <c r="L35" s="67"/>
      <c r="M35" s="67"/>
      <c r="N35" s="67"/>
      <c r="O35" s="67"/>
      <c r="P35" s="67"/>
      <c r="Q35" s="60"/>
      <c r="R35" s="60"/>
      <c r="S35" s="60"/>
      <c r="T35" s="67"/>
      <c r="U35" s="67"/>
      <c r="V35" s="147"/>
      <c r="W35" s="7"/>
      <c r="X35" s="7"/>
      <c r="Y35" s="7"/>
      <c r="Z35" s="7"/>
    </row>
    <row r="36" ht="14.25" customHeight="1">
      <c r="A36" s="7"/>
      <c r="B36" s="7" t="s">
        <v>853</v>
      </c>
      <c r="C36" s="165"/>
      <c r="D36" s="166">
        <v>2.0</v>
      </c>
      <c r="E36" s="70" t="s">
        <v>843</v>
      </c>
      <c r="F36" s="31"/>
      <c r="G36" s="31"/>
      <c r="H36" s="32"/>
      <c r="I36" s="66" t="s">
        <v>610</v>
      </c>
      <c r="J36" s="60"/>
      <c r="K36" s="67"/>
      <c r="L36" s="67"/>
      <c r="M36" s="67"/>
      <c r="N36" s="67"/>
      <c r="O36" s="67"/>
      <c r="P36" s="67"/>
      <c r="Q36" s="60"/>
      <c r="R36" s="60"/>
      <c r="S36" s="60"/>
      <c r="T36" s="67"/>
      <c r="U36" s="67"/>
      <c r="V36" s="147"/>
      <c r="W36" s="7"/>
      <c r="X36" s="7"/>
      <c r="Y36" s="7"/>
      <c r="Z36" s="7"/>
    </row>
    <row r="37" ht="14.25" customHeight="1">
      <c r="A37" s="7"/>
      <c r="B37" s="7"/>
      <c r="C37" s="44"/>
      <c r="D37" s="53"/>
      <c r="E37" s="111"/>
      <c r="F37" s="80"/>
      <c r="G37" s="80"/>
      <c r="H37" s="81"/>
      <c r="I37" s="66"/>
      <c r="J37" s="43"/>
      <c r="K37" s="119"/>
      <c r="L37" s="119"/>
      <c r="M37" s="119"/>
      <c r="N37" s="119"/>
      <c r="O37" s="119"/>
      <c r="P37" s="119"/>
      <c r="Q37" s="43"/>
      <c r="R37" s="43"/>
      <c r="S37" s="43"/>
      <c r="T37" s="119"/>
      <c r="U37" s="119"/>
      <c r="V37" s="119"/>
      <c r="W37" s="7"/>
      <c r="X37" s="7"/>
      <c r="Y37" s="7"/>
      <c r="Z37" s="7"/>
    </row>
    <row r="38" ht="14.25" customHeight="1">
      <c r="A38" s="7"/>
      <c r="B38" s="7"/>
      <c r="C38" s="44">
        <v>6.0</v>
      </c>
      <c r="D38" s="45" t="s">
        <v>854</v>
      </c>
      <c r="E38" s="31"/>
      <c r="F38" s="31"/>
      <c r="G38" s="31"/>
      <c r="H38" s="32"/>
      <c r="I38" s="66"/>
      <c r="J38" s="43"/>
      <c r="K38" s="119"/>
      <c r="L38" s="119"/>
      <c r="M38" s="119"/>
      <c r="N38" s="119"/>
      <c r="O38" s="119"/>
      <c r="P38" s="119"/>
      <c r="Q38" s="43"/>
      <c r="R38" s="43"/>
      <c r="S38" s="43"/>
      <c r="T38" s="119"/>
      <c r="U38" s="119"/>
      <c r="V38" s="119"/>
      <c r="W38" s="7"/>
      <c r="X38" s="7"/>
      <c r="Y38" s="7"/>
      <c r="Z38" s="7"/>
    </row>
    <row r="39" ht="14.25" customHeight="1">
      <c r="A39" s="7"/>
      <c r="B39" s="7" t="s">
        <v>855</v>
      </c>
      <c r="C39" s="44"/>
      <c r="D39" s="44">
        <v>1.0</v>
      </c>
      <c r="E39" s="45" t="s">
        <v>841</v>
      </c>
      <c r="F39" s="31"/>
      <c r="G39" s="31"/>
      <c r="H39" s="32"/>
      <c r="I39" s="66" t="s">
        <v>610</v>
      </c>
      <c r="J39" s="60"/>
      <c r="K39" s="67"/>
      <c r="L39" s="67"/>
      <c r="M39" s="67"/>
      <c r="N39" s="67"/>
      <c r="O39" s="67"/>
      <c r="P39" s="67"/>
      <c r="Q39" s="60"/>
      <c r="R39" s="60"/>
      <c r="S39" s="60"/>
      <c r="T39" s="67"/>
      <c r="U39" s="67"/>
      <c r="V39" s="147"/>
      <c r="W39" s="7"/>
      <c r="X39" s="7"/>
      <c r="Y39" s="7"/>
      <c r="Z39" s="7"/>
    </row>
    <row r="40" ht="14.25" customHeight="1">
      <c r="A40" s="7"/>
      <c r="B40" s="7" t="s">
        <v>856</v>
      </c>
      <c r="C40" s="44"/>
      <c r="D40" s="44">
        <v>2.0</v>
      </c>
      <c r="E40" s="45" t="s">
        <v>843</v>
      </c>
      <c r="F40" s="31"/>
      <c r="G40" s="31"/>
      <c r="H40" s="32"/>
      <c r="I40" s="66" t="s">
        <v>610</v>
      </c>
      <c r="J40" s="60"/>
      <c r="K40" s="67"/>
      <c r="L40" s="67"/>
      <c r="M40" s="67"/>
      <c r="N40" s="67"/>
      <c r="O40" s="67"/>
      <c r="P40" s="67"/>
      <c r="Q40" s="60"/>
      <c r="R40" s="60"/>
      <c r="S40" s="60"/>
      <c r="T40" s="67"/>
      <c r="U40" s="67"/>
      <c r="V40" s="147"/>
      <c r="W40" s="7"/>
      <c r="X40" s="7"/>
      <c r="Y40" s="7"/>
      <c r="Z40" s="7"/>
    </row>
    <row r="41" ht="14.25" customHeight="1">
      <c r="A41" s="7"/>
      <c r="B41" s="7" t="s">
        <v>857</v>
      </c>
      <c r="C41" s="44"/>
      <c r="D41" s="44">
        <v>3.0</v>
      </c>
      <c r="E41" s="45" t="s">
        <v>858</v>
      </c>
      <c r="F41" s="31"/>
      <c r="G41" s="31"/>
      <c r="H41" s="32"/>
      <c r="I41" s="66" t="s">
        <v>610</v>
      </c>
      <c r="J41" s="60"/>
      <c r="K41" s="67"/>
      <c r="L41" s="67"/>
      <c r="M41" s="67"/>
      <c r="N41" s="67"/>
      <c r="O41" s="67"/>
      <c r="P41" s="67"/>
      <c r="Q41" s="60"/>
      <c r="R41" s="60"/>
      <c r="S41" s="60"/>
      <c r="T41" s="67"/>
      <c r="U41" s="67"/>
      <c r="V41" s="147"/>
      <c r="W41" s="7"/>
      <c r="X41" s="7"/>
      <c r="Y41" s="7"/>
      <c r="Z41" s="7"/>
    </row>
    <row r="42" ht="14.25" customHeight="1">
      <c r="A42" s="7"/>
      <c r="B42" s="7" t="s">
        <v>859</v>
      </c>
      <c r="C42" s="44"/>
      <c r="D42" s="44">
        <v>4.0</v>
      </c>
      <c r="E42" s="45" t="s">
        <v>860</v>
      </c>
      <c r="F42" s="31"/>
      <c r="G42" s="31"/>
      <c r="H42" s="32"/>
      <c r="I42" s="66" t="s">
        <v>610</v>
      </c>
      <c r="J42" s="60"/>
      <c r="K42" s="67"/>
      <c r="L42" s="67"/>
      <c r="M42" s="67"/>
      <c r="N42" s="67"/>
      <c r="O42" s="67"/>
      <c r="P42" s="67"/>
      <c r="Q42" s="60"/>
      <c r="R42" s="60"/>
      <c r="S42" s="60"/>
      <c r="T42" s="67"/>
      <c r="U42" s="67"/>
      <c r="V42" s="147"/>
      <c r="W42" s="7"/>
      <c r="X42" s="7"/>
      <c r="Y42" s="7"/>
      <c r="Z42" s="7"/>
    </row>
    <row r="43" ht="14.25" customHeight="1">
      <c r="A43" s="7"/>
      <c r="B43" s="7"/>
      <c r="C43" s="134"/>
      <c r="D43" s="134"/>
      <c r="E43" s="134"/>
      <c r="F43" s="135"/>
      <c r="G43" s="135"/>
      <c r="H43" s="135"/>
      <c r="I43" s="152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42"/>
      <c r="W43" s="7"/>
      <c r="X43" s="7"/>
      <c r="Y43" s="7"/>
      <c r="Z43" s="7"/>
    </row>
    <row r="44" ht="14.25" customHeight="1">
      <c r="A44" s="14">
        <v>2.0</v>
      </c>
      <c r="B44" s="7"/>
      <c r="C44" s="138" t="s">
        <v>861</v>
      </c>
      <c r="D44" s="139"/>
      <c r="E44" s="140"/>
      <c r="F44" s="140"/>
      <c r="G44" s="140"/>
      <c r="H44" s="140"/>
      <c r="I44" s="140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0"/>
      <c r="W44" s="7"/>
      <c r="X44" s="7"/>
      <c r="Y44" s="7"/>
      <c r="Z44" s="7"/>
    </row>
    <row r="45" ht="14.25" customHeight="1">
      <c r="A45" s="7"/>
      <c r="B45" s="7"/>
      <c r="C45" s="142"/>
      <c r="D45" s="142"/>
      <c r="E45" s="142"/>
      <c r="F45" s="142"/>
      <c r="G45" s="142"/>
      <c r="H45" s="142"/>
      <c r="I45" s="142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42"/>
      <c r="W45" s="7"/>
      <c r="X45" s="7"/>
      <c r="Y45" s="7"/>
      <c r="Z45" s="7"/>
    </row>
    <row r="46" ht="15.0" customHeight="1">
      <c r="A46" s="7"/>
      <c r="B46" s="7"/>
      <c r="C46" s="16" t="s">
        <v>228</v>
      </c>
      <c r="D46" s="17" t="s">
        <v>229</v>
      </c>
      <c r="E46" s="18"/>
      <c r="F46" s="18"/>
      <c r="G46" s="18"/>
      <c r="H46" s="19"/>
      <c r="I46" s="20" t="s">
        <v>230</v>
      </c>
      <c r="J46" s="21">
        <f>$H$2</f>
        <v>2026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  <c r="W46" s="7"/>
      <c r="X46" s="7"/>
      <c r="Y46" s="7"/>
      <c r="Z46" s="7"/>
    </row>
    <row r="47" ht="14.25" customHeight="1">
      <c r="A47" s="7"/>
      <c r="B47" s="7"/>
      <c r="C47" s="22"/>
      <c r="D47" s="23"/>
      <c r="H47" s="24"/>
      <c r="I47" s="22"/>
      <c r="J47" s="2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7"/>
      <c r="X47" s="7"/>
      <c r="Y47" s="7"/>
      <c r="Z47" s="7"/>
    </row>
    <row r="48" ht="14.25" customHeight="1">
      <c r="A48" s="7"/>
      <c r="B48" s="7"/>
      <c r="C48" s="25"/>
      <c r="D48" s="26"/>
      <c r="E48" s="27"/>
      <c r="F48" s="27"/>
      <c r="G48" s="27"/>
      <c r="H48" s="28"/>
      <c r="I48" s="25"/>
      <c r="J48" s="117" t="s">
        <v>231</v>
      </c>
      <c r="K48" s="117" t="s">
        <v>232</v>
      </c>
      <c r="L48" s="117" t="s">
        <v>233</v>
      </c>
      <c r="M48" s="117" t="s">
        <v>234</v>
      </c>
      <c r="N48" s="117" t="s">
        <v>235</v>
      </c>
      <c r="O48" s="117" t="s">
        <v>236</v>
      </c>
      <c r="P48" s="117" t="s">
        <v>237</v>
      </c>
      <c r="Q48" s="117" t="s">
        <v>238</v>
      </c>
      <c r="R48" s="117" t="s">
        <v>239</v>
      </c>
      <c r="S48" s="117" t="s">
        <v>240</v>
      </c>
      <c r="T48" s="117" t="s">
        <v>241</v>
      </c>
      <c r="U48" s="117" t="s">
        <v>242</v>
      </c>
      <c r="V48" s="117" t="s">
        <v>243</v>
      </c>
      <c r="W48" s="7"/>
      <c r="X48" s="7"/>
      <c r="Y48" s="7"/>
      <c r="Z48" s="7"/>
    </row>
    <row r="49" ht="14.25" customHeight="1">
      <c r="A49" s="7"/>
      <c r="B49" s="7"/>
      <c r="C49" s="29">
        <v>1.0</v>
      </c>
      <c r="D49" s="30">
        <v>2.0</v>
      </c>
      <c r="E49" s="31"/>
      <c r="F49" s="31"/>
      <c r="G49" s="31"/>
      <c r="H49" s="32"/>
      <c r="I49" s="33">
        <v>3.0</v>
      </c>
      <c r="J49" s="118">
        <v>4.0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2"/>
      <c r="V49" s="33">
        <v>5.0</v>
      </c>
      <c r="W49" s="7"/>
      <c r="X49" s="7"/>
      <c r="Y49" s="7"/>
      <c r="Z49" s="7"/>
    </row>
    <row r="50" ht="14.25" customHeight="1">
      <c r="A50" s="7"/>
      <c r="B50" s="7"/>
      <c r="C50" s="44"/>
      <c r="D50" s="53"/>
      <c r="E50" s="31"/>
      <c r="F50" s="31"/>
      <c r="G50" s="31"/>
      <c r="H50" s="32"/>
      <c r="I50" s="66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7"/>
      <c r="X50" s="7"/>
      <c r="Y50" s="7"/>
      <c r="Z50" s="7"/>
    </row>
    <row r="51" ht="14.25" customHeight="1">
      <c r="A51" s="7"/>
      <c r="B51" s="7"/>
      <c r="C51" s="44">
        <v>1.0</v>
      </c>
      <c r="D51" s="45" t="s">
        <v>862</v>
      </c>
      <c r="E51" s="31"/>
      <c r="F51" s="31"/>
      <c r="G51" s="31"/>
      <c r="H51" s="32"/>
      <c r="I51" s="66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7"/>
      <c r="X51" s="7"/>
      <c r="Y51" s="7"/>
      <c r="Z51" s="7"/>
    </row>
    <row r="52" ht="14.25" customHeight="1">
      <c r="A52" s="7"/>
      <c r="B52" s="7"/>
      <c r="C52" s="44"/>
      <c r="D52" s="44">
        <v>1.0</v>
      </c>
      <c r="E52" s="45" t="s">
        <v>863</v>
      </c>
      <c r="F52" s="31"/>
      <c r="G52" s="31"/>
      <c r="H52" s="32"/>
      <c r="I52" s="66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7"/>
      <c r="X52" s="7"/>
      <c r="Y52" s="7"/>
      <c r="Z52" s="7"/>
    </row>
    <row r="53" ht="14.25" customHeight="1">
      <c r="A53" s="7"/>
      <c r="B53" s="7" t="s">
        <v>864</v>
      </c>
      <c r="C53" s="44"/>
      <c r="D53" s="53"/>
      <c r="E53" s="46">
        <v>1.0</v>
      </c>
      <c r="F53" s="45" t="s">
        <v>865</v>
      </c>
      <c r="G53" s="31"/>
      <c r="H53" s="32"/>
      <c r="I53" s="66" t="s">
        <v>610</v>
      </c>
      <c r="J53" s="67">
        <v>98.16</v>
      </c>
      <c r="K53" s="167">
        <v>100.0</v>
      </c>
      <c r="L53" s="167">
        <v>100.0</v>
      </c>
      <c r="M53" s="167">
        <v>100.0</v>
      </c>
      <c r="N53" s="168">
        <v>100.0</v>
      </c>
      <c r="O53" s="67"/>
      <c r="P53" s="67"/>
      <c r="Q53" s="67"/>
      <c r="R53" s="67"/>
      <c r="S53" s="167"/>
      <c r="T53" s="167"/>
      <c r="U53" s="169"/>
      <c r="V53" s="147">
        <f t="shared" ref="V53:V58" si="1">IFERROR(AVERAGE(J53:U53),"")</f>
        <v>99.632</v>
      </c>
      <c r="W53" s="7"/>
      <c r="X53" s="7"/>
      <c r="Y53" s="7"/>
      <c r="Z53" s="7"/>
    </row>
    <row r="54" ht="14.25" customHeight="1">
      <c r="A54" s="7"/>
      <c r="B54" s="7" t="s">
        <v>866</v>
      </c>
      <c r="C54" s="44"/>
      <c r="D54" s="53"/>
      <c r="E54" s="46">
        <v>2.0</v>
      </c>
      <c r="F54" s="45" t="s">
        <v>867</v>
      </c>
      <c r="G54" s="31"/>
      <c r="H54" s="32"/>
      <c r="I54" s="66" t="s">
        <v>610</v>
      </c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170"/>
      <c r="V54" s="147" t="str">
        <f t="shared" si="1"/>
        <v/>
      </c>
      <c r="W54" s="7"/>
      <c r="X54" s="7"/>
      <c r="Y54" s="7"/>
      <c r="Z54" s="7"/>
    </row>
    <row r="55" ht="14.25" customHeight="1">
      <c r="A55" s="7"/>
      <c r="B55" s="7" t="s">
        <v>868</v>
      </c>
      <c r="C55" s="44"/>
      <c r="D55" s="53"/>
      <c r="E55" s="171">
        <v>3.0</v>
      </c>
      <c r="F55" s="80" t="s">
        <v>869</v>
      </c>
      <c r="G55" s="31"/>
      <c r="H55" s="32"/>
      <c r="I55" s="66" t="s">
        <v>610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170"/>
      <c r="V55" s="147" t="str">
        <f t="shared" si="1"/>
        <v/>
      </c>
      <c r="W55" s="7"/>
      <c r="X55" s="7"/>
      <c r="Y55" s="7"/>
      <c r="Z55" s="7"/>
    </row>
    <row r="56" ht="14.25" customHeight="1">
      <c r="A56" s="7"/>
      <c r="B56" s="7" t="s">
        <v>870</v>
      </c>
      <c r="C56" s="44"/>
      <c r="D56" s="53"/>
      <c r="E56" s="66">
        <v>4.0</v>
      </c>
      <c r="F56" s="172" t="s">
        <v>871</v>
      </c>
      <c r="G56" s="80"/>
      <c r="H56" s="81"/>
      <c r="I56" s="66" t="s">
        <v>610</v>
      </c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170"/>
      <c r="V56" s="147" t="str">
        <f t="shared" si="1"/>
        <v/>
      </c>
      <c r="W56" s="7"/>
      <c r="X56" s="7"/>
      <c r="Y56" s="7"/>
      <c r="Z56" s="7"/>
    </row>
    <row r="57" ht="14.25" customHeight="1">
      <c r="A57" s="7"/>
      <c r="B57" s="7" t="s">
        <v>872</v>
      </c>
      <c r="C57" s="44"/>
      <c r="D57" s="53"/>
      <c r="E57" s="66">
        <v>5.0</v>
      </c>
      <c r="F57" s="173" t="s">
        <v>873</v>
      </c>
      <c r="G57" s="80"/>
      <c r="H57" s="81"/>
      <c r="I57" s="66" t="s">
        <v>610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170"/>
      <c r="V57" s="147" t="str">
        <f t="shared" si="1"/>
        <v/>
      </c>
      <c r="W57" s="7"/>
      <c r="X57" s="7"/>
      <c r="Y57" s="7"/>
      <c r="Z57" s="7"/>
    </row>
    <row r="58" ht="14.25" customHeight="1">
      <c r="A58" s="7"/>
      <c r="B58" s="7" t="s">
        <v>874</v>
      </c>
      <c r="C58" s="44"/>
      <c r="D58" s="53"/>
      <c r="E58" s="155">
        <v>6.0</v>
      </c>
      <c r="F58" s="45" t="s">
        <v>875</v>
      </c>
      <c r="G58" s="31"/>
      <c r="H58" s="32"/>
      <c r="I58" s="66" t="s">
        <v>610</v>
      </c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170"/>
      <c r="V58" s="147" t="str">
        <f t="shared" si="1"/>
        <v/>
      </c>
      <c r="W58" s="7"/>
      <c r="X58" s="7"/>
      <c r="Y58" s="7"/>
      <c r="Z58" s="7"/>
    </row>
    <row r="59" ht="14.25" customHeight="1">
      <c r="A59" s="7"/>
      <c r="B59" s="7"/>
      <c r="C59" s="44"/>
      <c r="D59" s="53"/>
      <c r="E59" s="31"/>
      <c r="F59" s="31"/>
      <c r="G59" s="31"/>
      <c r="H59" s="32"/>
      <c r="I59" s="66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74"/>
      <c r="V59" s="119"/>
      <c r="W59" s="7"/>
      <c r="X59" s="7"/>
      <c r="Y59" s="7"/>
      <c r="Z59" s="7"/>
    </row>
    <row r="60" ht="14.25" customHeight="1">
      <c r="A60" s="7"/>
      <c r="B60" s="7"/>
      <c r="C60" s="44"/>
      <c r="D60" s="44">
        <v>2.0</v>
      </c>
      <c r="E60" s="45" t="s">
        <v>876</v>
      </c>
      <c r="F60" s="31"/>
      <c r="G60" s="31"/>
      <c r="H60" s="32"/>
      <c r="I60" s="66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74"/>
      <c r="V60" s="119"/>
      <c r="W60" s="7"/>
      <c r="X60" s="7"/>
      <c r="Y60" s="7"/>
      <c r="Z60" s="7"/>
    </row>
    <row r="61" ht="14.25" customHeight="1">
      <c r="A61" s="7"/>
      <c r="B61" s="7" t="s">
        <v>877</v>
      </c>
      <c r="C61" s="44"/>
      <c r="D61" s="53"/>
      <c r="E61" s="46">
        <v>1.0</v>
      </c>
      <c r="F61" s="45" t="s">
        <v>865</v>
      </c>
      <c r="G61" s="31"/>
      <c r="H61" s="32"/>
      <c r="I61" s="66" t="s">
        <v>610</v>
      </c>
      <c r="J61" s="67">
        <v>52.86</v>
      </c>
      <c r="K61" s="67">
        <v>53.16</v>
      </c>
      <c r="L61" s="67">
        <v>53.89</v>
      </c>
      <c r="M61" s="67">
        <v>51.95</v>
      </c>
      <c r="N61" s="175">
        <v>56.52</v>
      </c>
      <c r="O61" s="67"/>
      <c r="P61" s="67"/>
      <c r="Q61" s="67"/>
      <c r="R61" s="67"/>
      <c r="S61" s="67"/>
      <c r="T61" s="131"/>
      <c r="U61" s="176"/>
      <c r="V61" s="147">
        <f t="shared" ref="V61:V67" si="2">IFERROR(AVERAGE(J61:U61),"")</f>
        <v>53.676</v>
      </c>
      <c r="W61" s="7"/>
      <c r="X61" s="7"/>
      <c r="Y61" s="7"/>
      <c r="Z61" s="7"/>
    </row>
    <row r="62" ht="14.25" customHeight="1">
      <c r="A62" s="7"/>
      <c r="B62" s="7" t="s">
        <v>878</v>
      </c>
      <c r="C62" s="44"/>
      <c r="D62" s="53"/>
      <c r="E62" s="46">
        <v>2.0</v>
      </c>
      <c r="F62" s="45" t="s">
        <v>867</v>
      </c>
      <c r="G62" s="31"/>
      <c r="H62" s="32"/>
      <c r="I62" s="66" t="s">
        <v>610</v>
      </c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131"/>
      <c r="V62" s="147" t="str">
        <f t="shared" si="2"/>
        <v/>
      </c>
      <c r="W62" s="7"/>
      <c r="X62" s="7"/>
      <c r="Y62" s="7"/>
      <c r="Z62" s="7"/>
    </row>
    <row r="63" ht="14.25" customHeight="1">
      <c r="A63" s="7"/>
      <c r="B63" s="7" t="s">
        <v>879</v>
      </c>
      <c r="C63" s="44"/>
      <c r="D63" s="53"/>
      <c r="E63" s="171">
        <v>3.0</v>
      </c>
      <c r="F63" s="80" t="s">
        <v>869</v>
      </c>
      <c r="G63" s="31"/>
      <c r="H63" s="32"/>
      <c r="I63" s="66" t="s">
        <v>610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131"/>
      <c r="V63" s="147" t="str">
        <f t="shared" si="2"/>
        <v/>
      </c>
      <c r="W63" s="7"/>
      <c r="X63" s="7"/>
      <c r="Y63" s="7"/>
      <c r="Z63" s="7"/>
    </row>
    <row r="64" ht="14.25" customHeight="1">
      <c r="A64" s="7"/>
      <c r="B64" s="7" t="s">
        <v>880</v>
      </c>
      <c r="C64" s="44"/>
      <c r="D64" s="53"/>
      <c r="E64" s="66">
        <v>4.0</v>
      </c>
      <c r="F64" s="177" t="s">
        <v>871</v>
      </c>
      <c r="G64" s="80"/>
      <c r="H64" s="81"/>
      <c r="I64" s="66" t="s">
        <v>610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131"/>
      <c r="V64" s="147" t="str">
        <f t="shared" si="2"/>
        <v/>
      </c>
      <c r="W64" s="7"/>
      <c r="X64" s="7"/>
      <c r="Y64" s="7"/>
      <c r="Z64" s="7"/>
    </row>
    <row r="65" ht="14.25" customHeight="1">
      <c r="A65" s="7"/>
      <c r="B65" s="7" t="s">
        <v>881</v>
      </c>
      <c r="C65" s="44"/>
      <c r="D65" s="53"/>
      <c r="E65" s="66">
        <v>5.0</v>
      </c>
      <c r="F65" s="178" t="s">
        <v>873</v>
      </c>
      <c r="G65" s="80"/>
      <c r="H65" s="81"/>
      <c r="I65" s="66" t="s">
        <v>610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131"/>
      <c r="V65" s="147" t="str">
        <f t="shared" si="2"/>
        <v/>
      </c>
      <c r="W65" s="7"/>
      <c r="X65" s="7"/>
      <c r="Y65" s="7"/>
      <c r="Z65" s="7"/>
    </row>
    <row r="66" ht="14.25" customHeight="1">
      <c r="A66" s="7"/>
      <c r="B66" s="7" t="s">
        <v>882</v>
      </c>
      <c r="C66" s="44"/>
      <c r="D66" s="53"/>
      <c r="E66" s="155">
        <v>6.0</v>
      </c>
      <c r="F66" s="45" t="s">
        <v>875</v>
      </c>
      <c r="G66" s="31"/>
      <c r="H66" s="32"/>
      <c r="I66" s="66" t="s">
        <v>610</v>
      </c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131"/>
      <c r="V66" s="147" t="str">
        <f t="shared" si="2"/>
        <v/>
      </c>
      <c r="W66" s="7"/>
      <c r="X66" s="7"/>
      <c r="Y66" s="7"/>
      <c r="Z66" s="7"/>
    </row>
    <row r="67" ht="14.25" customHeight="1">
      <c r="A67" s="7"/>
      <c r="B67" s="7"/>
      <c r="C67" s="44"/>
      <c r="D67" s="53"/>
      <c r="E67" s="105"/>
      <c r="F67" s="80"/>
      <c r="G67" s="80"/>
      <c r="H67" s="81"/>
      <c r="I67" s="66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27" t="str">
        <f t="shared" si="2"/>
        <v/>
      </c>
      <c r="W67" s="7"/>
      <c r="X67" s="7"/>
      <c r="Y67" s="7"/>
      <c r="Z67" s="7"/>
    </row>
    <row r="68" ht="14.25" customHeight="1">
      <c r="A68" s="7"/>
      <c r="B68" s="7"/>
      <c r="C68" s="44"/>
      <c r="D68" s="44">
        <v>3.0</v>
      </c>
      <c r="E68" s="45" t="s">
        <v>883</v>
      </c>
      <c r="F68" s="31"/>
      <c r="G68" s="31"/>
      <c r="H68" s="32"/>
      <c r="I68" s="66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19"/>
      <c r="W68" s="7"/>
      <c r="X68" s="7"/>
      <c r="Y68" s="7"/>
      <c r="Z68" s="7"/>
    </row>
    <row r="69" ht="14.25" customHeight="1">
      <c r="A69" s="7"/>
      <c r="B69" s="7" t="s">
        <v>884</v>
      </c>
      <c r="C69" s="44"/>
      <c r="D69" s="53"/>
      <c r="E69" s="46">
        <v>1.0</v>
      </c>
      <c r="F69" s="45" t="s">
        <v>865</v>
      </c>
      <c r="G69" s="31"/>
      <c r="H69" s="32"/>
      <c r="I69" s="66" t="s">
        <v>885</v>
      </c>
      <c r="J69" s="179">
        <v>244987.0</v>
      </c>
      <c r="K69" s="167">
        <v>218405.0</v>
      </c>
      <c r="L69" s="167">
        <v>251162.0</v>
      </c>
      <c r="M69" s="167">
        <v>232872.0</v>
      </c>
      <c r="N69" s="168">
        <v>262930.0</v>
      </c>
      <c r="O69" s="167"/>
      <c r="P69" s="180"/>
      <c r="Q69" s="167"/>
      <c r="R69" s="167"/>
      <c r="S69" s="167"/>
      <c r="T69" s="167"/>
      <c r="U69" s="167"/>
      <c r="V69" s="51">
        <f t="shared" ref="V69:V80" si="3">SUM(J69:U69)</f>
        <v>1210356</v>
      </c>
      <c r="W69" s="7"/>
      <c r="X69" s="7"/>
      <c r="Y69" s="7"/>
      <c r="Z69" s="7"/>
    </row>
    <row r="70" ht="14.25" customHeight="1">
      <c r="A70" s="7"/>
      <c r="B70" s="7" t="s">
        <v>886</v>
      </c>
      <c r="C70" s="44"/>
      <c r="D70" s="53"/>
      <c r="E70" s="46">
        <v>2.0</v>
      </c>
      <c r="F70" s="45" t="s">
        <v>867</v>
      </c>
      <c r="G70" s="31"/>
      <c r="H70" s="32"/>
      <c r="I70" s="66" t="s">
        <v>885</v>
      </c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51">
        <f t="shared" si="3"/>
        <v>0</v>
      </c>
      <c r="W70" s="7"/>
      <c r="X70" s="7"/>
      <c r="Y70" s="7"/>
      <c r="Z70" s="7"/>
    </row>
    <row r="71" ht="14.25" customHeight="1">
      <c r="A71" s="7"/>
      <c r="B71" s="7" t="s">
        <v>887</v>
      </c>
      <c r="C71" s="44"/>
      <c r="D71" s="53"/>
      <c r="E71" s="66">
        <v>3.0</v>
      </c>
      <c r="F71" s="80" t="s">
        <v>869</v>
      </c>
      <c r="G71" s="31"/>
      <c r="H71" s="32"/>
      <c r="I71" s="66" t="s">
        <v>885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51">
        <f t="shared" si="3"/>
        <v>0</v>
      </c>
      <c r="W71" s="7"/>
      <c r="X71" s="7"/>
      <c r="Y71" s="7"/>
      <c r="Z71" s="7"/>
    </row>
    <row r="72" ht="14.25" customHeight="1">
      <c r="A72" s="7"/>
      <c r="B72" s="7" t="s">
        <v>888</v>
      </c>
      <c r="C72" s="44"/>
      <c r="D72" s="53"/>
      <c r="E72" s="66">
        <v>4.0</v>
      </c>
      <c r="F72" s="177" t="s">
        <v>871</v>
      </c>
      <c r="G72" s="80"/>
      <c r="H72" s="81"/>
      <c r="I72" s="66" t="s">
        <v>885</v>
      </c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51">
        <f t="shared" si="3"/>
        <v>0</v>
      </c>
      <c r="W72" s="7"/>
      <c r="X72" s="7"/>
      <c r="Y72" s="7"/>
      <c r="Z72" s="7"/>
    </row>
    <row r="73" ht="14.25" customHeight="1">
      <c r="A73" s="7"/>
      <c r="B73" s="7" t="s">
        <v>889</v>
      </c>
      <c r="C73" s="44"/>
      <c r="D73" s="53"/>
      <c r="E73" s="66">
        <v>5.0</v>
      </c>
      <c r="F73" s="178" t="s">
        <v>873</v>
      </c>
      <c r="G73" s="80"/>
      <c r="H73" s="81"/>
      <c r="I73" s="66" t="s">
        <v>885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51">
        <f t="shared" si="3"/>
        <v>0</v>
      </c>
      <c r="W73" s="7"/>
      <c r="X73" s="7"/>
      <c r="Y73" s="7"/>
      <c r="Z73" s="7"/>
    </row>
    <row r="74" ht="14.25" customHeight="1">
      <c r="A74" s="7"/>
      <c r="B74" s="7" t="s">
        <v>890</v>
      </c>
      <c r="C74" s="44"/>
      <c r="D74" s="53"/>
      <c r="E74" s="66">
        <v>6.0</v>
      </c>
      <c r="F74" s="45" t="s">
        <v>875</v>
      </c>
      <c r="G74" s="31"/>
      <c r="H74" s="32"/>
      <c r="I74" s="66" t="s">
        <v>885</v>
      </c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51">
        <f t="shared" si="3"/>
        <v>0</v>
      </c>
      <c r="W74" s="7"/>
      <c r="X74" s="7"/>
      <c r="Y74" s="7"/>
      <c r="Z74" s="7"/>
    </row>
    <row r="75" ht="14.25" customHeight="1">
      <c r="A75" s="7"/>
      <c r="B75" s="7" t="s">
        <v>891</v>
      </c>
      <c r="C75" s="44"/>
      <c r="D75" s="53"/>
      <c r="E75" s="46">
        <v>7.0</v>
      </c>
      <c r="F75" s="45" t="s">
        <v>865</v>
      </c>
      <c r="G75" s="31"/>
      <c r="H75" s="32"/>
      <c r="I75" s="66" t="s">
        <v>892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51">
        <f t="shared" si="3"/>
        <v>0</v>
      </c>
      <c r="W75" s="7"/>
      <c r="X75" s="7"/>
      <c r="Y75" s="7"/>
      <c r="Z75" s="7"/>
    </row>
    <row r="76" ht="14.25" customHeight="1">
      <c r="A76" s="7"/>
      <c r="B76" s="7" t="s">
        <v>893</v>
      </c>
      <c r="C76" s="44"/>
      <c r="D76" s="53"/>
      <c r="E76" s="46">
        <v>8.0</v>
      </c>
      <c r="F76" s="45" t="s">
        <v>867</v>
      </c>
      <c r="G76" s="31"/>
      <c r="H76" s="32"/>
      <c r="I76" s="66" t="s">
        <v>892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51">
        <f t="shared" si="3"/>
        <v>0</v>
      </c>
      <c r="W76" s="7"/>
      <c r="X76" s="7"/>
      <c r="Y76" s="7"/>
      <c r="Z76" s="7"/>
    </row>
    <row r="77" ht="14.25" customHeight="1">
      <c r="A77" s="7"/>
      <c r="B77" s="7" t="s">
        <v>894</v>
      </c>
      <c r="C77" s="44"/>
      <c r="D77" s="53"/>
      <c r="E77" s="66">
        <v>9.0</v>
      </c>
      <c r="F77" s="80" t="s">
        <v>869</v>
      </c>
      <c r="G77" s="31"/>
      <c r="H77" s="32"/>
      <c r="I77" s="66" t="s">
        <v>892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51">
        <f t="shared" si="3"/>
        <v>0</v>
      </c>
      <c r="W77" s="7"/>
      <c r="X77" s="7"/>
      <c r="Y77" s="7"/>
      <c r="Z77" s="7"/>
    </row>
    <row r="78" ht="14.25" customHeight="1">
      <c r="A78" s="7"/>
      <c r="B78" s="7" t="s">
        <v>895</v>
      </c>
      <c r="C78" s="44"/>
      <c r="D78" s="53"/>
      <c r="E78" s="66">
        <v>10.0</v>
      </c>
      <c r="F78" s="177" t="s">
        <v>871</v>
      </c>
      <c r="G78" s="80"/>
      <c r="H78" s="81"/>
      <c r="I78" s="66" t="s">
        <v>892</v>
      </c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51">
        <f t="shared" si="3"/>
        <v>0</v>
      </c>
      <c r="W78" s="7"/>
      <c r="X78" s="7"/>
      <c r="Y78" s="7"/>
      <c r="Z78" s="7"/>
    </row>
    <row r="79" ht="14.25" customHeight="1">
      <c r="A79" s="7"/>
      <c r="B79" s="7" t="s">
        <v>896</v>
      </c>
      <c r="C79" s="44"/>
      <c r="D79" s="53"/>
      <c r="E79" s="66">
        <v>11.0</v>
      </c>
      <c r="F79" s="178" t="s">
        <v>873</v>
      </c>
      <c r="G79" s="80"/>
      <c r="H79" s="81"/>
      <c r="I79" s="66" t="s">
        <v>892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51">
        <f t="shared" si="3"/>
        <v>0</v>
      </c>
      <c r="W79" s="7"/>
      <c r="X79" s="7"/>
      <c r="Y79" s="7"/>
      <c r="Z79" s="7"/>
    </row>
    <row r="80" ht="14.25" customHeight="1">
      <c r="A80" s="7"/>
      <c r="B80" s="7" t="s">
        <v>897</v>
      </c>
      <c r="C80" s="44"/>
      <c r="D80" s="53"/>
      <c r="E80" s="46">
        <v>12.0</v>
      </c>
      <c r="F80" s="45" t="s">
        <v>875</v>
      </c>
      <c r="G80" s="31"/>
      <c r="H80" s="32"/>
      <c r="I80" s="66" t="s">
        <v>892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51">
        <f t="shared" si="3"/>
        <v>0</v>
      </c>
      <c r="W80" s="7"/>
      <c r="X80" s="7"/>
      <c r="Y80" s="7"/>
      <c r="Z80" s="7"/>
    </row>
    <row r="81" ht="14.25" customHeight="1">
      <c r="A81" s="7"/>
      <c r="B81" s="7"/>
      <c r="C81" s="44"/>
      <c r="D81" s="53"/>
      <c r="E81" s="105"/>
      <c r="F81" s="80"/>
      <c r="G81" s="80"/>
      <c r="H81" s="81"/>
      <c r="I81" s="66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7"/>
      <c r="X81" s="7"/>
      <c r="Y81" s="7"/>
      <c r="Z81" s="7"/>
    </row>
    <row r="82" ht="14.25" customHeight="1">
      <c r="A82" s="7"/>
      <c r="B82" s="7"/>
      <c r="C82" s="44">
        <v>2.0</v>
      </c>
      <c r="D82" s="45" t="s">
        <v>898</v>
      </c>
      <c r="E82" s="31"/>
      <c r="F82" s="31"/>
      <c r="G82" s="31"/>
      <c r="H82" s="32"/>
      <c r="I82" s="66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7"/>
      <c r="X82" s="7"/>
      <c r="Y82" s="7"/>
      <c r="Z82" s="7"/>
    </row>
    <row r="83" ht="14.25" customHeight="1">
      <c r="A83" s="7"/>
      <c r="B83" s="7"/>
      <c r="C83" s="44"/>
      <c r="D83" s="44">
        <v>1.0</v>
      </c>
      <c r="E83" s="45" t="s">
        <v>899</v>
      </c>
      <c r="F83" s="31"/>
      <c r="G83" s="31"/>
      <c r="H83" s="32"/>
      <c r="I83" s="66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7"/>
      <c r="X83" s="7"/>
      <c r="Y83" s="7"/>
      <c r="Z83" s="7"/>
    </row>
    <row r="84" ht="14.25" customHeight="1">
      <c r="A84" s="7"/>
      <c r="B84" s="7" t="s">
        <v>900</v>
      </c>
      <c r="C84" s="44"/>
      <c r="D84" s="44"/>
      <c r="E84" s="66">
        <v>1.0</v>
      </c>
      <c r="F84" s="45" t="s">
        <v>901</v>
      </c>
      <c r="G84" s="31"/>
      <c r="H84" s="32"/>
      <c r="I84" s="66" t="s">
        <v>610</v>
      </c>
      <c r="J84" s="67"/>
      <c r="K84" s="67"/>
      <c r="L84" s="67"/>
      <c r="M84" s="67"/>
      <c r="N84" s="67"/>
      <c r="O84" s="60"/>
      <c r="P84" s="67"/>
      <c r="Q84" s="60"/>
      <c r="R84" s="67"/>
      <c r="S84" s="67"/>
      <c r="T84" s="67"/>
      <c r="U84" s="60"/>
      <c r="V84" s="147" t="str">
        <f t="shared" ref="V84:V111" si="4">IFERROR(AVERAGE(J84:U84),"")</f>
        <v/>
      </c>
      <c r="W84" s="7"/>
      <c r="X84" s="7"/>
      <c r="Y84" s="7"/>
      <c r="Z84" s="7"/>
    </row>
    <row r="85" ht="14.25" customHeight="1">
      <c r="A85" s="7"/>
      <c r="B85" s="7" t="s">
        <v>902</v>
      </c>
      <c r="C85" s="44"/>
      <c r="D85" s="44"/>
      <c r="E85" s="66">
        <v>2.0</v>
      </c>
      <c r="F85" s="45" t="s">
        <v>903</v>
      </c>
      <c r="G85" s="31"/>
      <c r="H85" s="32"/>
      <c r="I85" s="66" t="s">
        <v>610</v>
      </c>
      <c r="J85" s="67"/>
      <c r="K85" s="67"/>
      <c r="L85" s="67"/>
      <c r="M85" s="67"/>
      <c r="N85" s="67"/>
      <c r="O85" s="132"/>
      <c r="P85" s="67"/>
      <c r="Q85" s="60"/>
      <c r="R85" s="67"/>
      <c r="S85" s="67"/>
      <c r="T85" s="67"/>
      <c r="U85" s="64"/>
      <c r="V85" s="147" t="str">
        <f t="shared" si="4"/>
        <v/>
      </c>
      <c r="W85" s="7"/>
      <c r="X85" s="7"/>
      <c r="Y85" s="7"/>
      <c r="Z85" s="7"/>
    </row>
    <row r="86" ht="14.25" customHeight="1">
      <c r="A86" s="7"/>
      <c r="B86" s="7" t="s">
        <v>904</v>
      </c>
      <c r="C86" s="44"/>
      <c r="D86" s="44"/>
      <c r="E86" s="66">
        <v>3.0</v>
      </c>
      <c r="F86" s="45" t="s">
        <v>905</v>
      </c>
      <c r="G86" s="31"/>
      <c r="H86" s="32"/>
      <c r="I86" s="66" t="s">
        <v>610</v>
      </c>
      <c r="J86" s="67"/>
      <c r="K86" s="67"/>
      <c r="L86" s="67"/>
      <c r="M86" s="67"/>
      <c r="N86" s="67"/>
      <c r="O86" s="132"/>
      <c r="P86" s="67"/>
      <c r="Q86" s="60"/>
      <c r="R86" s="67"/>
      <c r="S86" s="67"/>
      <c r="T86" s="67"/>
      <c r="U86" s="64"/>
      <c r="V86" s="147" t="str">
        <f t="shared" si="4"/>
        <v/>
      </c>
      <c r="W86" s="7"/>
      <c r="X86" s="7"/>
      <c r="Y86" s="7"/>
      <c r="Z86" s="7"/>
    </row>
    <row r="87" ht="14.25" customHeight="1">
      <c r="A87" s="7"/>
      <c r="B87" s="7" t="s">
        <v>906</v>
      </c>
      <c r="C87" s="44"/>
      <c r="D87" s="44"/>
      <c r="E87" s="66">
        <v>4.0</v>
      </c>
      <c r="F87" s="45" t="s">
        <v>907</v>
      </c>
      <c r="G87" s="31"/>
      <c r="H87" s="32"/>
      <c r="I87" s="66" t="s">
        <v>610</v>
      </c>
      <c r="J87" s="47">
        <v>95.37</v>
      </c>
      <c r="K87" s="47">
        <v>93.71</v>
      </c>
      <c r="L87" s="47">
        <v>95.64</v>
      </c>
      <c r="M87" s="47">
        <v>96.03</v>
      </c>
      <c r="N87" s="50">
        <v>96.27</v>
      </c>
      <c r="O87" s="47"/>
      <c r="P87" s="47"/>
      <c r="Q87" s="47"/>
      <c r="R87" s="47"/>
      <c r="S87" s="47"/>
      <c r="T87" s="47"/>
      <c r="U87" s="47"/>
      <c r="V87" s="147">
        <f t="shared" si="4"/>
        <v>95.404</v>
      </c>
      <c r="W87" s="7"/>
      <c r="X87" s="7"/>
      <c r="Y87" s="7"/>
      <c r="Z87" s="7"/>
    </row>
    <row r="88" ht="14.25" customHeight="1">
      <c r="A88" s="7"/>
      <c r="B88" s="7" t="s">
        <v>908</v>
      </c>
      <c r="C88" s="44"/>
      <c r="D88" s="44"/>
      <c r="E88" s="66">
        <v>5.0</v>
      </c>
      <c r="F88" s="45" t="s">
        <v>909</v>
      </c>
      <c r="G88" s="31"/>
      <c r="H88" s="32"/>
      <c r="I88" s="66" t="s">
        <v>610</v>
      </c>
      <c r="J88" s="133"/>
      <c r="K88" s="129"/>
      <c r="L88" s="60"/>
      <c r="M88" s="67"/>
      <c r="N88" s="62"/>
      <c r="O88" s="60"/>
      <c r="P88" s="60"/>
      <c r="Q88" s="60"/>
      <c r="R88" s="60"/>
      <c r="S88" s="60"/>
      <c r="T88" s="60"/>
      <c r="U88" s="60"/>
      <c r="V88" s="147" t="str">
        <f t="shared" si="4"/>
        <v/>
      </c>
      <c r="W88" s="7"/>
      <c r="X88" s="7"/>
      <c r="Y88" s="7"/>
      <c r="Z88" s="7"/>
    </row>
    <row r="89" ht="14.25" customHeight="1">
      <c r="A89" s="7"/>
      <c r="B89" s="7" t="s">
        <v>910</v>
      </c>
      <c r="C89" s="44"/>
      <c r="D89" s="44"/>
      <c r="E89" s="66">
        <v>6.0</v>
      </c>
      <c r="F89" s="45" t="s">
        <v>911</v>
      </c>
      <c r="G89" s="31"/>
      <c r="H89" s="32"/>
      <c r="I89" s="66" t="s">
        <v>610</v>
      </c>
      <c r="J89" s="133"/>
      <c r="K89" s="129"/>
      <c r="L89" s="60"/>
      <c r="M89" s="67"/>
      <c r="N89" s="62"/>
      <c r="O89" s="60"/>
      <c r="P89" s="60"/>
      <c r="Q89" s="60"/>
      <c r="R89" s="60"/>
      <c r="S89" s="60"/>
      <c r="T89" s="60"/>
      <c r="U89" s="60"/>
      <c r="V89" s="147" t="str">
        <f t="shared" si="4"/>
        <v/>
      </c>
      <c r="W89" s="7"/>
      <c r="X89" s="7"/>
      <c r="Y89" s="7"/>
      <c r="Z89" s="7"/>
    </row>
    <row r="90" ht="14.25" customHeight="1">
      <c r="A90" s="7"/>
      <c r="B90" s="7" t="s">
        <v>912</v>
      </c>
      <c r="C90" s="44"/>
      <c r="D90" s="44"/>
      <c r="E90" s="66">
        <v>7.0</v>
      </c>
      <c r="F90" s="45" t="s">
        <v>913</v>
      </c>
      <c r="G90" s="31"/>
      <c r="H90" s="32"/>
      <c r="I90" s="66" t="s">
        <v>610</v>
      </c>
      <c r="J90" s="133"/>
      <c r="K90" s="129"/>
      <c r="L90" s="60"/>
      <c r="M90" s="67"/>
      <c r="N90" s="62"/>
      <c r="O90" s="60"/>
      <c r="P90" s="60"/>
      <c r="Q90" s="60"/>
      <c r="R90" s="60"/>
      <c r="S90" s="60"/>
      <c r="T90" s="60"/>
      <c r="U90" s="60"/>
      <c r="V90" s="147" t="str">
        <f t="shared" si="4"/>
        <v/>
      </c>
      <c r="W90" s="7"/>
      <c r="X90" s="7"/>
      <c r="Y90" s="7"/>
      <c r="Z90" s="7"/>
    </row>
    <row r="91" ht="14.25" customHeight="1">
      <c r="A91" s="7"/>
      <c r="B91" s="7" t="s">
        <v>914</v>
      </c>
      <c r="C91" s="44"/>
      <c r="D91" s="44"/>
      <c r="E91" s="66">
        <v>8.0</v>
      </c>
      <c r="F91" s="45" t="s">
        <v>915</v>
      </c>
      <c r="G91" s="31"/>
      <c r="H91" s="32"/>
      <c r="I91" s="66" t="s">
        <v>610</v>
      </c>
      <c r="J91" s="133"/>
      <c r="K91" s="129"/>
      <c r="L91" s="60"/>
      <c r="M91" s="67"/>
      <c r="N91" s="62"/>
      <c r="O91" s="60"/>
      <c r="P91" s="60"/>
      <c r="Q91" s="60"/>
      <c r="R91" s="60"/>
      <c r="S91" s="60"/>
      <c r="T91" s="60"/>
      <c r="U91" s="60"/>
      <c r="V91" s="147" t="str">
        <f t="shared" si="4"/>
        <v/>
      </c>
      <c r="W91" s="7"/>
      <c r="X91" s="7"/>
      <c r="Y91" s="7"/>
      <c r="Z91" s="7"/>
    </row>
    <row r="92" ht="14.25" customHeight="1">
      <c r="A92" s="7"/>
      <c r="B92" s="7" t="s">
        <v>916</v>
      </c>
      <c r="C92" s="44"/>
      <c r="D92" s="44"/>
      <c r="E92" s="66">
        <v>9.0</v>
      </c>
      <c r="F92" s="45" t="s">
        <v>917</v>
      </c>
      <c r="G92" s="31"/>
      <c r="H92" s="32"/>
      <c r="I92" s="66" t="s">
        <v>610</v>
      </c>
      <c r="J92" s="133"/>
      <c r="K92" s="129"/>
      <c r="L92" s="60"/>
      <c r="M92" s="67"/>
      <c r="N92" s="62"/>
      <c r="O92" s="60"/>
      <c r="P92" s="60"/>
      <c r="Q92" s="60"/>
      <c r="R92" s="60"/>
      <c r="S92" s="60"/>
      <c r="T92" s="60"/>
      <c r="U92" s="60"/>
      <c r="V92" s="147" t="str">
        <f t="shared" si="4"/>
        <v/>
      </c>
      <c r="W92" s="7"/>
      <c r="X92" s="7"/>
      <c r="Y92" s="7"/>
      <c r="Z92" s="7"/>
    </row>
    <row r="93" ht="14.25" customHeight="1">
      <c r="A93" s="7"/>
      <c r="B93" s="7" t="s">
        <v>918</v>
      </c>
      <c r="C93" s="44"/>
      <c r="D93" s="44"/>
      <c r="E93" s="66">
        <v>10.0</v>
      </c>
      <c r="F93" s="45" t="s">
        <v>919</v>
      </c>
      <c r="G93" s="31"/>
      <c r="H93" s="32"/>
      <c r="I93" s="66" t="s">
        <v>610</v>
      </c>
      <c r="J93" s="133"/>
      <c r="K93" s="129"/>
      <c r="L93" s="60"/>
      <c r="M93" s="67"/>
      <c r="N93" s="62"/>
      <c r="O93" s="60"/>
      <c r="P93" s="60"/>
      <c r="Q93" s="60"/>
      <c r="R93" s="60"/>
      <c r="S93" s="60"/>
      <c r="T93" s="60"/>
      <c r="U93" s="60"/>
      <c r="V93" s="147" t="str">
        <f t="shared" si="4"/>
        <v/>
      </c>
      <c r="W93" s="7"/>
      <c r="X93" s="7"/>
      <c r="Y93" s="7"/>
      <c r="Z93" s="7"/>
    </row>
    <row r="94" ht="14.25" customHeight="1">
      <c r="A94" s="7"/>
      <c r="B94" s="7" t="s">
        <v>920</v>
      </c>
      <c r="C94" s="44"/>
      <c r="D94" s="44"/>
      <c r="E94" s="66">
        <v>11.0</v>
      </c>
      <c r="F94" s="45" t="s">
        <v>921</v>
      </c>
      <c r="G94" s="31"/>
      <c r="H94" s="32"/>
      <c r="I94" s="66" t="s">
        <v>610</v>
      </c>
      <c r="J94" s="133"/>
      <c r="K94" s="129"/>
      <c r="L94" s="60"/>
      <c r="M94" s="67"/>
      <c r="N94" s="62"/>
      <c r="O94" s="60"/>
      <c r="P94" s="60"/>
      <c r="Q94" s="60"/>
      <c r="R94" s="60"/>
      <c r="S94" s="60"/>
      <c r="T94" s="60"/>
      <c r="U94" s="60"/>
      <c r="V94" s="147" t="str">
        <f t="shared" si="4"/>
        <v/>
      </c>
      <c r="W94" s="7"/>
      <c r="X94" s="7"/>
      <c r="Y94" s="7"/>
      <c r="Z94" s="7"/>
    </row>
    <row r="95" ht="14.25" customHeight="1">
      <c r="A95" s="7"/>
      <c r="B95" s="7" t="s">
        <v>922</v>
      </c>
      <c r="C95" s="44"/>
      <c r="D95" s="44"/>
      <c r="E95" s="66">
        <v>12.0</v>
      </c>
      <c r="F95" s="45" t="s">
        <v>923</v>
      </c>
      <c r="G95" s="31"/>
      <c r="H95" s="32"/>
      <c r="I95" s="66" t="s">
        <v>610</v>
      </c>
      <c r="J95" s="47">
        <v>99.21</v>
      </c>
      <c r="K95" s="47">
        <v>99.3</v>
      </c>
      <c r="L95" s="47">
        <v>99.21</v>
      </c>
      <c r="M95" s="47">
        <v>99.18</v>
      </c>
      <c r="N95" s="50">
        <v>98.94</v>
      </c>
      <c r="O95" s="47"/>
      <c r="P95" s="47"/>
      <c r="Q95" s="47"/>
      <c r="R95" s="47"/>
      <c r="S95" s="47"/>
      <c r="T95" s="47"/>
      <c r="U95" s="47"/>
      <c r="V95" s="147">
        <f t="shared" si="4"/>
        <v>99.168</v>
      </c>
      <c r="W95" s="7"/>
      <c r="X95" s="7"/>
      <c r="Y95" s="7"/>
      <c r="Z95" s="7"/>
    </row>
    <row r="96" ht="14.25" customHeight="1">
      <c r="A96" s="7"/>
      <c r="B96" s="7" t="s">
        <v>924</v>
      </c>
      <c r="C96" s="44"/>
      <c r="D96" s="44"/>
      <c r="E96" s="66">
        <v>13.0</v>
      </c>
      <c r="F96" s="45" t="s">
        <v>925</v>
      </c>
      <c r="G96" s="31"/>
      <c r="H96" s="32"/>
      <c r="I96" s="66" t="s">
        <v>610</v>
      </c>
      <c r="J96" s="60"/>
      <c r="K96" s="60"/>
      <c r="L96" s="67"/>
      <c r="M96" s="60"/>
      <c r="N96" s="62"/>
      <c r="O96" s="132"/>
      <c r="P96" s="60"/>
      <c r="Q96" s="60"/>
      <c r="R96" s="60"/>
      <c r="S96" s="60"/>
      <c r="T96" s="60"/>
      <c r="U96" s="60"/>
      <c r="V96" s="147" t="str">
        <f t="shared" si="4"/>
        <v/>
      </c>
      <c r="W96" s="7"/>
      <c r="X96" s="7"/>
      <c r="Y96" s="7"/>
      <c r="Z96" s="7"/>
    </row>
    <row r="97" ht="14.25" customHeight="1">
      <c r="A97" s="7"/>
      <c r="B97" s="7" t="s">
        <v>926</v>
      </c>
      <c r="C97" s="44"/>
      <c r="D97" s="44"/>
      <c r="E97" s="66">
        <v>14.0</v>
      </c>
      <c r="F97" s="45" t="s">
        <v>927</v>
      </c>
      <c r="G97" s="31"/>
      <c r="H97" s="32"/>
      <c r="I97" s="66" t="s">
        <v>610</v>
      </c>
      <c r="J97" s="60"/>
      <c r="K97" s="60"/>
      <c r="L97" s="67"/>
      <c r="M97" s="60"/>
      <c r="N97" s="62"/>
      <c r="O97" s="132"/>
      <c r="P97" s="60"/>
      <c r="Q97" s="60"/>
      <c r="R97" s="60"/>
      <c r="S97" s="60"/>
      <c r="T97" s="60"/>
      <c r="U97" s="60"/>
      <c r="V97" s="147" t="str">
        <f t="shared" si="4"/>
        <v/>
      </c>
      <c r="W97" s="7"/>
      <c r="X97" s="7"/>
      <c r="Y97" s="7"/>
      <c r="Z97" s="7"/>
    </row>
    <row r="98" ht="14.25" customHeight="1">
      <c r="A98" s="7"/>
      <c r="B98" s="7" t="s">
        <v>928</v>
      </c>
      <c r="C98" s="44"/>
      <c r="D98" s="44"/>
      <c r="E98" s="66">
        <v>15.0</v>
      </c>
      <c r="F98" s="45" t="s">
        <v>929</v>
      </c>
      <c r="G98" s="31"/>
      <c r="H98" s="32"/>
      <c r="I98" s="66" t="s">
        <v>610</v>
      </c>
      <c r="J98" s="60"/>
      <c r="K98" s="60"/>
      <c r="L98" s="67"/>
      <c r="M98" s="60"/>
      <c r="N98" s="62"/>
      <c r="O98" s="132"/>
      <c r="P98" s="60"/>
      <c r="Q98" s="60"/>
      <c r="R98" s="60"/>
      <c r="S98" s="60"/>
      <c r="T98" s="60"/>
      <c r="U98" s="60"/>
      <c r="V98" s="147" t="str">
        <f t="shared" si="4"/>
        <v/>
      </c>
      <c r="W98" s="7"/>
      <c r="X98" s="7"/>
      <c r="Y98" s="7"/>
      <c r="Z98" s="7"/>
    </row>
    <row r="99" ht="14.25" customHeight="1">
      <c r="A99" s="7"/>
      <c r="B99" s="7" t="s">
        <v>930</v>
      </c>
      <c r="C99" s="44"/>
      <c r="D99" s="44"/>
      <c r="E99" s="66">
        <v>16.0</v>
      </c>
      <c r="F99" s="45" t="s">
        <v>931</v>
      </c>
      <c r="G99" s="31"/>
      <c r="H99" s="32"/>
      <c r="I99" s="66" t="s">
        <v>610</v>
      </c>
      <c r="J99" s="60"/>
      <c r="K99" s="60"/>
      <c r="L99" s="67"/>
      <c r="M99" s="60"/>
      <c r="N99" s="62"/>
      <c r="O99" s="132"/>
      <c r="P99" s="60"/>
      <c r="Q99" s="60"/>
      <c r="R99" s="60"/>
      <c r="S99" s="60"/>
      <c r="T99" s="60"/>
      <c r="U99" s="60"/>
      <c r="V99" s="147" t="str">
        <f t="shared" si="4"/>
        <v/>
      </c>
      <c r="W99" s="7"/>
      <c r="X99" s="7"/>
      <c r="Y99" s="7"/>
      <c r="Z99" s="7"/>
    </row>
    <row r="100" ht="14.25" customHeight="1">
      <c r="A100" s="7"/>
      <c r="B100" s="7" t="s">
        <v>932</v>
      </c>
      <c r="C100" s="44"/>
      <c r="D100" s="44"/>
      <c r="E100" s="66">
        <v>17.0</v>
      </c>
      <c r="F100" s="45" t="s">
        <v>933</v>
      </c>
      <c r="G100" s="31"/>
      <c r="H100" s="32"/>
      <c r="I100" s="66" t="s">
        <v>610</v>
      </c>
      <c r="J100" s="60"/>
      <c r="K100" s="60"/>
      <c r="L100" s="67"/>
      <c r="M100" s="60"/>
      <c r="N100" s="62"/>
      <c r="O100" s="132"/>
      <c r="P100" s="60"/>
      <c r="Q100" s="60"/>
      <c r="R100" s="60"/>
      <c r="S100" s="60"/>
      <c r="T100" s="60"/>
      <c r="U100" s="60"/>
      <c r="V100" s="147" t="str">
        <f t="shared" si="4"/>
        <v/>
      </c>
      <c r="W100" s="7"/>
      <c r="X100" s="7"/>
      <c r="Y100" s="7"/>
      <c r="Z100" s="7"/>
    </row>
    <row r="101" ht="14.25" customHeight="1">
      <c r="A101" s="7"/>
      <c r="B101" s="7" t="s">
        <v>934</v>
      </c>
      <c r="C101" s="44"/>
      <c r="D101" s="44"/>
      <c r="E101" s="66">
        <v>18.0</v>
      </c>
      <c r="F101" s="45" t="s">
        <v>935</v>
      </c>
      <c r="G101" s="31"/>
      <c r="H101" s="32"/>
      <c r="I101" s="66" t="s">
        <v>610</v>
      </c>
      <c r="J101" s="60"/>
      <c r="K101" s="60"/>
      <c r="L101" s="67"/>
      <c r="M101" s="47">
        <v>98.32</v>
      </c>
      <c r="N101" s="50">
        <v>99.21</v>
      </c>
      <c r="O101" s="132"/>
      <c r="P101" s="60"/>
      <c r="Q101" s="60"/>
      <c r="R101" s="60"/>
      <c r="S101" s="60"/>
      <c r="T101" s="60"/>
      <c r="U101" s="60"/>
      <c r="V101" s="147">
        <f t="shared" si="4"/>
        <v>98.765</v>
      </c>
      <c r="W101" s="7"/>
      <c r="X101" s="7"/>
      <c r="Y101" s="7"/>
      <c r="Z101" s="7"/>
    </row>
    <row r="102" ht="14.25" customHeight="1">
      <c r="A102" s="7"/>
      <c r="B102" s="7" t="s">
        <v>936</v>
      </c>
      <c r="C102" s="44"/>
      <c r="D102" s="44"/>
      <c r="E102" s="66">
        <v>19.0</v>
      </c>
      <c r="F102" s="45" t="s">
        <v>937</v>
      </c>
      <c r="G102" s="31"/>
      <c r="H102" s="32"/>
      <c r="I102" s="66" t="s">
        <v>610</v>
      </c>
      <c r="J102" s="47">
        <v>85.04</v>
      </c>
      <c r="K102" s="47">
        <v>85.5</v>
      </c>
      <c r="L102" s="47">
        <v>85.04</v>
      </c>
      <c r="M102" s="47">
        <v>84.8</v>
      </c>
      <c r="N102" s="50">
        <v>84.7</v>
      </c>
      <c r="O102" s="47"/>
      <c r="P102" s="47"/>
      <c r="Q102" s="47"/>
      <c r="R102" s="47"/>
      <c r="S102" s="47"/>
      <c r="T102" s="47"/>
      <c r="U102" s="47"/>
      <c r="V102" s="147">
        <f t="shared" si="4"/>
        <v>85.016</v>
      </c>
      <c r="W102" s="7"/>
      <c r="X102" s="7"/>
      <c r="Y102" s="7"/>
      <c r="Z102" s="7"/>
    </row>
    <row r="103" ht="14.25" customHeight="1">
      <c r="A103" s="7"/>
      <c r="B103" s="7" t="s">
        <v>938</v>
      </c>
      <c r="C103" s="44"/>
      <c r="D103" s="44"/>
      <c r="E103" s="66">
        <v>20.0</v>
      </c>
      <c r="F103" s="45" t="s">
        <v>939</v>
      </c>
      <c r="G103" s="31"/>
      <c r="H103" s="32"/>
      <c r="I103" s="66" t="s">
        <v>610</v>
      </c>
      <c r="J103" s="60"/>
      <c r="K103" s="60"/>
      <c r="L103" s="60"/>
      <c r="M103" s="60"/>
      <c r="N103" s="62"/>
      <c r="O103" s="60"/>
      <c r="P103" s="60"/>
      <c r="Q103" s="60"/>
      <c r="R103" s="60"/>
      <c r="S103" s="60"/>
      <c r="T103" s="60"/>
      <c r="U103" s="60"/>
      <c r="V103" s="147" t="str">
        <f t="shared" si="4"/>
        <v/>
      </c>
      <c r="W103" s="7"/>
      <c r="X103" s="7"/>
      <c r="Y103" s="7"/>
      <c r="Z103" s="7"/>
    </row>
    <row r="104" ht="14.25" customHeight="1">
      <c r="A104" s="7"/>
      <c r="B104" s="7" t="s">
        <v>940</v>
      </c>
      <c r="C104" s="44"/>
      <c r="D104" s="44"/>
      <c r="E104" s="66">
        <v>21.0</v>
      </c>
      <c r="F104" s="45" t="s">
        <v>941</v>
      </c>
      <c r="G104" s="31"/>
      <c r="H104" s="32"/>
      <c r="I104" s="66" t="s">
        <v>610</v>
      </c>
      <c r="J104" s="60"/>
      <c r="K104" s="60"/>
      <c r="L104" s="60"/>
      <c r="M104" s="60"/>
      <c r="N104" s="62"/>
      <c r="O104" s="60"/>
      <c r="P104" s="60"/>
      <c r="Q104" s="60"/>
      <c r="R104" s="60"/>
      <c r="S104" s="60"/>
      <c r="T104" s="60"/>
      <c r="U104" s="60"/>
      <c r="V104" s="147" t="str">
        <f t="shared" si="4"/>
        <v/>
      </c>
      <c r="W104" s="7"/>
      <c r="X104" s="7"/>
      <c r="Y104" s="7"/>
      <c r="Z104" s="7"/>
    </row>
    <row r="105" ht="14.25" customHeight="1">
      <c r="A105" s="7"/>
      <c r="B105" s="7" t="s">
        <v>942</v>
      </c>
      <c r="C105" s="44"/>
      <c r="D105" s="44"/>
      <c r="E105" s="66">
        <v>22.0</v>
      </c>
      <c r="F105" s="45" t="s">
        <v>943</v>
      </c>
      <c r="G105" s="31"/>
      <c r="H105" s="32"/>
      <c r="I105" s="66" t="s">
        <v>610</v>
      </c>
      <c r="J105" s="47">
        <v>98.01</v>
      </c>
      <c r="K105" s="47">
        <v>98.5</v>
      </c>
      <c r="L105" s="47">
        <v>98.01</v>
      </c>
      <c r="M105" s="47">
        <v>98.33</v>
      </c>
      <c r="N105" s="50">
        <v>97.7</v>
      </c>
      <c r="O105" s="47"/>
      <c r="P105" s="47"/>
      <c r="Q105" s="47"/>
      <c r="R105" s="47"/>
      <c r="S105" s="47"/>
      <c r="T105" s="47"/>
      <c r="U105" s="47"/>
      <c r="V105" s="147">
        <f t="shared" si="4"/>
        <v>98.11</v>
      </c>
      <c r="W105" s="7"/>
      <c r="X105" s="7"/>
      <c r="Y105" s="7"/>
      <c r="Z105" s="7"/>
    </row>
    <row r="106" ht="14.25" customHeight="1">
      <c r="A106" s="7"/>
      <c r="B106" s="7" t="s">
        <v>944</v>
      </c>
      <c r="C106" s="44"/>
      <c r="D106" s="44"/>
      <c r="E106" s="66">
        <v>23.0</v>
      </c>
      <c r="F106" s="45" t="s">
        <v>945</v>
      </c>
      <c r="G106" s="31"/>
      <c r="H106" s="32"/>
      <c r="I106" s="66" t="s">
        <v>610</v>
      </c>
      <c r="J106" s="60"/>
      <c r="K106" s="67"/>
      <c r="L106" s="67"/>
      <c r="M106" s="60"/>
      <c r="N106" s="67"/>
      <c r="O106" s="132"/>
      <c r="P106" s="67"/>
      <c r="Q106" s="60"/>
      <c r="R106" s="60"/>
      <c r="S106" s="60"/>
      <c r="T106" s="60"/>
      <c r="U106" s="64"/>
      <c r="V106" s="147" t="str">
        <f t="shared" si="4"/>
        <v/>
      </c>
      <c r="W106" s="7"/>
      <c r="X106" s="7"/>
      <c r="Y106" s="7"/>
      <c r="Z106" s="7"/>
    </row>
    <row r="107" ht="14.25" customHeight="1">
      <c r="A107" s="7"/>
      <c r="B107" s="7" t="s">
        <v>946</v>
      </c>
      <c r="C107" s="44"/>
      <c r="D107" s="44"/>
      <c r="E107" s="66">
        <v>24.0</v>
      </c>
      <c r="F107" s="45" t="s">
        <v>947</v>
      </c>
      <c r="G107" s="31"/>
      <c r="H107" s="32"/>
      <c r="I107" s="66" t="s">
        <v>610</v>
      </c>
      <c r="J107" s="60"/>
      <c r="K107" s="67"/>
      <c r="L107" s="67"/>
      <c r="M107" s="60"/>
      <c r="N107" s="67"/>
      <c r="O107" s="132"/>
      <c r="P107" s="67"/>
      <c r="Q107" s="60"/>
      <c r="R107" s="60"/>
      <c r="S107" s="60"/>
      <c r="T107" s="60"/>
      <c r="U107" s="64"/>
      <c r="V107" s="147" t="str">
        <f t="shared" si="4"/>
        <v/>
      </c>
      <c r="W107" s="7"/>
      <c r="X107" s="7"/>
      <c r="Y107" s="7"/>
      <c r="Z107" s="7"/>
    </row>
    <row r="108" ht="14.25" customHeight="1">
      <c r="A108" s="7"/>
      <c r="B108" s="7" t="s">
        <v>948</v>
      </c>
      <c r="C108" s="44"/>
      <c r="D108" s="44"/>
      <c r="E108" s="66">
        <v>25.0</v>
      </c>
      <c r="F108" s="45" t="s">
        <v>949</v>
      </c>
      <c r="G108" s="31"/>
      <c r="H108" s="32"/>
      <c r="I108" s="66" t="s">
        <v>610</v>
      </c>
      <c r="J108" s="60"/>
      <c r="K108" s="67"/>
      <c r="L108" s="67"/>
      <c r="M108" s="60"/>
      <c r="N108" s="67"/>
      <c r="O108" s="132"/>
      <c r="P108" s="67"/>
      <c r="Q108" s="60"/>
      <c r="R108" s="60"/>
      <c r="S108" s="60"/>
      <c r="T108" s="60"/>
      <c r="U108" s="64"/>
      <c r="V108" s="147" t="str">
        <f t="shared" si="4"/>
        <v/>
      </c>
      <c r="W108" s="7"/>
      <c r="X108" s="7"/>
      <c r="Y108" s="7"/>
      <c r="Z108" s="7"/>
    </row>
    <row r="109" ht="14.25" customHeight="1">
      <c r="A109" s="7"/>
      <c r="B109" s="7" t="s">
        <v>950</v>
      </c>
      <c r="C109" s="44"/>
      <c r="D109" s="44"/>
      <c r="E109" s="66">
        <v>26.0</v>
      </c>
      <c r="F109" s="45" t="s">
        <v>951</v>
      </c>
      <c r="G109" s="31"/>
      <c r="H109" s="32"/>
      <c r="I109" s="66" t="s">
        <v>610</v>
      </c>
      <c r="J109" s="60"/>
      <c r="K109" s="67"/>
      <c r="L109" s="67"/>
      <c r="M109" s="60"/>
      <c r="N109" s="67"/>
      <c r="O109" s="132"/>
      <c r="P109" s="67"/>
      <c r="Q109" s="60"/>
      <c r="R109" s="60"/>
      <c r="S109" s="60"/>
      <c r="T109" s="60"/>
      <c r="U109" s="64"/>
      <c r="V109" s="147" t="str">
        <f t="shared" si="4"/>
        <v/>
      </c>
      <c r="W109" s="7"/>
      <c r="X109" s="7"/>
      <c r="Y109" s="7"/>
      <c r="Z109" s="7"/>
    </row>
    <row r="110" ht="14.25" customHeight="1">
      <c r="A110" s="7"/>
      <c r="B110" s="7" t="s">
        <v>952</v>
      </c>
      <c r="C110" s="44"/>
      <c r="D110" s="44"/>
      <c r="E110" s="66">
        <v>27.0</v>
      </c>
      <c r="F110" s="45" t="s">
        <v>953</v>
      </c>
      <c r="G110" s="31"/>
      <c r="H110" s="32"/>
      <c r="I110" s="66" t="s">
        <v>610</v>
      </c>
      <c r="J110" s="60"/>
      <c r="K110" s="67"/>
      <c r="L110" s="67"/>
      <c r="M110" s="60"/>
      <c r="N110" s="67"/>
      <c r="O110" s="132"/>
      <c r="P110" s="67"/>
      <c r="Q110" s="60"/>
      <c r="R110" s="60"/>
      <c r="S110" s="60"/>
      <c r="T110" s="60"/>
      <c r="U110" s="64"/>
      <c r="V110" s="147" t="str">
        <f t="shared" si="4"/>
        <v/>
      </c>
      <c r="W110" s="7"/>
      <c r="X110" s="7"/>
      <c r="Y110" s="7"/>
      <c r="Z110" s="7"/>
    </row>
    <row r="111" ht="14.25" customHeight="1">
      <c r="A111" s="7"/>
      <c r="B111" s="7" t="s">
        <v>954</v>
      </c>
      <c r="C111" s="44"/>
      <c r="D111" s="44"/>
      <c r="E111" s="66">
        <v>28.0</v>
      </c>
      <c r="F111" s="45" t="s">
        <v>955</v>
      </c>
      <c r="G111" s="31"/>
      <c r="H111" s="32"/>
      <c r="I111" s="66" t="s">
        <v>610</v>
      </c>
      <c r="J111" s="60"/>
      <c r="K111" s="67"/>
      <c r="L111" s="67"/>
      <c r="M111" s="60"/>
      <c r="N111" s="67"/>
      <c r="O111" s="132"/>
      <c r="P111" s="67"/>
      <c r="Q111" s="60"/>
      <c r="R111" s="60"/>
      <c r="S111" s="60"/>
      <c r="T111" s="60"/>
      <c r="U111" s="64"/>
      <c r="V111" s="147" t="str">
        <f t="shared" si="4"/>
        <v/>
      </c>
      <c r="W111" s="7"/>
      <c r="X111" s="7"/>
      <c r="Y111" s="7"/>
      <c r="Z111" s="7"/>
    </row>
    <row r="112" ht="14.25" customHeight="1">
      <c r="A112" s="7"/>
      <c r="B112" s="7"/>
      <c r="C112" s="44"/>
      <c r="D112" s="44"/>
      <c r="E112" s="66"/>
      <c r="F112" s="45"/>
      <c r="G112" s="31"/>
      <c r="H112" s="32"/>
      <c r="I112" s="66"/>
      <c r="J112" s="145"/>
      <c r="K112" s="145"/>
      <c r="L112" s="145"/>
      <c r="M112" s="145"/>
      <c r="N112" s="145"/>
      <c r="O112" s="145"/>
      <c r="P112" s="145"/>
      <c r="Q112" s="43"/>
      <c r="R112" s="43"/>
      <c r="S112" s="74"/>
      <c r="T112" s="145"/>
      <c r="U112" s="74"/>
      <c r="V112" s="127"/>
      <c r="W112" s="7"/>
      <c r="X112" s="7"/>
      <c r="Y112" s="7"/>
      <c r="Z112" s="7"/>
    </row>
    <row r="113" ht="14.25" customHeight="1">
      <c r="A113" s="7"/>
      <c r="B113" s="7"/>
      <c r="C113" s="44"/>
      <c r="D113" s="44">
        <v>2.0</v>
      </c>
      <c r="E113" s="45" t="s">
        <v>956</v>
      </c>
      <c r="F113" s="31"/>
      <c r="G113" s="31"/>
      <c r="H113" s="32"/>
      <c r="I113" s="66"/>
      <c r="J113" s="119"/>
      <c r="K113" s="119"/>
      <c r="L113" s="119"/>
      <c r="M113" s="119"/>
      <c r="N113" s="119"/>
      <c r="O113" s="119"/>
      <c r="P113" s="119"/>
      <c r="Q113" s="43"/>
      <c r="R113" s="43"/>
      <c r="S113" s="74"/>
      <c r="T113" s="119"/>
      <c r="U113" s="74"/>
      <c r="V113" s="119"/>
      <c r="W113" s="7"/>
      <c r="X113" s="7"/>
      <c r="Y113" s="7"/>
      <c r="Z113" s="7"/>
    </row>
    <row r="114" ht="14.25" customHeight="1">
      <c r="A114" s="7"/>
      <c r="B114" s="7" t="s">
        <v>957</v>
      </c>
      <c r="C114" s="44"/>
      <c r="D114" s="44"/>
      <c r="E114" s="66">
        <v>1.0</v>
      </c>
      <c r="F114" s="45" t="s">
        <v>901</v>
      </c>
      <c r="G114" s="31"/>
      <c r="H114" s="32"/>
      <c r="I114" s="66" t="s">
        <v>610</v>
      </c>
      <c r="J114" s="67"/>
      <c r="K114" s="67"/>
      <c r="L114" s="67"/>
      <c r="M114" s="67"/>
      <c r="N114" s="67"/>
      <c r="O114" s="60"/>
      <c r="P114" s="67"/>
      <c r="Q114" s="60"/>
      <c r="R114" s="60"/>
      <c r="S114" s="64"/>
      <c r="T114" s="67"/>
      <c r="U114" s="64"/>
      <c r="V114" s="147" t="str">
        <f t="shared" ref="V114:V141" si="5">IFERROR(AVERAGE(J114:U114),"")</f>
        <v/>
      </c>
      <c r="W114" s="7"/>
      <c r="X114" s="7"/>
      <c r="Y114" s="7"/>
      <c r="Z114" s="7"/>
    </row>
    <row r="115" ht="14.25" customHeight="1">
      <c r="A115" s="7"/>
      <c r="B115" s="7" t="s">
        <v>958</v>
      </c>
      <c r="C115" s="44"/>
      <c r="D115" s="44"/>
      <c r="E115" s="66">
        <v>2.0</v>
      </c>
      <c r="F115" s="45" t="s">
        <v>903</v>
      </c>
      <c r="G115" s="31"/>
      <c r="H115" s="32"/>
      <c r="I115" s="66" t="s">
        <v>610</v>
      </c>
      <c r="J115" s="67"/>
      <c r="K115" s="67"/>
      <c r="L115" s="67"/>
      <c r="M115" s="67"/>
      <c r="N115" s="67"/>
      <c r="O115" s="132"/>
      <c r="P115" s="67"/>
      <c r="Q115" s="60"/>
      <c r="R115" s="60"/>
      <c r="S115" s="64"/>
      <c r="T115" s="67"/>
      <c r="U115" s="64"/>
      <c r="V115" s="147" t="str">
        <f t="shared" si="5"/>
        <v/>
      </c>
      <c r="W115" s="7"/>
      <c r="X115" s="7"/>
      <c r="Y115" s="7"/>
      <c r="Z115" s="7"/>
    </row>
    <row r="116" ht="14.25" customHeight="1">
      <c r="A116" s="7"/>
      <c r="B116" s="7" t="s">
        <v>959</v>
      </c>
      <c r="C116" s="44"/>
      <c r="D116" s="44"/>
      <c r="E116" s="66">
        <v>3.0</v>
      </c>
      <c r="F116" s="45" t="s">
        <v>905</v>
      </c>
      <c r="G116" s="31"/>
      <c r="H116" s="32"/>
      <c r="I116" s="66" t="s">
        <v>610</v>
      </c>
      <c r="J116" s="67"/>
      <c r="K116" s="67"/>
      <c r="L116" s="67"/>
      <c r="M116" s="67"/>
      <c r="N116" s="67"/>
      <c r="O116" s="132"/>
      <c r="P116" s="67"/>
      <c r="Q116" s="60"/>
      <c r="R116" s="60"/>
      <c r="S116" s="64"/>
      <c r="T116" s="67"/>
      <c r="U116" s="64"/>
      <c r="V116" s="147" t="str">
        <f t="shared" si="5"/>
        <v/>
      </c>
      <c r="W116" s="7"/>
      <c r="X116" s="7"/>
      <c r="Y116" s="7"/>
      <c r="Z116" s="7"/>
    </row>
    <row r="117" ht="14.25" customHeight="1">
      <c r="A117" s="7"/>
      <c r="B117" s="7" t="s">
        <v>960</v>
      </c>
      <c r="C117" s="44"/>
      <c r="D117" s="44"/>
      <c r="E117" s="66">
        <v>4.0</v>
      </c>
      <c r="F117" s="45" t="s">
        <v>907</v>
      </c>
      <c r="G117" s="31"/>
      <c r="H117" s="32"/>
      <c r="I117" s="66" t="s">
        <v>610</v>
      </c>
      <c r="J117" s="47">
        <v>15.29</v>
      </c>
      <c r="K117" s="47">
        <v>16.3</v>
      </c>
      <c r="L117" s="47">
        <v>8.85</v>
      </c>
      <c r="M117" s="47">
        <v>13.24</v>
      </c>
      <c r="N117" s="50">
        <v>26.46</v>
      </c>
      <c r="O117" s="47"/>
      <c r="P117" s="47"/>
      <c r="Q117" s="47"/>
      <c r="R117" s="47"/>
      <c r="S117" s="47"/>
      <c r="T117" s="47"/>
      <c r="U117" s="47"/>
      <c r="V117" s="147">
        <f t="shared" si="5"/>
        <v>16.028</v>
      </c>
      <c r="W117" s="7"/>
      <c r="X117" s="7"/>
      <c r="Y117" s="7"/>
      <c r="Z117" s="7"/>
    </row>
    <row r="118" ht="14.25" customHeight="1">
      <c r="A118" s="7"/>
      <c r="B118" s="7" t="s">
        <v>961</v>
      </c>
      <c r="C118" s="44"/>
      <c r="D118" s="44"/>
      <c r="E118" s="66">
        <v>5.0</v>
      </c>
      <c r="F118" s="45" t="s">
        <v>909</v>
      </c>
      <c r="G118" s="31"/>
      <c r="H118" s="32"/>
      <c r="I118" s="66" t="s">
        <v>610</v>
      </c>
      <c r="J118" s="60"/>
      <c r="K118" s="60"/>
      <c r="L118" s="60"/>
      <c r="M118" s="60"/>
      <c r="N118" s="62"/>
      <c r="O118" s="60"/>
      <c r="P118" s="60"/>
      <c r="Q118" s="60"/>
      <c r="R118" s="60"/>
      <c r="S118" s="60"/>
      <c r="T118" s="60"/>
      <c r="U118" s="60"/>
      <c r="V118" s="147" t="str">
        <f t="shared" si="5"/>
        <v/>
      </c>
      <c r="W118" s="7"/>
      <c r="X118" s="7"/>
      <c r="Y118" s="7"/>
      <c r="Z118" s="7"/>
    </row>
    <row r="119" ht="14.25" customHeight="1">
      <c r="A119" s="7"/>
      <c r="B119" s="7" t="s">
        <v>962</v>
      </c>
      <c r="C119" s="44"/>
      <c r="D119" s="44"/>
      <c r="E119" s="66">
        <v>6.0</v>
      </c>
      <c r="F119" s="45" t="s">
        <v>911</v>
      </c>
      <c r="G119" s="31"/>
      <c r="H119" s="32"/>
      <c r="I119" s="66" t="s">
        <v>610</v>
      </c>
      <c r="J119" s="60"/>
      <c r="K119" s="60"/>
      <c r="L119" s="60"/>
      <c r="M119" s="60"/>
      <c r="N119" s="62"/>
      <c r="O119" s="60"/>
      <c r="P119" s="60"/>
      <c r="Q119" s="60"/>
      <c r="R119" s="60"/>
      <c r="S119" s="60"/>
      <c r="T119" s="60"/>
      <c r="U119" s="60"/>
      <c r="V119" s="147" t="str">
        <f t="shared" si="5"/>
        <v/>
      </c>
      <c r="W119" s="7"/>
      <c r="X119" s="7"/>
      <c r="Y119" s="7"/>
      <c r="Z119" s="7"/>
    </row>
    <row r="120" ht="14.25" customHeight="1">
      <c r="A120" s="7"/>
      <c r="B120" s="7" t="s">
        <v>963</v>
      </c>
      <c r="C120" s="44"/>
      <c r="D120" s="44"/>
      <c r="E120" s="66">
        <v>7.0</v>
      </c>
      <c r="F120" s="45" t="s">
        <v>913</v>
      </c>
      <c r="G120" s="31"/>
      <c r="H120" s="32"/>
      <c r="I120" s="66" t="s">
        <v>610</v>
      </c>
      <c r="J120" s="60"/>
      <c r="K120" s="60"/>
      <c r="L120" s="60"/>
      <c r="M120" s="60"/>
      <c r="N120" s="62"/>
      <c r="O120" s="60"/>
      <c r="P120" s="60"/>
      <c r="Q120" s="60"/>
      <c r="R120" s="60"/>
      <c r="S120" s="60"/>
      <c r="T120" s="60"/>
      <c r="U120" s="60"/>
      <c r="V120" s="147" t="str">
        <f t="shared" si="5"/>
        <v/>
      </c>
      <c r="W120" s="7"/>
      <c r="X120" s="7"/>
      <c r="Y120" s="7"/>
      <c r="Z120" s="7"/>
    </row>
    <row r="121" ht="14.25" customHeight="1">
      <c r="A121" s="7"/>
      <c r="B121" s="7" t="s">
        <v>964</v>
      </c>
      <c r="C121" s="44"/>
      <c r="D121" s="44"/>
      <c r="E121" s="66">
        <v>8.0</v>
      </c>
      <c r="F121" s="45" t="s">
        <v>915</v>
      </c>
      <c r="G121" s="31"/>
      <c r="H121" s="32"/>
      <c r="I121" s="66" t="s">
        <v>610</v>
      </c>
      <c r="J121" s="60"/>
      <c r="K121" s="60"/>
      <c r="L121" s="60"/>
      <c r="M121" s="60"/>
      <c r="N121" s="62"/>
      <c r="O121" s="60"/>
      <c r="P121" s="60"/>
      <c r="Q121" s="60"/>
      <c r="R121" s="60"/>
      <c r="S121" s="60"/>
      <c r="T121" s="60"/>
      <c r="U121" s="60"/>
      <c r="V121" s="147" t="str">
        <f t="shared" si="5"/>
        <v/>
      </c>
      <c r="W121" s="7"/>
      <c r="X121" s="7"/>
      <c r="Y121" s="7"/>
      <c r="Z121" s="7"/>
    </row>
    <row r="122" ht="14.25" customHeight="1">
      <c r="A122" s="7"/>
      <c r="B122" s="7" t="s">
        <v>965</v>
      </c>
      <c r="C122" s="44"/>
      <c r="D122" s="44"/>
      <c r="E122" s="66">
        <v>9.0</v>
      </c>
      <c r="F122" s="45" t="s">
        <v>917</v>
      </c>
      <c r="G122" s="31"/>
      <c r="H122" s="32"/>
      <c r="I122" s="66" t="s">
        <v>610</v>
      </c>
      <c r="J122" s="60"/>
      <c r="K122" s="60"/>
      <c r="L122" s="60"/>
      <c r="M122" s="60"/>
      <c r="N122" s="62"/>
      <c r="O122" s="60"/>
      <c r="P122" s="60"/>
      <c r="Q122" s="60"/>
      <c r="R122" s="60"/>
      <c r="S122" s="60"/>
      <c r="T122" s="60"/>
      <c r="U122" s="60"/>
      <c r="V122" s="147" t="str">
        <f t="shared" si="5"/>
        <v/>
      </c>
      <c r="W122" s="7"/>
      <c r="X122" s="7"/>
      <c r="Y122" s="7"/>
      <c r="Z122" s="7"/>
    </row>
    <row r="123" ht="14.25" customHeight="1">
      <c r="A123" s="7"/>
      <c r="B123" s="7" t="s">
        <v>966</v>
      </c>
      <c r="C123" s="44"/>
      <c r="D123" s="44"/>
      <c r="E123" s="66">
        <v>10.0</v>
      </c>
      <c r="F123" s="45" t="s">
        <v>919</v>
      </c>
      <c r="G123" s="31"/>
      <c r="H123" s="32"/>
      <c r="I123" s="66" t="s">
        <v>610</v>
      </c>
      <c r="J123" s="60"/>
      <c r="K123" s="60"/>
      <c r="L123" s="60"/>
      <c r="M123" s="60"/>
      <c r="N123" s="62"/>
      <c r="O123" s="60"/>
      <c r="P123" s="60"/>
      <c r="Q123" s="60"/>
      <c r="R123" s="60"/>
      <c r="S123" s="60"/>
      <c r="T123" s="60"/>
      <c r="U123" s="60"/>
      <c r="V123" s="147" t="str">
        <f t="shared" si="5"/>
        <v/>
      </c>
      <c r="W123" s="7"/>
      <c r="X123" s="7"/>
      <c r="Y123" s="7"/>
      <c r="Z123" s="7"/>
    </row>
    <row r="124" ht="14.25" customHeight="1">
      <c r="A124" s="7"/>
      <c r="B124" s="7" t="s">
        <v>967</v>
      </c>
      <c r="C124" s="44"/>
      <c r="D124" s="44"/>
      <c r="E124" s="66">
        <v>11.0</v>
      </c>
      <c r="F124" s="45" t="s">
        <v>921</v>
      </c>
      <c r="G124" s="31"/>
      <c r="H124" s="32"/>
      <c r="I124" s="66" t="s">
        <v>610</v>
      </c>
      <c r="J124" s="60"/>
      <c r="K124" s="60"/>
      <c r="L124" s="60"/>
      <c r="M124" s="60"/>
      <c r="N124" s="62"/>
      <c r="O124" s="60"/>
      <c r="P124" s="60"/>
      <c r="Q124" s="60"/>
      <c r="R124" s="60"/>
      <c r="S124" s="60"/>
      <c r="T124" s="60"/>
      <c r="U124" s="60"/>
      <c r="V124" s="147" t="str">
        <f t="shared" si="5"/>
        <v/>
      </c>
      <c r="W124" s="7"/>
      <c r="X124" s="7"/>
      <c r="Y124" s="7"/>
      <c r="Z124" s="7"/>
    </row>
    <row r="125" ht="14.25" customHeight="1">
      <c r="A125" s="7"/>
      <c r="B125" s="7" t="s">
        <v>968</v>
      </c>
      <c r="C125" s="44"/>
      <c r="D125" s="44"/>
      <c r="E125" s="66">
        <v>12.0</v>
      </c>
      <c r="F125" s="45" t="s">
        <v>923</v>
      </c>
      <c r="G125" s="31"/>
      <c r="H125" s="32"/>
      <c r="I125" s="66" t="s">
        <v>610</v>
      </c>
      <c r="J125" s="47">
        <v>2.15</v>
      </c>
      <c r="K125" s="47">
        <v>3.2</v>
      </c>
      <c r="L125" s="47">
        <v>3.0</v>
      </c>
      <c r="M125" s="47">
        <v>5.71</v>
      </c>
      <c r="N125" s="50">
        <v>4.0</v>
      </c>
      <c r="O125" s="47"/>
      <c r="P125" s="47"/>
      <c r="Q125" s="47"/>
      <c r="R125" s="47"/>
      <c r="S125" s="47"/>
      <c r="T125" s="47"/>
      <c r="U125" s="47"/>
      <c r="V125" s="147">
        <f t="shared" si="5"/>
        <v>3.612</v>
      </c>
      <c r="W125" s="7"/>
      <c r="X125" s="7"/>
      <c r="Y125" s="7"/>
      <c r="Z125" s="7"/>
    </row>
    <row r="126" ht="14.25" customHeight="1">
      <c r="A126" s="7"/>
      <c r="B126" s="7" t="s">
        <v>969</v>
      </c>
      <c r="C126" s="44"/>
      <c r="D126" s="44"/>
      <c r="E126" s="66">
        <v>13.0</v>
      </c>
      <c r="F126" s="45" t="s">
        <v>925</v>
      </c>
      <c r="G126" s="31"/>
      <c r="H126" s="32"/>
      <c r="I126" s="66" t="s">
        <v>610</v>
      </c>
      <c r="J126" s="60"/>
      <c r="K126" s="60"/>
      <c r="L126" s="67"/>
      <c r="M126" s="67"/>
      <c r="N126" s="62"/>
      <c r="O126" s="132"/>
      <c r="P126" s="60"/>
      <c r="Q126" s="60"/>
      <c r="R126" s="60"/>
      <c r="S126" s="60"/>
      <c r="T126" s="60"/>
      <c r="U126" s="60"/>
      <c r="V126" s="147" t="str">
        <f t="shared" si="5"/>
        <v/>
      </c>
      <c r="W126" s="7"/>
      <c r="X126" s="7"/>
      <c r="Y126" s="7"/>
      <c r="Z126" s="7"/>
    </row>
    <row r="127" ht="14.25" customHeight="1">
      <c r="A127" s="7"/>
      <c r="B127" s="7" t="s">
        <v>970</v>
      </c>
      <c r="C127" s="44"/>
      <c r="D127" s="44"/>
      <c r="E127" s="66">
        <v>14.0</v>
      </c>
      <c r="F127" s="45" t="s">
        <v>927</v>
      </c>
      <c r="G127" s="31"/>
      <c r="H127" s="32"/>
      <c r="I127" s="66" t="s">
        <v>610</v>
      </c>
      <c r="J127" s="60"/>
      <c r="K127" s="60"/>
      <c r="L127" s="67"/>
      <c r="M127" s="67"/>
      <c r="N127" s="62"/>
      <c r="O127" s="132"/>
      <c r="P127" s="60"/>
      <c r="Q127" s="60"/>
      <c r="R127" s="60"/>
      <c r="S127" s="60"/>
      <c r="T127" s="60"/>
      <c r="U127" s="60"/>
      <c r="V127" s="147" t="str">
        <f t="shared" si="5"/>
        <v/>
      </c>
      <c r="W127" s="7"/>
      <c r="X127" s="7"/>
      <c r="Y127" s="7"/>
      <c r="Z127" s="7"/>
    </row>
    <row r="128" ht="14.25" customHeight="1">
      <c r="A128" s="7"/>
      <c r="B128" s="7" t="s">
        <v>971</v>
      </c>
      <c r="C128" s="44"/>
      <c r="D128" s="44"/>
      <c r="E128" s="66">
        <v>15.0</v>
      </c>
      <c r="F128" s="45" t="s">
        <v>929</v>
      </c>
      <c r="G128" s="31"/>
      <c r="H128" s="32"/>
      <c r="I128" s="66" t="s">
        <v>610</v>
      </c>
      <c r="J128" s="60"/>
      <c r="K128" s="60"/>
      <c r="L128" s="67"/>
      <c r="M128" s="67"/>
      <c r="N128" s="62"/>
      <c r="O128" s="132"/>
      <c r="P128" s="60"/>
      <c r="Q128" s="60"/>
      <c r="R128" s="60"/>
      <c r="S128" s="60"/>
      <c r="T128" s="60"/>
      <c r="U128" s="60"/>
      <c r="V128" s="147" t="str">
        <f t="shared" si="5"/>
        <v/>
      </c>
      <c r="W128" s="7"/>
      <c r="X128" s="7"/>
      <c r="Y128" s="7"/>
      <c r="Z128" s="7"/>
    </row>
    <row r="129" ht="14.25" customHeight="1">
      <c r="A129" s="7"/>
      <c r="B129" s="7" t="s">
        <v>972</v>
      </c>
      <c r="C129" s="44"/>
      <c r="D129" s="44"/>
      <c r="E129" s="66">
        <v>16.0</v>
      </c>
      <c r="F129" s="45" t="s">
        <v>931</v>
      </c>
      <c r="G129" s="31"/>
      <c r="H129" s="32"/>
      <c r="I129" s="66" t="s">
        <v>610</v>
      </c>
      <c r="J129" s="60"/>
      <c r="K129" s="60"/>
      <c r="L129" s="67"/>
      <c r="M129" s="67"/>
      <c r="N129" s="62"/>
      <c r="O129" s="132"/>
      <c r="P129" s="60"/>
      <c r="Q129" s="60"/>
      <c r="R129" s="60"/>
      <c r="S129" s="60"/>
      <c r="T129" s="60"/>
      <c r="U129" s="60"/>
      <c r="V129" s="147" t="str">
        <f t="shared" si="5"/>
        <v/>
      </c>
      <c r="W129" s="7"/>
      <c r="X129" s="7"/>
      <c r="Y129" s="7"/>
      <c r="Z129" s="7"/>
    </row>
    <row r="130" ht="14.25" customHeight="1">
      <c r="A130" s="7"/>
      <c r="B130" s="7" t="s">
        <v>973</v>
      </c>
      <c r="C130" s="44"/>
      <c r="D130" s="44"/>
      <c r="E130" s="66">
        <v>17.0</v>
      </c>
      <c r="F130" s="45" t="s">
        <v>933</v>
      </c>
      <c r="G130" s="31"/>
      <c r="H130" s="32"/>
      <c r="I130" s="66" t="s">
        <v>610</v>
      </c>
      <c r="J130" s="60"/>
      <c r="K130" s="60"/>
      <c r="L130" s="67"/>
      <c r="M130" s="67"/>
      <c r="N130" s="62"/>
      <c r="O130" s="132"/>
      <c r="P130" s="60"/>
      <c r="Q130" s="60"/>
      <c r="R130" s="60"/>
      <c r="S130" s="60"/>
      <c r="T130" s="60"/>
      <c r="U130" s="60"/>
      <c r="V130" s="147" t="str">
        <f t="shared" si="5"/>
        <v/>
      </c>
      <c r="W130" s="7"/>
      <c r="X130" s="7"/>
      <c r="Y130" s="7"/>
      <c r="Z130" s="7"/>
    </row>
    <row r="131" ht="14.25" customHeight="1">
      <c r="A131" s="7"/>
      <c r="B131" s="7" t="s">
        <v>974</v>
      </c>
      <c r="C131" s="44"/>
      <c r="D131" s="44"/>
      <c r="E131" s="66">
        <v>18.0</v>
      </c>
      <c r="F131" s="45" t="s">
        <v>935</v>
      </c>
      <c r="G131" s="31"/>
      <c r="H131" s="32"/>
      <c r="I131" s="66" t="s">
        <v>610</v>
      </c>
      <c r="J131" s="47">
        <v>15.29</v>
      </c>
      <c r="K131" s="47">
        <v>22.73</v>
      </c>
      <c r="L131" s="47">
        <v>9.85</v>
      </c>
      <c r="M131" s="47">
        <v>16.25</v>
      </c>
      <c r="N131" s="50">
        <v>26.46</v>
      </c>
      <c r="O131" s="132"/>
      <c r="P131" s="60"/>
      <c r="Q131" s="60"/>
      <c r="R131" s="60"/>
      <c r="S131" s="60"/>
      <c r="T131" s="60"/>
      <c r="U131" s="60"/>
      <c r="V131" s="147">
        <f t="shared" si="5"/>
        <v>18.116</v>
      </c>
      <c r="W131" s="7"/>
      <c r="X131" s="7"/>
      <c r="Y131" s="7"/>
      <c r="Z131" s="7"/>
    </row>
    <row r="132" ht="14.25" customHeight="1">
      <c r="A132" s="7"/>
      <c r="B132" s="7" t="s">
        <v>975</v>
      </c>
      <c r="C132" s="44"/>
      <c r="D132" s="44"/>
      <c r="E132" s="66">
        <v>19.0</v>
      </c>
      <c r="F132" s="45" t="s">
        <v>937</v>
      </c>
      <c r="G132" s="31"/>
      <c r="H132" s="32"/>
      <c r="I132" s="66" t="s">
        <v>610</v>
      </c>
      <c r="J132" s="47">
        <v>6.76</v>
      </c>
      <c r="K132" s="47">
        <v>6.57</v>
      </c>
      <c r="L132" s="47">
        <v>2.04</v>
      </c>
      <c r="M132" s="47">
        <v>5.71</v>
      </c>
      <c r="N132" s="50">
        <v>7.14</v>
      </c>
      <c r="O132" s="47"/>
      <c r="P132" s="47"/>
      <c r="Q132" s="47"/>
      <c r="R132" s="47"/>
      <c r="S132" s="47"/>
      <c r="T132" s="47"/>
      <c r="U132" s="47"/>
      <c r="V132" s="147">
        <f t="shared" si="5"/>
        <v>5.644</v>
      </c>
      <c r="W132" s="7"/>
      <c r="X132" s="7"/>
      <c r="Y132" s="7"/>
      <c r="Z132" s="7"/>
    </row>
    <row r="133" ht="14.25" customHeight="1">
      <c r="A133" s="7"/>
      <c r="B133" s="7" t="s">
        <v>976</v>
      </c>
      <c r="C133" s="44"/>
      <c r="D133" s="44"/>
      <c r="E133" s="66">
        <v>20.0</v>
      </c>
      <c r="F133" s="45" t="s">
        <v>939</v>
      </c>
      <c r="G133" s="31"/>
      <c r="H133" s="32"/>
      <c r="I133" s="66" t="s">
        <v>610</v>
      </c>
      <c r="J133" s="60"/>
      <c r="K133" s="60"/>
      <c r="L133" s="60"/>
      <c r="M133" s="60"/>
      <c r="N133" s="62"/>
      <c r="O133" s="60"/>
      <c r="P133" s="60"/>
      <c r="Q133" s="60"/>
      <c r="R133" s="60"/>
      <c r="S133" s="60"/>
      <c r="T133" s="60"/>
      <c r="U133" s="60"/>
      <c r="V133" s="147" t="str">
        <f t="shared" si="5"/>
        <v/>
      </c>
      <c r="W133" s="7"/>
      <c r="X133" s="7"/>
      <c r="Y133" s="7"/>
      <c r="Z133" s="7"/>
    </row>
    <row r="134" ht="14.25" customHeight="1">
      <c r="A134" s="7"/>
      <c r="B134" s="7" t="s">
        <v>977</v>
      </c>
      <c r="C134" s="44"/>
      <c r="D134" s="44"/>
      <c r="E134" s="66">
        <v>21.0</v>
      </c>
      <c r="F134" s="45" t="s">
        <v>941</v>
      </c>
      <c r="G134" s="31"/>
      <c r="H134" s="32"/>
      <c r="I134" s="66" t="s">
        <v>610</v>
      </c>
      <c r="J134" s="60"/>
      <c r="K134" s="60"/>
      <c r="L134" s="60"/>
      <c r="M134" s="60"/>
      <c r="N134" s="62"/>
      <c r="O134" s="60"/>
      <c r="P134" s="60"/>
      <c r="Q134" s="60"/>
      <c r="R134" s="60"/>
      <c r="S134" s="60"/>
      <c r="T134" s="60"/>
      <c r="U134" s="60"/>
      <c r="V134" s="147" t="str">
        <f t="shared" si="5"/>
        <v/>
      </c>
      <c r="W134" s="7"/>
      <c r="X134" s="7"/>
      <c r="Y134" s="7"/>
      <c r="Z134" s="7"/>
    </row>
    <row r="135" ht="14.25" customHeight="1">
      <c r="A135" s="7"/>
      <c r="B135" s="7" t="s">
        <v>978</v>
      </c>
      <c r="C135" s="44"/>
      <c r="D135" s="44"/>
      <c r="E135" s="66">
        <v>22.0</v>
      </c>
      <c r="F135" s="45" t="s">
        <v>943</v>
      </c>
      <c r="G135" s="31"/>
      <c r="H135" s="32"/>
      <c r="I135" s="66" t="s">
        <v>610</v>
      </c>
      <c r="J135" s="47">
        <v>4.84</v>
      </c>
      <c r="K135" s="47">
        <v>4.66</v>
      </c>
      <c r="L135" s="47">
        <v>4.11</v>
      </c>
      <c r="M135" s="47">
        <v>4.05</v>
      </c>
      <c r="N135" s="50">
        <v>8.09</v>
      </c>
      <c r="O135" s="47"/>
      <c r="P135" s="47"/>
      <c r="Q135" s="47"/>
      <c r="R135" s="47"/>
      <c r="S135" s="47"/>
      <c r="T135" s="47"/>
      <c r="U135" s="47"/>
      <c r="V135" s="147">
        <f t="shared" si="5"/>
        <v>5.15</v>
      </c>
      <c r="W135" s="7"/>
      <c r="X135" s="7"/>
      <c r="Y135" s="7"/>
      <c r="Z135" s="7"/>
    </row>
    <row r="136" ht="14.25" customHeight="1">
      <c r="A136" s="7"/>
      <c r="B136" s="7" t="s">
        <v>979</v>
      </c>
      <c r="C136" s="44"/>
      <c r="D136" s="44"/>
      <c r="E136" s="66">
        <v>23.0</v>
      </c>
      <c r="F136" s="45" t="s">
        <v>945</v>
      </c>
      <c r="G136" s="31"/>
      <c r="H136" s="32"/>
      <c r="I136" s="66" t="s">
        <v>610</v>
      </c>
      <c r="J136" s="60"/>
      <c r="K136" s="60"/>
      <c r="L136" s="60"/>
      <c r="M136" s="60"/>
      <c r="N136" s="62"/>
      <c r="O136" s="132"/>
      <c r="P136" s="67"/>
      <c r="Q136" s="60"/>
      <c r="R136" s="60"/>
      <c r="S136" s="60"/>
      <c r="T136" s="60"/>
      <c r="U136" s="64"/>
      <c r="V136" s="147" t="str">
        <f t="shared" si="5"/>
        <v/>
      </c>
      <c r="W136" s="7"/>
      <c r="X136" s="7"/>
      <c r="Y136" s="7"/>
      <c r="Z136" s="7"/>
    </row>
    <row r="137" ht="14.25" customHeight="1">
      <c r="A137" s="7"/>
      <c r="B137" s="7" t="s">
        <v>980</v>
      </c>
      <c r="C137" s="44"/>
      <c r="D137" s="44"/>
      <c r="E137" s="66">
        <v>24.0</v>
      </c>
      <c r="F137" s="45" t="s">
        <v>947</v>
      </c>
      <c r="G137" s="31"/>
      <c r="H137" s="32"/>
      <c r="I137" s="66" t="s">
        <v>610</v>
      </c>
      <c r="J137" s="60"/>
      <c r="K137" s="60"/>
      <c r="L137" s="60"/>
      <c r="M137" s="60"/>
      <c r="N137" s="62"/>
      <c r="O137" s="132"/>
      <c r="P137" s="67"/>
      <c r="Q137" s="60"/>
      <c r="R137" s="60"/>
      <c r="S137" s="60"/>
      <c r="T137" s="60"/>
      <c r="U137" s="64"/>
      <c r="V137" s="147" t="str">
        <f t="shared" si="5"/>
        <v/>
      </c>
      <c r="W137" s="7"/>
      <c r="X137" s="7"/>
      <c r="Y137" s="7"/>
      <c r="Z137" s="7"/>
    </row>
    <row r="138" ht="14.25" customHeight="1">
      <c r="A138" s="7"/>
      <c r="B138" s="7" t="s">
        <v>981</v>
      </c>
      <c r="C138" s="44"/>
      <c r="D138" s="44"/>
      <c r="E138" s="66">
        <v>25.0</v>
      </c>
      <c r="F138" s="45" t="s">
        <v>949</v>
      </c>
      <c r="G138" s="31"/>
      <c r="H138" s="32"/>
      <c r="I138" s="66" t="s">
        <v>610</v>
      </c>
      <c r="J138" s="60"/>
      <c r="K138" s="60"/>
      <c r="L138" s="60"/>
      <c r="M138" s="60"/>
      <c r="N138" s="62"/>
      <c r="O138" s="132"/>
      <c r="P138" s="67"/>
      <c r="Q138" s="60"/>
      <c r="R138" s="60"/>
      <c r="S138" s="60"/>
      <c r="T138" s="60"/>
      <c r="U138" s="64"/>
      <c r="V138" s="147" t="str">
        <f t="shared" si="5"/>
        <v/>
      </c>
      <c r="W138" s="7"/>
      <c r="X138" s="7"/>
      <c r="Y138" s="7"/>
      <c r="Z138" s="7"/>
    </row>
    <row r="139" ht="14.25" customHeight="1">
      <c r="A139" s="7"/>
      <c r="B139" s="7" t="s">
        <v>982</v>
      </c>
      <c r="C139" s="44"/>
      <c r="D139" s="44"/>
      <c r="E139" s="66">
        <v>26.0</v>
      </c>
      <c r="F139" s="45" t="s">
        <v>951</v>
      </c>
      <c r="G139" s="31"/>
      <c r="H139" s="32"/>
      <c r="I139" s="66" t="s">
        <v>610</v>
      </c>
      <c r="J139" s="47">
        <v>2.28</v>
      </c>
      <c r="K139" s="47">
        <v>2.0</v>
      </c>
      <c r="L139" s="47">
        <v>3.49</v>
      </c>
      <c r="M139" s="60">
        <v>0.0</v>
      </c>
      <c r="N139" s="62"/>
      <c r="O139" s="132"/>
      <c r="P139" s="67"/>
      <c r="Q139" s="60"/>
      <c r="R139" s="60"/>
      <c r="S139" s="60"/>
      <c r="T139" s="60"/>
      <c r="U139" s="64"/>
      <c r="V139" s="147">
        <f t="shared" si="5"/>
        <v>1.9425</v>
      </c>
      <c r="W139" s="7"/>
      <c r="X139" s="7"/>
      <c r="Y139" s="7"/>
      <c r="Z139" s="7"/>
    </row>
    <row r="140" ht="14.25" customHeight="1">
      <c r="A140" s="7"/>
      <c r="B140" s="7" t="s">
        <v>983</v>
      </c>
      <c r="C140" s="44"/>
      <c r="D140" s="44"/>
      <c r="E140" s="66">
        <v>27.0</v>
      </c>
      <c r="F140" s="45" t="s">
        <v>953</v>
      </c>
      <c r="G140" s="31"/>
      <c r="H140" s="32"/>
      <c r="I140" s="66" t="s">
        <v>610</v>
      </c>
      <c r="J140" s="60"/>
      <c r="K140" s="67"/>
      <c r="L140" s="67"/>
      <c r="M140" s="67"/>
      <c r="N140" s="67"/>
      <c r="O140" s="132"/>
      <c r="P140" s="67"/>
      <c r="Q140" s="60"/>
      <c r="R140" s="60"/>
      <c r="S140" s="60"/>
      <c r="T140" s="60"/>
      <c r="U140" s="64"/>
      <c r="V140" s="147" t="str">
        <f t="shared" si="5"/>
        <v/>
      </c>
      <c r="W140" s="7"/>
      <c r="X140" s="7"/>
      <c r="Y140" s="7"/>
      <c r="Z140" s="7"/>
    </row>
    <row r="141" ht="14.25" customHeight="1">
      <c r="A141" s="7"/>
      <c r="B141" s="7" t="s">
        <v>984</v>
      </c>
      <c r="C141" s="44"/>
      <c r="D141" s="44"/>
      <c r="E141" s="66">
        <v>28.0</v>
      </c>
      <c r="F141" s="45" t="s">
        <v>955</v>
      </c>
      <c r="G141" s="31"/>
      <c r="H141" s="32"/>
      <c r="I141" s="66" t="s">
        <v>610</v>
      </c>
      <c r="J141" s="60"/>
      <c r="K141" s="67"/>
      <c r="L141" s="67"/>
      <c r="M141" s="67"/>
      <c r="N141" s="67"/>
      <c r="O141" s="132"/>
      <c r="P141" s="67"/>
      <c r="Q141" s="60"/>
      <c r="R141" s="60"/>
      <c r="S141" s="60"/>
      <c r="T141" s="60"/>
      <c r="U141" s="64"/>
      <c r="V141" s="147" t="str">
        <f t="shared" si="5"/>
        <v/>
      </c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7"/>
      <c r="X1000" s="7"/>
      <c r="Y1000" s="7"/>
      <c r="Z1000" s="7"/>
    </row>
  </sheetData>
  <mergeCells count="122">
    <mergeCell ref="C2:G2"/>
    <mergeCell ref="C4:G4"/>
    <mergeCell ref="C6:G6"/>
    <mergeCell ref="C12:C14"/>
    <mergeCell ref="D12:H14"/>
    <mergeCell ref="I12:I14"/>
    <mergeCell ref="J12:V13"/>
    <mergeCell ref="D15:H15"/>
    <mergeCell ref="J15:U15"/>
    <mergeCell ref="D16:H16"/>
    <mergeCell ref="D17:H17"/>
    <mergeCell ref="E18:H18"/>
    <mergeCell ref="E19:H19"/>
    <mergeCell ref="D20:H20"/>
    <mergeCell ref="D21:H21"/>
    <mergeCell ref="E22:H22"/>
    <mergeCell ref="E23:H23"/>
    <mergeCell ref="E24:H24"/>
    <mergeCell ref="D25:H25"/>
    <mergeCell ref="D26:H26"/>
    <mergeCell ref="E27:H27"/>
    <mergeCell ref="D28:H28"/>
    <mergeCell ref="D29:H29"/>
    <mergeCell ref="E30:H30"/>
    <mergeCell ref="E31:H31"/>
    <mergeCell ref="E32:H32"/>
    <mergeCell ref="D34:H34"/>
    <mergeCell ref="E35:H35"/>
    <mergeCell ref="D46:H48"/>
    <mergeCell ref="I46:I48"/>
    <mergeCell ref="J46:V47"/>
    <mergeCell ref="J49:U49"/>
    <mergeCell ref="E36:H36"/>
    <mergeCell ref="D38:H38"/>
    <mergeCell ref="E39:H39"/>
    <mergeCell ref="E40:H40"/>
    <mergeCell ref="E41:H41"/>
    <mergeCell ref="E42:H42"/>
    <mergeCell ref="C46:C48"/>
    <mergeCell ref="D49:H49"/>
    <mergeCell ref="D50:H50"/>
    <mergeCell ref="D51:H51"/>
    <mergeCell ref="E52:H52"/>
    <mergeCell ref="F53:H53"/>
    <mergeCell ref="F54:H54"/>
    <mergeCell ref="F55:H55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36:H136"/>
    <mergeCell ref="F137:H137"/>
    <mergeCell ref="F138:H138"/>
    <mergeCell ref="F139:H139"/>
    <mergeCell ref="F140:H140"/>
    <mergeCell ref="F141:H141"/>
    <mergeCell ref="F129:H129"/>
    <mergeCell ref="F130:H130"/>
    <mergeCell ref="F131:H131"/>
    <mergeCell ref="F132:H132"/>
    <mergeCell ref="F133:H133"/>
    <mergeCell ref="F134:H134"/>
    <mergeCell ref="F135:H135"/>
    <mergeCell ref="F58:H58"/>
    <mergeCell ref="D59:H59"/>
    <mergeCell ref="E60:H60"/>
    <mergeCell ref="F61:H61"/>
    <mergeCell ref="F62:H62"/>
    <mergeCell ref="F63:H63"/>
    <mergeCell ref="F66:H66"/>
    <mergeCell ref="E68:H68"/>
    <mergeCell ref="F69:H69"/>
    <mergeCell ref="F70:H70"/>
    <mergeCell ref="F71:H71"/>
    <mergeCell ref="F74:H74"/>
    <mergeCell ref="F75:H75"/>
    <mergeCell ref="F76:H76"/>
    <mergeCell ref="F77:H77"/>
    <mergeCell ref="F80:H80"/>
    <mergeCell ref="D82:H82"/>
    <mergeCell ref="E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E113:H113"/>
    <mergeCell ref="F114:H114"/>
  </mergeCells>
  <printOptions/>
  <pageMargins bottom="0.75" footer="0.0" header="0.0" left="0.7" right="0.7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9.0" ySplit="15.0" topLeftCell="J16" activePane="bottomRight" state="frozen"/>
      <selection activeCell="J1" sqref="J1" pane="topRight"/>
      <selection activeCell="A16" sqref="A16" pane="bottomLeft"/>
      <selection activeCell="J16" sqref="J16" pane="bottomRight"/>
    </sheetView>
  </sheetViews>
  <sheetFormatPr customHeight="1" defaultColWidth="14.43" defaultRowHeight="15.0"/>
  <cols>
    <col customWidth="1" min="1" max="1" width="2.71"/>
    <col customWidth="1" hidden="1" min="2" max="2" width="27.29"/>
    <col customWidth="1" min="3" max="3" width="6.29"/>
    <col customWidth="1" min="4" max="7" width="5.43"/>
    <col customWidth="1" min="8" max="8" width="40.57"/>
    <col customWidth="1" min="9" max="9" width="11.57"/>
    <col customWidth="1" min="10" max="22" width="15.29"/>
    <col customWidth="1" min="23" max="23" width="27.0"/>
    <col customWidth="1" min="24" max="26" width="9.14"/>
  </cols>
  <sheetData>
    <row r="1" ht="14.25" hidden="1" customHeight="1">
      <c r="A1" s="7"/>
      <c r="B1" s="7"/>
      <c r="C1" s="7"/>
      <c r="D1" s="7"/>
      <c r="E1" s="7"/>
      <c r="F1" s="7"/>
      <c r="G1" s="7"/>
      <c r="H1" s="7"/>
      <c r="I1" s="7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7"/>
      <c r="X1" s="7"/>
      <c r="Y1" s="7"/>
      <c r="Z1" s="7"/>
    </row>
    <row r="2" ht="14.25" hidden="1" customHeight="1">
      <c r="A2" s="7"/>
      <c r="B2" s="7"/>
      <c r="C2" s="12" t="s">
        <v>223</v>
      </c>
      <c r="D2" s="10"/>
      <c r="E2" s="10"/>
      <c r="F2" s="10"/>
      <c r="G2" s="10"/>
      <c r="H2" s="13">
        <f>ARUS!H2</f>
        <v>2026</v>
      </c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7"/>
      <c r="X2" s="7"/>
      <c r="Y2" s="7"/>
      <c r="Z2" s="7"/>
    </row>
    <row r="3" ht="14.25" hidden="1" customHeight="1">
      <c r="A3" s="7"/>
      <c r="B3" s="7"/>
      <c r="C3" s="7"/>
      <c r="D3" s="7"/>
      <c r="E3" s="7"/>
      <c r="F3" s="7"/>
      <c r="G3" s="7"/>
      <c r="H3" s="7"/>
      <c r="I3" s="7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7"/>
      <c r="X3" s="7"/>
      <c r="Y3" s="7"/>
      <c r="Z3" s="7"/>
    </row>
    <row r="4" ht="14.25" hidden="1" customHeight="1">
      <c r="A4" s="7"/>
      <c r="B4" s="7" t="str">
        <f>ARUS!B4</f>
        <v>002</v>
      </c>
      <c r="C4" s="12" t="s">
        <v>224</v>
      </c>
      <c r="D4" s="10"/>
      <c r="E4" s="10"/>
      <c r="F4" s="10"/>
      <c r="G4" s="10"/>
      <c r="H4" s="7" t="str">
        <f>ARUS!H4</f>
        <v>Regional.2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7"/>
      <c r="X4" s="7"/>
      <c r="Y4" s="7"/>
      <c r="Z4" s="7"/>
    </row>
    <row r="5" ht="14.25" hidden="1" customHeight="1">
      <c r="A5" s="7"/>
      <c r="B5" s="7" t="str">
        <f>ARUS!B5</f>
        <v>RegP2</v>
      </c>
      <c r="C5" s="7"/>
      <c r="D5" s="7"/>
      <c r="E5" s="7"/>
      <c r="F5" s="7"/>
      <c r="G5" s="7"/>
      <c r="H5" s="7"/>
      <c r="I5" s="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7"/>
      <c r="X5" s="7"/>
      <c r="Y5" s="7"/>
      <c r="Z5" s="7"/>
    </row>
    <row r="6" ht="14.25" hidden="1" customHeight="1">
      <c r="A6" s="7"/>
      <c r="B6" s="7">
        <f>ARUS!B6</f>
        <v>38</v>
      </c>
      <c r="C6" s="12" t="s">
        <v>225</v>
      </c>
      <c r="D6" s="10"/>
      <c r="E6" s="10"/>
      <c r="F6" s="10"/>
      <c r="G6" s="10"/>
      <c r="H6" s="7" t="str">
        <f>ARUS!H6</f>
        <v>Banten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7"/>
      <c r="X6" s="7"/>
      <c r="Y6" s="7"/>
      <c r="Z6" s="7"/>
    </row>
    <row r="7" ht="14.25" hidden="1" customHeight="1">
      <c r="A7" s="7"/>
      <c r="B7" s="7"/>
      <c r="C7" s="7"/>
      <c r="D7" s="7"/>
      <c r="E7" s="7"/>
      <c r="F7" s="7"/>
      <c r="G7" s="7"/>
      <c r="H7" s="7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7"/>
      <c r="X7" s="7"/>
      <c r="Y7" s="7"/>
      <c r="Z7" s="7"/>
    </row>
    <row r="8" ht="14.25" hidden="1" customHeight="1">
      <c r="A8" s="14"/>
      <c r="B8" s="15"/>
      <c r="C8" s="14"/>
      <c r="D8" s="7"/>
      <c r="E8" s="7"/>
      <c r="F8" s="7"/>
      <c r="G8" s="7"/>
      <c r="H8" s="7"/>
      <c r="I8" s="7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7"/>
      <c r="X8" s="7"/>
      <c r="Y8" s="7"/>
      <c r="Z8" s="7"/>
    </row>
    <row r="9" ht="14.25" hidden="1" customHeight="1">
      <c r="A9" s="15"/>
      <c r="B9" s="15"/>
      <c r="C9" s="14"/>
      <c r="D9" s="7"/>
      <c r="E9" s="7"/>
      <c r="F9" s="7"/>
      <c r="G9" s="7"/>
      <c r="H9" s="7"/>
      <c r="I9" s="7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7"/>
      <c r="X9" s="7"/>
      <c r="Y9" s="7"/>
      <c r="Z9" s="7"/>
    </row>
    <row r="10" ht="14.25" hidden="1" customHeight="1">
      <c r="A10" s="15"/>
      <c r="B10" s="15" t="s">
        <v>227</v>
      </c>
      <c r="C10" s="14"/>
      <c r="J10" s="11">
        <v>1.0</v>
      </c>
      <c r="K10" s="11">
        <v>2.0</v>
      </c>
      <c r="L10" s="11">
        <v>3.0</v>
      </c>
      <c r="M10" s="11">
        <v>4.0</v>
      </c>
      <c r="N10" s="11">
        <v>5.0</v>
      </c>
      <c r="O10" s="11">
        <v>6.0</v>
      </c>
      <c r="P10" s="11">
        <v>7.0</v>
      </c>
      <c r="Q10" s="11">
        <v>8.0</v>
      </c>
      <c r="R10" s="11">
        <v>9.0</v>
      </c>
      <c r="S10" s="11">
        <v>10.0</v>
      </c>
      <c r="T10" s="11">
        <v>11.0</v>
      </c>
      <c r="U10" s="11">
        <v>12.0</v>
      </c>
      <c r="V10" s="11"/>
      <c r="W10" s="7"/>
      <c r="X10" s="7"/>
      <c r="Y10" s="7"/>
      <c r="Z10" s="7"/>
    </row>
    <row r="11" ht="14.25" hidden="1" customHeight="1">
      <c r="A11" s="7"/>
      <c r="B11" s="7"/>
      <c r="C11" s="7"/>
      <c r="D11" s="7"/>
      <c r="E11" s="7"/>
      <c r="F11" s="7"/>
      <c r="G11" s="7"/>
      <c r="H11" s="7"/>
      <c r="I11" s="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7"/>
      <c r="X11" s="7"/>
      <c r="Y11" s="7"/>
      <c r="Z11" s="7"/>
    </row>
    <row r="12" ht="15.0" customHeight="1">
      <c r="A12" s="7"/>
      <c r="B12" s="7"/>
      <c r="C12" s="16" t="s">
        <v>228</v>
      </c>
      <c r="D12" s="17" t="s">
        <v>229</v>
      </c>
      <c r="E12" s="18"/>
      <c r="F12" s="18"/>
      <c r="G12" s="18"/>
      <c r="H12" s="19"/>
      <c r="I12" s="20" t="s">
        <v>230</v>
      </c>
      <c r="J12" s="21">
        <f>$H$2</f>
        <v>2026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7"/>
      <c r="X12" s="7"/>
      <c r="Y12" s="7"/>
      <c r="Z12" s="7"/>
    </row>
    <row r="13" ht="14.25" customHeight="1">
      <c r="A13" s="7"/>
      <c r="B13" s="7"/>
      <c r="C13" s="22"/>
      <c r="D13" s="23"/>
      <c r="H13" s="24"/>
      <c r="I13" s="22"/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  <c r="W13" s="7"/>
      <c r="X13" s="7"/>
      <c r="Y13" s="7"/>
      <c r="Z13" s="7"/>
    </row>
    <row r="14" ht="14.25" customHeight="1">
      <c r="A14" s="7"/>
      <c r="B14" s="7"/>
      <c r="C14" s="25"/>
      <c r="D14" s="26"/>
      <c r="E14" s="27"/>
      <c r="F14" s="27"/>
      <c r="G14" s="27"/>
      <c r="H14" s="28"/>
      <c r="I14" s="25"/>
      <c r="J14" s="117" t="s">
        <v>231</v>
      </c>
      <c r="K14" s="117" t="s">
        <v>232</v>
      </c>
      <c r="L14" s="117" t="s">
        <v>233</v>
      </c>
      <c r="M14" s="117" t="s">
        <v>234</v>
      </c>
      <c r="N14" s="117" t="s">
        <v>235</v>
      </c>
      <c r="O14" s="117" t="s">
        <v>236</v>
      </c>
      <c r="P14" s="117" t="s">
        <v>237</v>
      </c>
      <c r="Q14" s="117" t="s">
        <v>238</v>
      </c>
      <c r="R14" s="117" t="s">
        <v>239</v>
      </c>
      <c r="S14" s="117" t="s">
        <v>240</v>
      </c>
      <c r="T14" s="117" t="s">
        <v>241</v>
      </c>
      <c r="U14" s="117" t="s">
        <v>242</v>
      </c>
      <c r="V14" s="117" t="s">
        <v>243</v>
      </c>
      <c r="W14" s="7"/>
      <c r="X14" s="7"/>
      <c r="Y14" s="7"/>
      <c r="Z14" s="7"/>
    </row>
    <row r="15" ht="14.25" customHeight="1">
      <c r="A15" s="7"/>
      <c r="B15" s="7"/>
      <c r="C15" s="29">
        <v>1.0</v>
      </c>
      <c r="D15" s="30">
        <v>2.0</v>
      </c>
      <c r="E15" s="31"/>
      <c r="F15" s="31"/>
      <c r="G15" s="31"/>
      <c r="H15" s="32"/>
      <c r="I15" s="33">
        <v>3.0</v>
      </c>
      <c r="J15" s="118">
        <v>4.0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33">
        <v>5.0</v>
      </c>
      <c r="W15" s="7"/>
      <c r="X15" s="7"/>
      <c r="Y15" s="7"/>
      <c r="Z15" s="7"/>
    </row>
    <row r="16" ht="14.25" customHeight="1">
      <c r="A16" s="7"/>
      <c r="B16" s="7"/>
      <c r="C16" s="181"/>
      <c r="D16" s="98"/>
      <c r="E16" s="18"/>
      <c r="F16" s="18"/>
      <c r="G16" s="18"/>
      <c r="H16" s="19"/>
      <c r="I16" s="182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7"/>
      <c r="X16" s="7"/>
      <c r="Y16" s="7"/>
      <c r="Z16" s="7"/>
    </row>
    <row r="17" ht="15.0" customHeight="1">
      <c r="A17" s="7"/>
      <c r="C17" s="183">
        <v>1.0</v>
      </c>
      <c r="D17" s="184" t="s">
        <v>985</v>
      </c>
      <c r="E17" s="185"/>
      <c r="F17" s="185"/>
      <c r="G17" s="185"/>
      <c r="H17" s="186"/>
      <c r="I17" s="187"/>
      <c r="J17" s="188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7"/>
      <c r="X17" s="7"/>
      <c r="Y17" s="7"/>
      <c r="Z17" s="7"/>
    </row>
    <row r="18" ht="14.25" customHeight="1">
      <c r="A18" s="7"/>
      <c r="B18" s="7" t="s">
        <v>986</v>
      </c>
      <c r="C18" s="187"/>
      <c r="D18" s="189">
        <v>1.0</v>
      </c>
      <c r="E18" s="185" t="s">
        <v>987</v>
      </c>
      <c r="F18" s="185"/>
      <c r="G18" s="185"/>
      <c r="H18" s="186"/>
      <c r="I18" s="187" t="s">
        <v>988</v>
      </c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51">
        <f t="shared" ref="V18:V31" si="1">SUM(J18:U18)</f>
        <v>0</v>
      </c>
      <c r="W18" s="7"/>
      <c r="X18" s="7"/>
      <c r="Y18" s="7"/>
      <c r="Z18" s="7"/>
    </row>
    <row r="19" ht="14.25" customHeight="1">
      <c r="A19" s="7"/>
      <c r="B19" s="7" t="s">
        <v>989</v>
      </c>
      <c r="C19" s="187"/>
      <c r="D19" s="189">
        <v>2.0</v>
      </c>
      <c r="E19" s="185" t="s">
        <v>990</v>
      </c>
      <c r="F19" s="185"/>
      <c r="G19" s="185"/>
      <c r="H19" s="186"/>
      <c r="I19" s="187" t="s">
        <v>991</v>
      </c>
      <c r="J19" s="191">
        <v>142.0</v>
      </c>
      <c r="K19" s="192">
        <v>154.0</v>
      </c>
      <c r="L19" s="191">
        <v>144.0</v>
      </c>
      <c r="M19" s="49">
        <v>174.0</v>
      </c>
      <c r="N19" s="193">
        <v>176.0</v>
      </c>
      <c r="O19" s="49"/>
      <c r="P19" s="194"/>
      <c r="Q19" s="194"/>
      <c r="R19" s="191"/>
      <c r="S19" s="49"/>
      <c r="T19" s="47"/>
      <c r="U19" s="191"/>
      <c r="V19" s="51">
        <f t="shared" si="1"/>
        <v>790</v>
      </c>
      <c r="W19" s="7"/>
      <c r="X19" s="7"/>
      <c r="Y19" s="7"/>
      <c r="Z19" s="7"/>
    </row>
    <row r="20" ht="14.25" customHeight="1">
      <c r="A20" s="7"/>
      <c r="B20" s="7" t="s">
        <v>989</v>
      </c>
      <c r="C20" s="187"/>
      <c r="D20" s="189"/>
      <c r="E20" s="185"/>
      <c r="F20" s="185"/>
      <c r="G20" s="185"/>
      <c r="H20" s="186"/>
      <c r="I20" s="187" t="s">
        <v>992</v>
      </c>
      <c r="J20" s="191">
        <v>1120954.0</v>
      </c>
      <c r="K20" s="195">
        <v>1280611.0</v>
      </c>
      <c r="L20" s="191">
        <v>1018961.0</v>
      </c>
      <c r="M20" s="58">
        <v>1540988.0</v>
      </c>
      <c r="N20" s="196">
        <v>1424641.0</v>
      </c>
      <c r="O20" s="58"/>
      <c r="P20" s="194"/>
      <c r="Q20" s="194"/>
      <c r="R20" s="191"/>
      <c r="S20" s="58"/>
      <c r="T20" s="59"/>
      <c r="U20" s="191"/>
      <c r="V20" s="51">
        <f t="shared" si="1"/>
        <v>6386155</v>
      </c>
      <c r="W20" s="7"/>
      <c r="X20" s="7"/>
      <c r="Y20" s="7"/>
      <c r="Z20" s="7"/>
    </row>
    <row r="21" ht="15.0" customHeight="1">
      <c r="A21" s="7"/>
      <c r="B21" s="7" t="s">
        <v>993</v>
      </c>
      <c r="C21" s="187"/>
      <c r="D21" s="189">
        <v>3.0</v>
      </c>
      <c r="E21" s="185" t="s">
        <v>994</v>
      </c>
      <c r="F21" s="185"/>
      <c r="G21" s="185"/>
      <c r="H21" s="186"/>
      <c r="I21" s="187" t="s">
        <v>995</v>
      </c>
      <c r="J21" s="191">
        <v>378.0</v>
      </c>
      <c r="K21" s="195">
        <v>418.08</v>
      </c>
      <c r="L21" s="191">
        <v>358.93333333404735</v>
      </c>
      <c r="M21" s="58">
        <v>462.28333333315095</v>
      </c>
      <c r="N21" s="196">
        <v>475.37</v>
      </c>
      <c r="O21" s="58"/>
      <c r="P21" s="194"/>
      <c r="Q21" s="194"/>
      <c r="R21" s="191"/>
      <c r="S21" s="58"/>
      <c r="T21" s="59"/>
      <c r="U21" s="191"/>
      <c r="V21" s="51">
        <f t="shared" si="1"/>
        <v>2092.666667</v>
      </c>
      <c r="W21" s="7"/>
      <c r="X21" s="7"/>
      <c r="Y21" s="7"/>
      <c r="Z21" s="7"/>
    </row>
    <row r="22" ht="15.0" customHeight="1">
      <c r="A22" s="7"/>
      <c r="B22" s="7" t="s">
        <v>993</v>
      </c>
      <c r="C22" s="187"/>
      <c r="D22" s="189"/>
      <c r="E22" s="185"/>
      <c r="F22" s="185"/>
      <c r="G22" s="185"/>
      <c r="H22" s="186"/>
      <c r="I22" s="187" t="s">
        <v>996</v>
      </c>
      <c r="J22" s="191">
        <v>3335668.0</v>
      </c>
      <c r="K22" s="195">
        <v>3935110.0</v>
      </c>
      <c r="L22" s="191">
        <v>2902863.816675421</v>
      </c>
      <c r="M22" s="58">
        <v>4574939.100003741</v>
      </c>
      <c r="N22" s="196">
        <v>4114191.85</v>
      </c>
      <c r="O22" s="58"/>
      <c r="P22" s="194"/>
      <c r="Q22" s="194"/>
      <c r="R22" s="191"/>
      <c r="S22" s="58"/>
      <c r="T22" s="59"/>
      <c r="U22" s="190"/>
      <c r="V22" s="51">
        <f t="shared" si="1"/>
        <v>18862772.77</v>
      </c>
      <c r="W22" s="7"/>
      <c r="X22" s="7"/>
      <c r="Y22" s="7"/>
      <c r="Z22" s="7"/>
    </row>
    <row r="23" ht="15.0" customHeight="1">
      <c r="A23" s="7"/>
      <c r="B23" s="7" t="s">
        <v>997</v>
      </c>
      <c r="C23" s="187"/>
      <c r="D23" s="189">
        <v>4.0</v>
      </c>
      <c r="E23" s="185" t="s">
        <v>998</v>
      </c>
      <c r="F23" s="185"/>
      <c r="G23" s="185"/>
      <c r="H23" s="186"/>
      <c r="I23" s="187" t="s">
        <v>999</v>
      </c>
      <c r="J23" s="190">
        <v>905797.0</v>
      </c>
      <c r="K23" s="190">
        <v>1543132.0</v>
      </c>
      <c r="L23" s="197">
        <v>2134167.0</v>
      </c>
      <c r="M23" s="198">
        <v>1489560.0</v>
      </c>
      <c r="N23" s="199">
        <v>1642099.25</v>
      </c>
      <c r="O23" s="190"/>
      <c r="P23" s="191"/>
      <c r="Q23" s="190"/>
      <c r="R23" s="190"/>
      <c r="S23" s="59"/>
      <c r="T23" s="190"/>
      <c r="U23" s="190"/>
      <c r="V23" s="51">
        <f t="shared" si="1"/>
        <v>7714755.25</v>
      </c>
      <c r="W23" s="7"/>
      <c r="X23" s="7"/>
      <c r="Y23" s="7"/>
      <c r="Z23" s="7"/>
    </row>
    <row r="24" ht="15.0" customHeight="1">
      <c r="A24" s="7"/>
      <c r="B24" s="7" t="s">
        <v>997</v>
      </c>
      <c r="C24" s="187"/>
      <c r="D24" s="189"/>
      <c r="E24" s="185"/>
      <c r="F24" s="185"/>
      <c r="G24" s="185"/>
      <c r="H24" s="186"/>
      <c r="I24" s="187" t="s">
        <v>398</v>
      </c>
      <c r="J24" s="190"/>
      <c r="K24" s="190"/>
      <c r="L24" s="190"/>
      <c r="M24" s="190"/>
      <c r="N24" s="190"/>
      <c r="O24" s="190"/>
      <c r="P24" s="190"/>
      <c r="Q24" s="190"/>
      <c r="R24" s="190"/>
      <c r="S24" s="64"/>
      <c r="T24" s="190"/>
      <c r="U24" s="190"/>
      <c r="V24" s="51">
        <f t="shared" si="1"/>
        <v>0</v>
      </c>
      <c r="W24" s="7"/>
      <c r="X24" s="7"/>
      <c r="Y24" s="7"/>
      <c r="Z24" s="7"/>
    </row>
    <row r="25" ht="15.0" customHeight="1">
      <c r="A25" s="7"/>
      <c r="B25" s="7" t="s">
        <v>1000</v>
      </c>
      <c r="C25" s="187"/>
      <c r="D25" s="189">
        <v>5.0</v>
      </c>
      <c r="E25" s="185" t="s">
        <v>1001</v>
      </c>
      <c r="F25" s="185"/>
      <c r="G25" s="185"/>
      <c r="H25" s="186"/>
      <c r="I25" s="187" t="s">
        <v>250</v>
      </c>
      <c r="J25" s="190"/>
      <c r="K25" s="190"/>
      <c r="L25" s="190"/>
      <c r="M25" s="190"/>
      <c r="N25" s="190"/>
      <c r="O25" s="190"/>
      <c r="P25" s="190"/>
      <c r="Q25" s="190"/>
      <c r="R25" s="190"/>
      <c r="S25" s="64"/>
      <c r="T25" s="190"/>
      <c r="U25" s="190"/>
      <c r="V25" s="51">
        <f t="shared" si="1"/>
        <v>0</v>
      </c>
      <c r="W25" s="7"/>
      <c r="X25" s="7"/>
      <c r="Y25" s="7"/>
      <c r="Z25" s="7"/>
    </row>
    <row r="26" ht="15.0" customHeight="1">
      <c r="A26" s="7"/>
      <c r="B26" s="7" t="s">
        <v>1000</v>
      </c>
      <c r="C26" s="187"/>
      <c r="D26" s="189"/>
      <c r="E26" s="185"/>
      <c r="F26" s="185"/>
      <c r="G26" s="185"/>
      <c r="H26" s="186"/>
      <c r="I26" s="187" t="s">
        <v>489</v>
      </c>
      <c r="J26" s="190"/>
      <c r="K26" s="190"/>
      <c r="L26" s="190"/>
      <c r="M26" s="190"/>
      <c r="N26" s="190"/>
      <c r="O26" s="190"/>
      <c r="P26" s="190"/>
      <c r="Q26" s="190"/>
      <c r="R26" s="190"/>
      <c r="S26" s="64"/>
      <c r="T26" s="190"/>
      <c r="U26" s="190"/>
      <c r="V26" s="51">
        <f t="shared" si="1"/>
        <v>0</v>
      </c>
      <c r="W26" s="7"/>
      <c r="X26" s="7"/>
      <c r="Y26" s="7"/>
      <c r="Z26" s="7"/>
    </row>
    <row r="27" ht="15.0" customHeight="1">
      <c r="A27" s="7"/>
      <c r="B27" s="7" t="s">
        <v>1000</v>
      </c>
      <c r="C27" s="187"/>
      <c r="D27" s="189"/>
      <c r="E27" s="185"/>
      <c r="F27" s="185"/>
      <c r="G27" s="185"/>
      <c r="H27" s="186"/>
      <c r="I27" s="187" t="s">
        <v>490</v>
      </c>
      <c r="J27" s="190"/>
      <c r="K27" s="190"/>
      <c r="L27" s="190"/>
      <c r="M27" s="190"/>
      <c r="N27" s="190"/>
      <c r="O27" s="190"/>
      <c r="P27" s="190"/>
      <c r="Q27" s="190"/>
      <c r="R27" s="190"/>
      <c r="S27" s="64"/>
      <c r="T27" s="190"/>
      <c r="U27" s="190"/>
      <c r="V27" s="51">
        <f t="shared" si="1"/>
        <v>0</v>
      </c>
      <c r="W27" s="7"/>
      <c r="X27" s="7"/>
      <c r="Y27" s="7"/>
      <c r="Z27" s="7"/>
    </row>
    <row r="28" ht="14.25" customHeight="1">
      <c r="A28" s="7"/>
      <c r="B28" s="7" t="s">
        <v>1000</v>
      </c>
      <c r="C28" s="187"/>
      <c r="D28" s="189"/>
      <c r="E28" s="185"/>
      <c r="F28" s="185"/>
      <c r="G28" s="185"/>
      <c r="H28" s="186"/>
      <c r="I28" s="187" t="s">
        <v>381</v>
      </c>
      <c r="J28" s="190"/>
      <c r="K28" s="190"/>
      <c r="L28" s="190"/>
      <c r="M28" s="190"/>
      <c r="N28" s="190"/>
      <c r="O28" s="190"/>
      <c r="P28" s="190"/>
      <c r="Q28" s="190"/>
      <c r="R28" s="190"/>
      <c r="S28" s="64"/>
      <c r="T28" s="190"/>
      <c r="U28" s="190"/>
      <c r="V28" s="51">
        <f t="shared" si="1"/>
        <v>0</v>
      </c>
      <c r="W28" s="7"/>
      <c r="X28" s="7"/>
      <c r="Y28" s="7"/>
      <c r="Z28" s="7"/>
    </row>
    <row r="29" ht="15.0" customHeight="1">
      <c r="A29" s="7"/>
      <c r="B29" s="7" t="s">
        <v>1002</v>
      </c>
      <c r="C29" s="187"/>
      <c r="D29" s="189">
        <v>6.0</v>
      </c>
      <c r="E29" s="185" t="s">
        <v>1003</v>
      </c>
      <c r="F29" s="185"/>
      <c r="G29" s="185"/>
      <c r="H29" s="186"/>
      <c r="I29" s="187" t="s">
        <v>1004</v>
      </c>
      <c r="J29" s="190"/>
      <c r="K29" s="190"/>
      <c r="L29" s="190"/>
      <c r="M29" s="190"/>
      <c r="N29" s="190"/>
      <c r="O29" s="190"/>
      <c r="P29" s="190"/>
      <c r="Q29" s="190"/>
      <c r="R29" s="190"/>
      <c r="S29" s="64"/>
      <c r="T29" s="190"/>
      <c r="U29" s="190"/>
      <c r="V29" s="51">
        <f t="shared" si="1"/>
        <v>0</v>
      </c>
      <c r="W29" s="7"/>
      <c r="X29" s="7"/>
      <c r="Y29" s="7"/>
      <c r="Z29" s="7"/>
    </row>
    <row r="30" ht="14.25" customHeight="1">
      <c r="A30" s="7"/>
      <c r="B30" s="7" t="s">
        <v>1002</v>
      </c>
      <c r="C30" s="187"/>
      <c r="D30" s="189"/>
      <c r="E30" s="185"/>
      <c r="F30" s="185"/>
      <c r="G30" s="185"/>
      <c r="H30" s="186"/>
      <c r="I30" s="187" t="s">
        <v>250</v>
      </c>
      <c r="J30" s="190"/>
      <c r="K30" s="190"/>
      <c r="L30" s="190"/>
      <c r="M30" s="190"/>
      <c r="N30" s="190"/>
      <c r="O30" s="190"/>
      <c r="P30" s="190"/>
      <c r="Q30" s="190"/>
      <c r="R30" s="190"/>
      <c r="S30" s="64"/>
      <c r="T30" s="190"/>
      <c r="U30" s="190"/>
      <c r="V30" s="51">
        <f t="shared" si="1"/>
        <v>0</v>
      </c>
      <c r="W30" s="7"/>
      <c r="X30" s="7"/>
      <c r="Y30" s="7"/>
      <c r="Z30" s="7"/>
    </row>
    <row r="31" ht="14.25" customHeight="1">
      <c r="A31" s="7"/>
      <c r="B31" s="7" t="s">
        <v>1002</v>
      </c>
      <c r="C31" s="187"/>
      <c r="D31" s="189"/>
      <c r="E31" s="185"/>
      <c r="F31" s="185"/>
      <c r="G31" s="185"/>
      <c r="H31" s="186"/>
      <c r="I31" s="187" t="s">
        <v>995</v>
      </c>
      <c r="J31" s="190"/>
      <c r="K31" s="190"/>
      <c r="L31" s="190"/>
      <c r="M31" s="190"/>
      <c r="N31" s="190"/>
      <c r="O31" s="190"/>
      <c r="P31" s="190"/>
      <c r="Q31" s="190"/>
      <c r="R31" s="190"/>
      <c r="S31" s="64"/>
      <c r="T31" s="190"/>
      <c r="U31" s="190"/>
      <c r="V31" s="51">
        <f t="shared" si="1"/>
        <v>0</v>
      </c>
      <c r="W31" s="7"/>
      <c r="X31" s="7"/>
      <c r="Y31" s="7"/>
      <c r="Z31" s="7"/>
    </row>
    <row r="32" ht="15.0" customHeight="1">
      <c r="A32" s="7"/>
      <c r="B32" s="11"/>
      <c r="C32" s="187"/>
      <c r="D32" s="200"/>
      <c r="E32" s="185"/>
      <c r="F32" s="185"/>
      <c r="G32" s="185"/>
      <c r="H32" s="186"/>
      <c r="I32" s="187"/>
      <c r="J32" s="188"/>
      <c r="K32" s="119"/>
      <c r="L32" s="119"/>
      <c r="M32" s="119"/>
      <c r="N32" s="119"/>
      <c r="O32" s="119"/>
      <c r="P32" s="119"/>
      <c r="Q32" s="119"/>
      <c r="R32" s="119"/>
      <c r="S32" s="74"/>
      <c r="T32" s="119"/>
      <c r="U32" s="119"/>
      <c r="V32" s="119"/>
      <c r="W32" s="7"/>
      <c r="X32" s="7"/>
      <c r="Y32" s="7"/>
      <c r="Z32" s="7"/>
    </row>
    <row r="33" ht="14.25" customHeight="1">
      <c r="A33" s="7"/>
      <c r="C33" s="201">
        <v>2.0</v>
      </c>
      <c r="D33" s="202" t="s">
        <v>1005</v>
      </c>
      <c r="E33" s="40"/>
      <c r="F33" s="40"/>
      <c r="G33" s="40"/>
      <c r="H33" s="41"/>
      <c r="I33" s="66"/>
      <c r="J33" s="188"/>
      <c r="K33" s="119"/>
      <c r="L33" s="119"/>
      <c r="M33" s="119"/>
      <c r="N33" s="119"/>
      <c r="O33" s="119"/>
      <c r="P33" s="119"/>
      <c r="Q33" s="119"/>
      <c r="R33" s="119"/>
      <c r="S33" s="74"/>
      <c r="T33" s="119"/>
      <c r="U33" s="119"/>
      <c r="V33" s="119"/>
      <c r="W33" s="7"/>
      <c r="X33" s="7"/>
      <c r="Y33" s="7"/>
      <c r="Z33" s="7"/>
    </row>
    <row r="34" ht="14.25" customHeight="1">
      <c r="A34" s="7"/>
      <c r="C34" s="187"/>
      <c r="D34" s="189">
        <v>1.0</v>
      </c>
      <c r="E34" s="185" t="s">
        <v>1006</v>
      </c>
      <c r="F34" s="185"/>
      <c r="G34" s="185"/>
      <c r="H34" s="186"/>
      <c r="I34" s="187"/>
      <c r="J34" s="188"/>
      <c r="K34" s="119"/>
      <c r="L34" s="119"/>
      <c r="M34" s="119"/>
      <c r="N34" s="119"/>
      <c r="O34" s="119"/>
      <c r="P34" s="119"/>
      <c r="Q34" s="119"/>
      <c r="R34" s="119"/>
      <c r="S34" s="74"/>
      <c r="T34" s="119"/>
      <c r="U34" s="119"/>
      <c r="V34" s="119"/>
      <c r="W34" s="7"/>
      <c r="X34" s="7"/>
      <c r="Y34" s="7"/>
      <c r="Z34" s="7"/>
    </row>
    <row r="35" ht="14.25" customHeight="1">
      <c r="A35" s="7"/>
      <c r="B35" s="7" t="s">
        <v>1007</v>
      </c>
      <c r="C35" s="187"/>
      <c r="D35" s="200"/>
      <c r="E35" s="203">
        <v>1.0</v>
      </c>
      <c r="F35" s="185" t="s">
        <v>1008</v>
      </c>
      <c r="G35" s="185"/>
      <c r="H35" s="186"/>
      <c r="I35" s="187" t="s">
        <v>381</v>
      </c>
      <c r="J35" s="190"/>
      <c r="K35" s="190"/>
      <c r="L35" s="190"/>
      <c r="M35" s="190"/>
      <c r="N35" s="190"/>
      <c r="O35" s="190"/>
      <c r="P35" s="190"/>
      <c r="Q35" s="190"/>
      <c r="R35" s="190"/>
      <c r="S35" s="64"/>
      <c r="T35" s="190"/>
      <c r="U35" s="190"/>
      <c r="V35" s="51">
        <f t="shared" ref="V35:V38" si="2">SUM(J35:U35)</f>
        <v>0</v>
      </c>
      <c r="W35" s="7"/>
      <c r="X35" s="7"/>
      <c r="Y35" s="7"/>
      <c r="Z35" s="7"/>
    </row>
    <row r="36" ht="14.25" customHeight="1">
      <c r="A36" s="7"/>
      <c r="B36" s="7" t="s">
        <v>1007</v>
      </c>
      <c r="C36" s="187"/>
      <c r="D36" s="200"/>
      <c r="E36" s="203"/>
      <c r="F36" s="185"/>
      <c r="G36" s="185"/>
      <c r="H36" s="186"/>
      <c r="I36" s="187" t="s">
        <v>1009</v>
      </c>
      <c r="J36" s="190"/>
      <c r="K36" s="190"/>
      <c r="L36" s="190"/>
      <c r="M36" s="190"/>
      <c r="N36" s="190"/>
      <c r="O36" s="190"/>
      <c r="P36" s="190"/>
      <c r="Q36" s="190"/>
      <c r="R36" s="190"/>
      <c r="S36" s="64"/>
      <c r="T36" s="190"/>
      <c r="U36" s="190"/>
      <c r="V36" s="51">
        <f t="shared" si="2"/>
        <v>0</v>
      </c>
      <c r="W36" s="7"/>
      <c r="X36" s="7"/>
      <c r="Y36" s="7"/>
      <c r="Z36" s="7"/>
    </row>
    <row r="37" ht="15.0" customHeight="1">
      <c r="A37" s="7"/>
      <c r="B37" s="7" t="s">
        <v>1007</v>
      </c>
      <c r="C37" s="187"/>
      <c r="D37" s="200"/>
      <c r="E37" s="203"/>
      <c r="F37" s="185"/>
      <c r="G37" s="185"/>
      <c r="H37" s="186"/>
      <c r="I37" s="187" t="s">
        <v>490</v>
      </c>
      <c r="J37" s="190"/>
      <c r="K37" s="190"/>
      <c r="L37" s="190"/>
      <c r="M37" s="190"/>
      <c r="N37" s="190"/>
      <c r="O37" s="190"/>
      <c r="P37" s="190"/>
      <c r="Q37" s="190"/>
      <c r="R37" s="190"/>
      <c r="S37" s="64"/>
      <c r="T37" s="190"/>
      <c r="U37" s="190"/>
      <c r="V37" s="51">
        <f t="shared" si="2"/>
        <v>0</v>
      </c>
      <c r="W37" s="7"/>
      <c r="X37" s="7"/>
      <c r="Y37" s="7"/>
      <c r="Z37" s="7"/>
    </row>
    <row r="38" ht="14.25" customHeight="1">
      <c r="A38" s="7"/>
      <c r="B38" s="7" t="s">
        <v>1007</v>
      </c>
      <c r="C38" s="187"/>
      <c r="D38" s="200"/>
      <c r="E38" s="203"/>
      <c r="F38" s="185"/>
      <c r="G38" s="185"/>
      <c r="H38" s="186"/>
      <c r="I38" s="187" t="s">
        <v>398</v>
      </c>
      <c r="J38" s="190"/>
      <c r="K38" s="190"/>
      <c r="L38" s="190"/>
      <c r="M38" s="190"/>
      <c r="N38" s="190"/>
      <c r="O38" s="190"/>
      <c r="P38" s="190"/>
      <c r="Q38" s="190"/>
      <c r="R38" s="190"/>
      <c r="S38" s="64"/>
      <c r="T38" s="190"/>
      <c r="U38" s="190"/>
      <c r="V38" s="51">
        <f t="shared" si="2"/>
        <v>0</v>
      </c>
      <c r="W38" s="7"/>
      <c r="X38" s="7"/>
      <c r="Y38" s="7"/>
      <c r="Z38" s="7"/>
    </row>
    <row r="39" ht="14.25" customHeight="1">
      <c r="A39" s="7"/>
      <c r="C39" s="187"/>
      <c r="D39" s="200"/>
      <c r="E39" s="203">
        <v>2.0</v>
      </c>
      <c r="F39" s="185" t="s">
        <v>1010</v>
      </c>
      <c r="G39" s="185"/>
      <c r="H39" s="186"/>
      <c r="I39" s="187"/>
      <c r="J39" s="188"/>
      <c r="K39" s="119"/>
      <c r="L39" s="119"/>
      <c r="M39" s="119"/>
      <c r="N39" s="119"/>
      <c r="O39" s="119"/>
      <c r="P39" s="119"/>
      <c r="Q39" s="119"/>
      <c r="R39" s="119"/>
      <c r="S39" s="74"/>
      <c r="T39" s="119"/>
      <c r="U39" s="119"/>
      <c r="V39" s="119"/>
      <c r="W39" s="7"/>
      <c r="X39" s="7"/>
      <c r="Y39" s="7"/>
      <c r="Z39" s="7"/>
    </row>
    <row r="40" ht="14.25" customHeight="1">
      <c r="A40" s="7"/>
      <c r="B40" s="7" t="s">
        <v>1011</v>
      </c>
      <c r="C40" s="187"/>
      <c r="D40" s="200"/>
      <c r="E40" s="203"/>
      <c r="F40" s="203">
        <v>1.0</v>
      </c>
      <c r="G40" s="185" t="s">
        <v>1012</v>
      </c>
      <c r="H40" s="186"/>
      <c r="I40" s="187" t="s">
        <v>381</v>
      </c>
      <c r="J40" s="190"/>
      <c r="K40" s="190"/>
      <c r="L40" s="190"/>
      <c r="M40" s="190"/>
      <c r="N40" s="190"/>
      <c r="O40" s="190"/>
      <c r="P40" s="190"/>
      <c r="Q40" s="190"/>
      <c r="R40" s="190"/>
      <c r="S40" s="64"/>
      <c r="T40" s="190"/>
      <c r="U40" s="190"/>
      <c r="V40" s="51">
        <f t="shared" ref="V40:V50" si="3">SUM(J40:U40)</f>
        <v>0</v>
      </c>
      <c r="W40" s="7"/>
      <c r="X40" s="7"/>
      <c r="Y40" s="7"/>
      <c r="Z40" s="7"/>
    </row>
    <row r="41" ht="15.0" customHeight="1">
      <c r="A41" s="7"/>
      <c r="B41" s="7" t="s">
        <v>1011</v>
      </c>
      <c r="C41" s="187"/>
      <c r="D41" s="200"/>
      <c r="E41" s="203"/>
      <c r="F41" s="203"/>
      <c r="G41" s="185"/>
      <c r="H41" s="186"/>
      <c r="I41" s="187" t="s">
        <v>489</v>
      </c>
      <c r="J41" s="190"/>
      <c r="K41" s="190"/>
      <c r="L41" s="190"/>
      <c r="M41" s="190"/>
      <c r="N41" s="190"/>
      <c r="O41" s="190"/>
      <c r="P41" s="190"/>
      <c r="Q41" s="190"/>
      <c r="R41" s="190"/>
      <c r="S41" s="64"/>
      <c r="T41" s="190"/>
      <c r="U41" s="190"/>
      <c r="V41" s="51">
        <f t="shared" si="3"/>
        <v>0</v>
      </c>
      <c r="W41" s="7"/>
      <c r="X41" s="7"/>
      <c r="Y41" s="7"/>
      <c r="Z41" s="7"/>
    </row>
    <row r="42" ht="14.25" customHeight="1">
      <c r="A42" s="7"/>
      <c r="B42" s="7" t="s">
        <v>1011</v>
      </c>
      <c r="C42" s="187"/>
      <c r="D42" s="200"/>
      <c r="E42" s="203"/>
      <c r="F42" s="203"/>
      <c r="G42" s="185"/>
      <c r="H42" s="186"/>
      <c r="I42" s="187" t="s">
        <v>490</v>
      </c>
      <c r="J42" s="190"/>
      <c r="K42" s="190"/>
      <c r="L42" s="190"/>
      <c r="M42" s="190"/>
      <c r="N42" s="190"/>
      <c r="O42" s="190"/>
      <c r="P42" s="190"/>
      <c r="Q42" s="190"/>
      <c r="R42" s="190"/>
      <c r="S42" s="64"/>
      <c r="T42" s="190"/>
      <c r="U42" s="190"/>
      <c r="V42" s="51">
        <f t="shared" si="3"/>
        <v>0</v>
      </c>
      <c r="W42" s="7"/>
      <c r="X42" s="7"/>
      <c r="Y42" s="7"/>
      <c r="Z42" s="7"/>
    </row>
    <row r="43" ht="14.25" customHeight="1">
      <c r="A43" s="7"/>
      <c r="B43" s="7" t="s">
        <v>1011</v>
      </c>
      <c r="C43" s="187"/>
      <c r="D43" s="200"/>
      <c r="E43" s="203"/>
      <c r="F43" s="203"/>
      <c r="G43" s="185"/>
      <c r="H43" s="186"/>
      <c r="I43" s="187" t="s">
        <v>398</v>
      </c>
      <c r="J43" s="190"/>
      <c r="K43" s="190"/>
      <c r="L43" s="190"/>
      <c r="M43" s="190"/>
      <c r="N43" s="190"/>
      <c r="O43" s="190"/>
      <c r="P43" s="190"/>
      <c r="Q43" s="190"/>
      <c r="R43" s="190"/>
      <c r="S43" s="64"/>
      <c r="T43" s="190"/>
      <c r="U43" s="190"/>
      <c r="V43" s="51">
        <f t="shared" si="3"/>
        <v>0</v>
      </c>
      <c r="W43" s="7"/>
      <c r="X43" s="7"/>
      <c r="Y43" s="7"/>
      <c r="Z43" s="7"/>
    </row>
    <row r="44" ht="15.0" customHeight="1">
      <c r="A44" s="7"/>
      <c r="B44" s="7" t="s">
        <v>1013</v>
      </c>
      <c r="C44" s="187"/>
      <c r="D44" s="200"/>
      <c r="E44" s="203"/>
      <c r="F44" s="203">
        <v>2.0</v>
      </c>
      <c r="G44" s="185" t="s">
        <v>1014</v>
      </c>
      <c r="H44" s="186"/>
      <c r="I44" s="187" t="s">
        <v>381</v>
      </c>
      <c r="J44" s="190"/>
      <c r="K44" s="190"/>
      <c r="L44" s="190"/>
      <c r="M44" s="190"/>
      <c r="N44" s="190"/>
      <c r="O44" s="190"/>
      <c r="P44" s="190"/>
      <c r="Q44" s="190"/>
      <c r="R44" s="190"/>
      <c r="S44" s="64"/>
      <c r="T44" s="190"/>
      <c r="U44" s="190"/>
      <c r="V44" s="51">
        <f t="shared" si="3"/>
        <v>0</v>
      </c>
      <c r="W44" s="7"/>
      <c r="X44" s="7"/>
      <c r="Y44" s="7"/>
      <c r="Z44" s="7"/>
    </row>
    <row r="45" ht="15.0" customHeight="1">
      <c r="A45" s="7"/>
      <c r="B45" s="7" t="s">
        <v>1015</v>
      </c>
      <c r="C45" s="187"/>
      <c r="D45" s="200"/>
      <c r="E45" s="203"/>
      <c r="F45" s="203">
        <v>3.0</v>
      </c>
      <c r="G45" s="185" t="s">
        <v>1016</v>
      </c>
      <c r="H45" s="186"/>
      <c r="I45" s="187" t="s">
        <v>381</v>
      </c>
      <c r="J45" s="190"/>
      <c r="K45" s="190"/>
      <c r="L45" s="190"/>
      <c r="M45" s="190"/>
      <c r="N45" s="190"/>
      <c r="O45" s="190"/>
      <c r="P45" s="190"/>
      <c r="Q45" s="190"/>
      <c r="R45" s="190"/>
      <c r="S45" s="64"/>
      <c r="T45" s="190"/>
      <c r="U45" s="190"/>
      <c r="V45" s="51">
        <f t="shared" si="3"/>
        <v>0</v>
      </c>
      <c r="W45" s="7"/>
      <c r="X45" s="7"/>
      <c r="Y45" s="7"/>
      <c r="Z45" s="7"/>
    </row>
    <row r="46" ht="14.25" customHeight="1">
      <c r="A46" s="7"/>
      <c r="B46" s="7" t="s">
        <v>1017</v>
      </c>
      <c r="C46" s="187"/>
      <c r="D46" s="200"/>
      <c r="E46" s="203"/>
      <c r="F46" s="203">
        <v>4.0</v>
      </c>
      <c r="G46" s="185" t="s">
        <v>1018</v>
      </c>
      <c r="H46" s="186"/>
      <c r="I46" s="187" t="s">
        <v>381</v>
      </c>
      <c r="J46" s="190"/>
      <c r="K46" s="190"/>
      <c r="L46" s="190"/>
      <c r="M46" s="190"/>
      <c r="N46" s="190"/>
      <c r="O46" s="190"/>
      <c r="P46" s="190"/>
      <c r="Q46" s="190"/>
      <c r="R46" s="190"/>
      <c r="S46" s="64"/>
      <c r="T46" s="190"/>
      <c r="U46" s="190"/>
      <c r="V46" s="51">
        <f t="shared" si="3"/>
        <v>0</v>
      </c>
      <c r="W46" s="7"/>
      <c r="X46" s="7"/>
      <c r="Y46" s="7"/>
      <c r="Z46" s="7"/>
    </row>
    <row r="47" ht="14.25" customHeight="1">
      <c r="A47" s="14"/>
      <c r="B47" s="7" t="s">
        <v>1019</v>
      </c>
      <c r="C47" s="187"/>
      <c r="D47" s="200"/>
      <c r="E47" s="203"/>
      <c r="F47" s="203">
        <v>5.0</v>
      </c>
      <c r="G47" s="185" t="s">
        <v>1020</v>
      </c>
      <c r="H47" s="186"/>
      <c r="I47" s="187" t="s">
        <v>1021</v>
      </c>
      <c r="J47" s="190"/>
      <c r="K47" s="190"/>
      <c r="L47" s="190"/>
      <c r="M47" s="190"/>
      <c r="N47" s="190"/>
      <c r="O47" s="190"/>
      <c r="P47" s="190"/>
      <c r="Q47" s="190"/>
      <c r="R47" s="190"/>
      <c r="S47" s="64"/>
      <c r="T47" s="190"/>
      <c r="U47" s="190"/>
      <c r="V47" s="51">
        <f t="shared" si="3"/>
        <v>0</v>
      </c>
      <c r="W47" s="7"/>
      <c r="X47" s="7"/>
      <c r="Y47" s="7"/>
      <c r="Z47" s="7"/>
    </row>
    <row r="48" ht="14.25" customHeight="1">
      <c r="A48" s="7"/>
      <c r="B48" s="7" t="s">
        <v>1019</v>
      </c>
      <c r="C48" s="187"/>
      <c r="D48" s="200"/>
      <c r="E48" s="203"/>
      <c r="F48" s="185"/>
      <c r="G48" s="185"/>
      <c r="H48" s="186"/>
      <c r="I48" s="187" t="s">
        <v>398</v>
      </c>
      <c r="J48" s="190"/>
      <c r="K48" s="190"/>
      <c r="L48" s="190"/>
      <c r="M48" s="190"/>
      <c r="N48" s="190"/>
      <c r="O48" s="190"/>
      <c r="P48" s="190"/>
      <c r="Q48" s="190"/>
      <c r="R48" s="190"/>
      <c r="S48" s="64"/>
      <c r="T48" s="190"/>
      <c r="U48" s="190"/>
      <c r="V48" s="51">
        <f t="shared" si="3"/>
        <v>0</v>
      </c>
      <c r="W48" s="7"/>
      <c r="X48" s="7"/>
      <c r="Y48" s="7"/>
      <c r="Z48" s="7"/>
    </row>
    <row r="49" ht="15.0" customHeight="1">
      <c r="A49" s="7"/>
      <c r="B49" s="7" t="s">
        <v>1019</v>
      </c>
      <c r="C49" s="187"/>
      <c r="D49" s="200"/>
      <c r="E49" s="203"/>
      <c r="F49" s="185"/>
      <c r="G49" s="185"/>
      <c r="H49" s="186"/>
      <c r="I49" s="187" t="s">
        <v>1022</v>
      </c>
      <c r="J49" s="190"/>
      <c r="K49" s="190"/>
      <c r="L49" s="190"/>
      <c r="M49" s="190"/>
      <c r="N49" s="190"/>
      <c r="O49" s="190"/>
      <c r="P49" s="190"/>
      <c r="Q49" s="190"/>
      <c r="R49" s="190"/>
      <c r="S49" s="64"/>
      <c r="T49" s="190"/>
      <c r="U49" s="190"/>
      <c r="V49" s="51">
        <f t="shared" si="3"/>
        <v>0</v>
      </c>
      <c r="W49" s="7"/>
      <c r="X49" s="7"/>
      <c r="Y49" s="7"/>
      <c r="Z49" s="7"/>
    </row>
    <row r="50" ht="14.25" customHeight="1">
      <c r="A50" s="7"/>
      <c r="B50" s="7" t="s">
        <v>1023</v>
      </c>
      <c r="C50" s="187"/>
      <c r="D50" s="200"/>
      <c r="E50" s="203"/>
      <c r="F50" s="203">
        <v>6.0</v>
      </c>
      <c r="G50" s="185" t="s">
        <v>1024</v>
      </c>
      <c r="H50" s="186"/>
      <c r="I50" s="187" t="s">
        <v>381</v>
      </c>
      <c r="J50" s="190"/>
      <c r="K50" s="190"/>
      <c r="L50" s="190"/>
      <c r="M50" s="190"/>
      <c r="N50" s="190"/>
      <c r="O50" s="190"/>
      <c r="P50" s="190"/>
      <c r="Q50" s="190"/>
      <c r="R50" s="190"/>
      <c r="S50" s="64"/>
      <c r="T50" s="190"/>
      <c r="U50" s="190"/>
      <c r="V50" s="51">
        <f t="shared" si="3"/>
        <v>0</v>
      </c>
      <c r="W50" s="7"/>
      <c r="X50" s="7"/>
      <c r="Y50" s="7"/>
      <c r="Z50" s="7"/>
    </row>
    <row r="51" ht="14.25" customHeight="1">
      <c r="A51" s="7"/>
      <c r="C51" s="187"/>
      <c r="D51" s="200"/>
      <c r="E51" s="203">
        <v>3.0</v>
      </c>
      <c r="F51" s="185" t="s">
        <v>1025</v>
      </c>
      <c r="G51" s="185"/>
      <c r="H51" s="186"/>
      <c r="I51" s="187"/>
      <c r="J51" s="188"/>
      <c r="K51" s="119"/>
      <c r="L51" s="119"/>
      <c r="M51" s="119"/>
      <c r="N51" s="119"/>
      <c r="O51" s="119"/>
      <c r="P51" s="119"/>
      <c r="Q51" s="119"/>
      <c r="R51" s="119"/>
      <c r="S51" s="74"/>
      <c r="T51" s="119"/>
      <c r="U51" s="119"/>
      <c r="V51" s="119"/>
      <c r="W51" s="7"/>
      <c r="X51" s="7"/>
      <c r="Y51" s="7"/>
      <c r="Z51" s="7"/>
    </row>
    <row r="52" ht="14.25" customHeight="1">
      <c r="A52" s="7"/>
      <c r="B52" s="7" t="s">
        <v>1026</v>
      </c>
      <c r="C52" s="187"/>
      <c r="D52" s="200"/>
      <c r="E52" s="203"/>
      <c r="F52" s="203">
        <v>1.0</v>
      </c>
      <c r="G52" s="185" t="s">
        <v>1014</v>
      </c>
      <c r="H52" s="186"/>
      <c r="I52" s="187" t="s">
        <v>381</v>
      </c>
      <c r="J52" s="190"/>
      <c r="K52" s="190"/>
      <c r="L52" s="190"/>
      <c r="M52" s="190"/>
      <c r="N52" s="190"/>
      <c r="O52" s="190"/>
      <c r="P52" s="190"/>
      <c r="Q52" s="190"/>
      <c r="R52" s="190"/>
      <c r="S52" s="64"/>
      <c r="T52" s="190"/>
      <c r="U52" s="190"/>
      <c r="V52" s="51">
        <f t="shared" ref="V52:V56" si="4">SUM(J52:U52)</f>
        <v>0</v>
      </c>
      <c r="W52" s="7"/>
      <c r="X52" s="7"/>
      <c r="Y52" s="7"/>
      <c r="Z52" s="7"/>
    </row>
    <row r="53" ht="14.25" customHeight="1">
      <c r="A53" s="7"/>
      <c r="B53" s="7" t="s">
        <v>1027</v>
      </c>
      <c r="C53" s="187"/>
      <c r="D53" s="200"/>
      <c r="E53" s="203"/>
      <c r="F53" s="203">
        <v>2.0</v>
      </c>
      <c r="G53" s="185" t="s">
        <v>1028</v>
      </c>
      <c r="H53" s="186"/>
      <c r="I53" s="187" t="s">
        <v>381</v>
      </c>
      <c r="J53" s="190"/>
      <c r="K53" s="190"/>
      <c r="L53" s="190"/>
      <c r="M53" s="190"/>
      <c r="N53" s="190"/>
      <c r="O53" s="190"/>
      <c r="P53" s="190"/>
      <c r="Q53" s="190"/>
      <c r="R53" s="190"/>
      <c r="S53" s="64"/>
      <c r="T53" s="190"/>
      <c r="U53" s="190"/>
      <c r="V53" s="51">
        <f t="shared" si="4"/>
        <v>0</v>
      </c>
      <c r="W53" s="7"/>
      <c r="X53" s="7"/>
      <c r="Y53" s="7"/>
      <c r="Z53" s="7"/>
    </row>
    <row r="54" ht="15.0" customHeight="1">
      <c r="A54" s="7"/>
      <c r="B54" s="7" t="s">
        <v>1029</v>
      </c>
      <c r="C54" s="187"/>
      <c r="D54" s="200"/>
      <c r="E54" s="203"/>
      <c r="F54" s="203">
        <v>3.0</v>
      </c>
      <c r="G54" s="185" t="s">
        <v>1030</v>
      </c>
      <c r="H54" s="186"/>
      <c r="I54" s="187" t="s">
        <v>1031</v>
      </c>
      <c r="J54" s="190"/>
      <c r="K54" s="190"/>
      <c r="L54" s="190"/>
      <c r="M54" s="190"/>
      <c r="N54" s="190"/>
      <c r="O54" s="190"/>
      <c r="P54" s="190"/>
      <c r="Q54" s="190"/>
      <c r="R54" s="190"/>
      <c r="S54" s="64"/>
      <c r="T54" s="190"/>
      <c r="U54" s="190"/>
      <c r="V54" s="51">
        <f t="shared" si="4"/>
        <v>0</v>
      </c>
      <c r="W54" s="7"/>
      <c r="X54" s="7"/>
      <c r="Y54" s="7"/>
      <c r="Z54" s="7"/>
    </row>
    <row r="55" ht="15.0" customHeight="1">
      <c r="A55" s="7"/>
      <c r="B55" s="7" t="s">
        <v>1032</v>
      </c>
      <c r="C55" s="187"/>
      <c r="D55" s="200"/>
      <c r="E55" s="203"/>
      <c r="F55" s="203">
        <v>4.0</v>
      </c>
      <c r="G55" s="185" t="s">
        <v>1033</v>
      </c>
      <c r="H55" s="186"/>
      <c r="I55" s="187" t="s">
        <v>1034</v>
      </c>
      <c r="J55" s="190"/>
      <c r="K55" s="190"/>
      <c r="L55" s="190"/>
      <c r="M55" s="190"/>
      <c r="N55" s="190"/>
      <c r="O55" s="190"/>
      <c r="P55" s="190"/>
      <c r="Q55" s="190"/>
      <c r="R55" s="190"/>
      <c r="S55" s="64"/>
      <c r="T55" s="190"/>
      <c r="U55" s="190"/>
      <c r="V55" s="51">
        <f t="shared" si="4"/>
        <v>0</v>
      </c>
      <c r="W55" s="7"/>
      <c r="X55" s="7"/>
      <c r="Y55" s="7"/>
      <c r="Z55" s="7"/>
    </row>
    <row r="56" ht="15.0" customHeight="1">
      <c r="A56" s="7"/>
      <c r="B56" s="7" t="s">
        <v>1032</v>
      </c>
      <c r="C56" s="187"/>
      <c r="D56" s="200"/>
      <c r="E56" s="203"/>
      <c r="F56" s="185"/>
      <c r="G56" s="185"/>
      <c r="H56" s="186"/>
      <c r="I56" s="187" t="s">
        <v>381</v>
      </c>
      <c r="J56" s="190"/>
      <c r="K56" s="190"/>
      <c r="L56" s="190"/>
      <c r="M56" s="190"/>
      <c r="N56" s="190"/>
      <c r="O56" s="190"/>
      <c r="P56" s="190"/>
      <c r="Q56" s="190"/>
      <c r="R56" s="190"/>
      <c r="S56" s="64"/>
      <c r="T56" s="190"/>
      <c r="U56" s="190"/>
      <c r="V56" s="51">
        <f t="shared" si="4"/>
        <v>0</v>
      </c>
      <c r="W56" s="7"/>
      <c r="X56" s="7"/>
      <c r="Y56" s="7"/>
      <c r="Z56" s="7"/>
    </row>
    <row r="57" ht="15.0" customHeight="1">
      <c r="A57" s="7"/>
      <c r="C57" s="187"/>
      <c r="D57" s="200"/>
      <c r="E57" s="203">
        <v>4.0</v>
      </c>
      <c r="F57" s="185" t="s">
        <v>1035</v>
      </c>
      <c r="G57" s="185"/>
      <c r="H57" s="186"/>
      <c r="I57" s="187"/>
      <c r="J57" s="188"/>
      <c r="K57" s="119"/>
      <c r="L57" s="119"/>
      <c r="M57" s="119"/>
      <c r="N57" s="119"/>
      <c r="O57" s="119"/>
      <c r="P57" s="119"/>
      <c r="Q57" s="119"/>
      <c r="R57" s="119"/>
      <c r="S57" s="74"/>
      <c r="T57" s="119"/>
      <c r="U57" s="119"/>
      <c r="V57" s="119"/>
      <c r="W57" s="7"/>
      <c r="X57" s="7"/>
      <c r="Y57" s="7"/>
      <c r="Z57" s="7"/>
    </row>
    <row r="58" ht="15.0" customHeight="1">
      <c r="A58" s="7"/>
      <c r="B58" s="7" t="s">
        <v>1036</v>
      </c>
      <c r="C58" s="187"/>
      <c r="D58" s="200"/>
      <c r="E58" s="203"/>
      <c r="F58" s="203">
        <v>1.0</v>
      </c>
      <c r="G58" s="185" t="s">
        <v>1037</v>
      </c>
      <c r="H58" s="186"/>
      <c r="I58" s="187" t="s">
        <v>489</v>
      </c>
      <c r="J58" s="190"/>
      <c r="K58" s="190"/>
      <c r="L58" s="190"/>
      <c r="M58" s="190"/>
      <c r="N58" s="190"/>
      <c r="O58" s="190"/>
      <c r="P58" s="190"/>
      <c r="Q58" s="190"/>
      <c r="R58" s="190"/>
      <c r="S58" s="64"/>
      <c r="T58" s="190"/>
      <c r="U58" s="190"/>
      <c r="V58" s="51">
        <f t="shared" ref="V58:V65" si="5">SUM(J58:U58)</f>
        <v>0</v>
      </c>
      <c r="W58" s="7"/>
      <c r="X58" s="7"/>
      <c r="Y58" s="7"/>
      <c r="Z58" s="7"/>
    </row>
    <row r="59" ht="14.25" customHeight="1">
      <c r="A59" s="7"/>
      <c r="B59" s="7" t="s">
        <v>1036</v>
      </c>
      <c r="C59" s="187"/>
      <c r="D59" s="200"/>
      <c r="E59" s="203"/>
      <c r="F59" s="203"/>
      <c r="G59" s="185"/>
      <c r="H59" s="186"/>
      <c r="I59" s="187" t="s">
        <v>490</v>
      </c>
      <c r="J59" s="190"/>
      <c r="K59" s="190"/>
      <c r="L59" s="190"/>
      <c r="M59" s="190"/>
      <c r="N59" s="190"/>
      <c r="O59" s="190"/>
      <c r="P59" s="190"/>
      <c r="Q59" s="190"/>
      <c r="R59" s="190"/>
      <c r="S59" s="64"/>
      <c r="T59" s="190"/>
      <c r="U59" s="190"/>
      <c r="V59" s="51">
        <f t="shared" si="5"/>
        <v>0</v>
      </c>
      <c r="W59" s="7"/>
      <c r="X59" s="7"/>
      <c r="Y59" s="7"/>
      <c r="Z59" s="7"/>
    </row>
    <row r="60" ht="14.25" customHeight="1">
      <c r="A60" s="7"/>
      <c r="B60" s="7" t="s">
        <v>1038</v>
      </c>
      <c r="C60" s="187"/>
      <c r="D60" s="200"/>
      <c r="E60" s="203"/>
      <c r="F60" s="203">
        <v>2.0</v>
      </c>
      <c r="G60" s="185" t="s">
        <v>1039</v>
      </c>
      <c r="H60" s="186"/>
      <c r="I60" s="187" t="s">
        <v>381</v>
      </c>
      <c r="J60" s="190"/>
      <c r="K60" s="190"/>
      <c r="L60" s="190"/>
      <c r="M60" s="190"/>
      <c r="N60" s="190"/>
      <c r="O60" s="190"/>
      <c r="P60" s="190"/>
      <c r="Q60" s="190"/>
      <c r="R60" s="190"/>
      <c r="S60" s="64"/>
      <c r="T60" s="190"/>
      <c r="U60" s="190"/>
      <c r="V60" s="51">
        <f t="shared" si="5"/>
        <v>0</v>
      </c>
      <c r="W60" s="7"/>
      <c r="X60" s="7"/>
      <c r="Y60" s="7"/>
      <c r="Z60" s="7"/>
    </row>
    <row r="61" ht="15.0" customHeight="1">
      <c r="A61" s="7"/>
      <c r="B61" s="7" t="s">
        <v>1040</v>
      </c>
      <c r="C61" s="187"/>
      <c r="D61" s="200"/>
      <c r="E61" s="203"/>
      <c r="F61" s="203">
        <v>3.0</v>
      </c>
      <c r="G61" s="185" t="s">
        <v>1028</v>
      </c>
      <c r="H61" s="186"/>
      <c r="I61" s="187" t="s">
        <v>381</v>
      </c>
      <c r="J61" s="190"/>
      <c r="K61" s="190"/>
      <c r="L61" s="190"/>
      <c r="M61" s="190"/>
      <c r="N61" s="190"/>
      <c r="O61" s="190"/>
      <c r="P61" s="190"/>
      <c r="Q61" s="190"/>
      <c r="R61" s="190"/>
      <c r="S61" s="64"/>
      <c r="T61" s="190"/>
      <c r="U61" s="190"/>
      <c r="V61" s="51">
        <f t="shared" si="5"/>
        <v>0</v>
      </c>
      <c r="W61" s="7"/>
      <c r="X61" s="7"/>
      <c r="Y61" s="7"/>
      <c r="Z61" s="7"/>
    </row>
    <row r="62" ht="14.25" customHeight="1">
      <c r="A62" s="7"/>
      <c r="B62" s="7" t="s">
        <v>1041</v>
      </c>
      <c r="C62" s="187"/>
      <c r="D62" s="200"/>
      <c r="E62" s="203"/>
      <c r="F62" s="203">
        <v>4.0</v>
      </c>
      <c r="G62" s="185" t="s">
        <v>1042</v>
      </c>
      <c r="H62" s="186"/>
      <c r="I62" s="187" t="s">
        <v>381</v>
      </c>
      <c r="J62" s="190"/>
      <c r="K62" s="190"/>
      <c r="L62" s="190"/>
      <c r="M62" s="190"/>
      <c r="N62" s="190"/>
      <c r="O62" s="190"/>
      <c r="P62" s="190"/>
      <c r="Q62" s="190"/>
      <c r="R62" s="190"/>
      <c r="S62" s="64"/>
      <c r="T62" s="190"/>
      <c r="U62" s="190"/>
      <c r="V62" s="51">
        <f t="shared" si="5"/>
        <v>0</v>
      </c>
      <c r="W62" s="7"/>
      <c r="X62" s="7"/>
      <c r="Y62" s="7"/>
      <c r="Z62" s="7"/>
    </row>
    <row r="63" ht="15.0" customHeight="1">
      <c r="A63" s="7"/>
      <c r="B63" s="7" t="s">
        <v>1043</v>
      </c>
      <c r="C63" s="187"/>
      <c r="D63" s="200"/>
      <c r="E63" s="203"/>
      <c r="F63" s="203">
        <v>5.0</v>
      </c>
      <c r="G63" s="185" t="s">
        <v>1044</v>
      </c>
      <c r="H63" s="186"/>
      <c r="I63" s="187" t="s">
        <v>1045</v>
      </c>
      <c r="J63" s="190"/>
      <c r="K63" s="190"/>
      <c r="L63" s="190"/>
      <c r="M63" s="190"/>
      <c r="N63" s="190"/>
      <c r="O63" s="190"/>
      <c r="P63" s="190"/>
      <c r="Q63" s="190"/>
      <c r="R63" s="190"/>
      <c r="S63" s="64"/>
      <c r="T63" s="190"/>
      <c r="U63" s="190"/>
      <c r="V63" s="51">
        <f t="shared" si="5"/>
        <v>0</v>
      </c>
      <c r="W63" s="7"/>
      <c r="X63" s="7"/>
      <c r="Y63" s="7"/>
      <c r="Z63" s="7"/>
    </row>
    <row r="64" ht="15.0" customHeight="1">
      <c r="A64" s="7"/>
      <c r="B64" s="7" t="s">
        <v>1043</v>
      </c>
      <c r="C64" s="187"/>
      <c r="D64" s="200"/>
      <c r="E64" s="203"/>
      <c r="F64" s="185"/>
      <c r="G64" s="185"/>
      <c r="H64" s="186"/>
      <c r="I64" s="187" t="s">
        <v>1046</v>
      </c>
      <c r="J64" s="190"/>
      <c r="K64" s="190"/>
      <c r="L64" s="190"/>
      <c r="M64" s="190"/>
      <c r="N64" s="190"/>
      <c r="O64" s="190"/>
      <c r="P64" s="190"/>
      <c r="Q64" s="190"/>
      <c r="R64" s="190"/>
      <c r="S64" s="64"/>
      <c r="T64" s="190"/>
      <c r="U64" s="190"/>
      <c r="V64" s="51">
        <f t="shared" si="5"/>
        <v>0</v>
      </c>
      <c r="W64" s="7"/>
      <c r="X64" s="7"/>
      <c r="Y64" s="7"/>
      <c r="Z64" s="7"/>
    </row>
    <row r="65" ht="15.0" customHeight="1">
      <c r="A65" s="7"/>
      <c r="B65" s="7" t="s">
        <v>1043</v>
      </c>
      <c r="C65" s="187"/>
      <c r="D65" s="200"/>
      <c r="E65" s="203"/>
      <c r="F65" s="185"/>
      <c r="G65" s="185"/>
      <c r="H65" s="186"/>
      <c r="I65" s="187" t="s">
        <v>1031</v>
      </c>
      <c r="J65" s="190"/>
      <c r="K65" s="190"/>
      <c r="L65" s="190"/>
      <c r="M65" s="190"/>
      <c r="N65" s="190"/>
      <c r="O65" s="190"/>
      <c r="P65" s="190"/>
      <c r="Q65" s="190"/>
      <c r="R65" s="190"/>
      <c r="S65" s="64"/>
      <c r="T65" s="190"/>
      <c r="U65" s="190"/>
      <c r="V65" s="51">
        <f t="shared" si="5"/>
        <v>0</v>
      </c>
      <c r="W65" s="7"/>
      <c r="X65" s="7"/>
      <c r="Y65" s="7"/>
      <c r="Z65" s="7"/>
    </row>
    <row r="66" ht="15.0" customHeight="1">
      <c r="A66" s="7"/>
      <c r="C66" s="187"/>
      <c r="D66" s="200"/>
      <c r="E66" s="203">
        <v>5.0</v>
      </c>
      <c r="F66" s="185" t="s">
        <v>1047</v>
      </c>
      <c r="G66" s="185"/>
      <c r="H66" s="186"/>
      <c r="I66" s="187"/>
      <c r="J66" s="188"/>
      <c r="K66" s="119"/>
      <c r="L66" s="119"/>
      <c r="M66" s="119"/>
      <c r="N66" s="119"/>
      <c r="O66" s="119"/>
      <c r="P66" s="119"/>
      <c r="Q66" s="119"/>
      <c r="R66" s="119"/>
      <c r="S66" s="74"/>
      <c r="T66" s="119"/>
      <c r="U66" s="119"/>
      <c r="V66" s="119"/>
      <c r="W66" s="7"/>
      <c r="X66" s="7"/>
      <c r="Y66" s="7"/>
      <c r="Z66" s="7"/>
    </row>
    <row r="67" ht="14.25" customHeight="1">
      <c r="A67" s="7"/>
      <c r="B67" s="7" t="s">
        <v>1048</v>
      </c>
      <c r="C67" s="187"/>
      <c r="D67" s="200"/>
      <c r="E67" s="203"/>
      <c r="F67" s="203">
        <v>1.0</v>
      </c>
      <c r="G67" s="185" t="s">
        <v>1012</v>
      </c>
      <c r="H67" s="186"/>
      <c r="I67" s="187" t="s">
        <v>381</v>
      </c>
      <c r="J67" s="190"/>
      <c r="K67" s="190"/>
      <c r="L67" s="190"/>
      <c r="M67" s="190"/>
      <c r="N67" s="190"/>
      <c r="O67" s="190"/>
      <c r="P67" s="190"/>
      <c r="Q67" s="190"/>
      <c r="R67" s="190"/>
      <c r="S67" s="64"/>
      <c r="T67" s="190"/>
      <c r="U67" s="190"/>
      <c r="V67" s="51">
        <f t="shared" ref="V67:V70" si="6">SUM(J67:U67)</f>
        <v>0</v>
      </c>
      <c r="W67" s="7"/>
      <c r="X67" s="7"/>
      <c r="Y67" s="7"/>
      <c r="Z67" s="7"/>
    </row>
    <row r="68" ht="14.25" customHeight="1">
      <c r="A68" s="7"/>
      <c r="B68" s="7" t="s">
        <v>1048</v>
      </c>
      <c r="C68" s="187"/>
      <c r="D68" s="200"/>
      <c r="E68" s="203"/>
      <c r="F68" s="203"/>
      <c r="G68" s="185"/>
      <c r="H68" s="186"/>
      <c r="I68" s="187" t="s">
        <v>398</v>
      </c>
      <c r="J68" s="190"/>
      <c r="K68" s="190"/>
      <c r="L68" s="190"/>
      <c r="M68" s="190"/>
      <c r="N68" s="190"/>
      <c r="O68" s="190"/>
      <c r="P68" s="190"/>
      <c r="Q68" s="190"/>
      <c r="R68" s="190"/>
      <c r="S68" s="64"/>
      <c r="T68" s="190"/>
      <c r="U68" s="190"/>
      <c r="V68" s="51">
        <f t="shared" si="6"/>
        <v>0</v>
      </c>
      <c r="W68" s="7"/>
      <c r="X68" s="7"/>
      <c r="Y68" s="7"/>
      <c r="Z68" s="7"/>
    </row>
    <row r="69" ht="15.0" customHeight="1">
      <c r="A69" s="7"/>
      <c r="B69" s="7" t="s">
        <v>1049</v>
      </c>
      <c r="C69" s="187"/>
      <c r="D69" s="200"/>
      <c r="E69" s="203"/>
      <c r="F69" s="203">
        <v>2.0</v>
      </c>
      <c r="G69" s="185" t="s">
        <v>1014</v>
      </c>
      <c r="H69" s="186"/>
      <c r="I69" s="187" t="s">
        <v>381</v>
      </c>
      <c r="J69" s="190"/>
      <c r="K69" s="190"/>
      <c r="L69" s="190"/>
      <c r="M69" s="190"/>
      <c r="N69" s="190"/>
      <c r="O69" s="190"/>
      <c r="P69" s="190"/>
      <c r="Q69" s="190"/>
      <c r="R69" s="190"/>
      <c r="S69" s="64"/>
      <c r="T69" s="190"/>
      <c r="U69" s="190"/>
      <c r="V69" s="51">
        <f t="shared" si="6"/>
        <v>0</v>
      </c>
      <c r="W69" s="7"/>
      <c r="X69" s="7"/>
      <c r="Y69" s="7"/>
      <c r="Z69" s="7"/>
    </row>
    <row r="70" ht="14.25" customHeight="1">
      <c r="A70" s="7"/>
      <c r="B70" s="7" t="s">
        <v>1050</v>
      </c>
      <c r="C70" s="187"/>
      <c r="D70" s="200"/>
      <c r="E70" s="203"/>
      <c r="F70" s="203">
        <v>3.0</v>
      </c>
      <c r="G70" s="185" t="s">
        <v>1016</v>
      </c>
      <c r="H70" s="186"/>
      <c r="I70" s="187" t="s">
        <v>381</v>
      </c>
      <c r="J70" s="190"/>
      <c r="K70" s="190"/>
      <c r="L70" s="190"/>
      <c r="M70" s="190"/>
      <c r="N70" s="190"/>
      <c r="O70" s="190"/>
      <c r="P70" s="190"/>
      <c r="Q70" s="190"/>
      <c r="R70" s="190"/>
      <c r="S70" s="64"/>
      <c r="T70" s="190"/>
      <c r="U70" s="190"/>
      <c r="V70" s="51">
        <f t="shared" si="6"/>
        <v>0</v>
      </c>
      <c r="W70" s="7"/>
      <c r="X70" s="7"/>
      <c r="Y70" s="7"/>
      <c r="Z70" s="7"/>
    </row>
    <row r="71" ht="15.0" customHeight="1">
      <c r="A71" s="7"/>
      <c r="C71" s="187"/>
      <c r="D71" s="200"/>
      <c r="E71" s="203">
        <v>6.0</v>
      </c>
      <c r="F71" s="185" t="s">
        <v>1051</v>
      </c>
      <c r="G71" s="185"/>
      <c r="H71" s="186"/>
      <c r="I71" s="187"/>
      <c r="J71" s="188"/>
      <c r="K71" s="119"/>
      <c r="L71" s="119"/>
      <c r="M71" s="119"/>
      <c r="N71" s="119"/>
      <c r="O71" s="119"/>
      <c r="P71" s="119"/>
      <c r="Q71" s="119"/>
      <c r="R71" s="119"/>
      <c r="S71" s="74"/>
      <c r="T71" s="119"/>
      <c r="U71" s="119"/>
      <c r="V71" s="119"/>
      <c r="W71" s="7"/>
      <c r="X71" s="7"/>
      <c r="Y71" s="7"/>
      <c r="Z71" s="7"/>
    </row>
    <row r="72" ht="15.0" customHeight="1">
      <c r="A72" s="7"/>
      <c r="C72" s="187"/>
      <c r="D72" s="200"/>
      <c r="E72" s="185"/>
      <c r="F72" s="203">
        <v>1.0</v>
      </c>
      <c r="G72" s="185" t="s">
        <v>1052</v>
      </c>
      <c r="H72" s="186"/>
      <c r="I72" s="187"/>
      <c r="J72" s="188"/>
      <c r="K72" s="119"/>
      <c r="L72" s="119"/>
      <c r="M72" s="119"/>
      <c r="N72" s="119"/>
      <c r="O72" s="119"/>
      <c r="P72" s="119"/>
      <c r="Q72" s="119"/>
      <c r="R72" s="119"/>
      <c r="S72" s="74"/>
      <c r="T72" s="119"/>
      <c r="U72" s="119"/>
      <c r="V72" s="119"/>
      <c r="W72" s="7"/>
      <c r="X72" s="7"/>
      <c r="Y72" s="7"/>
      <c r="Z72" s="7"/>
    </row>
    <row r="73" ht="15.0" customHeight="1">
      <c r="A73" s="7"/>
      <c r="B73" s="7" t="s">
        <v>1053</v>
      </c>
      <c r="C73" s="187"/>
      <c r="D73" s="200"/>
      <c r="E73" s="185"/>
      <c r="F73" s="185"/>
      <c r="G73" s="203">
        <v>1.0</v>
      </c>
      <c r="H73" s="186" t="s">
        <v>1028</v>
      </c>
      <c r="I73" s="187" t="s">
        <v>381</v>
      </c>
      <c r="J73" s="190"/>
      <c r="K73" s="190"/>
      <c r="L73" s="190"/>
      <c r="M73" s="190"/>
      <c r="N73" s="190"/>
      <c r="O73" s="190"/>
      <c r="P73" s="190"/>
      <c r="Q73" s="190"/>
      <c r="R73" s="190"/>
      <c r="S73" s="64"/>
      <c r="T73" s="190"/>
      <c r="U73" s="190"/>
      <c r="V73" s="51">
        <f t="shared" ref="V73:V74" si="7">SUM(J73:U73)</f>
        <v>0</v>
      </c>
      <c r="W73" s="7"/>
      <c r="X73" s="7"/>
      <c r="Y73" s="7"/>
      <c r="Z73" s="7"/>
    </row>
    <row r="74" ht="15.0" customHeight="1">
      <c r="A74" s="7"/>
      <c r="B74" s="7" t="s">
        <v>1054</v>
      </c>
      <c r="C74" s="187"/>
      <c r="D74" s="200"/>
      <c r="E74" s="185"/>
      <c r="F74" s="185"/>
      <c r="G74" s="203">
        <v>2.0</v>
      </c>
      <c r="H74" s="186" t="s">
        <v>1042</v>
      </c>
      <c r="I74" s="187" t="s">
        <v>381</v>
      </c>
      <c r="J74" s="190"/>
      <c r="K74" s="190"/>
      <c r="L74" s="190"/>
      <c r="M74" s="190"/>
      <c r="N74" s="190"/>
      <c r="O74" s="190"/>
      <c r="P74" s="190"/>
      <c r="Q74" s="190"/>
      <c r="R74" s="190"/>
      <c r="S74" s="64"/>
      <c r="T74" s="190"/>
      <c r="U74" s="190"/>
      <c r="V74" s="51">
        <f t="shared" si="7"/>
        <v>0</v>
      </c>
      <c r="W74" s="7"/>
      <c r="X74" s="7"/>
      <c r="Y74" s="7"/>
      <c r="Z74" s="7"/>
    </row>
    <row r="75" ht="14.25" customHeight="1">
      <c r="A75" s="7"/>
      <c r="C75" s="187"/>
      <c r="D75" s="200"/>
      <c r="E75" s="185"/>
      <c r="F75" s="203">
        <v>2.0</v>
      </c>
      <c r="G75" s="185" t="s">
        <v>1055</v>
      </c>
      <c r="H75" s="186"/>
      <c r="I75" s="187"/>
      <c r="J75" s="188"/>
      <c r="K75" s="119"/>
      <c r="L75" s="119"/>
      <c r="M75" s="119"/>
      <c r="N75" s="119"/>
      <c r="O75" s="119"/>
      <c r="P75" s="119"/>
      <c r="Q75" s="119"/>
      <c r="R75" s="119"/>
      <c r="S75" s="74"/>
      <c r="T75" s="119"/>
      <c r="U75" s="119"/>
      <c r="V75" s="119"/>
      <c r="W75" s="7"/>
      <c r="X75" s="7"/>
      <c r="Y75" s="7"/>
      <c r="Z75" s="7"/>
    </row>
    <row r="76" ht="14.25" customHeight="1">
      <c r="A76" s="7"/>
      <c r="B76" s="7" t="s">
        <v>1056</v>
      </c>
      <c r="C76" s="187"/>
      <c r="D76" s="200"/>
      <c r="E76" s="185"/>
      <c r="F76" s="185"/>
      <c r="G76" s="203">
        <v>1.0</v>
      </c>
      <c r="H76" s="186" t="s">
        <v>1028</v>
      </c>
      <c r="I76" s="187" t="s">
        <v>381</v>
      </c>
      <c r="J76" s="190"/>
      <c r="K76" s="190"/>
      <c r="L76" s="190"/>
      <c r="M76" s="190"/>
      <c r="N76" s="190"/>
      <c r="O76" s="190"/>
      <c r="P76" s="190"/>
      <c r="Q76" s="190"/>
      <c r="R76" s="190"/>
      <c r="S76" s="64"/>
      <c r="T76" s="190"/>
      <c r="U76" s="190"/>
      <c r="V76" s="51">
        <f t="shared" ref="V76:V84" si="8">SUM(J76:U76)</f>
        <v>0</v>
      </c>
      <c r="W76" s="7"/>
      <c r="X76" s="7"/>
      <c r="Y76" s="7"/>
      <c r="Z76" s="7"/>
    </row>
    <row r="77" ht="15.0" customHeight="1">
      <c r="A77" s="7"/>
      <c r="B77" s="7" t="s">
        <v>1057</v>
      </c>
      <c r="C77" s="187"/>
      <c r="D77" s="200"/>
      <c r="E77" s="185"/>
      <c r="F77" s="185"/>
      <c r="G77" s="203">
        <v>2.0</v>
      </c>
      <c r="H77" s="186" t="s">
        <v>1042</v>
      </c>
      <c r="I77" s="187" t="s">
        <v>381</v>
      </c>
      <c r="J77" s="190"/>
      <c r="K77" s="190"/>
      <c r="L77" s="190"/>
      <c r="M77" s="190"/>
      <c r="N77" s="190"/>
      <c r="O77" s="190"/>
      <c r="P77" s="190"/>
      <c r="Q77" s="190"/>
      <c r="R77" s="190"/>
      <c r="S77" s="64"/>
      <c r="T77" s="190"/>
      <c r="U77" s="190"/>
      <c r="V77" s="51">
        <f t="shared" si="8"/>
        <v>0</v>
      </c>
      <c r="W77" s="7"/>
      <c r="X77" s="7"/>
      <c r="Y77" s="7"/>
      <c r="Z77" s="7"/>
    </row>
    <row r="78" ht="15.0" customHeight="1">
      <c r="A78" s="7"/>
      <c r="B78" s="7" t="s">
        <v>1058</v>
      </c>
      <c r="C78" s="187"/>
      <c r="D78" s="200"/>
      <c r="E78" s="185"/>
      <c r="F78" s="203">
        <v>3.0</v>
      </c>
      <c r="G78" s="185" t="s">
        <v>1059</v>
      </c>
      <c r="H78" s="186"/>
      <c r="I78" s="187" t="s">
        <v>381</v>
      </c>
      <c r="J78" s="190"/>
      <c r="K78" s="190"/>
      <c r="L78" s="190"/>
      <c r="M78" s="190"/>
      <c r="N78" s="190"/>
      <c r="O78" s="190"/>
      <c r="P78" s="190"/>
      <c r="Q78" s="190"/>
      <c r="R78" s="190"/>
      <c r="S78" s="64"/>
      <c r="T78" s="190"/>
      <c r="U78" s="190"/>
      <c r="V78" s="51">
        <f t="shared" si="8"/>
        <v>0</v>
      </c>
      <c r="W78" s="7"/>
      <c r="X78" s="7"/>
      <c r="Y78" s="7"/>
      <c r="Z78" s="7"/>
    </row>
    <row r="79" ht="15.0" customHeight="1">
      <c r="A79" s="7"/>
      <c r="B79" s="7" t="s">
        <v>1060</v>
      </c>
      <c r="C79" s="187"/>
      <c r="D79" s="200"/>
      <c r="E79" s="185"/>
      <c r="F79" s="203">
        <v>4.0</v>
      </c>
      <c r="G79" s="185" t="s">
        <v>1061</v>
      </c>
      <c r="H79" s="186"/>
      <c r="I79" s="187" t="s">
        <v>381</v>
      </c>
      <c r="J79" s="190"/>
      <c r="K79" s="190"/>
      <c r="L79" s="190"/>
      <c r="M79" s="190"/>
      <c r="N79" s="190"/>
      <c r="O79" s="190"/>
      <c r="P79" s="190"/>
      <c r="Q79" s="190"/>
      <c r="R79" s="190"/>
      <c r="S79" s="64"/>
      <c r="T79" s="190"/>
      <c r="U79" s="190"/>
      <c r="V79" s="51">
        <f t="shared" si="8"/>
        <v>0</v>
      </c>
      <c r="W79" s="7"/>
      <c r="X79" s="7"/>
      <c r="Y79" s="7"/>
      <c r="Z79" s="7"/>
    </row>
    <row r="80" ht="15.0" customHeight="1">
      <c r="A80" s="7"/>
      <c r="B80" s="7" t="s">
        <v>1062</v>
      </c>
      <c r="C80" s="187"/>
      <c r="D80" s="200"/>
      <c r="E80" s="185"/>
      <c r="F80" s="203">
        <v>5.0</v>
      </c>
      <c r="G80" s="185" t="s">
        <v>1063</v>
      </c>
      <c r="H80" s="186"/>
      <c r="I80" s="187" t="s">
        <v>381</v>
      </c>
      <c r="J80" s="190"/>
      <c r="K80" s="190"/>
      <c r="L80" s="190"/>
      <c r="M80" s="190"/>
      <c r="N80" s="190"/>
      <c r="O80" s="190"/>
      <c r="P80" s="190"/>
      <c r="Q80" s="190"/>
      <c r="R80" s="190"/>
      <c r="S80" s="64"/>
      <c r="T80" s="190"/>
      <c r="U80" s="190"/>
      <c r="V80" s="51">
        <f t="shared" si="8"/>
        <v>0</v>
      </c>
      <c r="W80" s="7"/>
      <c r="X80" s="7"/>
      <c r="Y80" s="7"/>
      <c r="Z80" s="7"/>
    </row>
    <row r="81" ht="14.25" customHeight="1">
      <c r="A81" s="7"/>
      <c r="B81" s="7" t="s">
        <v>1064</v>
      </c>
      <c r="C81" s="187"/>
      <c r="D81" s="200"/>
      <c r="E81" s="185"/>
      <c r="F81" s="203">
        <v>6.0</v>
      </c>
      <c r="G81" s="185" t="s">
        <v>1065</v>
      </c>
      <c r="H81" s="186"/>
      <c r="I81" s="187" t="s">
        <v>381</v>
      </c>
      <c r="J81" s="190"/>
      <c r="K81" s="190"/>
      <c r="L81" s="190"/>
      <c r="M81" s="190"/>
      <c r="N81" s="190"/>
      <c r="O81" s="190"/>
      <c r="P81" s="190"/>
      <c r="Q81" s="190"/>
      <c r="R81" s="190"/>
      <c r="S81" s="64"/>
      <c r="T81" s="190"/>
      <c r="U81" s="190"/>
      <c r="V81" s="51">
        <f t="shared" si="8"/>
        <v>0</v>
      </c>
      <c r="W81" s="7"/>
      <c r="X81" s="7"/>
      <c r="Y81" s="7"/>
      <c r="Z81" s="7"/>
    </row>
    <row r="82" ht="14.25" customHeight="1">
      <c r="A82" s="7"/>
      <c r="B82" s="7" t="s">
        <v>1066</v>
      </c>
      <c r="C82" s="187"/>
      <c r="D82" s="200"/>
      <c r="E82" s="185"/>
      <c r="F82" s="203">
        <v>7.0</v>
      </c>
      <c r="G82" s="185" t="s">
        <v>1067</v>
      </c>
      <c r="H82" s="186"/>
      <c r="I82" s="187" t="s">
        <v>381</v>
      </c>
      <c r="J82" s="190"/>
      <c r="K82" s="190"/>
      <c r="L82" s="190"/>
      <c r="M82" s="190"/>
      <c r="N82" s="190"/>
      <c r="O82" s="190"/>
      <c r="P82" s="190"/>
      <c r="Q82" s="190"/>
      <c r="R82" s="190"/>
      <c r="S82" s="64"/>
      <c r="T82" s="190"/>
      <c r="U82" s="190"/>
      <c r="V82" s="51">
        <f t="shared" si="8"/>
        <v>0</v>
      </c>
      <c r="W82" s="7"/>
      <c r="X82" s="7"/>
      <c r="Y82" s="7"/>
      <c r="Z82" s="7"/>
    </row>
    <row r="83" ht="15.0" customHeight="1">
      <c r="A83" s="7"/>
      <c r="B83" s="7" t="s">
        <v>1068</v>
      </c>
      <c r="C83" s="187"/>
      <c r="D83" s="200"/>
      <c r="E83" s="185"/>
      <c r="F83" s="203">
        <v>8.0</v>
      </c>
      <c r="G83" s="185" t="s">
        <v>1069</v>
      </c>
      <c r="H83" s="186"/>
      <c r="I83" s="187" t="s">
        <v>398</v>
      </c>
      <c r="J83" s="190"/>
      <c r="K83" s="190"/>
      <c r="L83" s="190"/>
      <c r="M83" s="190"/>
      <c r="N83" s="190"/>
      <c r="O83" s="190"/>
      <c r="P83" s="190"/>
      <c r="Q83" s="190"/>
      <c r="R83" s="190"/>
      <c r="S83" s="64"/>
      <c r="T83" s="190"/>
      <c r="U83" s="190"/>
      <c r="V83" s="51">
        <f t="shared" si="8"/>
        <v>0</v>
      </c>
      <c r="W83" s="7"/>
      <c r="X83" s="7"/>
      <c r="Y83" s="7"/>
      <c r="Z83" s="7"/>
    </row>
    <row r="84" ht="14.25" customHeight="1">
      <c r="A84" s="7"/>
      <c r="B84" s="7" t="s">
        <v>1070</v>
      </c>
      <c r="C84" s="187"/>
      <c r="D84" s="200"/>
      <c r="E84" s="185"/>
      <c r="F84" s="203">
        <v>9.0</v>
      </c>
      <c r="G84" s="185" t="s">
        <v>1071</v>
      </c>
      <c r="H84" s="186"/>
      <c r="I84" s="187" t="s">
        <v>381</v>
      </c>
      <c r="J84" s="190"/>
      <c r="K84" s="190"/>
      <c r="L84" s="190"/>
      <c r="M84" s="190"/>
      <c r="N84" s="190"/>
      <c r="O84" s="190"/>
      <c r="P84" s="190"/>
      <c r="Q84" s="190"/>
      <c r="R84" s="190"/>
      <c r="S84" s="64"/>
      <c r="T84" s="190"/>
      <c r="U84" s="190"/>
      <c r="V84" s="51">
        <f t="shared" si="8"/>
        <v>0</v>
      </c>
      <c r="W84" s="7"/>
      <c r="X84" s="7"/>
      <c r="Y84" s="7"/>
      <c r="Z84" s="7"/>
    </row>
    <row r="85" ht="15.0" customHeight="1">
      <c r="A85" s="7"/>
      <c r="B85" s="11"/>
      <c r="C85" s="187"/>
      <c r="D85" s="200"/>
      <c r="E85" s="185"/>
      <c r="F85" s="185"/>
      <c r="G85" s="185"/>
      <c r="H85" s="186"/>
      <c r="I85" s="187"/>
      <c r="J85" s="188"/>
      <c r="K85" s="119"/>
      <c r="L85" s="119"/>
      <c r="M85" s="119"/>
      <c r="N85" s="119"/>
      <c r="O85" s="119"/>
      <c r="P85" s="119"/>
      <c r="Q85" s="119"/>
      <c r="R85" s="119"/>
      <c r="S85" s="74"/>
      <c r="T85" s="119"/>
      <c r="U85" s="119"/>
      <c r="V85" s="119"/>
      <c r="W85" s="7"/>
      <c r="X85" s="7"/>
      <c r="Y85" s="7"/>
      <c r="Z85" s="7"/>
    </row>
    <row r="86" ht="15.0" customHeight="1">
      <c r="A86" s="7"/>
      <c r="C86" s="187"/>
      <c r="D86" s="189">
        <v>2.0</v>
      </c>
      <c r="E86" s="185" t="s">
        <v>1072</v>
      </c>
      <c r="F86" s="185"/>
      <c r="G86" s="185"/>
      <c r="H86" s="186"/>
      <c r="I86" s="187"/>
      <c r="J86" s="188"/>
      <c r="K86" s="119"/>
      <c r="L86" s="119"/>
      <c r="M86" s="119"/>
      <c r="N86" s="119"/>
      <c r="O86" s="119"/>
      <c r="P86" s="119"/>
      <c r="Q86" s="119"/>
      <c r="R86" s="119"/>
      <c r="S86" s="74"/>
      <c r="T86" s="119"/>
      <c r="U86" s="119"/>
      <c r="V86" s="119"/>
      <c r="W86" s="7"/>
      <c r="X86" s="7"/>
      <c r="Y86" s="7"/>
      <c r="Z86" s="7"/>
    </row>
    <row r="87" ht="15.0" customHeight="1">
      <c r="A87" s="7"/>
      <c r="B87" s="7" t="s">
        <v>1073</v>
      </c>
      <c r="C87" s="187"/>
      <c r="D87" s="200"/>
      <c r="E87" s="203">
        <v>1.0</v>
      </c>
      <c r="F87" s="185" t="s">
        <v>1008</v>
      </c>
      <c r="G87" s="185"/>
      <c r="H87" s="186"/>
      <c r="I87" s="187" t="s">
        <v>381</v>
      </c>
      <c r="J87" s="190"/>
      <c r="K87" s="190"/>
      <c r="L87" s="190"/>
      <c r="M87" s="190"/>
      <c r="N87" s="190"/>
      <c r="O87" s="190"/>
      <c r="P87" s="190"/>
      <c r="Q87" s="190"/>
      <c r="R87" s="190"/>
      <c r="S87" s="64"/>
      <c r="T87" s="190"/>
      <c r="U87" s="190"/>
      <c r="V87" s="51">
        <f t="shared" ref="V87:V90" si="9">SUM(J87:U87)</f>
        <v>0</v>
      </c>
      <c r="W87" s="7"/>
      <c r="X87" s="7"/>
      <c r="Y87" s="7"/>
      <c r="Z87" s="7"/>
    </row>
    <row r="88" ht="15.0" customHeight="1">
      <c r="A88" s="7"/>
      <c r="B88" s="7" t="s">
        <v>1073</v>
      </c>
      <c r="C88" s="187"/>
      <c r="D88" s="200"/>
      <c r="E88" s="185"/>
      <c r="F88" s="185"/>
      <c r="G88" s="185"/>
      <c r="H88" s="186"/>
      <c r="I88" s="187" t="s">
        <v>1009</v>
      </c>
      <c r="J88" s="190"/>
      <c r="K88" s="190"/>
      <c r="L88" s="190"/>
      <c r="M88" s="190"/>
      <c r="N88" s="190"/>
      <c r="O88" s="190"/>
      <c r="P88" s="190"/>
      <c r="Q88" s="190"/>
      <c r="R88" s="190"/>
      <c r="S88" s="64"/>
      <c r="T88" s="190"/>
      <c r="U88" s="190"/>
      <c r="V88" s="51">
        <f t="shared" si="9"/>
        <v>0</v>
      </c>
      <c r="W88" s="7"/>
      <c r="X88" s="7"/>
      <c r="Y88" s="7"/>
      <c r="Z88" s="7"/>
    </row>
    <row r="89" ht="15.0" customHeight="1">
      <c r="A89" s="7"/>
      <c r="B89" s="7" t="s">
        <v>1073</v>
      </c>
      <c r="C89" s="187"/>
      <c r="D89" s="200"/>
      <c r="E89" s="185"/>
      <c r="F89" s="185"/>
      <c r="G89" s="185"/>
      <c r="H89" s="186"/>
      <c r="I89" s="187" t="s">
        <v>490</v>
      </c>
      <c r="J89" s="190"/>
      <c r="K89" s="190"/>
      <c r="L89" s="190"/>
      <c r="M89" s="190"/>
      <c r="N89" s="190"/>
      <c r="O89" s="190"/>
      <c r="P89" s="190"/>
      <c r="Q89" s="190"/>
      <c r="R89" s="190"/>
      <c r="S89" s="64"/>
      <c r="T89" s="190"/>
      <c r="U89" s="190"/>
      <c r="V89" s="51">
        <f t="shared" si="9"/>
        <v>0</v>
      </c>
      <c r="W89" s="7"/>
      <c r="X89" s="7"/>
      <c r="Y89" s="7"/>
      <c r="Z89" s="7"/>
    </row>
    <row r="90" ht="15.0" customHeight="1">
      <c r="A90" s="7"/>
      <c r="B90" s="7" t="s">
        <v>1073</v>
      </c>
      <c r="C90" s="187"/>
      <c r="D90" s="200"/>
      <c r="E90" s="185"/>
      <c r="F90" s="185"/>
      <c r="G90" s="185"/>
      <c r="H90" s="186"/>
      <c r="I90" s="187" t="s">
        <v>398</v>
      </c>
      <c r="J90" s="190"/>
      <c r="K90" s="190"/>
      <c r="L90" s="190"/>
      <c r="M90" s="190"/>
      <c r="N90" s="190"/>
      <c r="O90" s="190"/>
      <c r="P90" s="190"/>
      <c r="Q90" s="190"/>
      <c r="R90" s="190"/>
      <c r="S90" s="64"/>
      <c r="T90" s="190"/>
      <c r="U90" s="190"/>
      <c r="V90" s="51">
        <f t="shared" si="9"/>
        <v>0</v>
      </c>
      <c r="W90" s="7"/>
      <c r="X90" s="7"/>
      <c r="Y90" s="7"/>
      <c r="Z90" s="7"/>
    </row>
    <row r="91" ht="15.0" customHeight="1">
      <c r="A91" s="7"/>
      <c r="C91" s="187"/>
      <c r="D91" s="200"/>
      <c r="E91" s="203">
        <v>2.0</v>
      </c>
      <c r="F91" s="185" t="s">
        <v>1010</v>
      </c>
      <c r="G91" s="185"/>
      <c r="H91" s="186"/>
      <c r="I91" s="187"/>
      <c r="J91" s="188"/>
      <c r="K91" s="119"/>
      <c r="L91" s="119"/>
      <c r="M91" s="119"/>
      <c r="N91" s="119"/>
      <c r="O91" s="119"/>
      <c r="P91" s="119"/>
      <c r="Q91" s="119"/>
      <c r="R91" s="119"/>
      <c r="S91" s="74"/>
      <c r="T91" s="119"/>
      <c r="U91" s="119"/>
      <c r="V91" s="119"/>
      <c r="W91" s="7"/>
      <c r="X91" s="7"/>
      <c r="Y91" s="7"/>
      <c r="Z91" s="7"/>
    </row>
    <row r="92" ht="15.0" customHeight="1">
      <c r="A92" s="7"/>
      <c r="B92" s="7" t="s">
        <v>1074</v>
      </c>
      <c r="C92" s="187"/>
      <c r="D92" s="200"/>
      <c r="E92" s="185"/>
      <c r="F92" s="203">
        <v>1.0</v>
      </c>
      <c r="G92" s="185" t="s">
        <v>1012</v>
      </c>
      <c r="H92" s="186"/>
      <c r="I92" s="187" t="s">
        <v>381</v>
      </c>
      <c r="J92" s="190"/>
      <c r="K92" s="190"/>
      <c r="L92" s="190"/>
      <c r="M92" s="190"/>
      <c r="N92" s="190"/>
      <c r="O92" s="190"/>
      <c r="P92" s="190"/>
      <c r="Q92" s="190"/>
      <c r="R92" s="190"/>
      <c r="S92" s="64"/>
      <c r="T92" s="190"/>
      <c r="U92" s="190"/>
      <c r="V92" s="51">
        <f t="shared" ref="V92:V115" si="10">SUM(J92:U92)</f>
        <v>0</v>
      </c>
      <c r="W92" s="7"/>
      <c r="X92" s="7"/>
      <c r="Y92" s="7"/>
      <c r="Z92" s="7"/>
    </row>
    <row r="93" ht="15.0" customHeight="1">
      <c r="A93" s="7"/>
      <c r="B93" s="7" t="s">
        <v>1074</v>
      </c>
      <c r="C93" s="187"/>
      <c r="D93" s="200"/>
      <c r="E93" s="185"/>
      <c r="F93" s="203"/>
      <c r="G93" s="185"/>
      <c r="H93" s="186"/>
      <c r="I93" s="187" t="s">
        <v>489</v>
      </c>
      <c r="J93" s="190"/>
      <c r="K93" s="190"/>
      <c r="L93" s="190"/>
      <c r="M93" s="190"/>
      <c r="N93" s="190"/>
      <c r="O93" s="190"/>
      <c r="P93" s="190"/>
      <c r="Q93" s="190"/>
      <c r="R93" s="190"/>
      <c r="S93" s="64"/>
      <c r="T93" s="190"/>
      <c r="U93" s="190"/>
      <c r="V93" s="51">
        <f t="shared" si="10"/>
        <v>0</v>
      </c>
      <c r="W93" s="7"/>
      <c r="X93" s="7"/>
      <c r="Y93" s="7"/>
      <c r="Z93" s="7"/>
    </row>
    <row r="94" ht="15.0" customHeight="1">
      <c r="A94" s="7"/>
      <c r="B94" s="7" t="s">
        <v>1074</v>
      </c>
      <c r="C94" s="187"/>
      <c r="D94" s="200"/>
      <c r="E94" s="185"/>
      <c r="F94" s="203"/>
      <c r="G94" s="185"/>
      <c r="H94" s="186"/>
      <c r="I94" s="187" t="s">
        <v>490</v>
      </c>
      <c r="J94" s="190"/>
      <c r="K94" s="190"/>
      <c r="L94" s="190"/>
      <c r="M94" s="190"/>
      <c r="N94" s="190"/>
      <c r="O94" s="190"/>
      <c r="P94" s="190"/>
      <c r="Q94" s="190"/>
      <c r="R94" s="190"/>
      <c r="S94" s="64"/>
      <c r="T94" s="190"/>
      <c r="U94" s="190"/>
      <c r="V94" s="51">
        <f t="shared" si="10"/>
        <v>0</v>
      </c>
      <c r="W94" s="7"/>
      <c r="X94" s="7"/>
      <c r="Y94" s="7"/>
      <c r="Z94" s="7"/>
    </row>
    <row r="95" ht="15.0" customHeight="1">
      <c r="A95" s="7"/>
      <c r="B95" s="7" t="s">
        <v>1074</v>
      </c>
      <c r="C95" s="187"/>
      <c r="D95" s="200"/>
      <c r="E95" s="185"/>
      <c r="F95" s="203"/>
      <c r="G95" s="185"/>
      <c r="H95" s="186"/>
      <c r="I95" s="187" t="s">
        <v>398</v>
      </c>
      <c r="J95" s="190"/>
      <c r="K95" s="190"/>
      <c r="L95" s="190"/>
      <c r="M95" s="190"/>
      <c r="N95" s="190"/>
      <c r="O95" s="190"/>
      <c r="P95" s="190"/>
      <c r="Q95" s="190"/>
      <c r="R95" s="190"/>
      <c r="S95" s="64"/>
      <c r="T95" s="190"/>
      <c r="U95" s="190"/>
      <c r="V95" s="51">
        <f t="shared" si="10"/>
        <v>0</v>
      </c>
      <c r="W95" s="7"/>
      <c r="X95" s="7"/>
      <c r="Y95" s="7"/>
      <c r="Z95" s="7"/>
    </row>
    <row r="96" ht="15.0" customHeight="1">
      <c r="A96" s="7"/>
      <c r="B96" s="7" t="s">
        <v>1075</v>
      </c>
      <c r="C96" s="187"/>
      <c r="D96" s="200"/>
      <c r="E96" s="185"/>
      <c r="F96" s="203">
        <v>2.0</v>
      </c>
      <c r="G96" s="185" t="s">
        <v>1014</v>
      </c>
      <c r="H96" s="186"/>
      <c r="I96" s="187" t="s">
        <v>381</v>
      </c>
      <c r="J96" s="190"/>
      <c r="K96" s="190"/>
      <c r="L96" s="190"/>
      <c r="M96" s="190"/>
      <c r="N96" s="190"/>
      <c r="O96" s="190"/>
      <c r="P96" s="190"/>
      <c r="Q96" s="190"/>
      <c r="R96" s="190"/>
      <c r="S96" s="64"/>
      <c r="T96" s="190"/>
      <c r="U96" s="190"/>
      <c r="V96" s="51">
        <f t="shared" si="10"/>
        <v>0</v>
      </c>
      <c r="W96" s="7"/>
      <c r="X96" s="7"/>
      <c r="Y96" s="7"/>
      <c r="Z96" s="7"/>
    </row>
    <row r="97" ht="15.0" customHeight="1">
      <c r="A97" s="7"/>
      <c r="B97" s="7" t="s">
        <v>1075</v>
      </c>
      <c r="C97" s="187"/>
      <c r="D97" s="200"/>
      <c r="E97" s="185"/>
      <c r="F97" s="203"/>
      <c r="G97" s="185"/>
      <c r="H97" s="186"/>
      <c r="I97" s="187" t="s">
        <v>1009</v>
      </c>
      <c r="J97" s="190"/>
      <c r="K97" s="190"/>
      <c r="L97" s="190"/>
      <c r="M97" s="190"/>
      <c r="N97" s="190"/>
      <c r="O97" s="190"/>
      <c r="P97" s="190"/>
      <c r="Q97" s="190"/>
      <c r="R97" s="190"/>
      <c r="S97" s="64"/>
      <c r="T97" s="190"/>
      <c r="U97" s="190"/>
      <c r="V97" s="51">
        <f t="shared" si="10"/>
        <v>0</v>
      </c>
      <c r="W97" s="7"/>
      <c r="X97" s="7"/>
      <c r="Y97" s="7"/>
      <c r="Z97" s="7"/>
    </row>
    <row r="98" ht="15.0" customHeight="1">
      <c r="A98" s="7"/>
      <c r="B98" s="7" t="s">
        <v>1075</v>
      </c>
      <c r="C98" s="187"/>
      <c r="D98" s="200"/>
      <c r="E98" s="185"/>
      <c r="F98" s="203"/>
      <c r="G98" s="185"/>
      <c r="H98" s="186"/>
      <c r="I98" s="187" t="s">
        <v>490</v>
      </c>
      <c r="J98" s="190"/>
      <c r="K98" s="190"/>
      <c r="L98" s="190"/>
      <c r="M98" s="190"/>
      <c r="N98" s="190"/>
      <c r="O98" s="190"/>
      <c r="P98" s="190"/>
      <c r="Q98" s="190"/>
      <c r="R98" s="190"/>
      <c r="S98" s="64"/>
      <c r="T98" s="190"/>
      <c r="U98" s="190"/>
      <c r="V98" s="51">
        <f t="shared" si="10"/>
        <v>0</v>
      </c>
      <c r="W98" s="7"/>
      <c r="X98" s="7"/>
      <c r="Y98" s="7"/>
      <c r="Z98" s="7"/>
    </row>
    <row r="99" ht="15.0" customHeight="1">
      <c r="A99" s="7"/>
      <c r="B99" s="7" t="s">
        <v>1075</v>
      </c>
      <c r="C99" s="187"/>
      <c r="D99" s="200"/>
      <c r="E99" s="185"/>
      <c r="F99" s="203"/>
      <c r="G99" s="185"/>
      <c r="H99" s="186"/>
      <c r="I99" s="187" t="s">
        <v>398</v>
      </c>
      <c r="J99" s="190"/>
      <c r="K99" s="190"/>
      <c r="L99" s="190"/>
      <c r="M99" s="190"/>
      <c r="N99" s="190"/>
      <c r="O99" s="190"/>
      <c r="P99" s="190"/>
      <c r="Q99" s="190"/>
      <c r="R99" s="190"/>
      <c r="S99" s="64"/>
      <c r="T99" s="190"/>
      <c r="U99" s="190"/>
      <c r="V99" s="51">
        <f t="shared" si="10"/>
        <v>0</v>
      </c>
      <c r="W99" s="7"/>
      <c r="X99" s="7"/>
      <c r="Y99" s="7"/>
      <c r="Z99" s="7"/>
    </row>
    <row r="100" ht="15.0" customHeight="1">
      <c r="A100" s="7"/>
      <c r="B100" s="7" t="s">
        <v>1076</v>
      </c>
      <c r="C100" s="187"/>
      <c r="D100" s="200"/>
      <c r="E100" s="185"/>
      <c r="F100" s="203">
        <v>3.0</v>
      </c>
      <c r="G100" s="185" t="s">
        <v>1016</v>
      </c>
      <c r="H100" s="186"/>
      <c r="I100" s="187" t="s">
        <v>381</v>
      </c>
      <c r="J100" s="190"/>
      <c r="K100" s="190"/>
      <c r="L100" s="190"/>
      <c r="M100" s="190"/>
      <c r="N100" s="190"/>
      <c r="O100" s="190"/>
      <c r="P100" s="190"/>
      <c r="Q100" s="190"/>
      <c r="R100" s="190"/>
      <c r="S100" s="64"/>
      <c r="T100" s="190"/>
      <c r="U100" s="190"/>
      <c r="V100" s="51">
        <f t="shared" si="10"/>
        <v>0</v>
      </c>
      <c r="W100" s="7"/>
      <c r="X100" s="7"/>
      <c r="Y100" s="7"/>
      <c r="Z100" s="7"/>
    </row>
    <row r="101" ht="14.25" customHeight="1">
      <c r="A101" s="7"/>
      <c r="B101" s="7" t="s">
        <v>1076</v>
      </c>
      <c r="C101" s="187"/>
      <c r="D101" s="200"/>
      <c r="E101" s="185"/>
      <c r="F101" s="203"/>
      <c r="G101" s="185"/>
      <c r="H101" s="186"/>
      <c r="I101" s="187" t="s">
        <v>1009</v>
      </c>
      <c r="J101" s="190"/>
      <c r="K101" s="190"/>
      <c r="L101" s="190"/>
      <c r="M101" s="190"/>
      <c r="N101" s="190"/>
      <c r="O101" s="190"/>
      <c r="P101" s="190"/>
      <c r="Q101" s="190"/>
      <c r="R101" s="190"/>
      <c r="S101" s="64"/>
      <c r="T101" s="190"/>
      <c r="U101" s="190"/>
      <c r="V101" s="51">
        <f t="shared" si="10"/>
        <v>0</v>
      </c>
      <c r="W101" s="7"/>
      <c r="X101" s="7"/>
      <c r="Y101" s="7"/>
      <c r="Z101" s="7"/>
    </row>
    <row r="102" ht="15.0" customHeight="1">
      <c r="A102" s="7"/>
      <c r="B102" s="7" t="s">
        <v>1076</v>
      </c>
      <c r="C102" s="187"/>
      <c r="D102" s="200"/>
      <c r="E102" s="185"/>
      <c r="F102" s="203"/>
      <c r="G102" s="185"/>
      <c r="H102" s="186"/>
      <c r="I102" s="187" t="s">
        <v>490</v>
      </c>
      <c r="J102" s="190"/>
      <c r="K102" s="190"/>
      <c r="L102" s="190"/>
      <c r="M102" s="190"/>
      <c r="N102" s="190"/>
      <c r="O102" s="190"/>
      <c r="P102" s="190"/>
      <c r="Q102" s="190"/>
      <c r="R102" s="190"/>
      <c r="S102" s="64"/>
      <c r="T102" s="190"/>
      <c r="U102" s="190"/>
      <c r="V102" s="51">
        <f t="shared" si="10"/>
        <v>0</v>
      </c>
      <c r="W102" s="7"/>
      <c r="X102" s="7"/>
      <c r="Y102" s="7"/>
      <c r="Z102" s="7"/>
    </row>
    <row r="103" ht="15.0" customHeight="1">
      <c r="A103" s="7"/>
      <c r="B103" s="7" t="s">
        <v>1076</v>
      </c>
      <c r="C103" s="187"/>
      <c r="D103" s="200"/>
      <c r="E103" s="185"/>
      <c r="F103" s="203"/>
      <c r="G103" s="185"/>
      <c r="H103" s="186"/>
      <c r="I103" s="187" t="s">
        <v>398</v>
      </c>
      <c r="J103" s="190"/>
      <c r="K103" s="190"/>
      <c r="L103" s="190"/>
      <c r="M103" s="190"/>
      <c r="N103" s="190"/>
      <c r="O103" s="190"/>
      <c r="P103" s="190"/>
      <c r="Q103" s="190"/>
      <c r="R103" s="190"/>
      <c r="S103" s="64"/>
      <c r="T103" s="190"/>
      <c r="U103" s="190"/>
      <c r="V103" s="51">
        <f t="shared" si="10"/>
        <v>0</v>
      </c>
      <c r="W103" s="7"/>
      <c r="X103" s="7"/>
      <c r="Y103" s="7"/>
      <c r="Z103" s="7"/>
    </row>
    <row r="104" ht="15.0" customHeight="1">
      <c r="A104" s="7"/>
      <c r="B104" s="7" t="s">
        <v>1077</v>
      </c>
      <c r="C104" s="187"/>
      <c r="D104" s="200"/>
      <c r="E104" s="185"/>
      <c r="F104" s="203">
        <v>4.0</v>
      </c>
      <c r="G104" s="185" t="s">
        <v>1018</v>
      </c>
      <c r="H104" s="186"/>
      <c r="I104" s="187" t="s">
        <v>381</v>
      </c>
      <c r="J104" s="190"/>
      <c r="K104" s="190"/>
      <c r="L104" s="190"/>
      <c r="M104" s="190"/>
      <c r="N104" s="190"/>
      <c r="O104" s="190"/>
      <c r="P104" s="190"/>
      <c r="Q104" s="190"/>
      <c r="R104" s="190"/>
      <c r="S104" s="64"/>
      <c r="T104" s="190"/>
      <c r="U104" s="190"/>
      <c r="V104" s="51">
        <f t="shared" si="10"/>
        <v>0</v>
      </c>
      <c r="W104" s="7"/>
      <c r="X104" s="7"/>
      <c r="Y104" s="7"/>
      <c r="Z104" s="7"/>
    </row>
    <row r="105" ht="15.0" customHeight="1">
      <c r="A105" s="7"/>
      <c r="B105" s="7" t="s">
        <v>1077</v>
      </c>
      <c r="C105" s="187"/>
      <c r="D105" s="200"/>
      <c r="E105" s="185"/>
      <c r="F105" s="203"/>
      <c r="G105" s="185"/>
      <c r="H105" s="186"/>
      <c r="I105" s="187" t="s">
        <v>1009</v>
      </c>
      <c r="J105" s="190"/>
      <c r="K105" s="190"/>
      <c r="L105" s="190"/>
      <c r="M105" s="190"/>
      <c r="N105" s="190"/>
      <c r="O105" s="190"/>
      <c r="P105" s="190"/>
      <c r="Q105" s="190"/>
      <c r="R105" s="190"/>
      <c r="S105" s="64"/>
      <c r="T105" s="190"/>
      <c r="U105" s="190"/>
      <c r="V105" s="51">
        <f t="shared" si="10"/>
        <v>0</v>
      </c>
      <c r="W105" s="7"/>
      <c r="X105" s="7"/>
      <c r="Y105" s="7"/>
      <c r="Z105" s="7"/>
    </row>
    <row r="106" ht="15.0" customHeight="1">
      <c r="A106" s="7"/>
      <c r="B106" s="7" t="s">
        <v>1077</v>
      </c>
      <c r="C106" s="187"/>
      <c r="D106" s="200"/>
      <c r="E106" s="185"/>
      <c r="F106" s="203"/>
      <c r="G106" s="185"/>
      <c r="H106" s="186"/>
      <c r="I106" s="187" t="s">
        <v>490</v>
      </c>
      <c r="J106" s="190"/>
      <c r="K106" s="190"/>
      <c r="L106" s="190"/>
      <c r="M106" s="190"/>
      <c r="N106" s="190"/>
      <c r="O106" s="190"/>
      <c r="P106" s="190"/>
      <c r="Q106" s="190"/>
      <c r="R106" s="190"/>
      <c r="S106" s="64"/>
      <c r="T106" s="190"/>
      <c r="U106" s="190"/>
      <c r="V106" s="51">
        <f t="shared" si="10"/>
        <v>0</v>
      </c>
      <c r="W106" s="7"/>
      <c r="X106" s="7"/>
      <c r="Y106" s="7"/>
      <c r="Z106" s="7"/>
    </row>
    <row r="107" ht="15.0" customHeight="1">
      <c r="A107" s="7"/>
      <c r="B107" s="7" t="s">
        <v>1077</v>
      </c>
      <c r="C107" s="187"/>
      <c r="D107" s="200"/>
      <c r="E107" s="185"/>
      <c r="F107" s="203"/>
      <c r="G107" s="185"/>
      <c r="H107" s="186"/>
      <c r="I107" s="187" t="s">
        <v>398</v>
      </c>
      <c r="J107" s="190"/>
      <c r="K107" s="190"/>
      <c r="L107" s="190"/>
      <c r="M107" s="190"/>
      <c r="N107" s="190"/>
      <c r="O107" s="190"/>
      <c r="P107" s="190"/>
      <c r="Q107" s="190"/>
      <c r="R107" s="190"/>
      <c r="S107" s="64"/>
      <c r="T107" s="190"/>
      <c r="U107" s="190"/>
      <c r="V107" s="51">
        <f t="shared" si="10"/>
        <v>0</v>
      </c>
      <c r="W107" s="7"/>
      <c r="X107" s="7"/>
      <c r="Y107" s="7"/>
      <c r="Z107" s="7"/>
    </row>
    <row r="108" ht="15.0" customHeight="1">
      <c r="A108" s="7"/>
      <c r="B108" s="7" t="s">
        <v>1078</v>
      </c>
      <c r="C108" s="187"/>
      <c r="D108" s="200"/>
      <c r="E108" s="185"/>
      <c r="F108" s="203">
        <v>5.0</v>
      </c>
      <c r="G108" s="185" t="s">
        <v>1020</v>
      </c>
      <c r="H108" s="186"/>
      <c r="I108" s="187" t="s">
        <v>1021</v>
      </c>
      <c r="J108" s="190"/>
      <c r="K108" s="190"/>
      <c r="L108" s="190"/>
      <c r="M108" s="190"/>
      <c r="N108" s="190"/>
      <c r="O108" s="190"/>
      <c r="P108" s="190"/>
      <c r="Q108" s="190"/>
      <c r="R108" s="190"/>
      <c r="S108" s="64"/>
      <c r="T108" s="190"/>
      <c r="U108" s="190"/>
      <c r="V108" s="51">
        <f t="shared" si="10"/>
        <v>0</v>
      </c>
      <c r="W108" s="7"/>
      <c r="X108" s="7"/>
      <c r="Y108" s="7"/>
      <c r="Z108" s="7"/>
    </row>
    <row r="109" ht="15.0" customHeight="1">
      <c r="A109" s="7"/>
      <c r="B109" s="7" t="s">
        <v>1078</v>
      </c>
      <c r="C109" s="187"/>
      <c r="D109" s="200"/>
      <c r="E109" s="185"/>
      <c r="F109" s="203"/>
      <c r="G109" s="185"/>
      <c r="H109" s="186"/>
      <c r="I109" s="187" t="s">
        <v>398</v>
      </c>
      <c r="J109" s="190"/>
      <c r="K109" s="190"/>
      <c r="L109" s="190"/>
      <c r="M109" s="190"/>
      <c r="N109" s="190"/>
      <c r="O109" s="190"/>
      <c r="P109" s="190"/>
      <c r="Q109" s="190"/>
      <c r="R109" s="190"/>
      <c r="S109" s="64"/>
      <c r="T109" s="190"/>
      <c r="U109" s="190"/>
      <c r="V109" s="51">
        <f t="shared" si="10"/>
        <v>0</v>
      </c>
      <c r="W109" s="7"/>
      <c r="X109" s="7"/>
      <c r="Y109" s="7"/>
      <c r="Z109" s="7"/>
    </row>
    <row r="110" ht="15.0" customHeight="1">
      <c r="A110" s="7"/>
      <c r="B110" s="7" t="s">
        <v>1078</v>
      </c>
      <c r="C110" s="187"/>
      <c r="D110" s="200"/>
      <c r="E110" s="185"/>
      <c r="F110" s="203"/>
      <c r="G110" s="185"/>
      <c r="H110" s="186"/>
      <c r="I110" s="187" t="s">
        <v>1022</v>
      </c>
      <c r="J110" s="190"/>
      <c r="K110" s="190"/>
      <c r="L110" s="190"/>
      <c r="M110" s="190"/>
      <c r="N110" s="190"/>
      <c r="O110" s="190"/>
      <c r="P110" s="190"/>
      <c r="Q110" s="190"/>
      <c r="R110" s="190"/>
      <c r="S110" s="64"/>
      <c r="T110" s="190"/>
      <c r="U110" s="190"/>
      <c r="V110" s="51">
        <f t="shared" si="10"/>
        <v>0</v>
      </c>
      <c r="W110" s="7"/>
      <c r="X110" s="7"/>
      <c r="Y110" s="7"/>
      <c r="Z110" s="7"/>
    </row>
    <row r="111" ht="15.0" customHeight="1">
      <c r="A111" s="7"/>
      <c r="B111" s="7" t="s">
        <v>1079</v>
      </c>
      <c r="C111" s="187"/>
      <c r="D111" s="200"/>
      <c r="E111" s="185"/>
      <c r="F111" s="203">
        <v>6.0</v>
      </c>
      <c r="G111" s="185" t="s">
        <v>1024</v>
      </c>
      <c r="H111" s="186"/>
      <c r="I111" s="187" t="s">
        <v>381</v>
      </c>
      <c r="J111" s="190"/>
      <c r="K111" s="190"/>
      <c r="L111" s="190"/>
      <c r="M111" s="190"/>
      <c r="N111" s="190"/>
      <c r="O111" s="190"/>
      <c r="P111" s="190"/>
      <c r="Q111" s="190"/>
      <c r="R111" s="190"/>
      <c r="S111" s="64"/>
      <c r="T111" s="190"/>
      <c r="U111" s="190"/>
      <c r="V111" s="51">
        <f t="shared" si="10"/>
        <v>0</v>
      </c>
      <c r="W111" s="7"/>
      <c r="X111" s="7"/>
      <c r="Y111" s="7"/>
      <c r="Z111" s="7"/>
    </row>
    <row r="112" ht="15.0" customHeight="1">
      <c r="A112" s="7"/>
      <c r="B112" s="7" t="s">
        <v>1079</v>
      </c>
      <c r="C112" s="187"/>
      <c r="D112" s="200"/>
      <c r="E112" s="185"/>
      <c r="F112" s="203"/>
      <c r="G112" s="185"/>
      <c r="H112" s="186"/>
      <c r="I112" s="187" t="s">
        <v>1009</v>
      </c>
      <c r="J112" s="190"/>
      <c r="K112" s="190"/>
      <c r="L112" s="190"/>
      <c r="M112" s="190"/>
      <c r="N112" s="190"/>
      <c r="O112" s="190"/>
      <c r="P112" s="190"/>
      <c r="Q112" s="190"/>
      <c r="R112" s="190"/>
      <c r="S112" s="64"/>
      <c r="T112" s="190"/>
      <c r="U112" s="190"/>
      <c r="V112" s="51">
        <f t="shared" si="10"/>
        <v>0</v>
      </c>
      <c r="W112" s="7"/>
      <c r="X112" s="7"/>
      <c r="Y112" s="7"/>
      <c r="Z112" s="7"/>
    </row>
    <row r="113" ht="15.0" customHeight="1">
      <c r="A113" s="7"/>
      <c r="B113" s="7" t="s">
        <v>1079</v>
      </c>
      <c r="C113" s="187"/>
      <c r="D113" s="200"/>
      <c r="E113" s="185"/>
      <c r="F113" s="203"/>
      <c r="G113" s="185"/>
      <c r="H113" s="186"/>
      <c r="I113" s="187" t="s">
        <v>490</v>
      </c>
      <c r="J113" s="190"/>
      <c r="K113" s="190"/>
      <c r="L113" s="190"/>
      <c r="M113" s="190"/>
      <c r="N113" s="190"/>
      <c r="O113" s="190"/>
      <c r="P113" s="190"/>
      <c r="Q113" s="190"/>
      <c r="R113" s="190"/>
      <c r="S113" s="64"/>
      <c r="T113" s="190"/>
      <c r="U113" s="190"/>
      <c r="V113" s="51">
        <f t="shared" si="10"/>
        <v>0</v>
      </c>
      <c r="W113" s="7"/>
      <c r="X113" s="7"/>
      <c r="Y113" s="7"/>
      <c r="Z113" s="7"/>
    </row>
    <row r="114" ht="15.0" customHeight="1">
      <c r="A114" s="7"/>
      <c r="B114" s="7" t="s">
        <v>1079</v>
      </c>
      <c r="C114" s="187"/>
      <c r="D114" s="200"/>
      <c r="E114" s="185"/>
      <c r="F114" s="203"/>
      <c r="G114" s="185"/>
      <c r="H114" s="186"/>
      <c r="I114" s="187" t="s">
        <v>398</v>
      </c>
      <c r="J114" s="190"/>
      <c r="K114" s="190"/>
      <c r="L114" s="190"/>
      <c r="M114" s="190"/>
      <c r="N114" s="190"/>
      <c r="O114" s="190"/>
      <c r="P114" s="190"/>
      <c r="Q114" s="190"/>
      <c r="R114" s="190"/>
      <c r="S114" s="64"/>
      <c r="T114" s="190"/>
      <c r="U114" s="190"/>
      <c r="V114" s="51">
        <f t="shared" si="10"/>
        <v>0</v>
      </c>
      <c r="W114" s="7"/>
      <c r="X114" s="7"/>
      <c r="Y114" s="7"/>
      <c r="Z114" s="7"/>
    </row>
    <row r="115" ht="15.0" customHeight="1">
      <c r="A115" s="7"/>
      <c r="B115" s="7" t="s">
        <v>1080</v>
      </c>
      <c r="C115" s="187"/>
      <c r="D115" s="200"/>
      <c r="E115" s="185"/>
      <c r="F115" s="203">
        <v>7.0</v>
      </c>
      <c r="G115" s="185" t="s">
        <v>1081</v>
      </c>
      <c r="H115" s="186"/>
      <c r="I115" s="187" t="s">
        <v>381</v>
      </c>
      <c r="J115" s="190"/>
      <c r="K115" s="190"/>
      <c r="L115" s="190"/>
      <c r="M115" s="190"/>
      <c r="N115" s="190"/>
      <c r="O115" s="190"/>
      <c r="P115" s="190"/>
      <c r="Q115" s="190"/>
      <c r="R115" s="190"/>
      <c r="S115" s="64"/>
      <c r="T115" s="190"/>
      <c r="U115" s="190"/>
      <c r="V115" s="51">
        <f t="shared" si="10"/>
        <v>0</v>
      </c>
      <c r="W115" s="7"/>
      <c r="X115" s="7"/>
      <c r="Y115" s="7"/>
      <c r="Z115" s="7"/>
    </row>
    <row r="116" ht="15.0" customHeight="1">
      <c r="A116" s="7"/>
      <c r="C116" s="187"/>
      <c r="D116" s="200"/>
      <c r="E116" s="203">
        <v>3.0</v>
      </c>
      <c r="F116" s="185" t="s">
        <v>1025</v>
      </c>
      <c r="G116" s="185"/>
      <c r="H116" s="186"/>
      <c r="I116" s="187"/>
      <c r="J116" s="188"/>
      <c r="K116" s="119"/>
      <c r="L116" s="119"/>
      <c r="M116" s="119"/>
      <c r="N116" s="119"/>
      <c r="O116" s="119"/>
      <c r="P116" s="119"/>
      <c r="Q116" s="119"/>
      <c r="R116" s="119"/>
      <c r="S116" s="74"/>
      <c r="T116" s="119"/>
      <c r="U116" s="119"/>
      <c r="V116" s="119"/>
      <c r="W116" s="7"/>
      <c r="X116" s="7"/>
      <c r="Y116" s="7"/>
      <c r="Z116" s="7"/>
    </row>
    <row r="117" ht="14.25" customHeight="1">
      <c r="A117" s="7"/>
      <c r="B117" s="7" t="s">
        <v>1082</v>
      </c>
      <c r="C117" s="187"/>
      <c r="D117" s="200"/>
      <c r="E117" s="185"/>
      <c r="F117" s="203">
        <v>1.0</v>
      </c>
      <c r="G117" s="185" t="s">
        <v>1014</v>
      </c>
      <c r="H117" s="186"/>
      <c r="I117" s="187" t="s">
        <v>381</v>
      </c>
      <c r="J117" s="190"/>
      <c r="K117" s="190"/>
      <c r="L117" s="190"/>
      <c r="M117" s="190"/>
      <c r="N117" s="190"/>
      <c r="O117" s="190"/>
      <c r="P117" s="190"/>
      <c r="Q117" s="190"/>
      <c r="R117" s="190"/>
      <c r="S117" s="64"/>
      <c r="T117" s="190"/>
      <c r="U117" s="190"/>
      <c r="V117" s="51">
        <f t="shared" ref="V117:V130" si="11">SUM(J117:U117)</f>
        <v>0</v>
      </c>
      <c r="W117" s="7"/>
      <c r="X117" s="7"/>
      <c r="Y117" s="7"/>
      <c r="Z117" s="7"/>
    </row>
    <row r="118" ht="15.0" customHeight="1">
      <c r="A118" s="7"/>
      <c r="B118" s="7" t="s">
        <v>1082</v>
      </c>
      <c r="C118" s="187"/>
      <c r="D118" s="200"/>
      <c r="E118" s="185"/>
      <c r="F118" s="203"/>
      <c r="G118" s="185"/>
      <c r="H118" s="186"/>
      <c r="I118" s="187" t="s">
        <v>1009</v>
      </c>
      <c r="J118" s="190"/>
      <c r="K118" s="190"/>
      <c r="L118" s="190"/>
      <c r="M118" s="190"/>
      <c r="N118" s="190"/>
      <c r="O118" s="190"/>
      <c r="P118" s="190"/>
      <c r="Q118" s="190"/>
      <c r="R118" s="190"/>
      <c r="S118" s="64"/>
      <c r="T118" s="190"/>
      <c r="U118" s="190"/>
      <c r="V118" s="51">
        <f t="shared" si="11"/>
        <v>0</v>
      </c>
      <c r="W118" s="7"/>
      <c r="X118" s="7"/>
      <c r="Y118" s="7"/>
      <c r="Z118" s="7"/>
    </row>
    <row r="119" ht="15.0" customHeight="1">
      <c r="A119" s="7"/>
      <c r="B119" s="7" t="s">
        <v>1082</v>
      </c>
      <c r="C119" s="187"/>
      <c r="D119" s="200"/>
      <c r="E119" s="185"/>
      <c r="F119" s="203"/>
      <c r="G119" s="185"/>
      <c r="H119" s="186"/>
      <c r="I119" s="187" t="s">
        <v>490</v>
      </c>
      <c r="J119" s="190"/>
      <c r="K119" s="190"/>
      <c r="L119" s="190"/>
      <c r="M119" s="190"/>
      <c r="N119" s="190"/>
      <c r="O119" s="190"/>
      <c r="P119" s="190"/>
      <c r="Q119" s="190"/>
      <c r="R119" s="190"/>
      <c r="S119" s="64"/>
      <c r="T119" s="190"/>
      <c r="U119" s="190"/>
      <c r="V119" s="51">
        <f t="shared" si="11"/>
        <v>0</v>
      </c>
      <c r="W119" s="7"/>
      <c r="X119" s="7"/>
      <c r="Y119" s="7"/>
      <c r="Z119" s="7"/>
    </row>
    <row r="120" ht="15.0" customHeight="1">
      <c r="A120" s="7"/>
      <c r="B120" s="7" t="s">
        <v>1082</v>
      </c>
      <c r="C120" s="187"/>
      <c r="D120" s="200"/>
      <c r="E120" s="185"/>
      <c r="F120" s="203"/>
      <c r="G120" s="185"/>
      <c r="H120" s="186"/>
      <c r="I120" s="187" t="s">
        <v>398</v>
      </c>
      <c r="J120" s="190"/>
      <c r="K120" s="190"/>
      <c r="L120" s="190"/>
      <c r="M120" s="190"/>
      <c r="N120" s="190"/>
      <c r="O120" s="190"/>
      <c r="P120" s="190"/>
      <c r="Q120" s="190"/>
      <c r="R120" s="190"/>
      <c r="S120" s="64"/>
      <c r="T120" s="190"/>
      <c r="U120" s="190"/>
      <c r="V120" s="51">
        <f t="shared" si="11"/>
        <v>0</v>
      </c>
      <c r="W120" s="7"/>
      <c r="X120" s="7"/>
      <c r="Y120" s="7"/>
      <c r="Z120" s="7"/>
    </row>
    <row r="121" ht="15.0" customHeight="1">
      <c r="A121" s="7"/>
      <c r="B121" s="7" t="s">
        <v>1083</v>
      </c>
      <c r="C121" s="187"/>
      <c r="D121" s="200"/>
      <c r="E121" s="185"/>
      <c r="F121" s="203">
        <v>2.0</v>
      </c>
      <c r="G121" s="185" t="s">
        <v>1028</v>
      </c>
      <c r="H121" s="186"/>
      <c r="I121" s="187" t="s">
        <v>381</v>
      </c>
      <c r="J121" s="190"/>
      <c r="K121" s="190"/>
      <c r="L121" s="190"/>
      <c r="M121" s="190"/>
      <c r="N121" s="190"/>
      <c r="O121" s="190"/>
      <c r="P121" s="190"/>
      <c r="Q121" s="190"/>
      <c r="R121" s="190"/>
      <c r="S121" s="64"/>
      <c r="T121" s="190"/>
      <c r="U121" s="190"/>
      <c r="V121" s="51">
        <f t="shared" si="11"/>
        <v>0</v>
      </c>
      <c r="W121" s="7"/>
      <c r="X121" s="7"/>
      <c r="Y121" s="7"/>
      <c r="Z121" s="7"/>
    </row>
    <row r="122" ht="15.0" customHeight="1">
      <c r="A122" s="7"/>
      <c r="B122" s="7" t="s">
        <v>1083</v>
      </c>
      <c r="C122" s="187"/>
      <c r="D122" s="200"/>
      <c r="E122" s="185"/>
      <c r="F122" s="203"/>
      <c r="G122" s="185"/>
      <c r="H122" s="186"/>
      <c r="I122" s="187" t="s">
        <v>1009</v>
      </c>
      <c r="J122" s="190"/>
      <c r="K122" s="190"/>
      <c r="L122" s="190"/>
      <c r="M122" s="190"/>
      <c r="N122" s="190"/>
      <c r="O122" s="190"/>
      <c r="P122" s="190"/>
      <c r="Q122" s="190"/>
      <c r="R122" s="190"/>
      <c r="S122" s="64"/>
      <c r="T122" s="190"/>
      <c r="U122" s="190"/>
      <c r="V122" s="51">
        <f t="shared" si="11"/>
        <v>0</v>
      </c>
      <c r="W122" s="7"/>
      <c r="X122" s="7"/>
      <c r="Y122" s="7"/>
      <c r="Z122" s="7"/>
    </row>
    <row r="123" ht="15.0" customHeight="1">
      <c r="A123" s="7"/>
      <c r="B123" s="7" t="s">
        <v>1083</v>
      </c>
      <c r="C123" s="187"/>
      <c r="D123" s="200"/>
      <c r="E123" s="185"/>
      <c r="F123" s="203"/>
      <c r="G123" s="185"/>
      <c r="H123" s="186"/>
      <c r="I123" s="187" t="s">
        <v>490</v>
      </c>
      <c r="J123" s="190"/>
      <c r="K123" s="190"/>
      <c r="L123" s="190"/>
      <c r="M123" s="190"/>
      <c r="N123" s="190"/>
      <c r="O123" s="190"/>
      <c r="P123" s="190"/>
      <c r="Q123" s="190"/>
      <c r="R123" s="190"/>
      <c r="S123" s="64"/>
      <c r="T123" s="190"/>
      <c r="U123" s="190"/>
      <c r="V123" s="51">
        <f t="shared" si="11"/>
        <v>0</v>
      </c>
      <c r="W123" s="7"/>
      <c r="X123" s="7"/>
      <c r="Y123" s="7"/>
      <c r="Z123" s="7"/>
    </row>
    <row r="124" ht="15.0" customHeight="1">
      <c r="A124" s="7"/>
      <c r="B124" s="7" t="s">
        <v>1083</v>
      </c>
      <c r="C124" s="187"/>
      <c r="D124" s="200"/>
      <c r="E124" s="185"/>
      <c r="F124" s="203"/>
      <c r="G124" s="185"/>
      <c r="H124" s="186"/>
      <c r="I124" s="187" t="s">
        <v>398</v>
      </c>
      <c r="J124" s="190"/>
      <c r="K124" s="190"/>
      <c r="L124" s="190"/>
      <c r="M124" s="190"/>
      <c r="N124" s="190"/>
      <c r="O124" s="190"/>
      <c r="P124" s="190"/>
      <c r="Q124" s="190"/>
      <c r="R124" s="190"/>
      <c r="S124" s="64"/>
      <c r="T124" s="190"/>
      <c r="U124" s="190"/>
      <c r="V124" s="51">
        <f t="shared" si="11"/>
        <v>0</v>
      </c>
      <c r="W124" s="7"/>
      <c r="X124" s="7"/>
      <c r="Y124" s="7"/>
      <c r="Z124" s="7"/>
    </row>
    <row r="125" ht="15.0" customHeight="1">
      <c r="A125" s="7"/>
      <c r="B125" s="7" t="s">
        <v>1084</v>
      </c>
      <c r="C125" s="187"/>
      <c r="D125" s="200"/>
      <c r="E125" s="185"/>
      <c r="F125" s="203">
        <v>3.0</v>
      </c>
      <c r="G125" s="185" t="s">
        <v>1030</v>
      </c>
      <c r="H125" s="186"/>
      <c r="I125" s="187" t="s">
        <v>1031</v>
      </c>
      <c r="J125" s="190"/>
      <c r="K125" s="190"/>
      <c r="L125" s="190"/>
      <c r="M125" s="190"/>
      <c r="N125" s="190"/>
      <c r="O125" s="190"/>
      <c r="P125" s="190"/>
      <c r="Q125" s="190"/>
      <c r="R125" s="190"/>
      <c r="S125" s="64"/>
      <c r="T125" s="190"/>
      <c r="U125" s="190"/>
      <c r="V125" s="51">
        <f t="shared" si="11"/>
        <v>0</v>
      </c>
      <c r="W125" s="7"/>
      <c r="X125" s="7"/>
      <c r="Y125" s="7"/>
      <c r="Z125" s="7"/>
    </row>
    <row r="126" ht="15.0" customHeight="1">
      <c r="A126" s="7"/>
      <c r="B126" s="7" t="s">
        <v>1084</v>
      </c>
      <c r="C126" s="187"/>
      <c r="D126" s="200"/>
      <c r="E126" s="185"/>
      <c r="F126" s="203"/>
      <c r="G126" s="185"/>
      <c r="H126" s="186"/>
      <c r="I126" s="187" t="s">
        <v>1045</v>
      </c>
      <c r="J126" s="190"/>
      <c r="K126" s="190"/>
      <c r="L126" s="190"/>
      <c r="M126" s="190"/>
      <c r="N126" s="190"/>
      <c r="O126" s="190"/>
      <c r="P126" s="190"/>
      <c r="Q126" s="190"/>
      <c r="R126" s="190"/>
      <c r="S126" s="64"/>
      <c r="T126" s="190"/>
      <c r="U126" s="190"/>
      <c r="V126" s="51">
        <f t="shared" si="11"/>
        <v>0</v>
      </c>
      <c r="W126" s="7"/>
      <c r="X126" s="7"/>
      <c r="Y126" s="7"/>
      <c r="Z126" s="7"/>
    </row>
    <row r="127" ht="15.0" customHeight="1">
      <c r="A127" s="7"/>
      <c r="B127" s="7" t="s">
        <v>1084</v>
      </c>
      <c r="C127" s="187"/>
      <c r="D127" s="200"/>
      <c r="E127" s="185"/>
      <c r="F127" s="203"/>
      <c r="G127" s="185"/>
      <c r="H127" s="186"/>
      <c r="I127" s="187" t="s">
        <v>1046</v>
      </c>
      <c r="J127" s="190"/>
      <c r="K127" s="190"/>
      <c r="L127" s="190"/>
      <c r="M127" s="190"/>
      <c r="N127" s="190"/>
      <c r="O127" s="190"/>
      <c r="P127" s="190"/>
      <c r="Q127" s="190"/>
      <c r="R127" s="190"/>
      <c r="S127" s="64"/>
      <c r="T127" s="190"/>
      <c r="U127" s="190"/>
      <c r="V127" s="51">
        <f t="shared" si="11"/>
        <v>0</v>
      </c>
      <c r="W127" s="7"/>
      <c r="X127" s="7"/>
      <c r="Y127" s="7"/>
      <c r="Z127" s="7"/>
    </row>
    <row r="128" ht="15.0" customHeight="1">
      <c r="A128" s="7"/>
      <c r="B128" s="7" t="s">
        <v>1084</v>
      </c>
      <c r="C128" s="187"/>
      <c r="D128" s="200"/>
      <c r="E128" s="185"/>
      <c r="F128" s="203"/>
      <c r="G128" s="185"/>
      <c r="H128" s="186"/>
      <c r="I128" s="187" t="s">
        <v>1085</v>
      </c>
      <c r="J128" s="190"/>
      <c r="K128" s="190"/>
      <c r="L128" s="190"/>
      <c r="M128" s="190"/>
      <c r="N128" s="190"/>
      <c r="O128" s="190"/>
      <c r="P128" s="190"/>
      <c r="Q128" s="190"/>
      <c r="R128" s="190"/>
      <c r="S128" s="64"/>
      <c r="T128" s="190"/>
      <c r="U128" s="190"/>
      <c r="V128" s="51">
        <f t="shared" si="11"/>
        <v>0</v>
      </c>
      <c r="W128" s="7"/>
      <c r="X128" s="7"/>
      <c r="Y128" s="7"/>
      <c r="Z128" s="7"/>
    </row>
    <row r="129" ht="15.0" customHeight="1">
      <c r="A129" s="7"/>
      <c r="B129" s="7" t="s">
        <v>1086</v>
      </c>
      <c r="C129" s="187"/>
      <c r="D129" s="200"/>
      <c r="E129" s="185"/>
      <c r="F129" s="203">
        <v>4.0</v>
      </c>
      <c r="G129" s="185" t="s">
        <v>1033</v>
      </c>
      <c r="H129" s="186"/>
      <c r="I129" s="187" t="s">
        <v>1034</v>
      </c>
      <c r="J129" s="190"/>
      <c r="K129" s="190"/>
      <c r="L129" s="190"/>
      <c r="M129" s="190"/>
      <c r="N129" s="190"/>
      <c r="O129" s="190"/>
      <c r="P129" s="190"/>
      <c r="Q129" s="190"/>
      <c r="R129" s="190"/>
      <c r="S129" s="64"/>
      <c r="T129" s="190"/>
      <c r="U129" s="190"/>
      <c r="V129" s="51">
        <f t="shared" si="11"/>
        <v>0</v>
      </c>
      <c r="W129" s="7"/>
      <c r="X129" s="7"/>
      <c r="Y129" s="7"/>
      <c r="Z129" s="7"/>
    </row>
    <row r="130" ht="15.0" customHeight="1">
      <c r="A130" s="7"/>
      <c r="B130" s="7" t="s">
        <v>1086</v>
      </c>
      <c r="C130" s="187"/>
      <c r="D130" s="200"/>
      <c r="E130" s="185"/>
      <c r="F130" s="185"/>
      <c r="G130" s="185"/>
      <c r="H130" s="186"/>
      <c r="I130" s="187" t="s">
        <v>1087</v>
      </c>
      <c r="J130" s="190"/>
      <c r="K130" s="190"/>
      <c r="L130" s="190"/>
      <c r="M130" s="190"/>
      <c r="N130" s="190"/>
      <c r="O130" s="190"/>
      <c r="P130" s="190"/>
      <c r="Q130" s="190"/>
      <c r="R130" s="190"/>
      <c r="S130" s="64"/>
      <c r="T130" s="190"/>
      <c r="U130" s="190"/>
      <c r="V130" s="51">
        <f t="shared" si="11"/>
        <v>0</v>
      </c>
      <c r="W130" s="7"/>
      <c r="X130" s="7"/>
      <c r="Y130" s="7"/>
      <c r="Z130" s="7"/>
    </row>
    <row r="131" ht="15.0" customHeight="1">
      <c r="A131" s="7"/>
      <c r="C131" s="187"/>
      <c r="D131" s="200"/>
      <c r="E131" s="203">
        <v>4.0</v>
      </c>
      <c r="F131" s="185" t="s">
        <v>1047</v>
      </c>
      <c r="G131" s="185"/>
      <c r="H131" s="186"/>
      <c r="I131" s="187"/>
      <c r="J131" s="188"/>
      <c r="K131" s="119"/>
      <c r="L131" s="119"/>
      <c r="M131" s="119"/>
      <c r="N131" s="119"/>
      <c r="O131" s="119"/>
      <c r="P131" s="119"/>
      <c r="Q131" s="119"/>
      <c r="R131" s="119"/>
      <c r="S131" s="74"/>
      <c r="T131" s="119"/>
      <c r="U131" s="119"/>
      <c r="V131" s="119"/>
      <c r="W131" s="7"/>
      <c r="X131" s="7"/>
      <c r="Y131" s="7"/>
      <c r="Z131" s="7"/>
    </row>
    <row r="132" ht="15.0" customHeight="1">
      <c r="A132" s="7"/>
      <c r="B132" s="7" t="s">
        <v>1088</v>
      </c>
      <c r="C132" s="187"/>
      <c r="D132" s="200"/>
      <c r="E132" s="185"/>
      <c r="F132" s="203">
        <v>1.0</v>
      </c>
      <c r="G132" s="185" t="s">
        <v>1012</v>
      </c>
      <c r="H132" s="186"/>
      <c r="I132" s="187" t="s">
        <v>381</v>
      </c>
      <c r="J132" s="190"/>
      <c r="K132" s="190"/>
      <c r="L132" s="190"/>
      <c r="M132" s="190"/>
      <c r="N132" s="190"/>
      <c r="O132" s="190"/>
      <c r="P132" s="190"/>
      <c r="Q132" s="190"/>
      <c r="R132" s="190"/>
      <c r="S132" s="64"/>
      <c r="T132" s="190"/>
      <c r="U132" s="190"/>
      <c r="V132" s="51">
        <f t="shared" ref="V132:V143" si="12">SUM(J132:U132)</f>
        <v>0</v>
      </c>
      <c r="W132" s="7"/>
      <c r="X132" s="7"/>
      <c r="Y132" s="7"/>
      <c r="Z132" s="7"/>
    </row>
    <row r="133" ht="15.0" customHeight="1">
      <c r="A133" s="7"/>
      <c r="B133" s="7" t="s">
        <v>1088</v>
      </c>
      <c r="C133" s="187"/>
      <c r="D133" s="200"/>
      <c r="E133" s="185"/>
      <c r="F133" s="203"/>
      <c r="G133" s="185"/>
      <c r="H133" s="186"/>
      <c r="I133" s="187" t="s">
        <v>1009</v>
      </c>
      <c r="J133" s="190"/>
      <c r="K133" s="190"/>
      <c r="L133" s="190"/>
      <c r="M133" s="190"/>
      <c r="N133" s="190"/>
      <c r="O133" s="190"/>
      <c r="P133" s="190"/>
      <c r="Q133" s="190"/>
      <c r="R133" s="190"/>
      <c r="S133" s="64"/>
      <c r="T133" s="190"/>
      <c r="U133" s="190"/>
      <c r="V133" s="51">
        <f t="shared" si="12"/>
        <v>0</v>
      </c>
      <c r="W133" s="7"/>
      <c r="X133" s="7"/>
      <c r="Y133" s="7"/>
      <c r="Z133" s="7"/>
    </row>
    <row r="134" ht="15.0" customHeight="1">
      <c r="A134" s="7"/>
      <c r="B134" s="7" t="s">
        <v>1088</v>
      </c>
      <c r="C134" s="187"/>
      <c r="D134" s="200"/>
      <c r="E134" s="185"/>
      <c r="F134" s="203"/>
      <c r="G134" s="185"/>
      <c r="H134" s="186"/>
      <c r="I134" s="187" t="s">
        <v>490</v>
      </c>
      <c r="J134" s="190"/>
      <c r="K134" s="190"/>
      <c r="L134" s="190"/>
      <c r="M134" s="190"/>
      <c r="N134" s="190"/>
      <c r="O134" s="190"/>
      <c r="P134" s="190"/>
      <c r="Q134" s="190"/>
      <c r="R134" s="190"/>
      <c r="S134" s="64"/>
      <c r="T134" s="190"/>
      <c r="U134" s="190"/>
      <c r="V134" s="51">
        <f t="shared" si="12"/>
        <v>0</v>
      </c>
      <c r="W134" s="7"/>
      <c r="X134" s="7"/>
      <c r="Y134" s="7"/>
      <c r="Z134" s="7"/>
    </row>
    <row r="135" ht="15.0" customHeight="1">
      <c r="A135" s="7"/>
      <c r="B135" s="7" t="s">
        <v>1088</v>
      </c>
      <c r="C135" s="187"/>
      <c r="D135" s="200"/>
      <c r="E135" s="185"/>
      <c r="F135" s="203"/>
      <c r="G135" s="185"/>
      <c r="H135" s="186"/>
      <c r="I135" s="187" t="s">
        <v>398</v>
      </c>
      <c r="J135" s="190"/>
      <c r="K135" s="190"/>
      <c r="L135" s="190"/>
      <c r="M135" s="190"/>
      <c r="N135" s="190"/>
      <c r="O135" s="190"/>
      <c r="P135" s="190"/>
      <c r="Q135" s="190"/>
      <c r="R135" s="190"/>
      <c r="S135" s="64"/>
      <c r="T135" s="190"/>
      <c r="U135" s="190"/>
      <c r="V135" s="51">
        <f t="shared" si="12"/>
        <v>0</v>
      </c>
      <c r="W135" s="7"/>
      <c r="X135" s="7"/>
      <c r="Y135" s="7"/>
      <c r="Z135" s="7"/>
    </row>
    <row r="136" ht="15.0" customHeight="1">
      <c r="A136" s="7"/>
      <c r="B136" s="7" t="s">
        <v>1089</v>
      </c>
      <c r="C136" s="187"/>
      <c r="D136" s="200"/>
      <c r="E136" s="185"/>
      <c r="F136" s="203">
        <v>2.0</v>
      </c>
      <c r="G136" s="185" t="s">
        <v>1014</v>
      </c>
      <c r="H136" s="186"/>
      <c r="I136" s="187" t="s">
        <v>381</v>
      </c>
      <c r="J136" s="190"/>
      <c r="K136" s="190"/>
      <c r="L136" s="190"/>
      <c r="M136" s="190"/>
      <c r="N136" s="190"/>
      <c r="O136" s="190"/>
      <c r="P136" s="190"/>
      <c r="Q136" s="190"/>
      <c r="R136" s="190"/>
      <c r="S136" s="64"/>
      <c r="T136" s="190"/>
      <c r="U136" s="190"/>
      <c r="V136" s="51">
        <f t="shared" si="12"/>
        <v>0</v>
      </c>
      <c r="W136" s="7"/>
      <c r="X136" s="7"/>
      <c r="Y136" s="7"/>
      <c r="Z136" s="7"/>
    </row>
    <row r="137" ht="15.0" customHeight="1">
      <c r="A137" s="7"/>
      <c r="B137" s="7" t="s">
        <v>1089</v>
      </c>
      <c r="C137" s="187"/>
      <c r="D137" s="200"/>
      <c r="E137" s="185"/>
      <c r="F137" s="203"/>
      <c r="G137" s="185"/>
      <c r="H137" s="186"/>
      <c r="I137" s="187" t="s">
        <v>1009</v>
      </c>
      <c r="J137" s="190"/>
      <c r="K137" s="190"/>
      <c r="L137" s="190"/>
      <c r="M137" s="190"/>
      <c r="N137" s="190"/>
      <c r="O137" s="190"/>
      <c r="P137" s="190"/>
      <c r="Q137" s="190"/>
      <c r="R137" s="190"/>
      <c r="S137" s="64"/>
      <c r="T137" s="190"/>
      <c r="U137" s="190"/>
      <c r="V137" s="51">
        <f t="shared" si="12"/>
        <v>0</v>
      </c>
      <c r="W137" s="7"/>
      <c r="X137" s="7"/>
      <c r="Y137" s="7"/>
      <c r="Z137" s="7"/>
    </row>
    <row r="138" ht="15.0" customHeight="1">
      <c r="A138" s="7"/>
      <c r="B138" s="7" t="s">
        <v>1089</v>
      </c>
      <c r="C138" s="187"/>
      <c r="D138" s="200"/>
      <c r="E138" s="185"/>
      <c r="F138" s="203"/>
      <c r="G138" s="185"/>
      <c r="H138" s="186"/>
      <c r="I138" s="187" t="s">
        <v>490</v>
      </c>
      <c r="J138" s="190"/>
      <c r="K138" s="190"/>
      <c r="L138" s="190"/>
      <c r="M138" s="190"/>
      <c r="N138" s="190"/>
      <c r="O138" s="190"/>
      <c r="P138" s="190"/>
      <c r="Q138" s="190"/>
      <c r="R138" s="190"/>
      <c r="S138" s="64"/>
      <c r="T138" s="190"/>
      <c r="U138" s="190"/>
      <c r="V138" s="51">
        <f t="shared" si="12"/>
        <v>0</v>
      </c>
      <c r="W138" s="7"/>
      <c r="X138" s="7"/>
      <c r="Y138" s="7"/>
      <c r="Z138" s="7"/>
    </row>
    <row r="139" ht="15.0" customHeight="1">
      <c r="A139" s="7"/>
      <c r="B139" s="7" t="s">
        <v>1089</v>
      </c>
      <c r="C139" s="187"/>
      <c r="D139" s="200"/>
      <c r="E139" s="185"/>
      <c r="F139" s="203"/>
      <c r="G139" s="185"/>
      <c r="H139" s="186"/>
      <c r="I139" s="187" t="s">
        <v>398</v>
      </c>
      <c r="J139" s="190"/>
      <c r="K139" s="190"/>
      <c r="L139" s="190"/>
      <c r="M139" s="190"/>
      <c r="N139" s="190"/>
      <c r="O139" s="190"/>
      <c r="P139" s="190"/>
      <c r="Q139" s="190"/>
      <c r="R139" s="190"/>
      <c r="S139" s="64"/>
      <c r="T139" s="190"/>
      <c r="U139" s="190"/>
      <c r="V139" s="51">
        <f t="shared" si="12"/>
        <v>0</v>
      </c>
      <c r="W139" s="7"/>
      <c r="X139" s="7"/>
      <c r="Y139" s="7"/>
      <c r="Z139" s="7"/>
    </row>
    <row r="140" ht="15.0" customHeight="1">
      <c r="A140" s="7"/>
      <c r="B140" s="7" t="s">
        <v>1090</v>
      </c>
      <c r="C140" s="187"/>
      <c r="D140" s="200"/>
      <c r="E140" s="185"/>
      <c r="F140" s="203">
        <v>3.0</v>
      </c>
      <c r="G140" s="185" t="s">
        <v>1016</v>
      </c>
      <c r="H140" s="186"/>
      <c r="I140" s="187" t="s">
        <v>381</v>
      </c>
      <c r="J140" s="190"/>
      <c r="K140" s="190"/>
      <c r="L140" s="190"/>
      <c r="M140" s="190"/>
      <c r="N140" s="190"/>
      <c r="O140" s="190"/>
      <c r="P140" s="190"/>
      <c r="Q140" s="190"/>
      <c r="R140" s="190"/>
      <c r="S140" s="64"/>
      <c r="T140" s="190"/>
      <c r="U140" s="190"/>
      <c r="V140" s="51">
        <f t="shared" si="12"/>
        <v>0</v>
      </c>
      <c r="W140" s="7"/>
      <c r="X140" s="7"/>
      <c r="Y140" s="7"/>
      <c r="Z140" s="7"/>
    </row>
    <row r="141" ht="15.0" customHeight="1">
      <c r="A141" s="7"/>
      <c r="B141" s="7" t="s">
        <v>1090</v>
      </c>
      <c r="C141" s="187"/>
      <c r="D141" s="200"/>
      <c r="E141" s="185"/>
      <c r="F141" s="185"/>
      <c r="G141" s="185"/>
      <c r="H141" s="186"/>
      <c r="I141" s="187" t="s">
        <v>1009</v>
      </c>
      <c r="J141" s="190"/>
      <c r="K141" s="190"/>
      <c r="L141" s="190"/>
      <c r="M141" s="190"/>
      <c r="N141" s="190"/>
      <c r="O141" s="190"/>
      <c r="P141" s="190"/>
      <c r="Q141" s="190"/>
      <c r="R141" s="190"/>
      <c r="S141" s="64"/>
      <c r="T141" s="190"/>
      <c r="U141" s="190"/>
      <c r="V141" s="51">
        <f t="shared" si="12"/>
        <v>0</v>
      </c>
      <c r="W141" s="7"/>
      <c r="X141" s="7"/>
      <c r="Y141" s="7"/>
      <c r="Z141" s="7"/>
    </row>
    <row r="142" ht="14.25" customHeight="1">
      <c r="A142" s="7"/>
      <c r="B142" s="7" t="s">
        <v>1090</v>
      </c>
      <c r="C142" s="187"/>
      <c r="D142" s="200"/>
      <c r="E142" s="185"/>
      <c r="F142" s="185"/>
      <c r="G142" s="185"/>
      <c r="H142" s="186"/>
      <c r="I142" s="187" t="s">
        <v>490</v>
      </c>
      <c r="J142" s="190"/>
      <c r="K142" s="190"/>
      <c r="L142" s="190"/>
      <c r="M142" s="190"/>
      <c r="N142" s="190"/>
      <c r="O142" s="190"/>
      <c r="P142" s="190"/>
      <c r="Q142" s="190"/>
      <c r="R142" s="190"/>
      <c r="S142" s="64"/>
      <c r="T142" s="190"/>
      <c r="U142" s="190"/>
      <c r="V142" s="51">
        <f t="shared" si="12"/>
        <v>0</v>
      </c>
      <c r="W142" s="7"/>
      <c r="X142" s="7"/>
      <c r="Y142" s="7"/>
      <c r="Z142" s="7"/>
    </row>
    <row r="143" ht="15.0" customHeight="1">
      <c r="A143" s="7"/>
      <c r="B143" s="7" t="s">
        <v>1090</v>
      </c>
      <c r="C143" s="187"/>
      <c r="D143" s="200"/>
      <c r="E143" s="185"/>
      <c r="F143" s="185"/>
      <c r="G143" s="185"/>
      <c r="H143" s="186"/>
      <c r="I143" s="187" t="s">
        <v>398</v>
      </c>
      <c r="J143" s="190"/>
      <c r="K143" s="190"/>
      <c r="L143" s="190"/>
      <c r="M143" s="190"/>
      <c r="N143" s="190"/>
      <c r="O143" s="190"/>
      <c r="P143" s="190"/>
      <c r="Q143" s="190"/>
      <c r="R143" s="190"/>
      <c r="S143" s="64"/>
      <c r="T143" s="190"/>
      <c r="U143" s="190"/>
      <c r="V143" s="51">
        <f t="shared" si="12"/>
        <v>0</v>
      </c>
      <c r="W143" s="7"/>
      <c r="X143" s="7"/>
      <c r="Y143" s="7"/>
      <c r="Z143" s="7"/>
    </row>
    <row r="144" ht="15.0" customHeight="1">
      <c r="A144" s="7"/>
      <c r="C144" s="187"/>
      <c r="D144" s="200"/>
      <c r="E144" s="203">
        <v>5.0</v>
      </c>
      <c r="F144" s="185" t="s">
        <v>1051</v>
      </c>
      <c r="G144" s="185"/>
      <c r="H144" s="186"/>
      <c r="I144" s="187"/>
      <c r="J144" s="188"/>
      <c r="K144" s="119"/>
      <c r="L144" s="119"/>
      <c r="M144" s="119"/>
      <c r="N144" s="119"/>
      <c r="O144" s="119"/>
      <c r="P144" s="119"/>
      <c r="Q144" s="119"/>
      <c r="R144" s="119"/>
      <c r="S144" s="74"/>
      <c r="T144" s="119"/>
      <c r="U144" s="119"/>
      <c r="V144" s="119"/>
      <c r="W144" s="7"/>
      <c r="X144" s="7"/>
      <c r="Y144" s="7"/>
      <c r="Z144" s="7"/>
    </row>
    <row r="145" ht="15.0" customHeight="1">
      <c r="A145" s="7"/>
      <c r="C145" s="187"/>
      <c r="D145" s="200"/>
      <c r="E145" s="185"/>
      <c r="F145" s="203">
        <v>1.0</v>
      </c>
      <c r="G145" s="185" t="s">
        <v>1055</v>
      </c>
      <c r="H145" s="186"/>
      <c r="I145" s="187"/>
      <c r="J145" s="188"/>
      <c r="K145" s="119"/>
      <c r="L145" s="119"/>
      <c r="M145" s="119"/>
      <c r="N145" s="119"/>
      <c r="O145" s="119"/>
      <c r="P145" s="119"/>
      <c r="Q145" s="119"/>
      <c r="R145" s="119"/>
      <c r="S145" s="74"/>
      <c r="T145" s="119"/>
      <c r="U145" s="119"/>
      <c r="V145" s="119"/>
      <c r="W145" s="7"/>
      <c r="X145" s="7"/>
      <c r="Y145" s="7"/>
      <c r="Z145" s="7"/>
    </row>
    <row r="146" ht="15.0" customHeight="1">
      <c r="A146" s="7"/>
      <c r="B146" s="7" t="s">
        <v>1091</v>
      </c>
      <c r="C146" s="187"/>
      <c r="D146" s="200"/>
      <c r="E146" s="185"/>
      <c r="F146" s="203"/>
      <c r="G146" s="203">
        <v>1.0</v>
      </c>
      <c r="H146" s="186" t="s">
        <v>1028</v>
      </c>
      <c r="I146" s="187" t="s">
        <v>381</v>
      </c>
      <c r="J146" s="190"/>
      <c r="K146" s="190"/>
      <c r="L146" s="190"/>
      <c r="M146" s="190"/>
      <c r="N146" s="190"/>
      <c r="O146" s="190"/>
      <c r="P146" s="190"/>
      <c r="Q146" s="190"/>
      <c r="R146" s="190"/>
      <c r="S146" s="64"/>
      <c r="T146" s="190"/>
      <c r="U146" s="190"/>
      <c r="V146" s="51">
        <f t="shared" ref="V146:V162" si="13">SUM(J146:U146)</f>
        <v>0</v>
      </c>
      <c r="W146" s="7"/>
      <c r="X146" s="7"/>
      <c r="Y146" s="7"/>
      <c r="Z146" s="7"/>
    </row>
    <row r="147" ht="15.0" customHeight="1">
      <c r="A147" s="7"/>
      <c r="B147" s="7" t="s">
        <v>1092</v>
      </c>
      <c r="C147" s="187"/>
      <c r="D147" s="200"/>
      <c r="E147" s="185"/>
      <c r="F147" s="203"/>
      <c r="G147" s="203">
        <v>2.0</v>
      </c>
      <c r="H147" s="186" t="s">
        <v>1042</v>
      </c>
      <c r="I147" s="187" t="s">
        <v>381</v>
      </c>
      <c r="J147" s="190"/>
      <c r="K147" s="190"/>
      <c r="L147" s="190"/>
      <c r="M147" s="190"/>
      <c r="N147" s="190"/>
      <c r="O147" s="190"/>
      <c r="P147" s="190"/>
      <c r="Q147" s="190"/>
      <c r="R147" s="190"/>
      <c r="S147" s="64"/>
      <c r="T147" s="190"/>
      <c r="U147" s="190"/>
      <c r="V147" s="51">
        <f t="shared" si="13"/>
        <v>0</v>
      </c>
      <c r="W147" s="7"/>
      <c r="X147" s="7"/>
      <c r="Y147" s="7"/>
      <c r="Z147" s="7"/>
    </row>
    <row r="148" ht="15.0" customHeight="1">
      <c r="A148" s="7"/>
      <c r="B148" s="7" t="s">
        <v>1093</v>
      </c>
      <c r="C148" s="187"/>
      <c r="D148" s="200"/>
      <c r="E148" s="185"/>
      <c r="F148" s="203">
        <v>2.0</v>
      </c>
      <c r="G148" s="185" t="s">
        <v>1059</v>
      </c>
      <c r="H148" s="186"/>
      <c r="I148" s="187" t="s">
        <v>381</v>
      </c>
      <c r="J148" s="190"/>
      <c r="K148" s="190"/>
      <c r="L148" s="190"/>
      <c r="M148" s="190"/>
      <c r="N148" s="190"/>
      <c r="O148" s="190"/>
      <c r="P148" s="190"/>
      <c r="Q148" s="190"/>
      <c r="R148" s="190"/>
      <c r="S148" s="64"/>
      <c r="T148" s="190"/>
      <c r="U148" s="190"/>
      <c r="V148" s="51">
        <f t="shared" si="13"/>
        <v>0</v>
      </c>
      <c r="W148" s="7"/>
      <c r="X148" s="7"/>
      <c r="Y148" s="7"/>
      <c r="Z148" s="7"/>
    </row>
    <row r="149" ht="15.0" customHeight="1">
      <c r="A149" s="7"/>
      <c r="B149" s="7" t="s">
        <v>1094</v>
      </c>
      <c r="C149" s="187"/>
      <c r="D149" s="200"/>
      <c r="E149" s="185"/>
      <c r="F149" s="203">
        <v>3.0</v>
      </c>
      <c r="G149" s="185" t="s">
        <v>1061</v>
      </c>
      <c r="H149" s="186"/>
      <c r="I149" s="187" t="s">
        <v>381</v>
      </c>
      <c r="J149" s="190"/>
      <c r="K149" s="190"/>
      <c r="L149" s="190"/>
      <c r="M149" s="190"/>
      <c r="N149" s="190"/>
      <c r="O149" s="190"/>
      <c r="P149" s="190"/>
      <c r="Q149" s="190"/>
      <c r="R149" s="190"/>
      <c r="S149" s="64"/>
      <c r="T149" s="190"/>
      <c r="U149" s="190"/>
      <c r="V149" s="51">
        <f t="shared" si="13"/>
        <v>0</v>
      </c>
      <c r="W149" s="7"/>
      <c r="X149" s="7"/>
      <c r="Y149" s="7"/>
      <c r="Z149" s="7"/>
    </row>
    <row r="150" ht="15.0" customHeight="1">
      <c r="A150" s="7"/>
      <c r="B150" s="7" t="s">
        <v>1094</v>
      </c>
      <c r="C150" s="187"/>
      <c r="D150" s="200"/>
      <c r="E150" s="185"/>
      <c r="F150" s="203"/>
      <c r="G150" s="185"/>
      <c r="H150" s="186"/>
      <c r="I150" s="187" t="s">
        <v>1009</v>
      </c>
      <c r="J150" s="190"/>
      <c r="K150" s="190"/>
      <c r="L150" s="190"/>
      <c r="M150" s="190"/>
      <c r="N150" s="190"/>
      <c r="O150" s="190"/>
      <c r="P150" s="190"/>
      <c r="Q150" s="190"/>
      <c r="R150" s="190"/>
      <c r="S150" s="64"/>
      <c r="T150" s="190"/>
      <c r="U150" s="190"/>
      <c r="V150" s="51">
        <f t="shared" si="13"/>
        <v>0</v>
      </c>
      <c r="W150" s="7"/>
      <c r="X150" s="7"/>
      <c r="Y150" s="7"/>
      <c r="Z150" s="7"/>
    </row>
    <row r="151" ht="15.0" customHeight="1">
      <c r="A151" s="7"/>
      <c r="B151" s="7" t="s">
        <v>1094</v>
      </c>
      <c r="C151" s="187"/>
      <c r="D151" s="200"/>
      <c r="E151" s="185"/>
      <c r="F151" s="203"/>
      <c r="G151" s="185"/>
      <c r="H151" s="186"/>
      <c r="I151" s="187" t="s">
        <v>490</v>
      </c>
      <c r="J151" s="190"/>
      <c r="K151" s="190"/>
      <c r="L151" s="190"/>
      <c r="M151" s="190"/>
      <c r="N151" s="190"/>
      <c r="O151" s="190"/>
      <c r="P151" s="190"/>
      <c r="Q151" s="190"/>
      <c r="R151" s="190"/>
      <c r="S151" s="64"/>
      <c r="T151" s="190"/>
      <c r="U151" s="190"/>
      <c r="V151" s="51">
        <f t="shared" si="13"/>
        <v>0</v>
      </c>
      <c r="W151" s="7"/>
      <c r="X151" s="7"/>
      <c r="Y151" s="7"/>
      <c r="Z151" s="7"/>
    </row>
    <row r="152" ht="15.0" customHeight="1">
      <c r="A152" s="7"/>
      <c r="B152" s="7" t="s">
        <v>1094</v>
      </c>
      <c r="C152" s="187"/>
      <c r="D152" s="200"/>
      <c r="E152" s="185"/>
      <c r="F152" s="203"/>
      <c r="G152" s="185"/>
      <c r="H152" s="186"/>
      <c r="I152" s="187" t="s">
        <v>398</v>
      </c>
      <c r="J152" s="190"/>
      <c r="K152" s="190"/>
      <c r="L152" s="190"/>
      <c r="M152" s="190"/>
      <c r="N152" s="190"/>
      <c r="O152" s="190"/>
      <c r="P152" s="190"/>
      <c r="Q152" s="190"/>
      <c r="R152" s="190"/>
      <c r="S152" s="64"/>
      <c r="T152" s="190"/>
      <c r="U152" s="190"/>
      <c r="V152" s="51">
        <f t="shared" si="13"/>
        <v>0</v>
      </c>
      <c r="W152" s="7"/>
      <c r="X152" s="7"/>
      <c r="Y152" s="7"/>
      <c r="Z152" s="7"/>
    </row>
    <row r="153" ht="15.0" customHeight="1">
      <c r="A153" s="7"/>
      <c r="B153" s="7" t="s">
        <v>1095</v>
      </c>
      <c r="C153" s="187"/>
      <c r="D153" s="200"/>
      <c r="E153" s="185"/>
      <c r="F153" s="203">
        <v>4.0</v>
      </c>
      <c r="G153" s="185" t="s">
        <v>1063</v>
      </c>
      <c r="H153" s="186"/>
      <c r="I153" s="187" t="s">
        <v>381</v>
      </c>
      <c r="J153" s="190"/>
      <c r="K153" s="190"/>
      <c r="L153" s="190"/>
      <c r="M153" s="190"/>
      <c r="N153" s="190"/>
      <c r="O153" s="190"/>
      <c r="P153" s="190"/>
      <c r="Q153" s="190"/>
      <c r="R153" s="190"/>
      <c r="S153" s="64"/>
      <c r="T153" s="190"/>
      <c r="U153" s="190"/>
      <c r="V153" s="51">
        <f t="shared" si="13"/>
        <v>0</v>
      </c>
      <c r="W153" s="7"/>
      <c r="X153" s="7"/>
      <c r="Y153" s="7"/>
      <c r="Z153" s="7"/>
    </row>
    <row r="154" ht="15.0" customHeight="1">
      <c r="A154" s="7"/>
      <c r="B154" s="7" t="s">
        <v>1095</v>
      </c>
      <c r="C154" s="187"/>
      <c r="D154" s="200"/>
      <c r="E154" s="185"/>
      <c r="F154" s="203"/>
      <c r="G154" s="185"/>
      <c r="H154" s="186"/>
      <c r="I154" s="187" t="s">
        <v>1009</v>
      </c>
      <c r="J154" s="190"/>
      <c r="K154" s="190"/>
      <c r="L154" s="190"/>
      <c r="M154" s="190"/>
      <c r="N154" s="190"/>
      <c r="O154" s="190"/>
      <c r="P154" s="190"/>
      <c r="Q154" s="190"/>
      <c r="R154" s="190"/>
      <c r="S154" s="64"/>
      <c r="T154" s="190"/>
      <c r="U154" s="190"/>
      <c r="V154" s="51">
        <f t="shared" si="13"/>
        <v>0</v>
      </c>
      <c r="W154" s="7"/>
      <c r="X154" s="7"/>
      <c r="Y154" s="7"/>
      <c r="Z154" s="7"/>
    </row>
    <row r="155" ht="15.0" customHeight="1">
      <c r="A155" s="7"/>
      <c r="B155" s="7" t="s">
        <v>1095</v>
      </c>
      <c r="C155" s="187"/>
      <c r="D155" s="200"/>
      <c r="E155" s="185"/>
      <c r="F155" s="203"/>
      <c r="G155" s="185"/>
      <c r="H155" s="186"/>
      <c r="I155" s="187" t="s">
        <v>490</v>
      </c>
      <c r="J155" s="190"/>
      <c r="K155" s="190"/>
      <c r="L155" s="190"/>
      <c r="M155" s="190"/>
      <c r="N155" s="190"/>
      <c r="O155" s="190"/>
      <c r="P155" s="190"/>
      <c r="Q155" s="190"/>
      <c r="R155" s="190"/>
      <c r="S155" s="64"/>
      <c r="T155" s="190"/>
      <c r="U155" s="190"/>
      <c r="V155" s="51">
        <f t="shared" si="13"/>
        <v>0</v>
      </c>
      <c r="W155" s="7"/>
      <c r="X155" s="7"/>
      <c r="Y155" s="7"/>
      <c r="Z155" s="7"/>
    </row>
    <row r="156" ht="15.0" customHeight="1">
      <c r="A156" s="7"/>
      <c r="B156" s="7" t="s">
        <v>1095</v>
      </c>
      <c r="C156" s="187"/>
      <c r="D156" s="200"/>
      <c r="E156" s="185"/>
      <c r="F156" s="203"/>
      <c r="G156" s="185"/>
      <c r="H156" s="186"/>
      <c r="I156" s="187" t="s">
        <v>398</v>
      </c>
      <c r="J156" s="190"/>
      <c r="K156" s="190"/>
      <c r="L156" s="190"/>
      <c r="M156" s="190"/>
      <c r="N156" s="190"/>
      <c r="O156" s="190"/>
      <c r="P156" s="190"/>
      <c r="Q156" s="190"/>
      <c r="R156" s="190"/>
      <c r="S156" s="64"/>
      <c r="T156" s="190"/>
      <c r="U156" s="190"/>
      <c r="V156" s="51">
        <f t="shared" si="13"/>
        <v>0</v>
      </c>
      <c r="W156" s="7"/>
      <c r="X156" s="7"/>
      <c r="Y156" s="7"/>
      <c r="Z156" s="7"/>
    </row>
    <row r="157" ht="15.0" customHeight="1">
      <c r="A157" s="7"/>
      <c r="B157" s="7" t="s">
        <v>1096</v>
      </c>
      <c r="C157" s="187"/>
      <c r="D157" s="200"/>
      <c r="E157" s="185"/>
      <c r="F157" s="203">
        <v>5.0</v>
      </c>
      <c r="G157" s="185" t="s">
        <v>1065</v>
      </c>
      <c r="H157" s="186"/>
      <c r="I157" s="187" t="s">
        <v>381</v>
      </c>
      <c r="J157" s="190"/>
      <c r="K157" s="190"/>
      <c r="L157" s="190"/>
      <c r="M157" s="190"/>
      <c r="N157" s="190"/>
      <c r="O157" s="190"/>
      <c r="P157" s="190"/>
      <c r="Q157" s="190"/>
      <c r="R157" s="190"/>
      <c r="S157" s="64"/>
      <c r="T157" s="190"/>
      <c r="U157" s="190"/>
      <c r="V157" s="51">
        <f t="shared" si="13"/>
        <v>0</v>
      </c>
      <c r="W157" s="7"/>
      <c r="X157" s="7"/>
      <c r="Y157" s="7"/>
      <c r="Z157" s="7"/>
    </row>
    <row r="158" ht="15.0" customHeight="1">
      <c r="A158" s="7"/>
      <c r="B158" s="7" t="s">
        <v>1097</v>
      </c>
      <c r="C158" s="187"/>
      <c r="D158" s="200"/>
      <c r="E158" s="185"/>
      <c r="F158" s="203">
        <v>6.0</v>
      </c>
      <c r="G158" s="185" t="s">
        <v>1067</v>
      </c>
      <c r="H158" s="186"/>
      <c r="I158" s="187" t="s">
        <v>381</v>
      </c>
      <c r="J158" s="190"/>
      <c r="K158" s="190"/>
      <c r="L158" s="190"/>
      <c r="M158" s="190"/>
      <c r="N158" s="190"/>
      <c r="O158" s="190"/>
      <c r="P158" s="190"/>
      <c r="Q158" s="190"/>
      <c r="R158" s="190"/>
      <c r="S158" s="64"/>
      <c r="T158" s="190"/>
      <c r="U158" s="190"/>
      <c r="V158" s="51">
        <f t="shared" si="13"/>
        <v>0</v>
      </c>
      <c r="W158" s="7"/>
      <c r="X158" s="7"/>
      <c r="Y158" s="7"/>
      <c r="Z158" s="7"/>
    </row>
    <row r="159" ht="15.0" customHeight="1">
      <c r="A159" s="7"/>
      <c r="B159" s="7" t="s">
        <v>1097</v>
      </c>
      <c r="C159" s="187"/>
      <c r="D159" s="200"/>
      <c r="E159" s="185"/>
      <c r="F159" s="203"/>
      <c r="G159" s="185"/>
      <c r="H159" s="186"/>
      <c r="I159" s="187" t="s">
        <v>1009</v>
      </c>
      <c r="J159" s="190"/>
      <c r="K159" s="190"/>
      <c r="L159" s="190"/>
      <c r="M159" s="190"/>
      <c r="N159" s="190"/>
      <c r="O159" s="190"/>
      <c r="P159" s="190"/>
      <c r="Q159" s="190"/>
      <c r="R159" s="190"/>
      <c r="S159" s="64"/>
      <c r="T159" s="190"/>
      <c r="U159" s="190"/>
      <c r="V159" s="51">
        <f t="shared" si="13"/>
        <v>0</v>
      </c>
      <c r="W159" s="7"/>
      <c r="X159" s="7"/>
      <c r="Y159" s="7"/>
      <c r="Z159" s="7"/>
    </row>
    <row r="160" ht="15.0" customHeight="1">
      <c r="A160" s="7"/>
      <c r="B160" s="7" t="s">
        <v>1097</v>
      </c>
      <c r="C160" s="187"/>
      <c r="D160" s="200"/>
      <c r="E160" s="185"/>
      <c r="F160" s="203"/>
      <c r="G160" s="185"/>
      <c r="H160" s="186"/>
      <c r="I160" s="187" t="s">
        <v>490</v>
      </c>
      <c r="J160" s="190"/>
      <c r="K160" s="190"/>
      <c r="L160" s="190"/>
      <c r="M160" s="190"/>
      <c r="N160" s="190"/>
      <c r="O160" s="190"/>
      <c r="P160" s="190"/>
      <c r="Q160" s="190"/>
      <c r="R160" s="190"/>
      <c r="S160" s="64"/>
      <c r="T160" s="190"/>
      <c r="U160" s="190"/>
      <c r="V160" s="51">
        <f t="shared" si="13"/>
        <v>0</v>
      </c>
      <c r="W160" s="7"/>
      <c r="X160" s="7"/>
      <c r="Y160" s="7"/>
      <c r="Z160" s="7"/>
    </row>
    <row r="161" ht="15.0" customHeight="1">
      <c r="A161" s="7"/>
      <c r="B161" s="7" t="s">
        <v>1097</v>
      </c>
      <c r="C161" s="187"/>
      <c r="D161" s="200"/>
      <c r="E161" s="185"/>
      <c r="F161" s="203"/>
      <c r="G161" s="185"/>
      <c r="H161" s="186"/>
      <c r="I161" s="187" t="s">
        <v>398</v>
      </c>
      <c r="J161" s="190"/>
      <c r="K161" s="190"/>
      <c r="L161" s="190"/>
      <c r="M161" s="190"/>
      <c r="N161" s="190"/>
      <c r="O161" s="190"/>
      <c r="P161" s="190"/>
      <c r="Q161" s="190"/>
      <c r="R161" s="190"/>
      <c r="S161" s="64"/>
      <c r="T161" s="190"/>
      <c r="U161" s="190"/>
      <c r="V161" s="51">
        <f t="shared" si="13"/>
        <v>0</v>
      </c>
      <c r="W161" s="7"/>
      <c r="X161" s="7"/>
      <c r="Y161" s="7"/>
      <c r="Z161" s="7"/>
    </row>
    <row r="162" ht="15.0" customHeight="1">
      <c r="A162" s="7"/>
      <c r="B162" s="7" t="s">
        <v>1098</v>
      </c>
      <c r="C162" s="187"/>
      <c r="D162" s="200"/>
      <c r="E162" s="185"/>
      <c r="F162" s="203">
        <v>7.0</v>
      </c>
      <c r="G162" s="185" t="s">
        <v>1071</v>
      </c>
      <c r="H162" s="186"/>
      <c r="I162" s="187" t="s">
        <v>381</v>
      </c>
      <c r="J162" s="190"/>
      <c r="K162" s="190"/>
      <c r="L162" s="190"/>
      <c r="M162" s="190"/>
      <c r="N162" s="190"/>
      <c r="O162" s="190"/>
      <c r="P162" s="190"/>
      <c r="Q162" s="190"/>
      <c r="R162" s="190"/>
      <c r="S162" s="64"/>
      <c r="T162" s="190"/>
      <c r="U162" s="190"/>
      <c r="V162" s="51">
        <f t="shared" si="13"/>
        <v>0</v>
      </c>
      <c r="W162" s="7"/>
      <c r="X162" s="7"/>
      <c r="Y162" s="7"/>
      <c r="Z162" s="7"/>
    </row>
    <row r="163" ht="15.0" customHeight="1">
      <c r="A163" s="7"/>
      <c r="B163" s="11"/>
      <c r="C163" s="187"/>
      <c r="D163" s="200"/>
      <c r="E163" s="185"/>
      <c r="F163" s="185"/>
      <c r="G163" s="185"/>
      <c r="H163" s="186"/>
      <c r="I163" s="187"/>
      <c r="J163" s="188"/>
      <c r="K163" s="119"/>
      <c r="L163" s="119"/>
      <c r="M163" s="119"/>
      <c r="N163" s="119"/>
      <c r="O163" s="119"/>
      <c r="P163" s="119"/>
      <c r="Q163" s="119"/>
      <c r="R163" s="119"/>
      <c r="S163" s="74"/>
      <c r="T163" s="119"/>
      <c r="U163" s="119"/>
      <c r="V163" s="119"/>
      <c r="W163" s="7"/>
      <c r="X163" s="7"/>
      <c r="Y163" s="7"/>
      <c r="Z163" s="7"/>
    </row>
    <row r="164" ht="15.0" customHeight="1">
      <c r="A164" s="7"/>
      <c r="C164" s="183">
        <v>3.0</v>
      </c>
      <c r="D164" s="184" t="s">
        <v>1099</v>
      </c>
      <c r="E164" s="185"/>
      <c r="F164" s="185"/>
      <c r="G164" s="185"/>
      <c r="H164" s="186"/>
      <c r="I164" s="187"/>
      <c r="J164" s="188"/>
      <c r="K164" s="119"/>
      <c r="L164" s="119"/>
      <c r="M164" s="119"/>
      <c r="N164" s="119"/>
      <c r="O164" s="119"/>
      <c r="P164" s="119"/>
      <c r="Q164" s="119"/>
      <c r="R164" s="119"/>
      <c r="S164" s="74"/>
      <c r="T164" s="119"/>
      <c r="U164" s="119"/>
      <c r="V164" s="119"/>
      <c r="W164" s="7"/>
      <c r="X164" s="7"/>
      <c r="Y164" s="7"/>
      <c r="Z164" s="7"/>
    </row>
    <row r="165" ht="15.0" customHeight="1">
      <c r="A165" s="7"/>
      <c r="B165" s="7" t="s">
        <v>1100</v>
      </c>
      <c r="C165" s="187"/>
      <c r="D165" s="189">
        <v>1.0</v>
      </c>
      <c r="E165" s="185" t="s">
        <v>1008</v>
      </c>
      <c r="F165" s="185"/>
      <c r="G165" s="185"/>
      <c r="H165" s="186"/>
      <c r="I165" s="187" t="s">
        <v>489</v>
      </c>
      <c r="J165" s="191">
        <v>31173.0</v>
      </c>
      <c r="K165" s="191">
        <v>77246.27</v>
      </c>
      <c r="L165" s="191">
        <v>50277.0</v>
      </c>
      <c r="M165" s="191">
        <v>136222.0</v>
      </c>
      <c r="N165" s="193">
        <v>94364.0</v>
      </c>
      <c r="O165" s="191"/>
      <c r="P165" s="191"/>
      <c r="Q165" s="191"/>
      <c r="R165" s="191"/>
      <c r="S165" s="191"/>
      <c r="T165" s="191"/>
      <c r="U165" s="191"/>
      <c r="V165" s="51">
        <f t="shared" ref="V165:V172" si="14">SUM(J165:U165)</f>
        <v>389282.27</v>
      </c>
      <c r="W165" s="7"/>
      <c r="X165" s="7"/>
      <c r="Y165" s="7"/>
      <c r="Z165" s="7"/>
    </row>
    <row r="166" ht="14.25" customHeight="1">
      <c r="A166" s="7"/>
      <c r="B166" s="7" t="s">
        <v>1100</v>
      </c>
      <c r="C166" s="187"/>
      <c r="D166" s="189"/>
      <c r="E166" s="185"/>
      <c r="F166" s="185"/>
      <c r="G166" s="185"/>
      <c r="H166" s="186"/>
      <c r="I166" s="187" t="s">
        <v>490</v>
      </c>
      <c r="J166" s="191">
        <v>62776.0</v>
      </c>
      <c r="K166" s="191">
        <v>23676.0</v>
      </c>
      <c r="L166" s="191">
        <v>88806.0</v>
      </c>
      <c r="M166" s="191">
        <v>1464.0</v>
      </c>
      <c r="N166" s="196">
        <v>14772.0</v>
      </c>
      <c r="O166" s="191"/>
      <c r="P166" s="191"/>
      <c r="Q166" s="191"/>
      <c r="R166" s="191"/>
      <c r="S166" s="191"/>
      <c r="T166" s="191"/>
      <c r="U166" s="191"/>
      <c r="V166" s="51">
        <f t="shared" si="14"/>
        <v>191494</v>
      </c>
      <c r="W166" s="7"/>
      <c r="X166" s="7"/>
      <c r="Y166" s="7"/>
      <c r="Z166" s="7"/>
    </row>
    <row r="167" ht="14.25" customHeight="1">
      <c r="A167" s="7"/>
      <c r="B167" s="7" t="s">
        <v>1100</v>
      </c>
      <c r="C167" s="187"/>
      <c r="D167" s="189"/>
      <c r="E167" s="185"/>
      <c r="F167" s="185"/>
      <c r="G167" s="185"/>
      <c r="H167" s="186"/>
      <c r="I167" s="187" t="s">
        <v>398</v>
      </c>
      <c r="J167" s="198"/>
      <c r="K167" s="204"/>
      <c r="L167" s="198"/>
      <c r="M167" s="198"/>
      <c r="N167" s="205"/>
      <c r="O167" s="198"/>
      <c r="P167" s="198"/>
      <c r="Q167" s="198"/>
      <c r="R167" s="198"/>
      <c r="S167" s="198"/>
      <c r="T167" s="64"/>
      <c r="U167" s="198"/>
      <c r="V167" s="51">
        <f t="shared" si="14"/>
        <v>0</v>
      </c>
      <c r="W167" s="7"/>
      <c r="X167" s="7"/>
      <c r="Y167" s="7"/>
      <c r="Z167" s="7"/>
    </row>
    <row r="168" ht="14.25" customHeight="1">
      <c r="A168" s="7"/>
      <c r="B168" s="7" t="s">
        <v>1101</v>
      </c>
      <c r="C168" s="187"/>
      <c r="D168" s="189">
        <v>2.0</v>
      </c>
      <c r="E168" s="185" t="s">
        <v>1102</v>
      </c>
      <c r="F168" s="185"/>
      <c r="G168" s="185"/>
      <c r="H168" s="186"/>
      <c r="I168" s="187" t="s">
        <v>1045</v>
      </c>
      <c r="J168" s="198"/>
      <c r="K168" s="204"/>
      <c r="L168" s="198"/>
      <c r="M168" s="198"/>
      <c r="N168" s="205"/>
      <c r="O168" s="198"/>
      <c r="P168" s="198"/>
      <c r="Q168" s="198"/>
      <c r="R168" s="198"/>
      <c r="S168" s="198"/>
      <c r="T168" s="64"/>
      <c r="U168" s="198"/>
      <c r="V168" s="51">
        <f t="shared" si="14"/>
        <v>0</v>
      </c>
      <c r="W168" s="7"/>
      <c r="X168" s="7"/>
      <c r="Y168" s="7"/>
      <c r="Z168" s="7"/>
    </row>
    <row r="169" ht="14.25" customHeight="1">
      <c r="A169" s="7"/>
      <c r="B169" s="7" t="s">
        <v>1101</v>
      </c>
      <c r="C169" s="187"/>
      <c r="D169" s="189"/>
      <c r="E169" s="185"/>
      <c r="F169" s="185"/>
      <c r="G169" s="185"/>
      <c r="H169" s="186"/>
      <c r="I169" s="187" t="s">
        <v>1046</v>
      </c>
      <c r="J169" s="198"/>
      <c r="K169" s="204"/>
      <c r="L169" s="198"/>
      <c r="M169" s="198"/>
      <c r="N169" s="205"/>
      <c r="O169" s="198"/>
      <c r="P169" s="198"/>
      <c r="Q169" s="198"/>
      <c r="R169" s="198"/>
      <c r="S169" s="198"/>
      <c r="T169" s="64"/>
      <c r="U169" s="198"/>
      <c r="V169" s="51">
        <f t="shared" si="14"/>
        <v>0</v>
      </c>
      <c r="W169" s="7"/>
      <c r="X169" s="7"/>
      <c r="Y169" s="7"/>
      <c r="Z169" s="7"/>
    </row>
    <row r="170" ht="14.25" customHeight="1">
      <c r="A170" s="7"/>
      <c r="B170" s="7" t="s">
        <v>1103</v>
      </c>
      <c r="C170" s="187"/>
      <c r="D170" s="189">
        <v>3.0</v>
      </c>
      <c r="E170" s="185" t="s">
        <v>1104</v>
      </c>
      <c r="F170" s="185"/>
      <c r="G170" s="185"/>
      <c r="H170" s="186"/>
      <c r="I170" s="187" t="s">
        <v>1045</v>
      </c>
      <c r="J170" s="198"/>
      <c r="K170" s="206"/>
      <c r="L170" s="198"/>
      <c r="M170" s="191">
        <v>15707.0</v>
      </c>
      <c r="N170" s="205"/>
      <c r="O170" s="191"/>
      <c r="P170" s="198"/>
      <c r="Q170" s="198"/>
      <c r="R170" s="191"/>
      <c r="S170" s="198"/>
      <c r="T170" s="64"/>
      <c r="U170" s="191"/>
      <c r="V170" s="51">
        <f t="shared" si="14"/>
        <v>15707</v>
      </c>
      <c r="W170" s="7"/>
      <c r="X170" s="7"/>
      <c r="Y170" s="7"/>
      <c r="Z170" s="7"/>
    </row>
    <row r="171" ht="14.25" customHeight="1">
      <c r="A171" s="7"/>
      <c r="B171" s="7" t="s">
        <v>1103</v>
      </c>
      <c r="C171" s="187"/>
      <c r="D171" s="189"/>
      <c r="E171" s="185"/>
      <c r="F171" s="185"/>
      <c r="G171" s="185"/>
      <c r="H171" s="186"/>
      <c r="I171" s="187" t="s">
        <v>1046</v>
      </c>
      <c r="J171" s="198"/>
      <c r="K171" s="206"/>
      <c r="L171" s="191">
        <v>2644.0</v>
      </c>
      <c r="M171" s="191">
        <v>1250.0</v>
      </c>
      <c r="N171" s="196">
        <v>1573.0</v>
      </c>
      <c r="O171" s="207"/>
      <c r="P171" s="191"/>
      <c r="Q171" s="198"/>
      <c r="R171" s="191"/>
      <c r="S171" s="198"/>
      <c r="T171" s="59"/>
      <c r="U171" s="191"/>
      <c r="V171" s="51">
        <f t="shared" si="14"/>
        <v>5467</v>
      </c>
      <c r="W171" s="7"/>
      <c r="X171" s="7"/>
      <c r="Y171" s="7"/>
      <c r="Z171" s="7"/>
    </row>
    <row r="172" ht="14.25" customHeight="1">
      <c r="A172" s="7"/>
      <c r="B172" s="7" t="s">
        <v>1103</v>
      </c>
      <c r="C172" s="187"/>
      <c r="D172" s="189"/>
      <c r="E172" s="185"/>
      <c r="F172" s="185"/>
      <c r="G172" s="185"/>
      <c r="H172" s="186"/>
      <c r="I172" s="187" t="s">
        <v>1085</v>
      </c>
      <c r="J172" s="198"/>
      <c r="K172" s="190"/>
      <c r="L172" s="198"/>
      <c r="M172" s="198"/>
      <c r="N172" s="205"/>
      <c r="O172" s="190"/>
      <c r="P172" s="190"/>
      <c r="Q172" s="198"/>
      <c r="R172" s="198"/>
      <c r="S172" s="198"/>
      <c r="T172" s="190"/>
      <c r="U172" s="64"/>
      <c r="V172" s="51">
        <f t="shared" si="14"/>
        <v>0</v>
      </c>
      <c r="W172" s="7"/>
      <c r="X172" s="7"/>
      <c r="Y172" s="7"/>
      <c r="Z172" s="7"/>
    </row>
    <row r="173" ht="14.25" customHeight="1">
      <c r="A173" s="7"/>
      <c r="C173" s="187"/>
      <c r="D173" s="189">
        <v>4.0</v>
      </c>
      <c r="E173" s="185" t="s">
        <v>1105</v>
      </c>
      <c r="F173" s="185"/>
      <c r="G173" s="185"/>
      <c r="H173" s="186"/>
      <c r="I173" s="187"/>
      <c r="J173" s="208"/>
      <c r="K173" s="119"/>
      <c r="L173" s="119"/>
      <c r="M173" s="43"/>
      <c r="N173" s="128"/>
      <c r="O173" s="119"/>
      <c r="P173" s="119"/>
      <c r="Q173" s="43"/>
      <c r="R173" s="43"/>
      <c r="S173" s="43"/>
      <c r="T173" s="119"/>
      <c r="U173" s="74"/>
      <c r="V173" s="119"/>
      <c r="W173" s="7"/>
      <c r="X173" s="7"/>
      <c r="Y173" s="7"/>
      <c r="Z173" s="7"/>
    </row>
    <row r="174" ht="14.25" customHeight="1">
      <c r="A174" s="7"/>
      <c r="C174" s="187"/>
      <c r="D174" s="200"/>
      <c r="E174" s="203">
        <v>1.0</v>
      </c>
      <c r="F174" s="185" t="s">
        <v>1106</v>
      </c>
      <c r="G174" s="185"/>
      <c r="H174" s="186"/>
      <c r="I174" s="187"/>
      <c r="J174" s="208"/>
      <c r="K174" s="119"/>
      <c r="L174" s="119"/>
      <c r="M174" s="43"/>
      <c r="N174" s="128"/>
      <c r="O174" s="119"/>
      <c r="P174" s="119"/>
      <c r="Q174" s="43"/>
      <c r="R174" s="43"/>
      <c r="S174" s="43"/>
      <c r="T174" s="119"/>
      <c r="U174" s="74"/>
      <c r="V174" s="119"/>
      <c r="W174" s="7"/>
      <c r="X174" s="7"/>
      <c r="Y174" s="7"/>
      <c r="Z174" s="7"/>
    </row>
    <row r="175" ht="14.25" customHeight="1">
      <c r="A175" s="7"/>
      <c r="B175" s="7" t="s">
        <v>1107</v>
      </c>
      <c r="C175" s="187"/>
      <c r="D175" s="200"/>
      <c r="E175" s="203"/>
      <c r="F175" s="203">
        <v>1.0</v>
      </c>
      <c r="G175" s="185" t="s">
        <v>1012</v>
      </c>
      <c r="H175" s="186"/>
      <c r="I175" s="187" t="s">
        <v>489</v>
      </c>
      <c r="J175" s="198"/>
      <c r="K175" s="190"/>
      <c r="L175" s="190"/>
      <c r="M175" s="198"/>
      <c r="N175" s="205"/>
      <c r="O175" s="47"/>
      <c r="P175" s="190"/>
      <c r="Q175" s="198"/>
      <c r="R175" s="198"/>
      <c r="S175" s="198"/>
      <c r="T175" s="190"/>
      <c r="U175" s="59"/>
      <c r="V175" s="51">
        <f t="shared" ref="V175:V190" si="15">SUM(J175:U175)</f>
        <v>0</v>
      </c>
      <c r="W175" s="7"/>
      <c r="X175" s="7"/>
      <c r="Y175" s="7"/>
      <c r="Z175" s="7"/>
    </row>
    <row r="176" ht="14.25" customHeight="1">
      <c r="A176" s="7"/>
      <c r="B176" s="7" t="s">
        <v>1107</v>
      </c>
      <c r="C176" s="187"/>
      <c r="D176" s="200"/>
      <c r="E176" s="203"/>
      <c r="F176" s="203"/>
      <c r="G176" s="185"/>
      <c r="H176" s="186"/>
      <c r="I176" s="187" t="s">
        <v>490</v>
      </c>
      <c r="J176" s="198"/>
      <c r="K176" s="209"/>
      <c r="L176" s="190"/>
      <c r="M176" s="198"/>
      <c r="N176" s="205"/>
      <c r="O176" s="132"/>
      <c r="P176" s="190"/>
      <c r="Q176" s="198"/>
      <c r="R176" s="198"/>
      <c r="S176" s="198"/>
      <c r="T176" s="190"/>
      <c r="U176" s="64"/>
      <c r="V176" s="51">
        <f t="shared" si="15"/>
        <v>0</v>
      </c>
      <c r="W176" s="7"/>
      <c r="X176" s="7"/>
      <c r="Y176" s="7"/>
      <c r="Z176" s="7"/>
    </row>
    <row r="177" ht="14.25" customHeight="1">
      <c r="A177" s="7"/>
      <c r="B177" s="7" t="s">
        <v>1107</v>
      </c>
      <c r="C177" s="187"/>
      <c r="D177" s="200"/>
      <c r="E177" s="203"/>
      <c r="F177" s="203"/>
      <c r="G177" s="185"/>
      <c r="H177" s="186"/>
      <c r="I177" s="187" t="s">
        <v>398</v>
      </c>
      <c r="J177" s="198"/>
      <c r="K177" s="190"/>
      <c r="L177" s="190"/>
      <c r="M177" s="198"/>
      <c r="N177" s="205"/>
      <c r="O177" s="132"/>
      <c r="P177" s="190"/>
      <c r="Q177" s="198"/>
      <c r="R177" s="198"/>
      <c r="S177" s="198"/>
      <c r="T177" s="190"/>
      <c r="U177" s="64"/>
      <c r="V177" s="51">
        <f t="shared" si="15"/>
        <v>0</v>
      </c>
      <c r="W177" s="7"/>
      <c r="X177" s="7"/>
      <c r="Y177" s="7"/>
      <c r="Z177" s="7"/>
    </row>
    <row r="178" ht="14.25" customHeight="1">
      <c r="A178" s="7"/>
      <c r="B178" s="7" t="s">
        <v>1108</v>
      </c>
      <c r="C178" s="187"/>
      <c r="D178" s="200"/>
      <c r="E178" s="203"/>
      <c r="F178" s="203">
        <v>2.0</v>
      </c>
      <c r="G178" s="185" t="s">
        <v>1109</v>
      </c>
      <c r="H178" s="186"/>
      <c r="I178" s="187" t="s">
        <v>489</v>
      </c>
      <c r="J178" s="198"/>
      <c r="K178" s="190"/>
      <c r="L178" s="190"/>
      <c r="M178" s="198"/>
      <c r="N178" s="205"/>
      <c r="O178" s="132"/>
      <c r="P178" s="190"/>
      <c r="Q178" s="198"/>
      <c r="R178" s="198"/>
      <c r="S178" s="198"/>
      <c r="T178" s="190"/>
      <c r="U178" s="64"/>
      <c r="V178" s="51">
        <f t="shared" si="15"/>
        <v>0</v>
      </c>
      <c r="W178" s="7"/>
      <c r="X178" s="7"/>
      <c r="Y178" s="7"/>
      <c r="Z178" s="7"/>
    </row>
    <row r="179" ht="14.25" customHeight="1">
      <c r="A179" s="7"/>
      <c r="B179" s="7" t="s">
        <v>1108</v>
      </c>
      <c r="C179" s="187"/>
      <c r="D179" s="200"/>
      <c r="E179" s="203"/>
      <c r="F179" s="203"/>
      <c r="G179" s="185"/>
      <c r="H179" s="186"/>
      <c r="I179" s="187" t="s">
        <v>490</v>
      </c>
      <c r="J179" s="198"/>
      <c r="K179" s="190"/>
      <c r="L179" s="190"/>
      <c r="M179" s="198"/>
      <c r="N179" s="205"/>
      <c r="O179" s="132"/>
      <c r="P179" s="190"/>
      <c r="Q179" s="198"/>
      <c r="R179" s="198"/>
      <c r="S179" s="198"/>
      <c r="T179" s="190"/>
      <c r="U179" s="64"/>
      <c r="V179" s="51">
        <f t="shared" si="15"/>
        <v>0</v>
      </c>
      <c r="W179" s="7"/>
      <c r="X179" s="7"/>
      <c r="Y179" s="7"/>
      <c r="Z179" s="7"/>
    </row>
    <row r="180" ht="14.25" customHeight="1">
      <c r="A180" s="7"/>
      <c r="B180" s="7" t="s">
        <v>1108</v>
      </c>
      <c r="C180" s="187"/>
      <c r="D180" s="200"/>
      <c r="E180" s="203"/>
      <c r="F180" s="203"/>
      <c r="G180" s="185"/>
      <c r="H180" s="186"/>
      <c r="I180" s="187" t="s">
        <v>398</v>
      </c>
      <c r="J180" s="198"/>
      <c r="K180" s="190"/>
      <c r="L180" s="190"/>
      <c r="M180" s="198"/>
      <c r="N180" s="205"/>
      <c r="O180" s="190"/>
      <c r="P180" s="190"/>
      <c r="Q180" s="198"/>
      <c r="R180" s="198"/>
      <c r="S180" s="198"/>
      <c r="T180" s="190"/>
      <c r="U180" s="64"/>
      <c r="V180" s="51">
        <f t="shared" si="15"/>
        <v>0</v>
      </c>
      <c r="W180" s="7"/>
      <c r="X180" s="7"/>
      <c r="Y180" s="7"/>
      <c r="Z180" s="7"/>
    </row>
    <row r="181" ht="14.25" customHeight="1">
      <c r="A181" s="7"/>
      <c r="B181" s="7" t="s">
        <v>1110</v>
      </c>
      <c r="C181" s="187"/>
      <c r="D181" s="200"/>
      <c r="E181" s="203"/>
      <c r="F181" s="203">
        <v>3.0</v>
      </c>
      <c r="G181" s="185" t="s">
        <v>1111</v>
      </c>
      <c r="H181" s="186"/>
      <c r="I181" s="187" t="s">
        <v>489</v>
      </c>
      <c r="J181" s="198"/>
      <c r="K181" s="190"/>
      <c r="L181" s="190"/>
      <c r="M181" s="198"/>
      <c r="N181" s="205"/>
      <c r="O181" s="190"/>
      <c r="P181" s="190"/>
      <c r="Q181" s="198"/>
      <c r="R181" s="198"/>
      <c r="S181" s="198"/>
      <c r="T181" s="190"/>
      <c r="U181" s="64"/>
      <c r="V181" s="51">
        <f t="shared" si="15"/>
        <v>0</v>
      </c>
      <c r="W181" s="7"/>
      <c r="X181" s="7"/>
      <c r="Y181" s="7"/>
      <c r="Z181" s="7"/>
    </row>
    <row r="182" ht="14.25" customHeight="1">
      <c r="A182" s="7"/>
      <c r="B182" s="7" t="s">
        <v>1110</v>
      </c>
      <c r="C182" s="187"/>
      <c r="D182" s="200"/>
      <c r="E182" s="203"/>
      <c r="F182" s="185"/>
      <c r="G182" s="185"/>
      <c r="H182" s="186"/>
      <c r="I182" s="187" t="s">
        <v>490</v>
      </c>
      <c r="J182" s="198"/>
      <c r="K182" s="190"/>
      <c r="L182" s="190"/>
      <c r="M182" s="198"/>
      <c r="N182" s="205"/>
      <c r="O182" s="190"/>
      <c r="P182" s="190"/>
      <c r="Q182" s="198"/>
      <c r="R182" s="198"/>
      <c r="S182" s="198"/>
      <c r="T182" s="190"/>
      <c r="U182" s="64"/>
      <c r="V182" s="51">
        <f t="shared" si="15"/>
        <v>0</v>
      </c>
      <c r="W182" s="7"/>
      <c r="X182" s="7"/>
      <c r="Y182" s="7"/>
      <c r="Z182" s="7"/>
    </row>
    <row r="183" ht="14.25" customHeight="1">
      <c r="A183" s="7"/>
      <c r="B183" s="7" t="s">
        <v>1112</v>
      </c>
      <c r="C183" s="187"/>
      <c r="D183" s="200"/>
      <c r="E183" s="203">
        <v>2.0</v>
      </c>
      <c r="F183" s="185" t="s">
        <v>1113</v>
      </c>
      <c r="G183" s="185"/>
      <c r="H183" s="186"/>
      <c r="I183" s="187" t="s">
        <v>489</v>
      </c>
      <c r="J183" s="191">
        <v>31173.0</v>
      </c>
      <c r="K183" s="191">
        <v>77246.27</v>
      </c>
      <c r="L183" s="191">
        <v>50277.0</v>
      </c>
      <c r="M183" s="191">
        <v>136222.0</v>
      </c>
      <c r="N183" s="196">
        <v>94364.0</v>
      </c>
      <c r="O183" s="191"/>
      <c r="P183" s="191"/>
      <c r="Q183" s="191"/>
      <c r="R183" s="191"/>
      <c r="S183" s="191"/>
      <c r="T183" s="191"/>
      <c r="U183" s="191"/>
      <c r="V183" s="51">
        <f t="shared" si="15"/>
        <v>389282.27</v>
      </c>
      <c r="W183" s="7"/>
      <c r="X183" s="7"/>
      <c r="Y183" s="7"/>
      <c r="Z183" s="7"/>
    </row>
    <row r="184" ht="14.25" customHeight="1">
      <c r="A184" s="7"/>
      <c r="B184" s="7" t="s">
        <v>1112</v>
      </c>
      <c r="C184" s="187"/>
      <c r="D184" s="200"/>
      <c r="E184" s="203"/>
      <c r="F184" s="185"/>
      <c r="G184" s="185"/>
      <c r="H184" s="186"/>
      <c r="I184" s="187" t="s">
        <v>490</v>
      </c>
      <c r="J184" s="191">
        <v>62776.0</v>
      </c>
      <c r="K184" s="191">
        <v>23676.0</v>
      </c>
      <c r="L184" s="191">
        <v>88806.0</v>
      </c>
      <c r="M184" s="191">
        <v>1464.0</v>
      </c>
      <c r="N184" s="196">
        <v>14772.0</v>
      </c>
      <c r="O184" s="191"/>
      <c r="P184" s="191"/>
      <c r="Q184" s="191"/>
      <c r="R184" s="191"/>
      <c r="S184" s="191"/>
      <c r="T184" s="191"/>
      <c r="U184" s="191"/>
      <c r="V184" s="51">
        <f t="shared" si="15"/>
        <v>191494</v>
      </c>
      <c r="W184" s="7"/>
      <c r="X184" s="7"/>
      <c r="Y184" s="7"/>
      <c r="Z184" s="7"/>
    </row>
    <row r="185" ht="14.25" customHeight="1">
      <c r="A185" s="7"/>
      <c r="B185" s="7" t="s">
        <v>1114</v>
      </c>
      <c r="C185" s="187"/>
      <c r="D185" s="200"/>
      <c r="E185" s="203">
        <v>3.0</v>
      </c>
      <c r="F185" s="185" t="s">
        <v>1115</v>
      </c>
      <c r="G185" s="185"/>
      <c r="H185" s="186"/>
      <c r="I185" s="187" t="s">
        <v>489</v>
      </c>
      <c r="J185" s="198"/>
      <c r="K185" s="204"/>
      <c r="L185" s="198"/>
      <c r="M185" s="190"/>
      <c r="N185" s="205"/>
      <c r="O185" s="190"/>
      <c r="P185" s="190"/>
      <c r="Q185" s="198"/>
      <c r="R185" s="198"/>
      <c r="S185" s="198"/>
      <c r="T185" s="190"/>
      <c r="U185" s="64"/>
      <c r="V185" s="51">
        <f t="shared" si="15"/>
        <v>0</v>
      </c>
      <c r="W185" s="7"/>
      <c r="X185" s="7"/>
      <c r="Y185" s="7"/>
      <c r="Z185" s="7"/>
    </row>
    <row r="186" ht="14.25" customHeight="1">
      <c r="A186" s="7"/>
      <c r="B186" s="7" t="s">
        <v>1114</v>
      </c>
      <c r="C186" s="187"/>
      <c r="D186" s="200"/>
      <c r="E186" s="203"/>
      <c r="F186" s="185"/>
      <c r="G186" s="185"/>
      <c r="H186" s="186"/>
      <c r="I186" s="187" t="s">
        <v>490</v>
      </c>
      <c r="J186" s="198"/>
      <c r="K186" s="204"/>
      <c r="L186" s="198"/>
      <c r="M186" s="190"/>
      <c r="N186" s="205"/>
      <c r="O186" s="190"/>
      <c r="P186" s="190"/>
      <c r="Q186" s="198"/>
      <c r="R186" s="198"/>
      <c r="S186" s="198"/>
      <c r="T186" s="190"/>
      <c r="U186" s="64"/>
      <c r="V186" s="51">
        <f t="shared" si="15"/>
        <v>0</v>
      </c>
      <c r="W186" s="7"/>
      <c r="X186" s="7"/>
      <c r="Y186" s="7"/>
      <c r="Z186" s="7"/>
    </row>
    <row r="187" ht="14.25" customHeight="1">
      <c r="A187" s="7"/>
      <c r="B187" s="7" t="s">
        <v>1116</v>
      </c>
      <c r="C187" s="187"/>
      <c r="D187" s="200"/>
      <c r="E187" s="203">
        <v>4.0</v>
      </c>
      <c r="F187" s="185" t="s">
        <v>1071</v>
      </c>
      <c r="G187" s="185"/>
      <c r="H187" s="186"/>
      <c r="I187" s="187" t="s">
        <v>489</v>
      </c>
      <c r="J187" s="198"/>
      <c r="K187" s="204"/>
      <c r="L187" s="198"/>
      <c r="M187" s="190"/>
      <c r="N187" s="205"/>
      <c r="O187" s="190"/>
      <c r="P187" s="190"/>
      <c r="Q187" s="198"/>
      <c r="R187" s="198"/>
      <c r="S187" s="198"/>
      <c r="T187" s="190"/>
      <c r="U187" s="64"/>
      <c r="V187" s="51">
        <f t="shared" si="15"/>
        <v>0</v>
      </c>
      <c r="W187" s="7"/>
      <c r="X187" s="7"/>
      <c r="Y187" s="7"/>
      <c r="Z187" s="7"/>
    </row>
    <row r="188" ht="14.25" customHeight="1">
      <c r="A188" s="7"/>
      <c r="B188" s="7" t="s">
        <v>1116</v>
      </c>
      <c r="C188" s="187"/>
      <c r="D188" s="200"/>
      <c r="E188" s="203"/>
      <c r="F188" s="185"/>
      <c r="G188" s="185"/>
      <c r="H188" s="186"/>
      <c r="I188" s="187" t="s">
        <v>490</v>
      </c>
      <c r="J188" s="198"/>
      <c r="K188" s="204"/>
      <c r="L188" s="198"/>
      <c r="M188" s="190"/>
      <c r="N188" s="205"/>
      <c r="O188" s="190"/>
      <c r="P188" s="190"/>
      <c r="Q188" s="198"/>
      <c r="R188" s="198"/>
      <c r="S188" s="198"/>
      <c r="T188" s="190"/>
      <c r="U188" s="64"/>
      <c r="V188" s="51">
        <f t="shared" si="15"/>
        <v>0</v>
      </c>
      <c r="W188" s="7"/>
      <c r="X188" s="7"/>
      <c r="Y188" s="7"/>
      <c r="Z188" s="7"/>
    </row>
    <row r="189" ht="14.25" customHeight="1">
      <c r="A189" s="7"/>
      <c r="B189" s="7" t="s">
        <v>1116</v>
      </c>
      <c r="C189" s="187"/>
      <c r="D189" s="200"/>
      <c r="E189" s="203"/>
      <c r="F189" s="185"/>
      <c r="G189" s="185"/>
      <c r="H189" s="186"/>
      <c r="I189" s="187" t="s">
        <v>398</v>
      </c>
      <c r="J189" s="198"/>
      <c r="K189" s="204"/>
      <c r="L189" s="198"/>
      <c r="M189" s="190"/>
      <c r="N189" s="205"/>
      <c r="O189" s="190"/>
      <c r="P189" s="190"/>
      <c r="Q189" s="198"/>
      <c r="R189" s="198"/>
      <c r="S189" s="198"/>
      <c r="T189" s="190"/>
      <c r="U189" s="64"/>
      <c r="V189" s="51">
        <f t="shared" si="15"/>
        <v>0</v>
      </c>
      <c r="W189" s="7"/>
      <c r="X189" s="7"/>
      <c r="Y189" s="7"/>
      <c r="Z189" s="7"/>
    </row>
    <row r="190" ht="14.25" customHeight="1">
      <c r="A190" s="7"/>
      <c r="B190" s="7" t="s">
        <v>1117</v>
      </c>
      <c r="C190" s="187"/>
      <c r="D190" s="200"/>
      <c r="E190" s="203">
        <v>5.0</v>
      </c>
      <c r="F190" s="185" t="s">
        <v>1118</v>
      </c>
      <c r="G190" s="185"/>
      <c r="H190" s="186"/>
      <c r="I190" s="187" t="s">
        <v>398</v>
      </c>
      <c r="J190" s="198"/>
      <c r="K190" s="204"/>
      <c r="L190" s="198"/>
      <c r="M190" s="190"/>
      <c r="N190" s="205"/>
      <c r="O190" s="190"/>
      <c r="P190" s="190"/>
      <c r="Q190" s="198"/>
      <c r="R190" s="198"/>
      <c r="S190" s="198"/>
      <c r="T190" s="190"/>
      <c r="U190" s="64"/>
      <c r="V190" s="51">
        <f t="shared" si="15"/>
        <v>0</v>
      </c>
      <c r="W190" s="7"/>
      <c r="X190" s="7"/>
      <c r="Y190" s="7"/>
      <c r="Z190" s="7"/>
    </row>
    <row r="191" ht="14.25" customHeight="1">
      <c r="A191" s="7"/>
      <c r="B191" s="11"/>
      <c r="C191" s="187"/>
      <c r="D191" s="200"/>
      <c r="E191" s="185"/>
      <c r="F191" s="185"/>
      <c r="G191" s="185"/>
      <c r="H191" s="186"/>
      <c r="I191" s="187"/>
      <c r="J191" s="188"/>
      <c r="K191" s="148"/>
      <c r="L191" s="43"/>
      <c r="M191" s="119"/>
      <c r="N191" s="128"/>
      <c r="O191" s="119"/>
      <c r="P191" s="43"/>
      <c r="Q191" s="43"/>
      <c r="R191" s="43"/>
      <c r="S191" s="74"/>
      <c r="T191" s="119"/>
      <c r="U191" s="74"/>
      <c r="V191" s="119"/>
      <c r="W191" s="7"/>
      <c r="X191" s="7"/>
      <c r="Y191" s="7"/>
      <c r="Z191" s="7"/>
    </row>
    <row r="192" ht="14.25" customHeight="1">
      <c r="A192" s="7"/>
      <c r="C192" s="183">
        <v>4.0</v>
      </c>
      <c r="D192" s="184" t="s">
        <v>1119</v>
      </c>
      <c r="E192" s="185"/>
      <c r="F192" s="185"/>
      <c r="G192" s="185"/>
      <c r="H192" s="186"/>
      <c r="I192" s="187"/>
      <c r="J192" s="188"/>
      <c r="K192" s="148"/>
      <c r="L192" s="43"/>
      <c r="M192" s="119"/>
      <c r="N192" s="128"/>
      <c r="O192" s="119"/>
      <c r="P192" s="119"/>
      <c r="Q192" s="43"/>
      <c r="R192" s="43"/>
      <c r="S192" s="74"/>
      <c r="T192" s="119"/>
      <c r="U192" s="74"/>
      <c r="V192" s="119"/>
      <c r="W192" s="7"/>
      <c r="X192" s="7"/>
      <c r="Y192" s="7"/>
      <c r="Z192" s="7"/>
    </row>
    <row r="193" ht="14.25" customHeight="1">
      <c r="A193" s="7"/>
      <c r="B193" s="7" t="s">
        <v>1120</v>
      </c>
      <c r="C193" s="187"/>
      <c r="D193" s="189">
        <v>1.0</v>
      </c>
      <c r="E193" s="185" t="s">
        <v>1008</v>
      </c>
      <c r="F193" s="185"/>
      <c r="G193" s="185"/>
      <c r="H193" s="186"/>
      <c r="I193" s="187" t="s">
        <v>489</v>
      </c>
      <c r="J193" s="191">
        <v>154139.8</v>
      </c>
      <c r="K193" s="191">
        <v>299097.48</v>
      </c>
      <c r="L193" s="191">
        <v>178024.0</v>
      </c>
      <c r="M193" s="191">
        <v>148540.13</v>
      </c>
      <c r="N193" s="196">
        <v>263060.0</v>
      </c>
      <c r="O193" s="191"/>
      <c r="P193" s="191"/>
      <c r="Q193" s="191"/>
      <c r="R193" s="191"/>
      <c r="S193" s="191"/>
      <c r="T193" s="191"/>
      <c r="U193" s="190"/>
      <c r="V193" s="51">
        <f t="shared" ref="V193:V197" si="16">SUM(J193:U193)</f>
        <v>1042861.41</v>
      </c>
      <c r="W193" s="7"/>
      <c r="X193" s="7"/>
      <c r="Y193" s="7"/>
      <c r="Z193" s="7"/>
    </row>
    <row r="194" ht="14.25" customHeight="1">
      <c r="A194" s="7"/>
      <c r="B194" s="7" t="s">
        <v>1120</v>
      </c>
      <c r="C194" s="187"/>
      <c r="D194" s="189"/>
      <c r="E194" s="185"/>
      <c r="F194" s="185"/>
      <c r="G194" s="185"/>
      <c r="H194" s="186"/>
      <c r="I194" s="187" t="s">
        <v>490</v>
      </c>
      <c r="J194" s="198"/>
      <c r="K194" s="198"/>
      <c r="L194" s="198"/>
      <c r="M194" s="198"/>
      <c r="N194" s="205"/>
      <c r="O194" s="198"/>
      <c r="P194" s="198"/>
      <c r="Q194" s="198"/>
      <c r="R194" s="198"/>
      <c r="S194" s="198"/>
      <c r="T194" s="198"/>
      <c r="U194" s="198"/>
      <c r="V194" s="51">
        <f t="shared" si="16"/>
        <v>0</v>
      </c>
      <c r="W194" s="7"/>
      <c r="X194" s="7"/>
      <c r="Y194" s="7"/>
      <c r="Z194" s="7"/>
    </row>
    <row r="195" ht="14.25" customHeight="1">
      <c r="A195" s="7"/>
      <c r="B195" s="7" t="s">
        <v>1121</v>
      </c>
      <c r="C195" s="187"/>
      <c r="D195" s="189">
        <v>2.0</v>
      </c>
      <c r="E195" s="185" t="s">
        <v>1102</v>
      </c>
      <c r="F195" s="185"/>
      <c r="G195" s="185"/>
      <c r="H195" s="186"/>
      <c r="I195" s="187" t="s">
        <v>1045</v>
      </c>
      <c r="J195" s="198"/>
      <c r="K195" s="198"/>
      <c r="L195" s="198"/>
      <c r="M195" s="191">
        <v>25095.0</v>
      </c>
      <c r="N195" s="205"/>
      <c r="O195" s="198"/>
      <c r="P195" s="198"/>
      <c r="Q195" s="198"/>
      <c r="R195" s="198"/>
      <c r="S195" s="198"/>
      <c r="T195" s="198"/>
      <c r="U195" s="198"/>
      <c r="V195" s="51">
        <f t="shared" si="16"/>
        <v>25095</v>
      </c>
      <c r="W195" s="7"/>
      <c r="X195" s="7"/>
      <c r="Y195" s="7"/>
      <c r="Z195" s="7"/>
    </row>
    <row r="196" ht="14.25" customHeight="1">
      <c r="A196" s="7"/>
      <c r="B196" s="7" t="s">
        <v>1122</v>
      </c>
      <c r="C196" s="187"/>
      <c r="D196" s="189">
        <v>3.0</v>
      </c>
      <c r="E196" s="185" t="s">
        <v>1104</v>
      </c>
      <c r="F196" s="185"/>
      <c r="G196" s="185"/>
      <c r="H196" s="186"/>
      <c r="I196" s="187" t="s">
        <v>1045</v>
      </c>
      <c r="J196" s="198"/>
      <c r="K196" s="198"/>
      <c r="L196" s="198"/>
      <c r="M196" s="198"/>
      <c r="N196" s="205"/>
      <c r="O196" s="191"/>
      <c r="P196" s="198"/>
      <c r="Q196" s="198"/>
      <c r="R196" s="191"/>
      <c r="S196" s="191"/>
      <c r="T196" s="191"/>
      <c r="U196" s="198"/>
      <c r="V196" s="51">
        <f t="shared" si="16"/>
        <v>0</v>
      </c>
      <c r="W196" s="7"/>
      <c r="X196" s="7"/>
      <c r="Y196" s="7"/>
      <c r="Z196" s="7"/>
    </row>
    <row r="197" ht="14.25" customHeight="1">
      <c r="A197" s="7"/>
      <c r="B197" s="7" t="s">
        <v>1123</v>
      </c>
      <c r="C197" s="187"/>
      <c r="D197" s="189">
        <v>4.0</v>
      </c>
      <c r="E197" s="185" t="s">
        <v>1124</v>
      </c>
      <c r="F197" s="185"/>
      <c r="G197" s="185"/>
      <c r="H197" s="186"/>
      <c r="I197" s="187" t="s">
        <v>489</v>
      </c>
      <c r="J197" s="198"/>
      <c r="K197" s="198"/>
      <c r="L197" s="198"/>
      <c r="M197" s="198"/>
      <c r="N197" s="205"/>
      <c r="O197" s="198"/>
      <c r="P197" s="198"/>
      <c r="Q197" s="198"/>
      <c r="R197" s="198"/>
      <c r="S197" s="198"/>
      <c r="T197" s="64"/>
      <c r="U197" s="198"/>
      <c r="V197" s="51">
        <f t="shared" si="16"/>
        <v>0</v>
      </c>
      <c r="W197" s="7"/>
      <c r="X197" s="7"/>
      <c r="Y197" s="7"/>
      <c r="Z197" s="7"/>
    </row>
    <row r="198" ht="14.25" customHeight="1">
      <c r="A198" s="7"/>
      <c r="C198" s="187"/>
      <c r="D198" s="189">
        <v>5.0</v>
      </c>
      <c r="E198" s="185" t="s">
        <v>1105</v>
      </c>
      <c r="F198" s="185"/>
      <c r="G198" s="185"/>
      <c r="H198" s="186"/>
      <c r="I198" s="187"/>
      <c r="J198" s="208"/>
      <c r="K198" s="43"/>
      <c r="L198" s="43"/>
      <c r="M198" s="43"/>
      <c r="N198" s="43"/>
      <c r="O198" s="43"/>
      <c r="P198" s="43"/>
      <c r="Q198" s="43"/>
      <c r="R198" s="43"/>
      <c r="S198" s="43"/>
      <c r="T198" s="74"/>
      <c r="U198" s="43"/>
      <c r="V198" s="119"/>
      <c r="W198" s="7"/>
      <c r="X198" s="7"/>
      <c r="Y198" s="7"/>
      <c r="Z198" s="7"/>
    </row>
    <row r="199" ht="14.25" customHeight="1">
      <c r="A199" s="7"/>
      <c r="C199" s="187"/>
      <c r="D199" s="200"/>
      <c r="E199" s="203">
        <v>1.0</v>
      </c>
      <c r="F199" s="185" t="s">
        <v>1106</v>
      </c>
      <c r="G199" s="185"/>
      <c r="H199" s="186"/>
      <c r="I199" s="187"/>
      <c r="J199" s="208"/>
      <c r="K199" s="43"/>
      <c r="L199" s="43"/>
      <c r="M199" s="43"/>
      <c r="N199" s="43"/>
      <c r="O199" s="43"/>
      <c r="P199" s="43"/>
      <c r="Q199" s="43"/>
      <c r="R199" s="43"/>
      <c r="S199" s="43"/>
      <c r="T199" s="74"/>
      <c r="U199" s="43"/>
      <c r="V199" s="119"/>
      <c r="W199" s="7"/>
      <c r="X199" s="7"/>
      <c r="Y199" s="7"/>
      <c r="Z199" s="7"/>
    </row>
    <row r="200" ht="14.25" customHeight="1">
      <c r="A200" s="7"/>
      <c r="B200" s="7" t="s">
        <v>1125</v>
      </c>
      <c r="C200" s="187"/>
      <c r="D200" s="200"/>
      <c r="E200" s="185"/>
      <c r="F200" s="203">
        <v>1.0</v>
      </c>
      <c r="G200" s="185" t="s">
        <v>1012</v>
      </c>
      <c r="H200" s="186"/>
      <c r="I200" s="187" t="s">
        <v>489</v>
      </c>
      <c r="J200" s="191">
        <v>81365.8</v>
      </c>
      <c r="K200" s="191">
        <v>133944.48</v>
      </c>
      <c r="L200" s="191">
        <v>95249.0</v>
      </c>
      <c r="M200" s="191">
        <v>69841.0</v>
      </c>
      <c r="N200" s="193">
        <v>129883.0</v>
      </c>
      <c r="O200" s="191"/>
      <c r="P200" s="191"/>
      <c r="Q200" s="191"/>
      <c r="R200" s="191"/>
      <c r="S200" s="191"/>
      <c r="T200" s="191"/>
      <c r="U200" s="191"/>
      <c r="V200" s="51">
        <f t="shared" ref="V200:V207" si="17">SUM(J200:U200)</f>
        <v>510283.28</v>
      </c>
      <c r="W200" s="7"/>
      <c r="X200" s="7"/>
      <c r="Y200" s="7"/>
      <c r="Z200" s="7"/>
    </row>
    <row r="201" ht="14.25" customHeight="1">
      <c r="A201" s="7"/>
      <c r="B201" s="7" t="s">
        <v>1125</v>
      </c>
      <c r="C201" s="187"/>
      <c r="D201" s="200"/>
      <c r="E201" s="185"/>
      <c r="F201" s="203"/>
      <c r="G201" s="185"/>
      <c r="H201" s="186"/>
      <c r="I201" s="187" t="s">
        <v>490</v>
      </c>
      <c r="J201" s="204"/>
      <c r="K201" s="198"/>
      <c r="L201" s="198"/>
      <c r="M201" s="198"/>
      <c r="N201" s="205"/>
      <c r="O201" s="198"/>
      <c r="P201" s="198"/>
      <c r="Q201" s="198"/>
      <c r="R201" s="198"/>
      <c r="S201" s="198"/>
      <c r="T201" s="198"/>
      <c r="U201" s="198"/>
      <c r="V201" s="51">
        <f t="shared" si="17"/>
        <v>0</v>
      </c>
      <c r="W201" s="7"/>
      <c r="X201" s="7"/>
      <c r="Y201" s="7"/>
      <c r="Z201" s="7"/>
    </row>
    <row r="202" ht="14.25" customHeight="1">
      <c r="A202" s="7"/>
      <c r="B202" s="7" t="s">
        <v>1126</v>
      </c>
      <c r="C202" s="187"/>
      <c r="D202" s="200"/>
      <c r="E202" s="185"/>
      <c r="F202" s="203">
        <v>2.0</v>
      </c>
      <c r="G202" s="185" t="s">
        <v>1109</v>
      </c>
      <c r="H202" s="186"/>
      <c r="I202" s="187" t="s">
        <v>489</v>
      </c>
      <c r="J202" s="206"/>
      <c r="K202" s="191">
        <v>37473.0</v>
      </c>
      <c r="L202" s="191">
        <v>758.0</v>
      </c>
      <c r="M202" s="191">
        <v>29311.0</v>
      </c>
      <c r="N202" s="196">
        <v>5402.0</v>
      </c>
      <c r="O202" s="191"/>
      <c r="P202" s="198"/>
      <c r="Q202" s="191"/>
      <c r="R202" s="191"/>
      <c r="S202" s="191"/>
      <c r="T202" s="191"/>
      <c r="U202" s="191"/>
      <c r="V202" s="51">
        <f t="shared" si="17"/>
        <v>72944</v>
      </c>
      <c r="W202" s="7"/>
      <c r="X202" s="7"/>
      <c r="Y202" s="7"/>
      <c r="Z202" s="7"/>
    </row>
    <row r="203" ht="14.25" customHeight="1">
      <c r="A203" s="7"/>
      <c r="B203" s="7" t="s">
        <v>1126</v>
      </c>
      <c r="C203" s="187"/>
      <c r="D203" s="200"/>
      <c r="E203" s="185"/>
      <c r="F203" s="203"/>
      <c r="G203" s="185"/>
      <c r="H203" s="186"/>
      <c r="I203" s="187" t="s">
        <v>490</v>
      </c>
      <c r="J203" s="204"/>
      <c r="K203" s="198"/>
      <c r="L203" s="198"/>
      <c r="M203" s="198"/>
      <c r="N203" s="205"/>
      <c r="O203" s="132"/>
      <c r="P203" s="198"/>
      <c r="Q203" s="198"/>
      <c r="R203" s="198"/>
      <c r="S203" s="198"/>
      <c r="T203" s="198"/>
      <c r="U203" s="198"/>
      <c r="V203" s="51">
        <f t="shared" si="17"/>
        <v>0</v>
      </c>
      <c r="W203" s="7"/>
      <c r="X203" s="7"/>
      <c r="Y203" s="7"/>
      <c r="Z203" s="7"/>
    </row>
    <row r="204" ht="14.25" customHeight="1">
      <c r="A204" s="7"/>
      <c r="B204" s="7" t="s">
        <v>1127</v>
      </c>
      <c r="C204" s="187"/>
      <c r="D204" s="200"/>
      <c r="E204" s="185"/>
      <c r="F204" s="203">
        <v>3.0</v>
      </c>
      <c r="G204" s="185" t="s">
        <v>1111</v>
      </c>
      <c r="H204" s="186"/>
      <c r="I204" s="187" t="s">
        <v>489</v>
      </c>
      <c r="J204" s="204"/>
      <c r="K204" s="198"/>
      <c r="L204" s="198"/>
      <c r="M204" s="198"/>
      <c r="N204" s="205"/>
      <c r="O204" s="132"/>
      <c r="P204" s="198"/>
      <c r="Q204" s="198"/>
      <c r="R204" s="198"/>
      <c r="S204" s="198"/>
      <c r="T204" s="198"/>
      <c r="U204" s="198"/>
      <c r="V204" s="51">
        <f t="shared" si="17"/>
        <v>0</v>
      </c>
      <c r="W204" s="7"/>
      <c r="X204" s="7"/>
      <c r="Y204" s="7"/>
      <c r="Z204" s="7"/>
    </row>
    <row r="205" ht="14.25" customHeight="1">
      <c r="A205" s="7"/>
      <c r="B205" s="7" t="s">
        <v>1127</v>
      </c>
      <c r="C205" s="187"/>
      <c r="D205" s="200"/>
      <c r="E205" s="185"/>
      <c r="F205" s="185"/>
      <c r="G205" s="185"/>
      <c r="H205" s="186"/>
      <c r="I205" s="187" t="s">
        <v>490</v>
      </c>
      <c r="J205" s="191"/>
      <c r="K205" s="191"/>
      <c r="L205" s="191"/>
      <c r="M205" s="198"/>
      <c r="N205" s="205"/>
      <c r="O205" s="132"/>
      <c r="P205" s="198"/>
      <c r="Q205" s="198"/>
      <c r="R205" s="198"/>
      <c r="S205" s="198"/>
      <c r="T205" s="198"/>
      <c r="U205" s="198"/>
      <c r="V205" s="51">
        <f t="shared" si="17"/>
        <v>0</v>
      </c>
      <c r="W205" s="7"/>
      <c r="X205" s="7"/>
      <c r="Y205" s="7"/>
      <c r="Z205" s="7"/>
    </row>
    <row r="206" ht="14.25" customHeight="1">
      <c r="A206" s="7"/>
      <c r="B206" s="7" t="s">
        <v>1128</v>
      </c>
      <c r="C206" s="187"/>
      <c r="D206" s="200"/>
      <c r="E206" s="203">
        <v>2.0</v>
      </c>
      <c r="F206" s="185" t="s">
        <v>1113</v>
      </c>
      <c r="G206" s="185"/>
      <c r="H206" s="186"/>
      <c r="I206" s="187" t="s">
        <v>489</v>
      </c>
      <c r="J206" s="191">
        <v>154139.8</v>
      </c>
      <c r="K206" s="191">
        <v>299097.48</v>
      </c>
      <c r="L206" s="191">
        <v>178024.0</v>
      </c>
      <c r="M206" s="191">
        <v>148540.13</v>
      </c>
      <c r="N206" s="196">
        <v>262360.0</v>
      </c>
      <c r="O206" s="191"/>
      <c r="P206" s="191"/>
      <c r="Q206" s="191"/>
      <c r="R206" s="191"/>
      <c r="S206" s="191"/>
      <c r="T206" s="191"/>
      <c r="U206" s="191"/>
      <c r="V206" s="51">
        <f t="shared" si="17"/>
        <v>1042161.41</v>
      </c>
      <c r="W206" s="7"/>
      <c r="X206" s="7"/>
      <c r="Y206" s="7"/>
      <c r="Z206" s="7"/>
    </row>
    <row r="207" ht="14.25" customHeight="1">
      <c r="A207" s="7"/>
      <c r="B207" s="7" t="s">
        <v>1128</v>
      </c>
      <c r="C207" s="187"/>
      <c r="D207" s="200"/>
      <c r="E207" s="185"/>
      <c r="F207" s="185"/>
      <c r="G207" s="185"/>
      <c r="H207" s="186"/>
      <c r="I207" s="187" t="s">
        <v>490</v>
      </c>
      <c r="J207" s="198"/>
      <c r="K207" s="198"/>
      <c r="L207" s="198"/>
      <c r="M207" s="198"/>
      <c r="N207" s="205"/>
      <c r="O207" s="198"/>
      <c r="P207" s="198"/>
      <c r="Q207" s="198"/>
      <c r="R207" s="198"/>
      <c r="S207" s="198"/>
      <c r="T207" s="64"/>
      <c r="U207" s="198"/>
      <c r="V207" s="51">
        <f t="shared" si="17"/>
        <v>0</v>
      </c>
      <c r="W207" s="7"/>
      <c r="X207" s="7"/>
      <c r="Y207" s="7"/>
      <c r="Z207" s="7"/>
    </row>
    <row r="208" ht="14.25" customHeight="1">
      <c r="A208" s="7"/>
      <c r="B208" s="11"/>
      <c r="C208" s="187"/>
      <c r="D208" s="200"/>
      <c r="E208" s="185"/>
      <c r="F208" s="185"/>
      <c r="G208" s="185"/>
      <c r="H208" s="186"/>
      <c r="I208" s="187"/>
      <c r="J208" s="208"/>
      <c r="K208" s="43"/>
      <c r="L208" s="43"/>
      <c r="M208" s="43"/>
      <c r="N208" s="128"/>
      <c r="O208" s="43"/>
      <c r="P208" s="43"/>
      <c r="Q208" s="43"/>
      <c r="R208" s="43"/>
      <c r="S208" s="43"/>
      <c r="T208" s="74"/>
      <c r="U208" s="43"/>
      <c r="V208" s="119"/>
      <c r="W208" s="7"/>
      <c r="X208" s="7"/>
      <c r="Y208" s="7"/>
      <c r="Z208" s="7"/>
    </row>
    <row r="209" ht="14.25" customHeight="1">
      <c r="A209" s="7"/>
      <c r="C209" s="183">
        <v>5.0</v>
      </c>
      <c r="D209" s="184" t="s">
        <v>1129</v>
      </c>
      <c r="E209" s="185"/>
      <c r="F209" s="185"/>
      <c r="G209" s="185"/>
      <c r="H209" s="186"/>
      <c r="I209" s="187"/>
      <c r="J209" s="208"/>
      <c r="K209" s="43"/>
      <c r="L209" s="43"/>
      <c r="M209" s="43"/>
      <c r="N209" s="128"/>
      <c r="O209" s="43"/>
      <c r="P209" s="43"/>
      <c r="Q209" s="43"/>
      <c r="R209" s="43"/>
      <c r="S209" s="43"/>
      <c r="T209" s="74"/>
      <c r="U209" s="43"/>
      <c r="V209" s="119"/>
      <c r="W209" s="7"/>
      <c r="X209" s="7"/>
      <c r="Y209" s="7"/>
      <c r="Z209" s="7"/>
    </row>
    <row r="210" ht="14.25" customHeight="1">
      <c r="A210" s="7"/>
      <c r="B210" s="7" t="s">
        <v>1130</v>
      </c>
      <c r="C210" s="187"/>
      <c r="D210" s="189">
        <v>1.0</v>
      </c>
      <c r="E210" s="185" t="s">
        <v>1008</v>
      </c>
      <c r="F210" s="185"/>
      <c r="G210" s="185"/>
      <c r="H210" s="186"/>
      <c r="I210" s="187" t="s">
        <v>489</v>
      </c>
      <c r="J210" s="191">
        <v>47050.0</v>
      </c>
      <c r="K210" s="191">
        <v>26829.0</v>
      </c>
      <c r="L210" s="191">
        <v>50794.0</v>
      </c>
      <c r="M210" s="191">
        <v>41256.0</v>
      </c>
      <c r="N210" s="196">
        <v>45889.0</v>
      </c>
      <c r="O210" s="191"/>
      <c r="P210" s="191"/>
      <c r="Q210" s="191"/>
      <c r="R210" s="191"/>
      <c r="S210" s="191"/>
      <c r="T210" s="191"/>
      <c r="U210" s="191"/>
      <c r="V210" s="51">
        <f t="shared" ref="V210:V211" si="18">SUM(J210:U210)</f>
        <v>211818</v>
      </c>
      <c r="W210" s="7"/>
      <c r="X210" s="7"/>
      <c r="Y210" s="7"/>
      <c r="Z210" s="7"/>
    </row>
    <row r="211" ht="14.25" customHeight="1">
      <c r="A211" s="7"/>
      <c r="B211" s="7" t="s">
        <v>1131</v>
      </c>
      <c r="C211" s="187"/>
      <c r="D211" s="189">
        <v>2.0</v>
      </c>
      <c r="E211" s="185" t="s">
        <v>1132</v>
      </c>
      <c r="F211" s="185"/>
      <c r="G211" s="185"/>
      <c r="H211" s="186"/>
      <c r="I211" s="187" t="s">
        <v>489</v>
      </c>
      <c r="J211" s="198"/>
      <c r="K211" s="198"/>
      <c r="L211" s="198"/>
      <c r="M211" s="198"/>
      <c r="N211" s="205"/>
      <c r="O211" s="198"/>
      <c r="P211" s="198"/>
      <c r="Q211" s="198"/>
      <c r="R211" s="198"/>
      <c r="S211" s="198"/>
      <c r="T211" s="198"/>
      <c r="U211" s="198"/>
      <c r="V211" s="51">
        <f t="shared" si="18"/>
        <v>0</v>
      </c>
      <c r="W211" s="7"/>
      <c r="X211" s="7"/>
      <c r="Y211" s="7"/>
      <c r="Z211" s="7"/>
    </row>
    <row r="212" ht="14.25" customHeight="1">
      <c r="A212" s="7"/>
      <c r="C212" s="187"/>
      <c r="D212" s="189">
        <v>3.0</v>
      </c>
      <c r="E212" s="185" t="s">
        <v>1105</v>
      </c>
      <c r="F212" s="185"/>
      <c r="G212" s="185"/>
      <c r="H212" s="186"/>
      <c r="I212" s="187"/>
      <c r="J212" s="208"/>
      <c r="K212" s="43"/>
      <c r="L212" s="43"/>
      <c r="M212" s="43"/>
      <c r="N212" s="128"/>
      <c r="O212" s="43"/>
      <c r="P212" s="43"/>
      <c r="Q212" s="43"/>
      <c r="R212" s="43"/>
      <c r="S212" s="43"/>
      <c r="T212" s="43"/>
      <c r="U212" s="43"/>
      <c r="V212" s="119"/>
      <c r="W212" s="7"/>
      <c r="X212" s="7"/>
      <c r="Y212" s="7"/>
      <c r="Z212" s="7"/>
    </row>
    <row r="213" ht="14.25" customHeight="1">
      <c r="A213" s="7"/>
      <c r="C213" s="187"/>
      <c r="D213" s="200"/>
      <c r="E213" s="203">
        <v>1.0</v>
      </c>
      <c r="F213" s="185" t="s">
        <v>1106</v>
      </c>
      <c r="G213" s="185"/>
      <c r="H213" s="186"/>
      <c r="I213" s="187"/>
      <c r="J213" s="208"/>
      <c r="K213" s="43"/>
      <c r="L213" s="43"/>
      <c r="M213" s="43"/>
      <c r="N213" s="128"/>
      <c r="O213" s="43"/>
      <c r="P213" s="43"/>
      <c r="Q213" s="43"/>
      <c r="R213" s="43"/>
      <c r="S213" s="43"/>
      <c r="T213" s="43"/>
      <c r="U213" s="43"/>
      <c r="V213" s="119"/>
      <c r="W213" s="7"/>
      <c r="X213" s="7"/>
      <c r="Y213" s="7"/>
      <c r="Z213" s="7"/>
    </row>
    <row r="214" ht="14.25" customHeight="1">
      <c r="A214" s="7"/>
      <c r="B214" s="7" t="s">
        <v>1133</v>
      </c>
      <c r="C214" s="187"/>
      <c r="D214" s="200"/>
      <c r="E214" s="203"/>
      <c r="F214" s="203">
        <v>1.0</v>
      </c>
      <c r="G214" s="185" t="s">
        <v>1012</v>
      </c>
      <c r="H214" s="186"/>
      <c r="I214" s="187" t="s">
        <v>489</v>
      </c>
      <c r="J214" s="191">
        <v>47050.0</v>
      </c>
      <c r="K214" s="191">
        <v>26829.0</v>
      </c>
      <c r="L214" s="191">
        <v>50794.0</v>
      </c>
      <c r="M214" s="191">
        <v>41256.0</v>
      </c>
      <c r="N214" s="196">
        <v>45889.0</v>
      </c>
      <c r="O214" s="191"/>
      <c r="P214" s="191"/>
      <c r="Q214" s="191"/>
      <c r="R214" s="191"/>
      <c r="S214" s="191"/>
      <c r="T214" s="191"/>
      <c r="U214" s="191"/>
      <c r="V214" s="51">
        <f t="shared" ref="V214:V218" si="19">SUM(J214:U214)</f>
        <v>211818</v>
      </c>
      <c r="W214" s="7"/>
      <c r="X214" s="7"/>
      <c r="Y214" s="7"/>
      <c r="Z214" s="7"/>
    </row>
    <row r="215" ht="14.25" customHeight="1">
      <c r="A215" s="7"/>
      <c r="B215" s="7" t="s">
        <v>1134</v>
      </c>
      <c r="C215" s="187"/>
      <c r="D215" s="200"/>
      <c r="E215" s="203"/>
      <c r="F215" s="203">
        <v>2.0</v>
      </c>
      <c r="G215" s="185" t="s">
        <v>1109</v>
      </c>
      <c r="H215" s="186"/>
      <c r="I215" s="187" t="s">
        <v>489</v>
      </c>
      <c r="J215" s="198"/>
      <c r="K215" s="198"/>
      <c r="L215" s="198"/>
      <c r="M215" s="198"/>
      <c r="N215" s="205"/>
      <c r="O215" s="190"/>
      <c r="P215" s="198"/>
      <c r="Q215" s="198"/>
      <c r="R215" s="198"/>
      <c r="S215" s="198"/>
      <c r="T215" s="198"/>
      <c r="U215" s="198"/>
      <c r="V215" s="51">
        <f t="shared" si="19"/>
        <v>0</v>
      </c>
      <c r="W215" s="7"/>
      <c r="X215" s="7"/>
      <c r="Y215" s="7"/>
      <c r="Z215" s="7"/>
    </row>
    <row r="216" ht="14.25" customHeight="1">
      <c r="A216" s="7"/>
      <c r="B216" s="7" t="s">
        <v>1135</v>
      </c>
      <c r="C216" s="187"/>
      <c r="D216" s="200"/>
      <c r="E216" s="203"/>
      <c r="F216" s="203">
        <v>3.0</v>
      </c>
      <c r="G216" s="185" t="s">
        <v>1111</v>
      </c>
      <c r="H216" s="186"/>
      <c r="I216" s="187" t="s">
        <v>489</v>
      </c>
      <c r="J216" s="198"/>
      <c r="K216" s="198"/>
      <c r="L216" s="198"/>
      <c r="M216" s="198"/>
      <c r="N216" s="205"/>
      <c r="O216" s="190"/>
      <c r="P216" s="198"/>
      <c r="Q216" s="198"/>
      <c r="R216" s="198"/>
      <c r="S216" s="198"/>
      <c r="T216" s="198"/>
      <c r="U216" s="198"/>
      <c r="V216" s="51">
        <f t="shared" si="19"/>
        <v>0</v>
      </c>
      <c r="W216" s="7"/>
      <c r="X216" s="7"/>
      <c r="Y216" s="7"/>
      <c r="Z216" s="7"/>
    </row>
    <row r="217" ht="14.25" customHeight="1">
      <c r="A217" s="7"/>
      <c r="B217" s="7" t="s">
        <v>1136</v>
      </c>
      <c r="C217" s="187"/>
      <c r="D217" s="200"/>
      <c r="E217" s="203">
        <v>2.0</v>
      </c>
      <c r="F217" s="185" t="s">
        <v>1113</v>
      </c>
      <c r="G217" s="185"/>
      <c r="H217" s="186"/>
      <c r="I217" s="187" t="s">
        <v>489</v>
      </c>
      <c r="J217" s="191">
        <v>47050.0</v>
      </c>
      <c r="K217" s="191">
        <v>26829.0</v>
      </c>
      <c r="L217" s="191">
        <v>50794.0</v>
      </c>
      <c r="M217" s="191">
        <v>41256.0</v>
      </c>
      <c r="N217" s="196">
        <v>45889.0</v>
      </c>
      <c r="O217" s="190"/>
      <c r="P217" s="191"/>
      <c r="Q217" s="191"/>
      <c r="R217" s="191"/>
      <c r="S217" s="191"/>
      <c r="T217" s="191"/>
      <c r="U217" s="191"/>
      <c r="V217" s="51">
        <f t="shared" si="19"/>
        <v>211818</v>
      </c>
      <c r="W217" s="7"/>
      <c r="X217" s="7"/>
      <c r="Y217" s="7"/>
      <c r="Z217" s="7"/>
    </row>
    <row r="218" ht="14.25" customHeight="1">
      <c r="A218" s="7"/>
      <c r="B218" s="7" t="s">
        <v>1137</v>
      </c>
      <c r="C218" s="187"/>
      <c r="D218" s="200"/>
      <c r="E218" s="203">
        <v>3.0</v>
      </c>
      <c r="F218" s="185" t="s">
        <v>1138</v>
      </c>
      <c r="G218" s="185"/>
      <c r="H218" s="186"/>
      <c r="I218" s="187" t="s">
        <v>489</v>
      </c>
      <c r="J218" s="198"/>
      <c r="K218" s="198"/>
      <c r="L218" s="190"/>
      <c r="M218" s="190"/>
      <c r="N218" s="205"/>
      <c r="O218" s="190"/>
      <c r="P218" s="190"/>
      <c r="Q218" s="198"/>
      <c r="R218" s="198"/>
      <c r="S218" s="198"/>
      <c r="T218" s="190"/>
      <c r="U218" s="64"/>
      <c r="V218" s="51">
        <f t="shared" si="19"/>
        <v>0</v>
      </c>
      <c r="W218" s="7"/>
      <c r="X218" s="7"/>
      <c r="Y218" s="7"/>
      <c r="Z218" s="7"/>
    </row>
    <row r="219" ht="14.25" customHeight="1">
      <c r="A219" s="7"/>
      <c r="B219" s="11"/>
      <c r="C219" s="187"/>
      <c r="D219" s="200"/>
      <c r="E219" s="185"/>
      <c r="F219" s="185"/>
      <c r="G219" s="185"/>
      <c r="H219" s="186"/>
      <c r="I219" s="187"/>
      <c r="J219" s="188"/>
      <c r="K219" s="119"/>
      <c r="L219" s="119"/>
      <c r="M219" s="119"/>
      <c r="N219" s="119"/>
      <c r="O219" s="119"/>
      <c r="P219" s="119"/>
      <c r="Q219" s="43"/>
      <c r="R219" s="119"/>
      <c r="S219" s="74"/>
      <c r="T219" s="119"/>
      <c r="U219" s="74"/>
      <c r="V219" s="119"/>
      <c r="W219" s="7"/>
      <c r="X219" s="7"/>
      <c r="Y219" s="7"/>
      <c r="Z219" s="7"/>
    </row>
    <row r="220" ht="14.25" customHeight="1">
      <c r="A220" s="7"/>
      <c r="C220" s="183">
        <v>6.0</v>
      </c>
      <c r="D220" s="184" t="s">
        <v>1139</v>
      </c>
      <c r="E220" s="185"/>
      <c r="F220" s="185"/>
      <c r="G220" s="185"/>
      <c r="H220" s="186"/>
      <c r="I220" s="187"/>
      <c r="J220" s="188"/>
      <c r="K220" s="119"/>
      <c r="L220" s="119"/>
      <c r="M220" s="119"/>
      <c r="N220" s="119"/>
      <c r="O220" s="119"/>
      <c r="P220" s="119"/>
      <c r="Q220" s="43"/>
      <c r="R220" s="119"/>
      <c r="S220" s="74"/>
      <c r="T220" s="119"/>
      <c r="U220" s="74"/>
      <c r="V220" s="119"/>
      <c r="W220" s="7"/>
      <c r="X220" s="7"/>
      <c r="Y220" s="7"/>
      <c r="Z220" s="7"/>
    </row>
    <row r="221" ht="14.25" customHeight="1">
      <c r="A221" s="7"/>
      <c r="B221" s="7" t="s">
        <v>1140</v>
      </c>
      <c r="C221" s="187"/>
      <c r="D221" s="189">
        <v>1.0</v>
      </c>
      <c r="E221" s="185" t="s">
        <v>1008</v>
      </c>
      <c r="F221" s="185"/>
      <c r="G221" s="185"/>
      <c r="H221" s="186"/>
      <c r="I221" s="187" t="s">
        <v>497</v>
      </c>
      <c r="J221" s="190"/>
      <c r="K221" s="190"/>
      <c r="L221" s="190"/>
      <c r="M221" s="190"/>
      <c r="N221" s="190"/>
      <c r="O221" s="190"/>
      <c r="P221" s="190"/>
      <c r="Q221" s="198"/>
      <c r="R221" s="190"/>
      <c r="S221" s="64"/>
      <c r="T221" s="190"/>
      <c r="U221" s="64"/>
      <c r="V221" s="51">
        <f t="shared" ref="V221:V224" si="20">SUM(J221:U221)</f>
        <v>0</v>
      </c>
      <c r="W221" s="7"/>
      <c r="X221" s="7"/>
      <c r="Y221" s="7"/>
      <c r="Z221" s="7"/>
    </row>
    <row r="222" ht="14.25" customHeight="1">
      <c r="A222" s="7"/>
      <c r="B222" s="7" t="s">
        <v>1140</v>
      </c>
      <c r="C222" s="187"/>
      <c r="D222" s="189"/>
      <c r="E222" s="185"/>
      <c r="F222" s="185"/>
      <c r="G222" s="185"/>
      <c r="H222" s="186"/>
      <c r="I222" s="187" t="s">
        <v>489</v>
      </c>
      <c r="J222" s="190"/>
      <c r="K222" s="190"/>
      <c r="L222" s="190"/>
      <c r="M222" s="190"/>
      <c r="N222" s="190"/>
      <c r="O222" s="190"/>
      <c r="P222" s="190"/>
      <c r="Q222" s="198"/>
      <c r="R222" s="190"/>
      <c r="S222" s="64"/>
      <c r="T222" s="190"/>
      <c r="U222" s="64"/>
      <c r="V222" s="51">
        <f t="shared" si="20"/>
        <v>0</v>
      </c>
      <c r="W222" s="7"/>
      <c r="X222" s="7"/>
      <c r="Y222" s="7"/>
      <c r="Z222" s="7"/>
    </row>
    <row r="223" ht="14.25" customHeight="1">
      <c r="A223" s="7"/>
      <c r="B223" s="7" t="s">
        <v>1141</v>
      </c>
      <c r="C223" s="187"/>
      <c r="D223" s="189">
        <v>2.0</v>
      </c>
      <c r="E223" s="185" t="s">
        <v>1142</v>
      </c>
      <c r="F223" s="185"/>
      <c r="G223" s="185"/>
      <c r="H223" s="186"/>
      <c r="I223" s="187" t="s">
        <v>497</v>
      </c>
      <c r="J223" s="190"/>
      <c r="K223" s="190"/>
      <c r="L223" s="190"/>
      <c r="M223" s="190"/>
      <c r="N223" s="190"/>
      <c r="O223" s="190"/>
      <c r="P223" s="190"/>
      <c r="Q223" s="198"/>
      <c r="R223" s="190"/>
      <c r="S223" s="64"/>
      <c r="T223" s="190"/>
      <c r="U223" s="64"/>
      <c r="V223" s="51">
        <f t="shared" si="20"/>
        <v>0</v>
      </c>
      <c r="W223" s="7"/>
      <c r="X223" s="7"/>
      <c r="Y223" s="7"/>
      <c r="Z223" s="7"/>
    </row>
    <row r="224" ht="14.25" customHeight="1">
      <c r="A224" s="7"/>
      <c r="B224" s="7" t="s">
        <v>1141</v>
      </c>
      <c r="C224" s="187"/>
      <c r="D224" s="189"/>
      <c r="E224" s="185"/>
      <c r="F224" s="185"/>
      <c r="G224" s="185"/>
      <c r="H224" s="186"/>
      <c r="I224" s="187" t="s">
        <v>489</v>
      </c>
      <c r="J224" s="190"/>
      <c r="K224" s="190"/>
      <c r="L224" s="190"/>
      <c r="M224" s="190"/>
      <c r="N224" s="190"/>
      <c r="O224" s="190"/>
      <c r="P224" s="190"/>
      <c r="Q224" s="198"/>
      <c r="R224" s="190"/>
      <c r="S224" s="64"/>
      <c r="T224" s="190"/>
      <c r="U224" s="64"/>
      <c r="V224" s="51">
        <f t="shared" si="20"/>
        <v>0</v>
      </c>
      <c r="W224" s="7"/>
      <c r="X224" s="7"/>
      <c r="Y224" s="7"/>
      <c r="Z224" s="7"/>
    </row>
    <row r="225" ht="14.25" customHeight="1">
      <c r="A225" s="7"/>
      <c r="C225" s="187"/>
      <c r="D225" s="189">
        <v>3.0</v>
      </c>
      <c r="E225" s="185" t="s">
        <v>1105</v>
      </c>
      <c r="F225" s="185"/>
      <c r="G225" s="185"/>
      <c r="H225" s="186"/>
      <c r="I225" s="187"/>
      <c r="J225" s="188"/>
      <c r="K225" s="119"/>
      <c r="L225" s="119"/>
      <c r="M225" s="119"/>
      <c r="N225" s="119"/>
      <c r="O225" s="119"/>
      <c r="P225" s="119"/>
      <c r="Q225" s="119"/>
      <c r="R225" s="119"/>
      <c r="S225" s="74"/>
      <c r="T225" s="119"/>
      <c r="U225" s="74"/>
      <c r="V225" s="119"/>
      <c r="W225" s="7"/>
      <c r="X225" s="7"/>
      <c r="Y225" s="7"/>
      <c r="Z225" s="7"/>
    </row>
    <row r="226" ht="14.25" customHeight="1">
      <c r="A226" s="7"/>
      <c r="C226" s="187"/>
      <c r="D226" s="189"/>
      <c r="E226" s="203">
        <v>1.0</v>
      </c>
      <c r="F226" s="185" t="s">
        <v>1106</v>
      </c>
      <c r="G226" s="185"/>
      <c r="H226" s="186"/>
      <c r="I226" s="187"/>
      <c r="J226" s="188"/>
      <c r="K226" s="119"/>
      <c r="L226" s="119"/>
      <c r="M226" s="119"/>
      <c r="N226" s="119"/>
      <c r="O226" s="119"/>
      <c r="P226" s="119"/>
      <c r="Q226" s="119"/>
      <c r="R226" s="119"/>
      <c r="S226" s="74"/>
      <c r="T226" s="119"/>
      <c r="U226" s="74"/>
      <c r="V226" s="119"/>
      <c r="W226" s="7"/>
      <c r="X226" s="7"/>
      <c r="Y226" s="7"/>
      <c r="Z226" s="7"/>
    </row>
    <row r="227" ht="14.25" customHeight="1">
      <c r="A227" s="7"/>
      <c r="B227" s="7" t="s">
        <v>1143</v>
      </c>
      <c r="C227" s="187"/>
      <c r="D227" s="189"/>
      <c r="E227" s="185"/>
      <c r="F227" s="203">
        <v>1.0</v>
      </c>
      <c r="G227" s="185" t="s">
        <v>1012</v>
      </c>
      <c r="H227" s="186"/>
      <c r="I227" s="187" t="s">
        <v>497</v>
      </c>
      <c r="J227" s="190"/>
      <c r="K227" s="190"/>
      <c r="L227" s="190"/>
      <c r="M227" s="190"/>
      <c r="N227" s="190"/>
      <c r="O227" s="190"/>
      <c r="P227" s="190"/>
      <c r="Q227" s="190"/>
      <c r="R227" s="190"/>
      <c r="S227" s="64"/>
      <c r="T227" s="190"/>
      <c r="U227" s="64"/>
      <c r="V227" s="51">
        <f t="shared" ref="V227:V234" si="21">SUM(J227:U227)</f>
        <v>0</v>
      </c>
      <c r="W227" s="7"/>
      <c r="X227" s="7"/>
      <c r="Y227" s="7"/>
      <c r="Z227" s="7"/>
    </row>
    <row r="228" ht="14.25" customHeight="1">
      <c r="A228" s="7"/>
      <c r="B228" s="7" t="s">
        <v>1143</v>
      </c>
      <c r="C228" s="187"/>
      <c r="D228" s="189"/>
      <c r="E228" s="185"/>
      <c r="F228" s="203"/>
      <c r="G228" s="185"/>
      <c r="H228" s="186"/>
      <c r="I228" s="187" t="s">
        <v>489</v>
      </c>
      <c r="J228" s="190"/>
      <c r="K228" s="190"/>
      <c r="L228" s="190"/>
      <c r="M228" s="190"/>
      <c r="N228" s="190"/>
      <c r="O228" s="190"/>
      <c r="P228" s="190"/>
      <c r="Q228" s="190"/>
      <c r="R228" s="190"/>
      <c r="S228" s="64"/>
      <c r="T228" s="190"/>
      <c r="U228" s="64"/>
      <c r="V228" s="51">
        <f t="shared" si="21"/>
        <v>0</v>
      </c>
      <c r="W228" s="7"/>
      <c r="X228" s="7"/>
      <c r="Y228" s="7"/>
      <c r="Z228" s="7"/>
    </row>
    <row r="229" ht="14.25" customHeight="1">
      <c r="A229" s="7"/>
      <c r="B229" s="7" t="s">
        <v>1144</v>
      </c>
      <c r="C229" s="187"/>
      <c r="D229" s="189"/>
      <c r="E229" s="185"/>
      <c r="F229" s="203">
        <v>2.0</v>
      </c>
      <c r="G229" s="185" t="s">
        <v>1109</v>
      </c>
      <c r="H229" s="186"/>
      <c r="I229" s="187" t="s">
        <v>497</v>
      </c>
      <c r="J229" s="190"/>
      <c r="K229" s="190"/>
      <c r="L229" s="190"/>
      <c r="M229" s="190"/>
      <c r="N229" s="190"/>
      <c r="O229" s="190"/>
      <c r="P229" s="190"/>
      <c r="Q229" s="190"/>
      <c r="R229" s="190"/>
      <c r="S229" s="64"/>
      <c r="T229" s="190"/>
      <c r="U229" s="64"/>
      <c r="V229" s="51">
        <f t="shared" si="21"/>
        <v>0</v>
      </c>
      <c r="W229" s="7"/>
      <c r="X229" s="7"/>
      <c r="Y229" s="7"/>
      <c r="Z229" s="7"/>
    </row>
    <row r="230" ht="14.25" customHeight="1">
      <c r="A230" s="7"/>
      <c r="B230" s="7" t="s">
        <v>1144</v>
      </c>
      <c r="C230" s="187"/>
      <c r="D230" s="189"/>
      <c r="E230" s="185"/>
      <c r="F230" s="203"/>
      <c r="G230" s="185"/>
      <c r="H230" s="186"/>
      <c r="I230" s="187" t="s">
        <v>489</v>
      </c>
      <c r="J230" s="190"/>
      <c r="K230" s="190"/>
      <c r="L230" s="190"/>
      <c r="M230" s="190"/>
      <c r="N230" s="190"/>
      <c r="O230" s="190"/>
      <c r="P230" s="190"/>
      <c r="Q230" s="190"/>
      <c r="R230" s="190"/>
      <c r="S230" s="64"/>
      <c r="T230" s="190"/>
      <c r="U230" s="64"/>
      <c r="V230" s="51">
        <f t="shared" si="21"/>
        <v>0</v>
      </c>
      <c r="W230" s="7"/>
      <c r="X230" s="7"/>
      <c r="Y230" s="7"/>
      <c r="Z230" s="7"/>
    </row>
    <row r="231" ht="14.25" customHeight="1">
      <c r="A231" s="7"/>
      <c r="B231" s="7" t="s">
        <v>1145</v>
      </c>
      <c r="C231" s="187"/>
      <c r="D231" s="189"/>
      <c r="E231" s="185"/>
      <c r="F231" s="203">
        <v>3.0</v>
      </c>
      <c r="G231" s="185" t="s">
        <v>1111</v>
      </c>
      <c r="H231" s="186"/>
      <c r="I231" s="187" t="s">
        <v>497</v>
      </c>
      <c r="J231" s="190"/>
      <c r="K231" s="190"/>
      <c r="L231" s="190"/>
      <c r="M231" s="190"/>
      <c r="N231" s="190"/>
      <c r="O231" s="190"/>
      <c r="P231" s="190"/>
      <c r="Q231" s="190"/>
      <c r="R231" s="190"/>
      <c r="S231" s="64"/>
      <c r="T231" s="190"/>
      <c r="U231" s="64"/>
      <c r="V231" s="51">
        <f t="shared" si="21"/>
        <v>0</v>
      </c>
      <c r="W231" s="7"/>
      <c r="X231" s="7"/>
      <c r="Y231" s="7"/>
      <c r="Z231" s="7"/>
    </row>
    <row r="232" ht="14.25" customHeight="1">
      <c r="A232" s="7"/>
      <c r="B232" s="7" t="s">
        <v>1145</v>
      </c>
      <c r="C232" s="187"/>
      <c r="D232" s="189"/>
      <c r="E232" s="185"/>
      <c r="F232" s="185"/>
      <c r="G232" s="185"/>
      <c r="H232" s="186"/>
      <c r="I232" s="187" t="s">
        <v>489</v>
      </c>
      <c r="J232" s="190"/>
      <c r="K232" s="190"/>
      <c r="L232" s="190"/>
      <c r="M232" s="190"/>
      <c r="N232" s="190"/>
      <c r="O232" s="190"/>
      <c r="P232" s="190"/>
      <c r="Q232" s="190"/>
      <c r="R232" s="190"/>
      <c r="S232" s="64"/>
      <c r="T232" s="190"/>
      <c r="U232" s="64"/>
      <c r="V232" s="51">
        <f t="shared" si="21"/>
        <v>0</v>
      </c>
      <c r="W232" s="7"/>
      <c r="X232" s="7"/>
      <c r="Y232" s="7"/>
      <c r="Z232" s="7"/>
    </row>
    <row r="233" ht="14.25" customHeight="1">
      <c r="A233" s="7"/>
      <c r="B233" s="7" t="s">
        <v>1146</v>
      </c>
      <c r="C233" s="187"/>
      <c r="D233" s="189"/>
      <c r="E233" s="203">
        <v>2.0</v>
      </c>
      <c r="F233" s="185" t="s">
        <v>1113</v>
      </c>
      <c r="G233" s="185"/>
      <c r="H233" s="186"/>
      <c r="I233" s="187" t="s">
        <v>497</v>
      </c>
      <c r="J233" s="190"/>
      <c r="K233" s="190"/>
      <c r="L233" s="190"/>
      <c r="M233" s="190"/>
      <c r="N233" s="190"/>
      <c r="O233" s="190"/>
      <c r="P233" s="190"/>
      <c r="Q233" s="190"/>
      <c r="R233" s="190"/>
      <c r="S233" s="64"/>
      <c r="T233" s="190"/>
      <c r="U233" s="64"/>
      <c r="V233" s="51">
        <f t="shared" si="21"/>
        <v>0</v>
      </c>
      <c r="W233" s="7"/>
      <c r="X233" s="7"/>
      <c r="Y233" s="7"/>
      <c r="Z233" s="7"/>
    </row>
    <row r="234" ht="14.25" customHeight="1">
      <c r="A234" s="7"/>
      <c r="B234" s="7" t="s">
        <v>1146</v>
      </c>
      <c r="C234" s="187"/>
      <c r="D234" s="200"/>
      <c r="E234" s="185"/>
      <c r="F234" s="185"/>
      <c r="G234" s="185"/>
      <c r="H234" s="186"/>
      <c r="I234" s="187" t="s">
        <v>489</v>
      </c>
      <c r="J234" s="190"/>
      <c r="K234" s="190"/>
      <c r="L234" s="190"/>
      <c r="M234" s="190"/>
      <c r="N234" s="190"/>
      <c r="O234" s="190"/>
      <c r="P234" s="190"/>
      <c r="Q234" s="190"/>
      <c r="R234" s="190"/>
      <c r="S234" s="64"/>
      <c r="T234" s="190"/>
      <c r="U234" s="64"/>
      <c r="V234" s="51">
        <f t="shared" si="21"/>
        <v>0</v>
      </c>
      <c r="W234" s="7"/>
      <c r="X234" s="7"/>
      <c r="Y234" s="7"/>
      <c r="Z234" s="7"/>
    </row>
    <row r="235" ht="14.25" customHeight="1">
      <c r="A235" s="7"/>
      <c r="B235" s="11"/>
      <c r="C235" s="187"/>
      <c r="D235" s="200"/>
      <c r="E235" s="185"/>
      <c r="F235" s="185"/>
      <c r="G235" s="185"/>
      <c r="H235" s="186"/>
      <c r="I235" s="187"/>
      <c r="J235" s="188"/>
      <c r="K235" s="119"/>
      <c r="L235" s="119"/>
      <c r="M235" s="119"/>
      <c r="N235" s="119"/>
      <c r="O235" s="119"/>
      <c r="P235" s="119"/>
      <c r="Q235" s="119"/>
      <c r="R235" s="119"/>
      <c r="S235" s="74"/>
      <c r="T235" s="119"/>
      <c r="U235" s="74"/>
      <c r="V235" s="119"/>
      <c r="W235" s="7"/>
      <c r="X235" s="7"/>
      <c r="Y235" s="7"/>
      <c r="Z235" s="7"/>
    </row>
    <row r="236" ht="14.25" customHeight="1">
      <c r="A236" s="7"/>
      <c r="C236" s="183">
        <v>7.0</v>
      </c>
      <c r="D236" s="184" t="s">
        <v>1147</v>
      </c>
      <c r="E236" s="185"/>
      <c r="F236" s="185"/>
      <c r="G236" s="185"/>
      <c r="H236" s="186"/>
      <c r="I236" s="187"/>
      <c r="J236" s="188"/>
      <c r="K236" s="119"/>
      <c r="L236" s="119"/>
      <c r="M236" s="119"/>
      <c r="N236" s="119"/>
      <c r="O236" s="119"/>
      <c r="P236" s="119"/>
      <c r="Q236" s="119"/>
      <c r="R236" s="119"/>
      <c r="S236" s="74"/>
      <c r="T236" s="119"/>
      <c r="U236" s="74"/>
      <c r="V236" s="119"/>
      <c r="W236" s="7"/>
      <c r="X236" s="7"/>
      <c r="Y236" s="7"/>
      <c r="Z236" s="7"/>
    </row>
    <row r="237" ht="14.25" customHeight="1">
      <c r="A237" s="7"/>
      <c r="B237" s="7" t="s">
        <v>1148</v>
      </c>
      <c r="C237" s="187"/>
      <c r="D237" s="189">
        <v>1.0</v>
      </c>
      <c r="E237" s="185" t="s">
        <v>1008</v>
      </c>
      <c r="F237" s="185"/>
      <c r="G237" s="185"/>
      <c r="H237" s="186"/>
      <c r="I237" s="187" t="s">
        <v>398</v>
      </c>
      <c r="J237" s="190"/>
      <c r="K237" s="190"/>
      <c r="L237" s="190"/>
      <c r="M237" s="190"/>
      <c r="N237" s="190"/>
      <c r="O237" s="190"/>
      <c r="P237" s="190"/>
      <c r="Q237" s="190"/>
      <c r="R237" s="190"/>
      <c r="S237" s="64"/>
      <c r="T237" s="190"/>
      <c r="U237" s="64"/>
      <c r="V237" s="51">
        <f t="shared" ref="V237:V238" si="22">SUM(J237:U237)</f>
        <v>0</v>
      </c>
      <c r="W237" s="7"/>
      <c r="X237" s="7"/>
      <c r="Y237" s="7"/>
      <c r="Z237" s="7"/>
    </row>
    <row r="238" ht="14.25" customHeight="1">
      <c r="A238" s="7"/>
      <c r="B238" s="7" t="s">
        <v>1149</v>
      </c>
      <c r="C238" s="187"/>
      <c r="D238" s="189">
        <v>2.0</v>
      </c>
      <c r="E238" s="185" t="s">
        <v>1150</v>
      </c>
      <c r="F238" s="185"/>
      <c r="G238" s="185"/>
      <c r="H238" s="186"/>
      <c r="I238" s="187" t="s">
        <v>1085</v>
      </c>
      <c r="J238" s="190"/>
      <c r="K238" s="190"/>
      <c r="L238" s="190"/>
      <c r="M238" s="190"/>
      <c r="N238" s="190"/>
      <c r="O238" s="190"/>
      <c r="P238" s="190"/>
      <c r="Q238" s="190"/>
      <c r="R238" s="190"/>
      <c r="S238" s="64"/>
      <c r="T238" s="190"/>
      <c r="U238" s="64"/>
      <c r="V238" s="51">
        <f t="shared" si="22"/>
        <v>0</v>
      </c>
      <c r="W238" s="7"/>
      <c r="X238" s="7"/>
      <c r="Y238" s="7"/>
      <c r="Z238" s="7"/>
    </row>
    <row r="239" ht="14.25" customHeight="1">
      <c r="A239" s="7"/>
      <c r="C239" s="187"/>
      <c r="D239" s="189">
        <v>3.0</v>
      </c>
      <c r="E239" s="185" t="s">
        <v>1105</v>
      </c>
      <c r="F239" s="185"/>
      <c r="G239" s="185"/>
      <c r="H239" s="186"/>
      <c r="I239" s="187"/>
      <c r="J239" s="188"/>
      <c r="K239" s="119"/>
      <c r="L239" s="119"/>
      <c r="M239" s="119"/>
      <c r="N239" s="119"/>
      <c r="O239" s="119"/>
      <c r="P239" s="119"/>
      <c r="Q239" s="119"/>
      <c r="R239" s="119"/>
      <c r="S239" s="74"/>
      <c r="T239" s="119"/>
      <c r="U239" s="74"/>
      <c r="V239" s="119"/>
      <c r="W239" s="7"/>
      <c r="X239" s="7"/>
      <c r="Y239" s="7"/>
      <c r="Z239" s="7"/>
    </row>
    <row r="240" ht="14.25" customHeight="1">
      <c r="A240" s="7"/>
      <c r="C240" s="187"/>
      <c r="D240" s="200"/>
      <c r="E240" s="203">
        <v>1.0</v>
      </c>
      <c r="F240" s="185" t="s">
        <v>1106</v>
      </c>
      <c r="G240" s="185"/>
      <c r="H240" s="186"/>
      <c r="I240" s="187"/>
      <c r="J240" s="188"/>
      <c r="K240" s="119"/>
      <c r="L240" s="119"/>
      <c r="M240" s="119"/>
      <c r="N240" s="119"/>
      <c r="O240" s="119"/>
      <c r="P240" s="119"/>
      <c r="Q240" s="119"/>
      <c r="R240" s="119"/>
      <c r="S240" s="74"/>
      <c r="T240" s="119"/>
      <c r="U240" s="74"/>
      <c r="V240" s="119"/>
      <c r="W240" s="7"/>
      <c r="X240" s="7"/>
      <c r="Y240" s="7"/>
      <c r="Z240" s="7"/>
    </row>
    <row r="241" ht="14.25" customHeight="1">
      <c r="A241" s="7"/>
      <c r="B241" s="7" t="s">
        <v>1151</v>
      </c>
      <c r="C241" s="187"/>
      <c r="D241" s="200"/>
      <c r="E241" s="185"/>
      <c r="F241" s="203">
        <v>1.0</v>
      </c>
      <c r="G241" s="185" t="s">
        <v>1012</v>
      </c>
      <c r="H241" s="186"/>
      <c r="I241" s="187" t="s">
        <v>398</v>
      </c>
      <c r="J241" s="190"/>
      <c r="K241" s="190"/>
      <c r="L241" s="190"/>
      <c r="M241" s="190"/>
      <c r="N241" s="190"/>
      <c r="O241" s="190"/>
      <c r="P241" s="190"/>
      <c r="Q241" s="190"/>
      <c r="R241" s="190"/>
      <c r="S241" s="64"/>
      <c r="T241" s="190"/>
      <c r="U241" s="64"/>
      <c r="V241" s="51">
        <f t="shared" ref="V241:V244" si="23">SUM(J241:U241)</f>
        <v>0</v>
      </c>
      <c r="W241" s="7"/>
      <c r="X241" s="7"/>
      <c r="Y241" s="7"/>
      <c r="Z241" s="7"/>
    </row>
    <row r="242" ht="14.25" customHeight="1">
      <c r="A242" s="7"/>
      <c r="B242" s="7" t="s">
        <v>1152</v>
      </c>
      <c r="C242" s="187"/>
      <c r="D242" s="200"/>
      <c r="E242" s="185"/>
      <c r="F242" s="203">
        <v>2.0</v>
      </c>
      <c r="G242" s="185" t="s">
        <v>1109</v>
      </c>
      <c r="H242" s="186"/>
      <c r="I242" s="187" t="s">
        <v>398</v>
      </c>
      <c r="J242" s="190"/>
      <c r="K242" s="190"/>
      <c r="L242" s="190"/>
      <c r="M242" s="190"/>
      <c r="N242" s="190"/>
      <c r="O242" s="190"/>
      <c r="P242" s="190"/>
      <c r="Q242" s="190"/>
      <c r="R242" s="190"/>
      <c r="S242" s="64"/>
      <c r="T242" s="190"/>
      <c r="U242" s="64"/>
      <c r="V242" s="51">
        <f t="shared" si="23"/>
        <v>0</v>
      </c>
      <c r="W242" s="7"/>
      <c r="X242" s="7"/>
      <c r="Y242" s="7"/>
      <c r="Z242" s="7"/>
    </row>
    <row r="243" ht="14.25" customHeight="1">
      <c r="A243" s="7"/>
      <c r="B243" s="7" t="s">
        <v>1153</v>
      </c>
      <c r="C243" s="187"/>
      <c r="D243" s="200"/>
      <c r="E243" s="185"/>
      <c r="F243" s="203">
        <v>3.0</v>
      </c>
      <c r="G243" s="185" t="s">
        <v>1111</v>
      </c>
      <c r="H243" s="186"/>
      <c r="I243" s="187" t="s">
        <v>398</v>
      </c>
      <c r="J243" s="190"/>
      <c r="K243" s="190"/>
      <c r="L243" s="190"/>
      <c r="M243" s="190"/>
      <c r="N243" s="190"/>
      <c r="O243" s="190"/>
      <c r="P243" s="190"/>
      <c r="Q243" s="190"/>
      <c r="R243" s="190"/>
      <c r="S243" s="64"/>
      <c r="T243" s="190"/>
      <c r="U243" s="64"/>
      <c r="V243" s="51">
        <f t="shared" si="23"/>
        <v>0</v>
      </c>
      <c r="W243" s="7"/>
      <c r="X243" s="7"/>
      <c r="Y243" s="7"/>
      <c r="Z243" s="7"/>
    </row>
    <row r="244" ht="14.25" customHeight="1">
      <c r="A244" s="7"/>
      <c r="B244" s="7" t="s">
        <v>1154</v>
      </c>
      <c r="C244" s="187"/>
      <c r="D244" s="200"/>
      <c r="E244" s="203">
        <v>2.0</v>
      </c>
      <c r="F244" s="185" t="s">
        <v>1113</v>
      </c>
      <c r="G244" s="185"/>
      <c r="H244" s="186"/>
      <c r="I244" s="187" t="s">
        <v>398</v>
      </c>
      <c r="J244" s="190"/>
      <c r="K244" s="190"/>
      <c r="L244" s="190"/>
      <c r="M244" s="190"/>
      <c r="N244" s="190"/>
      <c r="O244" s="190"/>
      <c r="P244" s="190"/>
      <c r="Q244" s="190"/>
      <c r="R244" s="190"/>
      <c r="S244" s="64"/>
      <c r="T244" s="190"/>
      <c r="U244" s="64"/>
      <c r="V244" s="51">
        <f t="shared" si="23"/>
        <v>0</v>
      </c>
      <c r="W244" s="7"/>
      <c r="X244" s="7"/>
      <c r="Y244" s="7"/>
      <c r="Z244" s="7"/>
    </row>
    <row r="245" ht="14.25" customHeight="1">
      <c r="A245" s="7"/>
      <c r="B245" s="11"/>
      <c r="C245" s="187"/>
      <c r="D245" s="200"/>
      <c r="E245" s="185"/>
      <c r="F245" s="185"/>
      <c r="G245" s="185"/>
      <c r="H245" s="186"/>
      <c r="I245" s="187"/>
      <c r="J245" s="188"/>
      <c r="K245" s="119"/>
      <c r="L245" s="119"/>
      <c r="M245" s="119"/>
      <c r="N245" s="119"/>
      <c r="O245" s="119"/>
      <c r="P245" s="119"/>
      <c r="Q245" s="119"/>
      <c r="R245" s="119"/>
      <c r="S245" s="74"/>
      <c r="T245" s="119"/>
      <c r="U245" s="74"/>
      <c r="V245" s="119"/>
      <c r="W245" s="7"/>
      <c r="X245" s="7"/>
      <c r="Y245" s="7"/>
      <c r="Z245" s="7"/>
    </row>
    <row r="246" ht="14.25" customHeight="1">
      <c r="A246" s="7"/>
      <c r="C246" s="183">
        <v>8.0</v>
      </c>
      <c r="D246" s="210" t="s">
        <v>1155</v>
      </c>
      <c r="E246" s="185"/>
      <c r="F246" s="185"/>
      <c r="G246" s="185"/>
      <c r="H246" s="186"/>
      <c r="I246" s="187"/>
      <c r="J246" s="188"/>
      <c r="K246" s="119"/>
      <c r="L246" s="119"/>
      <c r="M246" s="119"/>
      <c r="N246" s="119"/>
      <c r="O246" s="119"/>
      <c r="P246" s="119"/>
      <c r="Q246" s="119"/>
      <c r="R246" s="119"/>
      <c r="S246" s="74"/>
      <c r="T246" s="119"/>
      <c r="U246" s="74"/>
      <c r="V246" s="119"/>
      <c r="W246" s="7"/>
      <c r="X246" s="7"/>
      <c r="Y246" s="7"/>
      <c r="Z246" s="7"/>
    </row>
    <row r="247" ht="14.25" customHeight="1">
      <c r="A247" s="7"/>
      <c r="B247" s="7" t="s">
        <v>1156</v>
      </c>
      <c r="C247" s="187"/>
      <c r="D247" s="189">
        <v>1.0</v>
      </c>
      <c r="E247" s="185" t="s">
        <v>1008</v>
      </c>
      <c r="F247" s="185"/>
      <c r="G247" s="185"/>
      <c r="H247" s="186"/>
      <c r="I247" s="187" t="s">
        <v>489</v>
      </c>
      <c r="J247" s="191">
        <v>1025.0</v>
      </c>
      <c r="K247" s="191">
        <v>4383.0</v>
      </c>
      <c r="L247" s="191">
        <v>3751.0</v>
      </c>
      <c r="M247" s="190">
        <v>3803.0</v>
      </c>
      <c r="N247" s="193">
        <v>2145.0</v>
      </c>
      <c r="O247" s="190"/>
      <c r="P247" s="190"/>
      <c r="Q247" s="190"/>
      <c r="R247" s="190"/>
      <c r="S247" s="64"/>
      <c r="T247" s="190"/>
      <c r="U247" s="64"/>
      <c r="V247" s="51">
        <f t="shared" ref="V247:V248" si="24">SUM(J247:U247)</f>
        <v>15107</v>
      </c>
      <c r="W247" s="7"/>
      <c r="X247" s="7"/>
      <c r="Y247" s="7"/>
      <c r="Z247" s="7"/>
    </row>
    <row r="248" ht="14.25" customHeight="1">
      <c r="A248" s="7"/>
      <c r="B248" s="7" t="s">
        <v>1157</v>
      </c>
      <c r="C248" s="187"/>
      <c r="D248" s="189">
        <v>2.0</v>
      </c>
      <c r="E248" s="185" t="s">
        <v>1150</v>
      </c>
      <c r="F248" s="185"/>
      <c r="G248" s="185"/>
      <c r="H248" s="186"/>
      <c r="I248" s="187" t="s">
        <v>490</v>
      </c>
      <c r="J248" s="190"/>
      <c r="K248" s="190"/>
      <c r="L248" s="190"/>
      <c r="M248" s="190"/>
      <c r="N248" s="190"/>
      <c r="O248" s="190"/>
      <c r="P248" s="190"/>
      <c r="Q248" s="190"/>
      <c r="R248" s="190"/>
      <c r="S248" s="64"/>
      <c r="T248" s="190"/>
      <c r="U248" s="64"/>
      <c r="V248" s="51">
        <f t="shared" si="24"/>
        <v>0</v>
      </c>
      <c r="W248" s="7"/>
      <c r="X248" s="7"/>
      <c r="Y248" s="7"/>
      <c r="Z248" s="7"/>
    </row>
    <row r="249" ht="14.25" customHeight="1">
      <c r="A249" s="7"/>
      <c r="C249" s="187"/>
      <c r="D249" s="189">
        <v>3.0</v>
      </c>
      <c r="E249" s="185" t="s">
        <v>1105</v>
      </c>
      <c r="F249" s="185"/>
      <c r="G249" s="185"/>
      <c r="H249" s="186"/>
      <c r="I249" s="187"/>
      <c r="J249" s="188"/>
      <c r="K249" s="119"/>
      <c r="L249" s="119"/>
      <c r="M249" s="119"/>
      <c r="N249" s="119"/>
      <c r="O249" s="119"/>
      <c r="P249" s="119"/>
      <c r="Q249" s="119"/>
      <c r="R249" s="119"/>
      <c r="S249" s="74"/>
      <c r="T249" s="119"/>
      <c r="U249" s="74"/>
      <c r="V249" s="119"/>
      <c r="W249" s="7"/>
      <c r="X249" s="7"/>
      <c r="Y249" s="7"/>
      <c r="Z249" s="7"/>
    </row>
    <row r="250" ht="14.25" customHeight="1">
      <c r="A250" s="7"/>
      <c r="C250" s="187"/>
      <c r="D250" s="200"/>
      <c r="E250" s="203">
        <v>1.0</v>
      </c>
      <c r="F250" s="185" t="s">
        <v>1106</v>
      </c>
      <c r="G250" s="185"/>
      <c r="H250" s="186"/>
      <c r="I250" s="187"/>
      <c r="J250" s="188"/>
      <c r="K250" s="119"/>
      <c r="L250" s="119"/>
      <c r="M250" s="119"/>
      <c r="N250" s="119"/>
      <c r="O250" s="119"/>
      <c r="P250" s="119"/>
      <c r="Q250" s="119"/>
      <c r="R250" s="119"/>
      <c r="S250" s="74"/>
      <c r="T250" s="119"/>
      <c r="U250" s="74"/>
      <c r="V250" s="119"/>
      <c r="W250" s="7"/>
      <c r="X250" s="7"/>
      <c r="Y250" s="7"/>
      <c r="Z250" s="7"/>
    </row>
    <row r="251" ht="14.25" customHeight="1">
      <c r="A251" s="7"/>
      <c r="B251" s="7" t="s">
        <v>1158</v>
      </c>
      <c r="C251" s="187"/>
      <c r="D251" s="200"/>
      <c r="E251" s="185"/>
      <c r="F251" s="203">
        <v>1.0</v>
      </c>
      <c r="G251" s="185" t="s">
        <v>1012</v>
      </c>
      <c r="H251" s="186"/>
      <c r="I251" s="187" t="s">
        <v>489</v>
      </c>
      <c r="J251" s="190"/>
      <c r="K251" s="190"/>
      <c r="L251" s="190"/>
      <c r="M251" s="190"/>
      <c r="N251" s="190"/>
      <c r="O251" s="190"/>
      <c r="P251" s="190"/>
      <c r="Q251" s="190"/>
      <c r="R251" s="190"/>
      <c r="S251" s="64"/>
      <c r="T251" s="190"/>
      <c r="U251" s="64"/>
      <c r="V251" s="51">
        <f t="shared" ref="V251:V254" si="25">SUM(J251:U251)</f>
        <v>0</v>
      </c>
      <c r="W251" s="7"/>
      <c r="X251" s="7"/>
      <c r="Y251" s="7"/>
      <c r="Z251" s="7"/>
    </row>
    <row r="252" ht="14.25" customHeight="1">
      <c r="A252" s="7"/>
      <c r="B252" s="7" t="s">
        <v>1159</v>
      </c>
      <c r="C252" s="187"/>
      <c r="D252" s="200"/>
      <c r="E252" s="185"/>
      <c r="F252" s="203">
        <v>2.0</v>
      </c>
      <c r="G252" s="185" t="s">
        <v>1109</v>
      </c>
      <c r="H252" s="186"/>
      <c r="I252" s="187" t="s">
        <v>489</v>
      </c>
      <c r="J252" s="190"/>
      <c r="K252" s="190"/>
      <c r="L252" s="190"/>
      <c r="M252" s="190"/>
      <c r="N252" s="190"/>
      <c r="O252" s="190"/>
      <c r="P252" s="190"/>
      <c r="Q252" s="190"/>
      <c r="R252" s="190"/>
      <c r="S252" s="64"/>
      <c r="T252" s="190"/>
      <c r="U252" s="64"/>
      <c r="V252" s="51">
        <f t="shared" si="25"/>
        <v>0</v>
      </c>
      <c r="W252" s="7"/>
      <c r="X252" s="7"/>
      <c r="Y252" s="7"/>
      <c r="Z252" s="7"/>
    </row>
    <row r="253" ht="14.25" customHeight="1">
      <c r="A253" s="7"/>
      <c r="B253" s="7" t="s">
        <v>1160</v>
      </c>
      <c r="C253" s="187"/>
      <c r="D253" s="200"/>
      <c r="E253" s="185"/>
      <c r="F253" s="203">
        <v>3.0</v>
      </c>
      <c r="G253" s="185" t="s">
        <v>1111</v>
      </c>
      <c r="H253" s="186"/>
      <c r="I253" s="187" t="s">
        <v>489</v>
      </c>
      <c r="J253" s="190"/>
      <c r="K253" s="190"/>
      <c r="L253" s="190"/>
      <c r="M253" s="190"/>
      <c r="N253" s="190"/>
      <c r="O253" s="190"/>
      <c r="P253" s="190"/>
      <c r="Q253" s="190"/>
      <c r="R253" s="190"/>
      <c r="S253" s="64"/>
      <c r="T253" s="190"/>
      <c r="U253" s="64"/>
      <c r="V253" s="51">
        <f t="shared" si="25"/>
        <v>0</v>
      </c>
      <c r="W253" s="7"/>
      <c r="X253" s="7"/>
      <c r="Y253" s="7"/>
      <c r="Z253" s="7"/>
    </row>
    <row r="254" ht="14.25" customHeight="1">
      <c r="A254" s="7"/>
      <c r="B254" s="7" t="s">
        <v>1161</v>
      </c>
      <c r="C254" s="187"/>
      <c r="D254" s="200"/>
      <c r="E254" s="203">
        <v>2.0</v>
      </c>
      <c r="F254" s="185" t="s">
        <v>1113</v>
      </c>
      <c r="G254" s="185"/>
      <c r="H254" s="186"/>
      <c r="I254" s="187" t="s">
        <v>489</v>
      </c>
      <c r="J254" s="190"/>
      <c r="K254" s="190"/>
      <c r="L254" s="190"/>
      <c r="M254" s="190"/>
      <c r="N254" s="190"/>
      <c r="O254" s="190"/>
      <c r="P254" s="190"/>
      <c r="Q254" s="190"/>
      <c r="R254" s="190"/>
      <c r="S254" s="64"/>
      <c r="T254" s="190"/>
      <c r="U254" s="64"/>
      <c r="V254" s="51">
        <f t="shared" si="25"/>
        <v>0</v>
      </c>
      <c r="W254" s="7"/>
      <c r="X254" s="7"/>
      <c r="Y254" s="7"/>
      <c r="Z254" s="7"/>
    </row>
    <row r="255" ht="14.25" customHeight="1">
      <c r="A255" s="7"/>
      <c r="B255" s="11"/>
      <c r="C255" s="187"/>
      <c r="D255" s="200"/>
      <c r="E255" s="185"/>
      <c r="F255" s="185"/>
      <c r="G255" s="185"/>
      <c r="H255" s="186"/>
      <c r="I255" s="187"/>
      <c r="J255" s="188"/>
      <c r="K255" s="119"/>
      <c r="L255" s="119"/>
      <c r="M255" s="119"/>
      <c r="N255" s="119"/>
      <c r="O255" s="119"/>
      <c r="P255" s="119"/>
      <c r="Q255" s="119"/>
      <c r="R255" s="119"/>
      <c r="S255" s="74"/>
      <c r="T255" s="119"/>
      <c r="U255" s="74"/>
      <c r="V255" s="119"/>
      <c r="W255" s="7"/>
      <c r="X255" s="7"/>
      <c r="Y255" s="7"/>
      <c r="Z255" s="7"/>
    </row>
    <row r="256" ht="14.25" customHeight="1">
      <c r="A256" s="7"/>
      <c r="C256" s="183">
        <v>9.0</v>
      </c>
      <c r="D256" s="184" t="s">
        <v>1005</v>
      </c>
      <c r="E256" s="185"/>
      <c r="F256" s="185"/>
      <c r="G256" s="185"/>
      <c r="H256" s="186"/>
      <c r="I256" s="187"/>
      <c r="J256" s="188"/>
      <c r="K256" s="119"/>
      <c r="L256" s="119"/>
      <c r="M256" s="119"/>
      <c r="N256" s="119"/>
      <c r="O256" s="119"/>
      <c r="P256" s="119"/>
      <c r="Q256" s="119"/>
      <c r="R256" s="119"/>
      <c r="S256" s="74"/>
      <c r="T256" s="119"/>
      <c r="U256" s="74"/>
      <c r="V256" s="119"/>
      <c r="W256" s="7"/>
      <c r="X256" s="7"/>
      <c r="Y256" s="7"/>
      <c r="Z256" s="7"/>
    </row>
    <row r="257" ht="14.25" customHeight="1">
      <c r="A257" s="7"/>
      <c r="B257" s="7" t="s">
        <v>1162</v>
      </c>
      <c r="C257" s="187"/>
      <c r="D257" s="189">
        <v>1.0</v>
      </c>
      <c r="E257" s="185" t="s">
        <v>1037</v>
      </c>
      <c r="F257" s="185"/>
      <c r="G257" s="185"/>
      <c r="H257" s="186"/>
      <c r="I257" s="187" t="s">
        <v>381</v>
      </c>
      <c r="J257" s="191"/>
      <c r="K257" s="190"/>
      <c r="L257" s="190"/>
      <c r="M257" s="190"/>
      <c r="N257" s="190"/>
      <c r="O257" s="190"/>
      <c r="P257" s="190"/>
      <c r="Q257" s="190"/>
      <c r="R257" s="190"/>
      <c r="S257" s="64"/>
      <c r="T257" s="190"/>
      <c r="U257" s="64"/>
      <c r="V257" s="51">
        <f t="shared" ref="V257:V272" si="26">SUM(J257:U257)</f>
        <v>0</v>
      </c>
      <c r="W257" s="7"/>
      <c r="X257" s="7"/>
      <c r="Y257" s="7"/>
      <c r="Z257" s="7"/>
    </row>
    <row r="258" ht="14.25" customHeight="1">
      <c r="A258" s="7"/>
      <c r="B258" s="7" t="s">
        <v>1162</v>
      </c>
      <c r="C258" s="187"/>
      <c r="D258" s="189"/>
      <c r="E258" s="185"/>
      <c r="F258" s="185"/>
      <c r="G258" s="185"/>
      <c r="H258" s="186"/>
      <c r="I258" s="187" t="s">
        <v>489</v>
      </c>
      <c r="J258" s="198"/>
      <c r="K258" s="190"/>
      <c r="L258" s="190"/>
      <c r="M258" s="190"/>
      <c r="N258" s="190"/>
      <c r="O258" s="190"/>
      <c r="P258" s="190"/>
      <c r="Q258" s="190"/>
      <c r="R258" s="190"/>
      <c r="S258" s="64"/>
      <c r="T258" s="190"/>
      <c r="U258" s="64"/>
      <c r="V258" s="51">
        <f t="shared" si="26"/>
        <v>0</v>
      </c>
      <c r="W258" s="7"/>
      <c r="X258" s="7"/>
      <c r="Y258" s="7"/>
      <c r="Z258" s="7"/>
    </row>
    <row r="259" ht="14.25" customHeight="1">
      <c r="A259" s="7"/>
      <c r="B259" s="7" t="s">
        <v>1162</v>
      </c>
      <c r="C259" s="187"/>
      <c r="D259" s="189"/>
      <c r="E259" s="185"/>
      <c r="F259" s="185"/>
      <c r="G259" s="185"/>
      <c r="H259" s="186"/>
      <c r="I259" s="187" t="s">
        <v>490</v>
      </c>
      <c r="J259" s="198"/>
      <c r="K259" s="190"/>
      <c r="L259" s="190"/>
      <c r="M259" s="190"/>
      <c r="N259" s="190"/>
      <c r="O259" s="190"/>
      <c r="P259" s="190"/>
      <c r="Q259" s="190"/>
      <c r="R259" s="190"/>
      <c r="S259" s="64"/>
      <c r="T259" s="190"/>
      <c r="U259" s="64"/>
      <c r="V259" s="51">
        <f t="shared" si="26"/>
        <v>0</v>
      </c>
      <c r="W259" s="7"/>
      <c r="X259" s="7"/>
      <c r="Y259" s="7"/>
      <c r="Z259" s="7"/>
    </row>
    <row r="260" ht="14.25" customHeight="1">
      <c r="A260" s="7"/>
      <c r="B260" s="7" t="s">
        <v>1163</v>
      </c>
      <c r="C260" s="187"/>
      <c r="D260" s="189">
        <v>2.0</v>
      </c>
      <c r="E260" s="185" t="s">
        <v>1164</v>
      </c>
      <c r="F260" s="185"/>
      <c r="G260" s="185"/>
      <c r="H260" s="186"/>
      <c r="I260" s="187" t="s">
        <v>381</v>
      </c>
      <c r="J260" s="198"/>
      <c r="K260" s="190"/>
      <c r="L260" s="190"/>
      <c r="M260" s="190"/>
      <c r="N260" s="190"/>
      <c r="O260" s="190"/>
      <c r="P260" s="190"/>
      <c r="Q260" s="190"/>
      <c r="R260" s="190"/>
      <c r="S260" s="64"/>
      <c r="T260" s="190"/>
      <c r="U260" s="64"/>
      <c r="V260" s="51">
        <f t="shared" si="26"/>
        <v>0</v>
      </c>
      <c r="W260" s="7"/>
      <c r="X260" s="7"/>
      <c r="Y260" s="7"/>
      <c r="Z260" s="7"/>
    </row>
    <row r="261" ht="14.25" customHeight="1">
      <c r="A261" s="7"/>
      <c r="B261" s="7" t="s">
        <v>1165</v>
      </c>
      <c r="C261" s="187"/>
      <c r="D261" s="189">
        <v>3.0</v>
      </c>
      <c r="E261" s="185" t="s">
        <v>1166</v>
      </c>
      <c r="F261" s="185"/>
      <c r="G261" s="185"/>
      <c r="H261" s="186"/>
      <c r="I261" s="187" t="s">
        <v>489</v>
      </c>
      <c r="J261" s="198"/>
      <c r="K261" s="190"/>
      <c r="L261" s="190"/>
      <c r="M261" s="190"/>
      <c r="N261" s="190"/>
      <c r="O261" s="190"/>
      <c r="P261" s="190"/>
      <c r="Q261" s="190"/>
      <c r="R261" s="190"/>
      <c r="S261" s="64"/>
      <c r="T261" s="190"/>
      <c r="U261" s="64"/>
      <c r="V261" s="51">
        <f t="shared" si="26"/>
        <v>0</v>
      </c>
      <c r="W261" s="7"/>
      <c r="X261" s="7"/>
      <c r="Y261" s="7"/>
      <c r="Z261" s="7"/>
    </row>
    <row r="262" ht="14.25" customHeight="1">
      <c r="A262" s="7"/>
      <c r="B262" s="7" t="s">
        <v>1165</v>
      </c>
      <c r="C262" s="187"/>
      <c r="D262" s="189"/>
      <c r="E262" s="185"/>
      <c r="F262" s="185"/>
      <c r="G262" s="185"/>
      <c r="H262" s="186"/>
      <c r="I262" s="187" t="s">
        <v>490</v>
      </c>
      <c r="J262" s="198"/>
      <c r="K262" s="190"/>
      <c r="L262" s="190"/>
      <c r="M262" s="190"/>
      <c r="N262" s="190"/>
      <c r="O262" s="190"/>
      <c r="P262" s="190"/>
      <c r="Q262" s="190"/>
      <c r="R262" s="190"/>
      <c r="S262" s="64"/>
      <c r="T262" s="190"/>
      <c r="U262" s="64"/>
      <c r="V262" s="51">
        <f t="shared" si="26"/>
        <v>0</v>
      </c>
      <c r="W262" s="7"/>
      <c r="X262" s="7"/>
      <c r="Y262" s="7"/>
      <c r="Z262" s="7"/>
    </row>
    <row r="263" ht="14.25" customHeight="1">
      <c r="A263" s="7"/>
      <c r="B263" s="7" t="s">
        <v>1167</v>
      </c>
      <c r="C263" s="187"/>
      <c r="D263" s="189">
        <v>4.0</v>
      </c>
      <c r="E263" s="185" t="s">
        <v>1168</v>
      </c>
      <c r="F263" s="185"/>
      <c r="G263" s="185"/>
      <c r="H263" s="186"/>
      <c r="I263" s="187" t="s">
        <v>1169</v>
      </c>
      <c r="J263" s="198"/>
      <c r="K263" s="190"/>
      <c r="L263" s="190"/>
      <c r="M263" s="190"/>
      <c r="N263" s="190"/>
      <c r="O263" s="190"/>
      <c r="P263" s="190"/>
      <c r="Q263" s="190"/>
      <c r="R263" s="190"/>
      <c r="S263" s="64"/>
      <c r="T263" s="190"/>
      <c r="U263" s="64"/>
      <c r="V263" s="51">
        <f t="shared" si="26"/>
        <v>0</v>
      </c>
      <c r="W263" s="7"/>
      <c r="X263" s="7"/>
      <c r="Y263" s="7"/>
      <c r="Z263" s="7"/>
    </row>
    <row r="264" ht="14.25" customHeight="1">
      <c r="A264" s="7"/>
      <c r="B264" s="7" t="s">
        <v>1170</v>
      </c>
      <c r="C264" s="187"/>
      <c r="D264" s="189">
        <v>5.0</v>
      </c>
      <c r="E264" s="185" t="s">
        <v>1171</v>
      </c>
      <c r="F264" s="185"/>
      <c r="G264" s="185"/>
      <c r="H264" s="186"/>
      <c r="I264" s="187" t="s">
        <v>1169</v>
      </c>
      <c r="J264" s="211"/>
      <c r="K264" s="190"/>
      <c r="L264" s="190"/>
      <c r="M264" s="190"/>
      <c r="N264" s="190"/>
      <c r="O264" s="190"/>
      <c r="P264" s="190"/>
      <c r="Q264" s="190"/>
      <c r="R264" s="190"/>
      <c r="S264" s="64"/>
      <c r="T264" s="190"/>
      <c r="U264" s="64"/>
      <c r="V264" s="51">
        <f t="shared" si="26"/>
        <v>0</v>
      </c>
      <c r="W264" s="7"/>
      <c r="X264" s="7"/>
      <c r="Y264" s="7"/>
      <c r="Z264" s="7"/>
    </row>
    <row r="265" ht="14.25" customHeight="1">
      <c r="A265" s="7"/>
      <c r="B265" s="7" t="s">
        <v>1172</v>
      </c>
      <c r="C265" s="187"/>
      <c r="D265" s="189">
        <v>6.0</v>
      </c>
      <c r="E265" s="185" t="s">
        <v>1173</v>
      </c>
      <c r="F265" s="185"/>
      <c r="G265" s="185"/>
      <c r="H265" s="186"/>
      <c r="I265" s="187" t="s">
        <v>1169</v>
      </c>
      <c r="J265" s="212"/>
      <c r="K265" s="190"/>
      <c r="L265" s="190"/>
      <c r="M265" s="190"/>
      <c r="N265" s="190"/>
      <c r="O265" s="190"/>
      <c r="P265" s="190"/>
      <c r="Q265" s="190"/>
      <c r="R265" s="190"/>
      <c r="S265" s="64"/>
      <c r="T265" s="190"/>
      <c r="U265" s="64"/>
      <c r="V265" s="51">
        <f t="shared" si="26"/>
        <v>0</v>
      </c>
      <c r="W265" s="7"/>
      <c r="X265" s="7"/>
      <c r="Y265" s="7"/>
      <c r="Z265" s="7"/>
    </row>
    <row r="266" ht="14.25" customHeight="1">
      <c r="A266" s="7"/>
      <c r="B266" s="7" t="s">
        <v>1174</v>
      </c>
      <c r="C266" s="187"/>
      <c r="D266" s="189">
        <v>7.0</v>
      </c>
      <c r="E266" s="185" t="s">
        <v>1044</v>
      </c>
      <c r="F266" s="185"/>
      <c r="G266" s="185"/>
      <c r="H266" s="186"/>
      <c r="I266" s="187" t="s">
        <v>1045</v>
      </c>
      <c r="J266" s="212"/>
      <c r="K266" s="190"/>
      <c r="L266" s="190"/>
      <c r="M266" s="190"/>
      <c r="N266" s="190"/>
      <c r="O266" s="190"/>
      <c r="P266" s="190"/>
      <c r="Q266" s="190"/>
      <c r="R266" s="190"/>
      <c r="S266" s="64"/>
      <c r="T266" s="190"/>
      <c r="U266" s="64"/>
      <c r="V266" s="51">
        <f t="shared" si="26"/>
        <v>0</v>
      </c>
      <c r="W266" s="7"/>
      <c r="X266" s="7"/>
      <c r="Y266" s="7"/>
      <c r="Z266" s="7"/>
    </row>
    <row r="267" ht="14.25" customHeight="1">
      <c r="A267" s="7"/>
      <c r="B267" s="7" t="s">
        <v>1174</v>
      </c>
      <c r="C267" s="187"/>
      <c r="D267" s="189"/>
      <c r="E267" s="185"/>
      <c r="F267" s="185"/>
      <c r="G267" s="185"/>
      <c r="H267" s="186"/>
      <c r="I267" s="187" t="s">
        <v>1046</v>
      </c>
      <c r="J267" s="198"/>
      <c r="K267" s="190"/>
      <c r="L267" s="190"/>
      <c r="M267" s="190"/>
      <c r="N267" s="190"/>
      <c r="O267" s="190"/>
      <c r="P267" s="190"/>
      <c r="Q267" s="190"/>
      <c r="R267" s="190"/>
      <c r="S267" s="64"/>
      <c r="T267" s="190"/>
      <c r="U267" s="64"/>
      <c r="V267" s="51">
        <f t="shared" si="26"/>
        <v>0</v>
      </c>
      <c r="W267" s="7"/>
      <c r="X267" s="7"/>
      <c r="Y267" s="7"/>
      <c r="Z267" s="7"/>
    </row>
    <row r="268" ht="14.25" customHeight="1">
      <c r="A268" s="7"/>
      <c r="B268" s="7" t="s">
        <v>1174</v>
      </c>
      <c r="C268" s="187"/>
      <c r="D268" s="189"/>
      <c r="E268" s="185"/>
      <c r="F268" s="185"/>
      <c r="G268" s="185"/>
      <c r="H268" s="186"/>
      <c r="I268" s="187" t="s">
        <v>1031</v>
      </c>
      <c r="J268" s="198"/>
      <c r="K268" s="190"/>
      <c r="L268" s="190"/>
      <c r="M268" s="190"/>
      <c r="N268" s="190"/>
      <c r="O268" s="190"/>
      <c r="P268" s="190"/>
      <c r="Q268" s="190"/>
      <c r="R268" s="190"/>
      <c r="S268" s="64"/>
      <c r="T268" s="190"/>
      <c r="U268" s="64"/>
      <c r="V268" s="51">
        <f t="shared" si="26"/>
        <v>0</v>
      </c>
      <c r="W268" s="7"/>
      <c r="X268" s="7"/>
      <c r="Y268" s="7"/>
      <c r="Z268" s="7"/>
    </row>
    <row r="269" ht="14.25" customHeight="1">
      <c r="A269" s="7"/>
      <c r="B269" s="7" t="s">
        <v>1175</v>
      </c>
      <c r="C269" s="187"/>
      <c r="D269" s="189">
        <v>8.0</v>
      </c>
      <c r="E269" s="185" t="s">
        <v>1028</v>
      </c>
      <c r="F269" s="185"/>
      <c r="G269" s="185"/>
      <c r="H269" s="186"/>
      <c r="I269" s="187" t="s">
        <v>381</v>
      </c>
      <c r="J269" s="198"/>
      <c r="K269" s="190"/>
      <c r="L269" s="190"/>
      <c r="M269" s="190"/>
      <c r="N269" s="190"/>
      <c r="O269" s="190"/>
      <c r="P269" s="190"/>
      <c r="Q269" s="190"/>
      <c r="R269" s="190"/>
      <c r="S269" s="64"/>
      <c r="T269" s="190"/>
      <c r="U269" s="64"/>
      <c r="V269" s="51">
        <f t="shared" si="26"/>
        <v>0</v>
      </c>
      <c r="W269" s="7"/>
      <c r="X269" s="7"/>
      <c r="Y269" s="7"/>
      <c r="Z269" s="7"/>
    </row>
    <row r="270" ht="14.25" customHeight="1">
      <c r="A270" s="7"/>
      <c r="B270" s="7" t="s">
        <v>1176</v>
      </c>
      <c r="C270" s="187"/>
      <c r="D270" s="189">
        <v>9.0</v>
      </c>
      <c r="E270" s="185" t="s">
        <v>1177</v>
      </c>
      <c r="F270" s="185"/>
      <c r="G270" s="185"/>
      <c r="H270" s="186"/>
      <c r="I270" s="187" t="s">
        <v>381</v>
      </c>
      <c r="J270" s="198"/>
      <c r="K270" s="190"/>
      <c r="L270" s="190"/>
      <c r="M270" s="190"/>
      <c r="N270" s="190"/>
      <c r="O270" s="190"/>
      <c r="P270" s="190"/>
      <c r="Q270" s="190"/>
      <c r="R270" s="190"/>
      <c r="S270" s="64"/>
      <c r="T270" s="190"/>
      <c r="U270" s="64"/>
      <c r="V270" s="51">
        <f t="shared" si="26"/>
        <v>0</v>
      </c>
      <c r="W270" s="7"/>
      <c r="X270" s="7"/>
      <c r="Y270" s="7"/>
      <c r="Z270" s="7"/>
    </row>
    <row r="271" ht="14.25" customHeight="1">
      <c r="A271" s="7"/>
      <c r="B271" s="7" t="s">
        <v>1178</v>
      </c>
      <c r="C271" s="187"/>
      <c r="D271" s="189">
        <v>10.0</v>
      </c>
      <c r="E271" s="185" t="s">
        <v>1179</v>
      </c>
      <c r="F271" s="185"/>
      <c r="G271" s="185"/>
      <c r="H271" s="186"/>
      <c r="I271" s="187" t="s">
        <v>1034</v>
      </c>
      <c r="J271" s="198"/>
      <c r="K271" s="190"/>
      <c r="L271" s="190"/>
      <c r="M271" s="190"/>
      <c r="N271" s="190"/>
      <c r="O271" s="190"/>
      <c r="P271" s="190"/>
      <c r="Q271" s="190"/>
      <c r="R271" s="190"/>
      <c r="S271" s="64"/>
      <c r="T271" s="190"/>
      <c r="U271" s="64"/>
      <c r="V271" s="51">
        <f t="shared" si="26"/>
        <v>0</v>
      </c>
      <c r="W271" s="7"/>
      <c r="X271" s="7"/>
      <c r="Y271" s="7"/>
      <c r="Z271" s="7"/>
    </row>
    <row r="272" ht="14.25" customHeight="1">
      <c r="A272" s="7"/>
      <c r="B272" s="7" t="s">
        <v>1180</v>
      </c>
      <c r="C272" s="187"/>
      <c r="D272" s="189">
        <v>11.0</v>
      </c>
      <c r="E272" s="185" t="s">
        <v>1059</v>
      </c>
      <c r="F272" s="185"/>
      <c r="G272" s="185"/>
      <c r="H272" s="186"/>
      <c r="I272" s="187" t="s">
        <v>381</v>
      </c>
      <c r="J272" s="198"/>
      <c r="K272" s="190"/>
      <c r="L272" s="190"/>
      <c r="M272" s="190"/>
      <c r="N272" s="190"/>
      <c r="O272" s="190"/>
      <c r="P272" s="190"/>
      <c r="Q272" s="190"/>
      <c r="R272" s="190"/>
      <c r="S272" s="64"/>
      <c r="T272" s="190"/>
      <c r="U272" s="64"/>
      <c r="V272" s="51">
        <f t="shared" si="26"/>
        <v>0</v>
      </c>
      <c r="W272" s="7"/>
      <c r="X272" s="7"/>
      <c r="Y272" s="7"/>
      <c r="Z272" s="7"/>
    </row>
    <row r="273" ht="14.25" customHeight="1">
      <c r="A273" s="7"/>
      <c r="B273" s="11"/>
      <c r="C273" s="187"/>
      <c r="D273" s="200"/>
      <c r="E273" s="185"/>
      <c r="F273" s="185"/>
      <c r="G273" s="185"/>
      <c r="H273" s="186"/>
      <c r="I273" s="187"/>
      <c r="J273" s="213"/>
      <c r="K273" s="119"/>
      <c r="L273" s="119"/>
      <c r="M273" s="119"/>
      <c r="N273" s="119"/>
      <c r="O273" s="119"/>
      <c r="P273" s="119"/>
      <c r="Q273" s="119"/>
      <c r="R273" s="119"/>
      <c r="S273" s="74"/>
      <c r="T273" s="119"/>
      <c r="U273" s="74"/>
      <c r="V273" s="119"/>
      <c r="W273" s="7"/>
      <c r="X273" s="7"/>
      <c r="Y273" s="7"/>
      <c r="Z273" s="7"/>
    </row>
    <row r="274" ht="14.25" customHeight="1">
      <c r="A274" s="7"/>
      <c r="C274" s="183">
        <v>10.0</v>
      </c>
      <c r="D274" s="184" t="s">
        <v>1181</v>
      </c>
      <c r="E274" s="185"/>
      <c r="F274" s="185"/>
      <c r="G274" s="185"/>
      <c r="H274" s="186"/>
      <c r="I274" s="187"/>
      <c r="J274" s="213"/>
      <c r="K274" s="119"/>
      <c r="L274" s="119"/>
      <c r="M274" s="119"/>
      <c r="N274" s="119"/>
      <c r="O274" s="119"/>
      <c r="P274" s="119"/>
      <c r="Q274" s="119"/>
      <c r="R274" s="119"/>
      <c r="S274" s="74"/>
      <c r="T274" s="119"/>
      <c r="U274" s="74"/>
      <c r="V274" s="119"/>
      <c r="W274" s="7"/>
      <c r="X274" s="7"/>
      <c r="Y274" s="7"/>
      <c r="Z274" s="7"/>
    </row>
    <row r="275" ht="14.25" customHeight="1">
      <c r="A275" s="7"/>
      <c r="B275" s="7" t="s">
        <v>1182</v>
      </c>
      <c r="C275" s="187"/>
      <c r="D275" s="189">
        <v>1.0</v>
      </c>
      <c r="E275" s="185" t="s">
        <v>1183</v>
      </c>
      <c r="F275" s="185"/>
      <c r="G275" s="185"/>
      <c r="H275" s="186"/>
      <c r="I275" s="187" t="s">
        <v>489</v>
      </c>
      <c r="J275" s="191"/>
      <c r="K275" s="190"/>
      <c r="L275" s="190"/>
      <c r="M275" s="190"/>
      <c r="N275" s="190"/>
      <c r="O275" s="190"/>
      <c r="P275" s="190"/>
      <c r="Q275" s="190"/>
      <c r="R275" s="190"/>
      <c r="S275" s="64"/>
      <c r="T275" s="190"/>
      <c r="U275" s="64"/>
      <c r="V275" s="51">
        <f t="shared" ref="V275:V284" si="27">SUM(J275:U275)</f>
        <v>0</v>
      </c>
      <c r="W275" s="7"/>
      <c r="X275" s="7"/>
      <c r="Y275" s="7"/>
      <c r="Z275" s="7"/>
    </row>
    <row r="276" ht="14.25" customHeight="1">
      <c r="A276" s="7"/>
      <c r="B276" s="7" t="s">
        <v>1182</v>
      </c>
      <c r="C276" s="187"/>
      <c r="D276" s="189"/>
      <c r="E276" s="185"/>
      <c r="F276" s="185"/>
      <c r="G276" s="185"/>
      <c r="H276" s="186"/>
      <c r="I276" s="187" t="s">
        <v>490</v>
      </c>
      <c r="J276" s="190"/>
      <c r="K276" s="190"/>
      <c r="L276" s="190"/>
      <c r="M276" s="190"/>
      <c r="N276" s="190"/>
      <c r="O276" s="190"/>
      <c r="P276" s="190"/>
      <c r="Q276" s="190"/>
      <c r="R276" s="190"/>
      <c r="S276" s="64"/>
      <c r="T276" s="190"/>
      <c r="U276" s="64"/>
      <c r="V276" s="51">
        <f t="shared" si="27"/>
        <v>0</v>
      </c>
      <c r="W276" s="7"/>
      <c r="X276" s="7"/>
      <c r="Y276" s="7"/>
      <c r="Z276" s="7"/>
    </row>
    <row r="277" ht="14.25" customHeight="1">
      <c r="A277" s="7"/>
      <c r="B277" s="7" t="s">
        <v>1184</v>
      </c>
      <c r="C277" s="187"/>
      <c r="D277" s="189">
        <v>2.0</v>
      </c>
      <c r="E277" s="185" t="s">
        <v>1166</v>
      </c>
      <c r="F277" s="185"/>
      <c r="G277" s="185"/>
      <c r="H277" s="186"/>
      <c r="I277" s="187" t="s">
        <v>489</v>
      </c>
      <c r="J277" s="190"/>
      <c r="K277" s="190"/>
      <c r="L277" s="190"/>
      <c r="M277" s="190"/>
      <c r="N277" s="190"/>
      <c r="O277" s="190"/>
      <c r="P277" s="190"/>
      <c r="Q277" s="190"/>
      <c r="R277" s="190"/>
      <c r="S277" s="64"/>
      <c r="T277" s="190"/>
      <c r="U277" s="64"/>
      <c r="V277" s="51">
        <f t="shared" si="27"/>
        <v>0</v>
      </c>
      <c r="W277" s="7"/>
      <c r="X277" s="7"/>
      <c r="Y277" s="7"/>
      <c r="Z277" s="7"/>
    </row>
    <row r="278" ht="14.25" customHeight="1">
      <c r="A278" s="7"/>
      <c r="B278" s="7" t="s">
        <v>1184</v>
      </c>
      <c r="C278" s="187"/>
      <c r="D278" s="189"/>
      <c r="E278" s="185"/>
      <c r="F278" s="185"/>
      <c r="G278" s="185"/>
      <c r="H278" s="186"/>
      <c r="I278" s="187" t="s">
        <v>490</v>
      </c>
      <c r="J278" s="190"/>
      <c r="K278" s="190"/>
      <c r="L278" s="190"/>
      <c r="M278" s="190"/>
      <c r="N278" s="190"/>
      <c r="O278" s="190"/>
      <c r="P278" s="190"/>
      <c r="Q278" s="190"/>
      <c r="R278" s="190"/>
      <c r="S278" s="64"/>
      <c r="T278" s="190"/>
      <c r="U278" s="64"/>
      <c r="V278" s="51">
        <f t="shared" si="27"/>
        <v>0</v>
      </c>
      <c r="W278" s="7"/>
      <c r="X278" s="7"/>
      <c r="Y278" s="7"/>
      <c r="Z278" s="7"/>
    </row>
    <row r="279" ht="14.25" customHeight="1">
      <c r="A279" s="7"/>
      <c r="B279" s="7" t="s">
        <v>1185</v>
      </c>
      <c r="C279" s="187"/>
      <c r="D279" s="189">
        <v>3.0</v>
      </c>
      <c r="E279" s="185" t="s">
        <v>1168</v>
      </c>
      <c r="F279" s="185"/>
      <c r="G279" s="185"/>
      <c r="H279" s="186"/>
      <c r="I279" s="187" t="s">
        <v>398</v>
      </c>
      <c r="J279" s="190"/>
      <c r="K279" s="190"/>
      <c r="L279" s="190"/>
      <c r="M279" s="190"/>
      <c r="N279" s="190"/>
      <c r="O279" s="190"/>
      <c r="P279" s="190"/>
      <c r="Q279" s="190"/>
      <c r="R279" s="190"/>
      <c r="S279" s="64"/>
      <c r="T279" s="190"/>
      <c r="U279" s="64"/>
      <c r="V279" s="51">
        <f t="shared" si="27"/>
        <v>0</v>
      </c>
      <c r="W279" s="7"/>
      <c r="X279" s="7"/>
      <c r="Y279" s="7"/>
      <c r="Z279" s="7"/>
    </row>
    <row r="280" ht="14.25" customHeight="1">
      <c r="A280" s="7"/>
      <c r="B280" s="7" t="s">
        <v>1186</v>
      </c>
      <c r="C280" s="187"/>
      <c r="D280" s="189">
        <v>4.0</v>
      </c>
      <c r="E280" s="185" t="s">
        <v>1171</v>
      </c>
      <c r="F280" s="185"/>
      <c r="G280" s="185"/>
      <c r="H280" s="186"/>
      <c r="I280" s="187" t="s">
        <v>398</v>
      </c>
      <c r="J280" s="190"/>
      <c r="K280" s="190"/>
      <c r="L280" s="190"/>
      <c r="M280" s="190"/>
      <c r="N280" s="190"/>
      <c r="O280" s="190"/>
      <c r="P280" s="190"/>
      <c r="Q280" s="190"/>
      <c r="R280" s="190"/>
      <c r="S280" s="64"/>
      <c r="T280" s="190"/>
      <c r="U280" s="64"/>
      <c r="V280" s="51">
        <f t="shared" si="27"/>
        <v>0</v>
      </c>
      <c r="W280" s="7"/>
      <c r="X280" s="7"/>
      <c r="Y280" s="7"/>
      <c r="Z280" s="7"/>
    </row>
    <row r="281" ht="14.25" customHeight="1">
      <c r="A281" s="7"/>
      <c r="B281" s="7" t="s">
        <v>1187</v>
      </c>
      <c r="C281" s="187"/>
      <c r="D281" s="189">
        <v>5.0</v>
      </c>
      <c r="E281" s="185" t="s">
        <v>1173</v>
      </c>
      <c r="F281" s="185"/>
      <c r="G281" s="185"/>
      <c r="H281" s="186"/>
      <c r="I281" s="187" t="s">
        <v>398</v>
      </c>
      <c r="J281" s="190"/>
      <c r="K281" s="190"/>
      <c r="L281" s="190"/>
      <c r="M281" s="190"/>
      <c r="N281" s="190"/>
      <c r="O281" s="190"/>
      <c r="P281" s="190"/>
      <c r="Q281" s="190"/>
      <c r="R281" s="190"/>
      <c r="S281" s="64"/>
      <c r="T281" s="190"/>
      <c r="U281" s="64"/>
      <c r="V281" s="51">
        <f t="shared" si="27"/>
        <v>0</v>
      </c>
      <c r="W281" s="7"/>
      <c r="X281" s="7"/>
      <c r="Y281" s="7"/>
      <c r="Z281" s="7"/>
    </row>
    <row r="282" ht="14.25" customHeight="1">
      <c r="A282" s="7"/>
      <c r="B282" s="7" t="s">
        <v>1188</v>
      </c>
      <c r="C282" s="187"/>
      <c r="D282" s="189">
        <v>6.0</v>
      </c>
      <c r="E282" s="185" t="s">
        <v>1189</v>
      </c>
      <c r="F282" s="185"/>
      <c r="G282" s="185"/>
      <c r="H282" s="186"/>
      <c r="I282" s="187" t="s">
        <v>1045</v>
      </c>
      <c r="J282" s="190"/>
      <c r="K282" s="190"/>
      <c r="L282" s="190"/>
      <c r="M282" s="190"/>
      <c r="N282" s="190"/>
      <c r="O282" s="190"/>
      <c r="P282" s="190"/>
      <c r="Q282" s="190"/>
      <c r="R282" s="190"/>
      <c r="S282" s="64"/>
      <c r="T282" s="190"/>
      <c r="U282" s="64"/>
      <c r="V282" s="51">
        <f t="shared" si="27"/>
        <v>0</v>
      </c>
      <c r="W282" s="7"/>
      <c r="X282" s="7"/>
      <c r="Y282" s="7"/>
      <c r="Z282" s="7"/>
    </row>
    <row r="283" ht="14.25" customHeight="1">
      <c r="A283" s="7"/>
      <c r="B283" s="7" t="s">
        <v>1188</v>
      </c>
      <c r="C283" s="187"/>
      <c r="D283" s="189"/>
      <c r="E283" s="185"/>
      <c r="F283" s="185"/>
      <c r="G283" s="185"/>
      <c r="H283" s="186"/>
      <c r="I283" s="187" t="s">
        <v>1046</v>
      </c>
      <c r="J283" s="190"/>
      <c r="K283" s="190"/>
      <c r="L283" s="190"/>
      <c r="M283" s="190"/>
      <c r="N283" s="190"/>
      <c r="O283" s="190"/>
      <c r="P283" s="190"/>
      <c r="Q283" s="190"/>
      <c r="R283" s="190"/>
      <c r="S283" s="64"/>
      <c r="T283" s="190"/>
      <c r="U283" s="64"/>
      <c r="V283" s="51">
        <f t="shared" si="27"/>
        <v>0</v>
      </c>
      <c r="W283" s="7"/>
      <c r="X283" s="7"/>
      <c r="Y283" s="7"/>
      <c r="Z283" s="7"/>
    </row>
    <row r="284" ht="14.25" customHeight="1">
      <c r="A284" s="7"/>
      <c r="B284" s="7" t="s">
        <v>1190</v>
      </c>
      <c r="C284" s="187"/>
      <c r="D284" s="189">
        <v>7.0</v>
      </c>
      <c r="E284" s="185" t="s">
        <v>1059</v>
      </c>
      <c r="F284" s="185"/>
      <c r="G284" s="185"/>
      <c r="H284" s="186"/>
      <c r="I284" s="187" t="s">
        <v>381</v>
      </c>
      <c r="J284" s="190"/>
      <c r="K284" s="190"/>
      <c r="L284" s="190"/>
      <c r="M284" s="190"/>
      <c r="N284" s="190"/>
      <c r="O284" s="190"/>
      <c r="P284" s="190"/>
      <c r="Q284" s="190"/>
      <c r="R284" s="190"/>
      <c r="S284" s="64"/>
      <c r="T284" s="190"/>
      <c r="U284" s="64"/>
      <c r="V284" s="51">
        <f t="shared" si="27"/>
        <v>0</v>
      </c>
      <c r="W284" s="7"/>
      <c r="X284" s="7"/>
      <c r="Y284" s="7"/>
      <c r="Z284" s="7"/>
    </row>
    <row r="285" ht="14.25" customHeight="1">
      <c r="A285" s="7"/>
      <c r="B285" s="11"/>
      <c r="C285" s="187"/>
      <c r="D285" s="200"/>
      <c r="E285" s="185"/>
      <c r="F285" s="185"/>
      <c r="G285" s="185"/>
      <c r="H285" s="186"/>
      <c r="I285" s="187"/>
      <c r="J285" s="188"/>
      <c r="K285" s="119"/>
      <c r="L285" s="119"/>
      <c r="M285" s="119"/>
      <c r="N285" s="119"/>
      <c r="O285" s="119"/>
      <c r="P285" s="119"/>
      <c r="Q285" s="119"/>
      <c r="R285" s="119"/>
      <c r="S285" s="74"/>
      <c r="T285" s="119"/>
      <c r="U285" s="74"/>
      <c r="V285" s="119"/>
      <c r="W285" s="7"/>
      <c r="X285" s="7"/>
      <c r="Y285" s="7"/>
      <c r="Z285" s="7"/>
    </row>
    <row r="286" ht="14.25" customHeight="1">
      <c r="A286" s="7"/>
      <c r="C286" s="183">
        <v>11.0</v>
      </c>
      <c r="D286" s="184" t="s">
        <v>1191</v>
      </c>
      <c r="E286" s="185"/>
      <c r="F286" s="185"/>
      <c r="G286" s="185"/>
      <c r="H286" s="186"/>
      <c r="I286" s="187"/>
      <c r="J286" s="188"/>
      <c r="K286" s="119"/>
      <c r="L286" s="119"/>
      <c r="M286" s="119"/>
      <c r="N286" s="119"/>
      <c r="O286" s="119"/>
      <c r="P286" s="119"/>
      <c r="Q286" s="119"/>
      <c r="R286" s="119"/>
      <c r="S286" s="74"/>
      <c r="T286" s="119"/>
      <c r="U286" s="74"/>
      <c r="V286" s="119"/>
      <c r="W286" s="7"/>
      <c r="X286" s="7"/>
      <c r="Y286" s="7"/>
      <c r="Z286" s="7"/>
    </row>
    <row r="287" ht="14.25" customHeight="1">
      <c r="A287" s="7"/>
      <c r="B287" s="7" t="s">
        <v>1192</v>
      </c>
      <c r="C287" s="187"/>
      <c r="D287" s="189">
        <v>1.0</v>
      </c>
      <c r="E287" s="185" t="s">
        <v>1193</v>
      </c>
      <c r="F287" s="185"/>
      <c r="G287" s="185"/>
      <c r="H287" s="186"/>
      <c r="I287" s="187" t="s">
        <v>398</v>
      </c>
      <c r="J287" s="190"/>
      <c r="K287" s="190"/>
      <c r="L287" s="190"/>
      <c r="M287" s="190"/>
      <c r="N287" s="190"/>
      <c r="O287" s="190"/>
      <c r="P287" s="190"/>
      <c r="Q287" s="190"/>
      <c r="R287" s="190"/>
      <c r="S287" s="64"/>
      <c r="T287" s="190"/>
      <c r="U287" s="64"/>
      <c r="V287" s="51">
        <f t="shared" ref="V287:V288" si="28">SUM(J287:U287)</f>
        <v>0</v>
      </c>
      <c r="W287" s="7"/>
      <c r="X287" s="7"/>
      <c r="Y287" s="7"/>
      <c r="Z287" s="7"/>
    </row>
    <row r="288" ht="14.25" customHeight="1">
      <c r="A288" s="7"/>
      <c r="B288" s="7" t="s">
        <v>1192</v>
      </c>
      <c r="C288" s="187"/>
      <c r="D288" s="200"/>
      <c r="E288" s="185"/>
      <c r="F288" s="185"/>
      <c r="G288" s="185"/>
      <c r="H288" s="186"/>
      <c r="I288" s="187" t="s">
        <v>249</v>
      </c>
      <c r="J288" s="190"/>
      <c r="K288" s="190"/>
      <c r="L288" s="190"/>
      <c r="M288" s="190"/>
      <c r="N288" s="190"/>
      <c r="O288" s="190"/>
      <c r="P288" s="190"/>
      <c r="Q288" s="190"/>
      <c r="R288" s="190"/>
      <c r="S288" s="64"/>
      <c r="T288" s="190"/>
      <c r="U288" s="64"/>
      <c r="V288" s="51">
        <f t="shared" si="28"/>
        <v>0</v>
      </c>
      <c r="W288" s="7"/>
      <c r="X288" s="7"/>
      <c r="Y288" s="7"/>
      <c r="Z288" s="7"/>
    </row>
    <row r="289" ht="14.25" customHeight="1">
      <c r="A289" s="7"/>
      <c r="C289" s="187"/>
      <c r="D289" s="189">
        <v>2.0</v>
      </c>
      <c r="E289" s="185" t="s">
        <v>1194</v>
      </c>
      <c r="F289" s="185"/>
      <c r="G289" s="185"/>
      <c r="H289" s="186"/>
      <c r="I289" s="187"/>
      <c r="J289" s="188"/>
      <c r="K289" s="119"/>
      <c r="L289" s="119"/>
      <c r="M289" s="119"/>
      <c r="N289" s="119"/>
      <c r="O289" s="119"/>
      <c r="P289" s="119"/>
      <c r="Q289" s="119"/>
      <c r="R289" s="119"/>
      <c r="S289" s="74"/>
      <c r="T289" s="119"/>
      <c r="U289" s="74"/>
      <c r="V289" s="119"/>
      <c r="W289" s="7"/>
      <c r="X289" s="7"/>
      <c r="Y289" s="7"/>
      <c r="Z289" s="7"/>
    </row>
    <row r="290" ht="14.25" customHeight="1">
      <c r="A290" s="7"/>
      <c r="B290" s="7" t="s">
        <v>1195</v>
      </c>
      <c r="C290" s="187"/>
      <c r="D290" s="200"/>
      <c r="E290" s="203">
        <v>1.0</v>
      </c>
      <c r="F290" s="185" t="s">
        <v>1196</v>
      </c>
      <c r="G290" s="185"/>
      <c r="H290" s="186"/>
      <c r="I290" s="187" t="s">
        <v>988</v>
      </c>
      <c r="J290" s="190"/>
      <c r="K290" s="190"/>
      <c r="L290" s="190"/>
      <c r="M290" s="190"/>
      <c r="N290" s="190"/>
      <c r="O290" s="190"/>
      <c r="P290" s="190"/>
      <c r="Q290" s="190"/>
      <c r="R290" s="190"/>
      <c r="S290" s="64"/>
      <c r="T290" s="190"/>
      <c r="U290" s="64"/>
      <c r="V290" s="51">
        <f t="shared" ref="V290:V301" si="29">SUM(J290:U290)</f>
        <v>0</v>
      </c>
      <c r="W290" s="7"/>
      <c r="X290" s="7"/>
      <c r="Y290" s="7"/>
      <c r="Z290" s="7"/>
    </row>
    <row r="291" ht="14.25" customHeight="1">
      <c r="A291" s="7"/>
      <c r="B291" s="7" t="s">
        <v>1197</v>
      </c>
      <c r="C291" s="187"/>
      <c r="D291" s="200"/>
      <c r="E291" s="203">
        <v>2.0</v>
      </c>
      <c r="F291" s="185" t="s">
        <v>1198</v>
      </c>
      <c r="G291" s="185"/>
      <c r="H291" s="186"/>
      <c r="I291" s="187" t="s">
        <v>999</v>
      </c>
      <c r="J291" s="190"/>
      <c r="K291" s="190"/>
      <c r="L291" s="190"/>
      <c r="M291" s="190"/>
      <c r="N291" s="190"/>
      <c r="O291" s="190"/>
      <c r="P291" s="190"/>
      <c r="Q291" s="190"/>
      <c r="R291" s="190"/>
      <c r="S291" s="64"/>
      <c r="T291" s="190"/>
      <c r="U291" s="64"/>
      <c r="V291" s="51">
        <f t="shared" si="29"/>
        <v>0</v>
      </c>
      <c r="W291" s="7"/>
      <c r="X291" s="7"/>
      <c r="Y291" s="7"/>
      <c r="Z291" s="7"/>
    </row>
    <row r="292" ht="14.25" customHeight="1">
      <c r="A292" s="7"/>
      <c r="B292" s="7" t="s">
        <v>1199</v>
      </c>
      <c r="C292" s="187"/>
      <c r="D292" s="200"/>
      <c r="E292" s="203">
        <v>3.0</v>
      </c>
      <c r="F292" s="185" t="s">
        <v>1200</v>
      </c>
      <c r="G292" s="185"/>
      <c r="H292" s="186"/>
      <c r="I292" s="187" t="s">
        <v>1004</v>
      </c>
      <c r="J292" s="190"/>
      <c r="K292" s="190"/>
      <c r="L292" s="190"/>
      <c r="M292" s="190"/>
      <c r="N292" s="190"/>
      <c r="O292" s="190"/>
      <c r="P292" s="190"/>
      <c r="Q292" s="190"/>
      <c r="R292" s="190"/>
      <c r="S292" s="64"/>
      <c r="T292" s="190"/>
      <c r="U292" s="64"/>
      <c r="V292" s="51">
        <f t="shared" si="29"/>
        <v>0</v>
      </c>
      <c r="W292" s="7"/>
      <c r="X292" s="7"/>
      <c r="Y292" s="7"/>
      <c r="Z292" s="7"/>
    </row>
    <row r="293" ht="14.25" customHeight="1">
      <c r="A293" s="7"/>
      <c r="B293" s="7" t="s">
        <v>1199</v>
      </c>
      <c r="C293" s="187"/>
      <c r="D293" s="200"/>
      <c r="E293" s="203"/>
      <c r="F293" s="185"/>
      <c r="G293" s="185"/>
      <c r="H293" s="186"/>
      <c r="I293" s="187" t="s">
        <v>250</v>
      </c>
      <c r="J293" s="190"/>
      <c r="K293" s="190"/>
      <c r="L293" s="190"/>
      <c r="M293" s="190"/>
      <c r="N293" s="190"/>
      <c r="O293" s="190"/>
      <c r="P293" s="190"/>
      <c r="Q293" s="190"/>
      <c r="R293" s="190"/>
      <c r="S293" s="64"/>
      <c r="T293" s="190"/>
      <c r="U293" s="64"/>
      <c r="V293" s="51">
        <f t="shared" si="29"/>
        <v>0</v>
      </c>
      <c r="W293" s="7"/>
      <c r="X293" s="7"/>
      <c r="Y293" s="7"/>
      <c r="Z293" s="7"/>
    </row>
    <row r="294" ht="14.25" customHeight="1">
      <c r="A294" s="7"/>
      <c r="B294" s="7" t="s">
        <v>1201</v>
      </c>
      <c r="C294" s="187"/>
      <c r="D294" s="200"/>
      <c r="E294" s="203">
        <v>4.0</v>
      </c>
      <c r="F294" s="185" t="s">
        <v>1008</v>
      </c>
      <c r="G294" s="185"/>
      <c r="H294" s="186"/>
      <c r="I294" s="187" t="s">
        <v>489</v>
      </c>
      <c r="J294" s="190"/>
      <c r="K294" s="190"/>
      <c r="L294" s="190"/>
      <c r="M294" s="190"/>
      <c r="N294" s="190"/>
      <c r="O294" s="190"/>
      <c r="P294" s="190"/>
      <c r="Q294" s="190"/>
      <c r="R294" s="190"/>
      <c r="S294" s="64"/>
      <c r="T294" s="190"/>
      <c r="U294" s="64"/>
      <c r="V294" s="51">
        <f t="shared" si="29"/>
        <v>0</v>
      </c>
      <c r="W294" s="7"/>
      <c r="X294" s="7"/>
      <c r="Y294" s="7"/>
      <c r="Z294" s="7"/>
    </row>
    <row r="295" ht="14.25" customHeight="1">
      <c r="A295" s="7"/>
      <c r="B295" s="7" t="s">
        <v>1201</v>
      </c>
      <c r="C295" s="187"/>
      <c r="D295" s="200"/>
      <c r="E295" s="203"/>
      <c r="F295" s="185"/>
      <c r="G295" s="185"/>
      <c r="H295" s="186"/>
      <c r="I295" s="187" t="s">
        <v>490</v>
      </c>
      <c r="J295" s="190"/>
      <c r="K295" s="190"/>
      <c r="L295" s="190"/>
      <c r="M295" s="190"/>
      <c r="N295" s="190"/>
      <c r="O295" s="190"/>
      <c r="P295" s="190"/>
      <c r="Q295" s="190"/>
      <c r="R295" s="190"/>
      <c r="S295" s="64"/>
      <c r="T295" s="190"/>
      <c r="U295" s="64"/>
      <c r="V295" s="51">
        <f t="shared" si="29"/>
        <v>0</v>
      </c>
      <c r="W295" s="7"/>
      <c r="X295" s="7"/>
      <c r="Y295" s="7"/>
      <c r="Z295" s="7"/>
    </row>
    <row r="296" ht="14.25" customHeight="1">
      <c r="A296" s="7"/>
      <c r="B296" s="7" t="s">
        <v>1201</v>
      </c>
      <c r="C296" s="187"/>
      <c r="D296" s="200"/>
      <c r="E296" s="203"/>
      <c r="F296" s="185"/>
      <c r="G296" s="185"/>
      <c r="H296" s="186"/>
      <c r="I296" s="187" t="s">
        <v>501</v>
      </c>
      <c r="J296" s="190"/>
      <c r="K296" s="190"/>
      <c r="L296" s="190"/>
      <c r="M296" s="190"/>
      <c r="N296" s="190"/>
      <c r="O296" s="190"/>
      <c r="P296" s="190"/>
      <c r="Q296" s="190"/>
      <c r="R296" s="190"/>
      <c r="S296" s="64"/>
      <c r="T296" s="190"/>
      <c r="U296" s="64"/>
      <c r="V296" s="51">
        <f t="shared" si="29"/>
        <v>0</v>
      </c>
      <c r="W296" s="7"/>
      <c r="X296" s="7"/>
      <c r="Y296" s="7"/>
      <c r="Z296" s="7"/>
    </row>
    <row r="297" ht="14.25" customHeight="1">
      <c r="A297" s="7"/>
      <c r="B297" s="7" t="s">
        <v>1202</v>
      </c>
      <c r="C297" s="187"/>
      <c r="D297" s="200"/>
      <c r="E297" s="203">
        <v>5.0</v>
      </c>
      <c r="F297" s="185" t="s">
        <v>1102</v>
      </c>
      <c r="G297" s="185"/>
      <c r="H297" s="186"/>
      <c r="I297" s="187" t="s">
        <v>1045</v>
      </c>
      <c r="J297" s="190"/>
      <c r="K297" s="190"/>
      <c r="L297" s="190"/>
      <c r="M297" s="190"/>
      <c r="N297" s="190"/>
      <c r="O297" s="190"/>
      <c r="P297" s="190"/>
      <c r="Q297" s="190"/>
      <c r="R297" s="190"/>
      <c r="S297" s="64"/>
      <c r="T297" s="190"/>
      <c r="U297" s="64"/>
      <c r="V297" s="51">
        <f t="shared" si="29"/>
        <v>0</v>
      </c>
      <c r="W297" s="7"/>
      <c r="X297" s="7"/>
      <c r="Y297" s="7"/>
      <c r="Z297" s="7"/>
    </row>
    <row r="298" ht="14.25" customHeight="1">
      <c r="A298" s="7"/>
      <c r="B298" s="7" t="s">
        <v>1202</v>
      </c>
      <c r="C298" s="187"/>
      <c r="D298" s="200"/>
      <c r="E298" s="203"/>
      <c r="F298" s="185"/>
      <c r="G298" s="185"/>
      <c r="H298" s="186"/>
      <c r="I298" s="187" t="s">
        <v>1046</v>
      </c>
      <c r="J298" s="190"/>
      <c r="K298" s="190"/>
      <c r="L298" s="190"/>
      <c r="M298" s="190"/>
      <c r="N298" s="190"/>
      <c r="O298" s="190"/>
      <c r="P298" s="190"/>
      <c r="Q298" s="190"/>
      <c r="R298" s="190"/>
      <c r="S298" s="64"/>
      <c r="T298" s="190"/>
      <c r="U298" s="64"/>
      <c r="V298" s="51">
        <f t="shared" si="29"/>
        <v>0</v>
      </c>
      <c r="W298" s="7"/>
      <c r="X298" s="7"/>
      <c r="Y298" s="7"/>
      <c r="Z298" s="7"/>
    </row>
    <row r="299" ht="14.25" customHeight="1">
      <c r="A299" s="7"/>
      <c r="B299" s="7" t="s">
        <v>1203</v>
      </c>
      <c r="C299" s="187"/>
      <c r="D299" s="200"/>
      <c r="E299" s="203">
        <v>6.0</v>
      </c>
      <c r="F299" s="185" t="s">
        <v>1104</v>
      </c>
      <c r="G299" s="185"/>
      <c r="H299" s="186"/>
      <c r="I299" s="187" t="s">
        <v>1045</v>
      </c>
      <c r="J299" s="190"/>
      <c r="K299" s="190"/>
      <c r="L299" s="190"/>
      <c r="M299" s="190"/>
      <c r="N299" s="190"/>
      <c r="O299" s="190"/>
      <c r="P299" s="190"/>
      <c r="Q299" s="190"/>
      <c r="R299" s="190"/>
      <c r="S299" s="64"/>
      <c r="T299" s="190"/>
      <c r="U299" s="64"/>
      <c r="V299" s="51">
        <f t="shared" si="29"/>
        <v>0</v>
      </c>
      <c r="W299" s="7"/>
      <c r="X299" s="7"/>
      <c r="Y299" s="7"/>
      <c r="Z299" s="7"/>
    </row>
    <row r="300" ht="14.25" customHeight="1">
      <c r="A300" s="7"/>
      <c r="B300" s="7" t="s">
        <v>1203</v>
      </c>
      <c r="C300" s="187"/>
      <c r="D300" s="200"/>
      <c r="E300" s="185"/>
      <c r="F300" s="185"/>
      <c r="G300" s="185"/>
      <c r="H300" s="186"/>
      <c r="I300" s="187" t="s">
        <v>1046</v>
      </c>
      <c r="J300" s="190"/>
      <c r="K300" s="190"/>
      <c r="L300" s="190"/>
      <c r="M300" s="190"/>
      <c r="N300" s="190"/>
      <c r="O300" s="190"/>
      <c r="P300" s="190"/>
      <c r="Q300" s="190"/>
      <c r="R300" s="190"/>
      <c r="S300" s="64"/>
      <c r="T300" s="190"/>
      <c r="U300" s="64"/>
      <c r="V300" s="51">
        <f t="shared" si="29"/>
        <v>0</v>
      </c>
      <c r="W300" s="7"/>
      <c r="X300" s="7"/>
      <c r="Y300" s="7"/>
      <c r="Z300" s="7"/>
    </row>
    <row r="301" ht="14.25" customHeight="1">
      <c r="A301" s="7"/>
      <c r="B301" s="7" t="s">
        <v>1203</v>
      </c>
      <c r="C301" s="187"/>
      <c r="D301" s="200"/>
      <c r="E301" s="185"/>
      <c r="F301" s="185"/>
      <c r="G301" s="185"/>
      <c r="H301" s="186"/>
      <c r="I301" s="187" t="s">
        <v>1204</v>
      </c>
      <c r="J301" s="190"/>
      <c r="K301" s="190"/>
      <c r="L301" s="190"/>
      <c r="M301" s="190"/>
      <c r="N301" s="190"/>
      <c r="O301" s="190"/>
      <c r="P301" s="190"/>
      <c r="Q301" s="190"/>
      <c r="R301" s="190"/>
      <c r="S301" s="64"/>
      <c r="T301" s="190"/>
      <c r="U301" s="64"/>
      <c r="V301" s="51">
        <f t="shared" si="29"/>
        <v>0</v>
      </c>
      <c r="W301" s="7"/>
      <c r="X301" s="7"/>
      <c r="Y301" s="7"/>
      <c r="Z301" s="7"/>
    </row>
    <row r="302" ht="14.25" customHeight="1">
      <c r="A302" s="7"/>
      <c r="C302" s="187"/>
      <c r="D302" s="200"/>
      <c r="E302" s="203">
        <v>7.0</v>
      </c>
      <c r="F302" s="185" t="s">
        <v>1105</v>
      </c>
      <c r="G302" s="185"/>
      <c r="H302" s="186"/>
      <c r="I302" s="187"/>
      <c r="J302" s="188"/>
      <c r="K302" s="119"/>
      <c r="L302" s="119"/>
      <c r="M302" s="119"/>
      <c r="N302" s="119"/>
      <c r="O302" s="119"/>
      <c r="P302" s="119"/>
      <c r="Q302" s="119"/>
      <c r="R302" s="119"/>
      <c r="S302" s="74"/>
      <c r="T302" s="119"/>
      <c r="U302" s="74"/>
      <c r="V302" s="119"/>
      <c r="W302" s="7"/>
      <c r="X302" s="7"/>
      <c r="Y302" s="7"/>
      <c r="Z302" s="7"/>
    </row>
    <row r="303" ht="14.25" customHeight="1">
      <c r="A303" s="7"/>
      <c r="C303" s="187"/>
      <c r="D303" s="200"/>
      <c r="E303" s="185"/>
      <c r="F303" s="203">
        <v>1.0</v>
      </c>
      <c r="G303" s="185" t="s">
        <v>1106</v>
      </c>
      <c r="H303" s="186"/>
      <c r="I303" s="187"/>
      <c r="J303" s="188"/>
      <c r="K303" s="119"/>
      <c r="L303" s="119"/>
      <c r="M303" s="119"/>
      <c r="N303" s="119"/>
      <c r="O303" s="119"/>
      <c r="P303" s="119"/>
      <c r="Q303" s="119"/>
      <c r="R303" s="119"/>
      <c r="S303" s="74"/>
      <c r="T303" s="119"/>
      <c r="U303" s="74"/>
      <c r="V303" s="119"/>
      <c r="W303" s="7"/>
      <c r="X303" s="7"/>
      <c r="Y303" s="7"/>
      <c r="Z303" s="7"/>
    </row>
    <row r="304" ht="14.25" customHeight="1">
      <c r="A304" s="7"/>
      <c r="B304" s="7" t="s">
        <v>1205</v>
      </c>
      <c r="C304" s="187"/>
      <c r="D304" s="200"/>
      <c r="E304" s="185"/>
      <c r="F304" s="185"/>
      <c r="G304" s="203">
        <v>1.0</v>
      </c>
      <c r="H304" s="186" t="s">
        <v>1012</v>
      </c>
      <c r="I304" s="187" t="s">
        <v>489</v>
      </c>
      <c r="J304" s="190"/>
      <c r="K304" s="190"/>
      <c r="L304" s="190"/>
      <c r="M304" s="190"/>
      <c r="N304" s="190"/>
      <c r="O304" s="190"/>
      <c r="P304" s="190"/>
      <c r="Q304" s="190"/>
      <c r="R304" s="190"/>
      <c r="S304" s="64"/>
      <c r="T304" s="190"/>
      <c r="U304" s="64"/>
      <c r="V304" s="51">
        <f t="shared" ref="V304:V314" si="30">SUM(J304:U304)</f>
        <v>0</v>
      </c>
      <c r="W304" s="7"/>
      <c r="X304" s="7"/>
      <c r="Y304" s="7"/>
      <c r="Z304" s="7"/>
    </row>
    <row r="305" ht="14.25" customHeight="1">
      <c r="A305" s="7"/>
      <c r="B305" s="7" t="s">
        <v>1205</v>
      </c>
      <c r="C305" s="187"/>
      <c r="D305" s="200"/>
      <c r="E305" s="185"/>
      <c r="F305" s="185"/>
      <c r="G305" s="203"/>
      <c r="H305" s="186"/>
      <c r="I305" s="187" t="s">
        <v>490</v>
      </c>
      <c r="J305" s="190"/>
      <c r="K305" s="190"/>
      <c r="L305" s="190"/>
      <c r="M305" s="190"/>
      <c r="N305" s="190"/>
      <c r="O305" s="190"/>
      <c r="P305" s="190"/>
      <c r="Q305" s="190"/>
      <c r="R305" s="190"/>
      <c r="S305" s="64"/>
      <c r="T305" s="190"/>
      <c r="U305" s="64"/>
      <c r="V305" s="51">
        <f t="shared" si="30"/>
        <v>0</v>
      </c>
      <c r="W305" s="7"/>
      <c r="X305" s="7"/>
      <c r="Y305" s="7"/>
      <c r="Z305" s="7"/>
    </row>
    <row r="306" ht="14.25" customHeight="1">
      <c r="A306" s="7"/>
      <c r="B306" s="7" t="s">
        <v>1206</v>
      </c>
      <c r="C306" s="187"/>
      <c r="D306" s="200"/>
      <c r="E306" s="185"/>
      <c r="F306" s="185"/>
      <c r="G306" s="203">
        <v>2.0</v>
      </c>
      <c r="H306" s="186" t="s">
        <v>1109</v>
      </c>
      <c r="I306" s="187" t="s">
        <v>489</v>
      </c>
      <c r="J306" s="190"/>
      <c r="K306" s="190"/>
      <c r="L306" s="190"/>
      <c r="M306" s="190"/>
      <c r="N306" s="190"/>
      <c r="O306" s="190"/>
      <c r="P306" s="190"/>
      <c r="Q306" s="190"/>
      <c r="R306" s="190"/>
      <c r="S306" s="64"/>
      <c r="T306" s="190"/>
      <c r="U306" s="64"/>
      <c r="V306" s="51">
        <f t="shared" si="30"/>
        <v>0</v>
      </c>
      <c r="W306" s="7"/>
      <c r="X306" s="7"/>
      <c r="Y306" s="7"/>
      <c r="Z306" s="7"/>
    </row>
    <row r="307" ht="14.25" customHeight="1">
      <c r="A307" s="7"/>
      <c r="B307" s="7" t="s">
        <v>1206</v>
      </c>
      <c r="C307" s="187"/>
      <c r="D307" s="200"/>
      <c r="E307" s="185"/>
      <c r="F307" s="185"/>
      <c r="G307" s="203"/>
      <c r="H307" s="186"/>
      <c r="I307" s="187" t="s">
        <v>490</v>
      </c>
      <c r="J307" s="190"/>
      <c r="K307" s="190"/>
      <c r="L307" s="190"/>
      <c r="M307" s="190"/>
      <c r="N307" s="190"/>
      <c r="O307" s="190"/>
      <c r="P307" s="190"/>
      <c r="Q307" s="190"/>
      <c r="R307" s="190"/>
      <c r="S307" s="64"/>
      <c r="T307" s="190"/>
      <c r="U307" s="64"/>
      <c r="V307" s="51">
        <f t="shared" si="30"/>
        <v>0</v>
      </c>
      <c r="W307" s="7"/>
      <c r="X307" s="7"/>
      <c r="Y307" s="7"/>
      <c r="Z307" s="7"/>
    </row>
    <row r="308" ht="14.25" customHeight="1">
      <c r="A308" s="7"/>
      <c r="B308" s="7" t="s">
        <v>1207</v>
      </c>
      <c r="C308" s="187"/>
      <c r="D308" s="200"/>
      <c r="E308" s="185"/>
      <c r="F308" s="185"/>
      <c r="G308" s="203">
        <v>3.0</v>
      </c>
      <c r="H308" s="186" t="s">
        <v>1111</v>
      </c>
      <c r="I308" s="187" t="s">
        <v>489</v>
      </c>
      <c r="J308" s="190"/>
      <c r="K308" s="190"/>
      <c r="L308" s="190"/>
      <c r="M308" s="190"/>
      <c r="N308" s="190"/>
      <c r="O308" s="190"/>
      <c r="P308" s="190"/>
      <c r="Q308" s="190"/>
      <c r="R308" s="190"/>
      <c r="S308" s="64"/>
      <c r="T308" s="190"/>
      <c r="U308" s="64"/>
      <c r="V308" s="51">
        <f t="shared" si="30"/>
        <v>0</v>
      </c>
      <c r="W308" s="7"/>
      <c r="X308" s="7"/>
      <c r="Y308" s="7"/>
      <c r="Z308" s="7"/>
    </row>
    <row r="309" ht="14.25" customHeight="1">
      <c r="A309" s="7"/>
      <c r="B309" s="7" t="s">
        <v>1207</v>
      </c>
      <c r="C309" s="187"/>
      <c r="D309" s="200"/>
      <c r="E309" s="185"/>
      <c r="F309" s="185"/>
      <c r="G309" s="203"/>
      <c r="H309" s="186"/>
      <c r="I309" s="187" t="s">
        <v>490</v>
      </c>
      <c r="J309" s="190"/>
      <c r="K309" s="190"/>
      <c r="L309" s="190"/>
      <c r="M309" s="190"/>
      <c r="N309" s="190"/>
      <c r="O309" s="190"/>
      <c r="P309" s="190"/>
      <c r="Q309" s="190"/>
      <c r="R309" s="190"/>
      <c r="S309" s="64"/>
      <c r="T309" s="190"/>
      <c r="U309" s="64"/>
      <c r="V309" s="51">
        <f t="shared" si="30"/>
        <v>0</v>
      </c>
      <c r="W309" s="7"/>
      <c r="X309" s="7"/>
      <c r="Y309" s="7"/>
      <c r="Z309" s="7"/>
    </row>
    <row r="310" ht="14.25" customHeight="1">
      <c r="A310" s="7"/>
      <c r="B310" s="7" t="s">
        <v>1208</v>
      </c>
      <c r="C310" s="187"/>
      <c r="D310" s="200"/>
      <c r="E310" s="185"/>
      <c r="F310" s="185"/>
      <c r="G310" s="203">
        <v>4.0</v>
      </c>
      <c r="H310" s="186" t="s">
        <v>1113</v>
      </c>
      <c r="I310" s="187" t="s">
        <v>489</v>
      </c>
      <c r="J310" s="191">
        <v>1025.0</v>
      </c>
      <c r="K310" s="191">
        <v>4383.0</v>
      </c>
      <c r="L310" s="191">
        <v>3751.0</v>
      </c>
      <c r="M310" s="190">
        <v>3803.0</v>
      </c>
      <c r="N310" s="193">
        <v>2145.0</v>
      </c>
      <c r="O310" s="190"/>
      <c r="P310" s="190"/>
      <c r="Q310" s="190"/>
      <c r="R310" s="190"/>
      <c r="S310" s="64"/>
      <c r="T310" s="190"/>
      <c r="U310" s="64"/>
      <c r="V310" s="51">
        <f t="shared" si="30"/>
        <v>15107</v>
      </c>
      <c r="W310" s="7"/>
      <c r="X310" s="7"/>
      <c r="Y310" s="7"/>
      <c r="Z310" s="7"/>
    </row>
    <row r="311" ht="14.25" customHeight="1">
      <c r="A311" s="7"/>
      <c r="B311" s="7" t="s">
        <v>1208</v>
      </c>
      <c r="C311" s="187"/>
      <c r="D311" s="200"/>
      <c r="E311" s="185"/>
      <c r="F311" s="185"/>
      <c r="G311" s="203"/>
      <c r="H311" s="186"/>
      <c r="I311" s="187" t="s">
        <v>490</v>
      </c>
      <c r="J311" s="190"/>
      <c r="K311" s="190"/>
      <c r="L311" s="190"/>
      <c r="M311" s="190"/>
      <c r="N311" s="190"/>
      <c r="O311" s="190"/>
      <c r="P311" s="190"/>
      <c r="Q311" s="190"/>
      <c r="R311" s="190"/>
      <c r="S311" s="64"/>
      <c r="T311" s="190"/>
      <c r="U311" s="64"/>
      <c r="V311" s="51">
        <f t="shared" si="30"/>
        <v>0</v>
      </c>
      <c r="W311" s="7"/>
      <c r="X311" s="7"/>
      <c r="Y311" s="7"/>
      <c r="Z311" s="7"/>
    </row>
    <row r="312" ht="14.25" customHeight="1">
      <c r="A312" s="7"/>
      <c r="B312" s="7" t="s">
        <v>1208</v>
      </c>
      <c r="C312" s="187"/>
      <c r="D312" s="200"/>
      <c r="E312" s="185"/>
      <c r="F312" s="185"/>
      <c r="G312" s="203"/>
      <c r="H312" s="186"/>
      <c r="I312" s="187" t="s">
        <v>501</v>
      </c>
      <c r="J312" s="190"/>
      <c r="K312" s="190"/>
      <c r="L312" s="190"/>
      <c r="M312" s="190"/>
      <c r="N312" s="190"/>
      <c r="O312" s="190"/>
      <c r="P312" s="190"/>
      <c r="Q312" s="190"/>
      <c r="R312" s="190"/>
      <c r="S312" s="64"/>
      <c r="T312" s="190"/>
      <c r="U312" s="64"/>
      <c r="V312" s="51">
        <f t="shared" si="30"/>
        <v>0</v>
      </c>
      <c r="W312" s="7"/>
      <c r="X312" s="7"/>
      <c r="Y312" s="7"/>
      <c r="Z312" s="7"/>
    </row>
    <row r="313" ht="14.25" customHeight="1">
      <c r="A313" s="7"/>
      <c r="B313" s="7" t="s">
        <v>1209</v>
      </c>
      <c r="C313" s="187"/>
      <c r="D313" s="200"/>
      <c r="E313" s="185"/>
      <c r="F313" s="185"/>
      <c r="G313" s="203">
        <v>5.0</v>
      </c>
      <c r="H313" s="186" t="s">
        <v>1081</v>
      </c>
      <c r="I313" s="187" t="s">
        <v>489</v>
      </c>
      <c r="J313" s="190"/>
      <c r="K313" s="190"/>
      <c r="L313" s="190"/>
      <c r="M313" s="190"/>
      <c r="N313" s="190"/>
      <c r="O313" s="190"/>
      <c r="P313" s="190"/>
      <c r="Q313" s="190"/>
      <c r="R313" s="190"/>
      <c r="S313" s="64"/>
      <c r="T313" s="190"/>
      <c r="U313" s="64"/>
      <c r="V313" s="51">
        <f t="shared" si="30"/>
        <v>0</v>
      </c>
      <c r="W313" s="7"/>
      <c r="X313" s="7"/>
      <c r="Y313" s="7"/>
      <c r="Z313" s="7"/>
    </row>
    <row r="314" ht="14.25" customHeight="1">
      <c r="A314" s="7"/>
      <c r="B314" s="7" t="s">
        <v>1209</v>
      </c>
      <c r="C314" s="187"/>
      <c r="D314" s="200"/>
      <c r="E314" s="185"/>
      <c r="F314" s="185"/>
      <c r="G314" s="185"/>
      <c r="H314" s="186"/>
      <c r="I314" s="187" t="s">
        <v>490</v>
      </c>
      <c r="J314" s="190"/>
      <c r="K314" s="190"/>
      <c r="L314" s="190"/>
      <c r="M314" s="190"/>
      <c r="N314" s="190"/>
      <c r="O314" s="190"/>
      <c r="P314" s="190"/>
      <c r="Q314" s="190"/>
      <c r="R314" s="190"/>
      <c r="S314" s="64"/>
      <c r="T314" s="190"/>
      <c r="U314" s="64"/>
      <c r="V314" s="51">
        <f t="shared" si="30"/>
        <v>0</v>
      </c>
      <c r="W314" s="7"/>
      <c r="X314" s="7"/>
      <c r="Y314" s="7"/>
      <c r="Z314" s="7"/>
    </row>
    <row r="315" ht="14.25" customHeight="1">
      <c r="A315" s="7"/>
      <c r="B315" s="11"/>
      <c r="C315" s="187"/>
      <c r="D315" s="200"/>
      <c r="E315" s="185"/>
      <c r="F315" s="185"/>
      <c r="G315" s="185"/>
      <c r="H315" s="186"/>
      <c r="I315" s="187"/>
      <c r="J315" s="188"/>
      <c r="K315" s="119"/>
      <c r="L315" s="119"/>
      <c r="M315" s="119"/>
      <c r="N315" s="119"/>
      <c r="O315" s="119"/>
      <c r="P315" s="119"/>
      <c r="Q315" s="119"/>
      <c r="R315" s="119"/>
      <c r="S315" s="74"/>
      <c r="T315" s="119"/>
      <c r="U315" s="74"/>
      <c r="V315" s="119"/>
      <c r="W315" s="7"/>
      <c r="X315" s="7"/>
      <c r="Y315" s="7"/>
      <c r="Z315" s="7"/>
    </row>
    <row r="316" ht="14.25" customHeight="1">
      <c r="A316" s="7"/>
      <c r="C316" s="183">
        <v>12.0</v>
      </c>
      <c r="D316" s="184" t="s">
        <v>1210</v>
      </c>
      <c r="E316" s="185"/>
      <c r="F316" s="185"/>
      <c r="G316" s="185"/>
      <c r="H316" s="186"/>
      <c r="I316" s="187"/>
      <c r="J316" s="188"/>
      <c r="K316" s="119"/>
      <c r="L316" s="119"/>
      <c r="M316" s="119"/>
      <c r="N316" s="119"/>
      <c r="O316" s="119"/>
      <c r="P316" s="119"/>
      <c r="Q316" s="119"/>
      <c r="R316" s="119"/>
      <c r="S316" s="74"/>
      <c r="T316" s="119"/>
      <c r="U316" s="74"/>
      <c r="V316" s="119"/>
      <c r="W316" s="7"/>
      <c r="X316" s="7"/>
      <c r="Y316" s="7"/>
      <c r="Z316" s="7"/>
    </row>
    <row r="317" ht="14.25" customHeight="1">
      <c r="A317" s="7"/>
      <c r="C317" s="187"/>
      <c r="D317" s="189">
        <v>1.0</v>
      </c>
      <c r="E317" s="185" t="s">
        <v>1211</v>
      </c>
      <c r="F317" s="185"/>
      <c r="G317" s="185"/>
      <c r="H317" s="186"/>
      <c r="I317" s="187"/>
      <c r="J317" s="188"/>
      <c r="K317" s="119"/>
      <c r="L317" s="119"/>
      <c r="M317" s="119"/>
      <c r="N317" s="119"/>
      <c r="O317" s="119"/>
      <c r="P317" s="119"/>
      <c r="Q317" s="119"/>
      <c r="R317" s="119"/>
      <c r="S317" s="74"/>
      <c r="T317" s="119"/>
      <c r="U317" s="74"/>
      <c r="V317" s="119"/>
      <c r="W317" s="7"/>
      <c r="X317" s="7"/>
      <c r="Y317" s="7"/>
      <c r="Z317" s="7"/>
    </row>
    <row r="318" ht="14.25" customHeight="1">
      <c r="A318" s="7"/>
      <c r="B318" s="7" t="s">
        <v>1212</v>
      </c>
      <c r="C318" s="187"/>
      <c r="D318" s="200"/>
      <c r="E318" s="203">
        <v>1.0</v>
      </c>
      <c r="F318" s="185" t="s">
        <v>1213</v>
      </c>
      <c r="G318" s="185"/>
      <c r="H318" s="186"/>
      <c r="I318" s="187" t="s">
        <v>381</v>
      </c>
      <c r="J318" s="190"/>
      <c r="K318" s="190"/>
      <c r="L318" s="190"/>
      <c r="M318" s="190"/>
      <c r="N318" s="190"/>
      <c r="O318" s="190"/>
      <c r="P318" s="190"/>
      <c r="Q318" s="190"/>
      <c r="R318" s="190"/>
      <c r="S318" s="64"/>
      <c r="T318" s="190"/>
      <c r="U318" s="64"/>
      <c r="V318" s="51">
        <f t="shared" ref="V318:V354" si="31">SUM(J318:U318)</f>
        <v>0</v>
      </c>
      <c r="W318" s="7"/>
      <c r="X318" s="7"/>
      <c r="Y318" s="7"/>
      <c r="Z318" s="7"/>
    </row>
    <row r="319" ht="14.25" customHeight="1">
      <c r="A319" s="7"/>
      <c r="B319" s="7" t="s">
        <v>1212</v>
      </c>
      <c r="C319" s="187"/>
      <c r="D319" s="200"/>
      <c r="E319" s="203"/>
      <c r="F319" s="185"/>
      <c r="G319" s="185"/>
      <c r="H319" s="186"/>
      <c r="I319" s="187" t="s">
        <v>489</v>
      </c>
      <c r="J319" s="190"/>
      <c r="K319" s="190"/>
      <c r="L319" s="190"/>
      <c r="M319" s="190"/>
      <c r="N319" s="190"/>
      <c r="O319" s="190"/>
      <c r="P319" s="190"/>
      <c r="Q319" s="190"/>
      <c r="R319" s="190"/>
      <c r="S319" s="64"/>
      <c r="T319" s="190"/>
      <c r="U319" s="64"/>
      <c r="V319" s="51">
        <f t="shared" si="31"/>
        <v>0</v>
      </c>
      <c r="W319" s="7"/>
      <c r="X319" s="7"/>
      <c r="Y319" s="7"/>
      <c r="Z319" s="7"/>
    </row>
    <row r="320" ht="14.25" customHeight="1">
      <c r="A320" s="7"/>
      <c r="B320" s="7" t="s">
        <v>1212</v>
      </c>
      <c r="C320" s="187"/>
      <c r="D320" s="200"/>
      <c r="E320" s="203"/>
      <c r="F320" s="185"/>
      <c r="G320" s="185"/>
      <c r="H320" s="186"/>
      <c r="I320" s="187" t="s">
        <v>570</v>
      </c>
      <c r="J320" s="190"/>
      <c r="K320" s="190"/>
      <c r="L320" s="190"/>
      <c r="M320" s="190"/>
      <c r="N320" s="190"/>
      <c r="O320" s="190"/>
      <c r="P320" s="190"/>
      <c r="Q320" s="190"/>
      <c r="R320" s="190"/>
      <c r="S320" s="64"/>
      <c r="T320" s="190"/>
      <c r="U320" s="64"/>
      <c r="V320" s="51">
        <f t="shared" si="31"/>
        <v>0</v>
      </c>
      <c r="W320" s="7"/>
      <c r="X320" s="7"/>
      <c r="Y320" s="7"/>
      <c r="Z320" s="7"/>
    </row>
    <row r="321" ht="14.25" customHeight="1">
      <c r="A321" s="7"/>
      <c r="B321" s="7" t="s">
        <v>1214</v>
      </c>
      <c r="C321" s="187"/>
      <c r="D321" s="200"/>
      <c r="E321" s="203">
        <v>2.0</v>
      </c>
      <c r="F321" s="185" t="s">
        <v>1215</v>
      </c>
      <c r="G321" s="185"/>
      <c r="H321" s="186"/>
      <c r="I321" s="187" t="s">
        <v>381</v>
      </c>
      <c r="J321" s="214"/>
      <c r="K321" s="214"/>
      <c r="L321" s="190"/>
      <c r="M321" s="190"/>
      <c r="N321" s="190"/>
      <c r="O321" s="191"/>
      <c r="P321" s="191"/>
      <c r="Q321" s="191"/>
      <c r="R321" s="190"/>
      <c r="S321" s="64"/>
      <c r="T321" s="190"/>
      <c r="U321" s="64"/>
      <c r="V321" s="51">
        <f t="shared" si="31"/>
        <v>0</v>
      </c>
      <c r="W321" s="7"/>
      <c r="X321" s="7"/>
      <c r="Y321" s="7"/>
      <c r="Z321" s="7"/>
    </row>
    <row r="322" ht="14.25" customHeight="1">
      <c r="A322" s="7"/>
      <c r="B322" s="7" t="s">
        <v>1214</v>
      </c>
      <c r="C322" s="187"/>
      <c r="D322" s="200"/>
      <c r="E322" s="203"/>
      <c r="F322" s="185"/>
      <c r="G322" s="185"/>
      <c r="H322" s="186"/>
      <c r="I322" s="187" t="s">
        <v>489</v>
      </c>
      <c r="J322" s="204"/>
      <c r="K322" s="204"/>
      <c r="L322" s="190"/>
      <c r="M322" s="190"/>
      <c r="N322" s="190"/>
      <c r="O322" s="191"/>
      <c r="P322" s="191"/>
      <c r="Q322" s="198"/>
      <c r="R322" s="190"/>
      <c r="S322" s="64"/>
      <c r="T322" s="190"/>
      <c r="U322" s="64"/>
      <c r="V322" s="51">
        <f t="shared" si="31"/>
        <v>0</v>
      </c>
      <c r="W322" s="7"/>
      <c r="X322" s="7"/>
      <c r="Y322" s="7"/>
      <c r="Z322" s="7"/>
    </row>
    <row r="323" ht="14.25" customHeight="1">
      <c r="A323" s="7"/>
      <c r="B323" s="7" t="s">
        <v>1214</v>
      </c>
      <c r="C323" s="187"/>
      <c r="D323" s="200"/>
      <c r="E323" s="203"/>
      <c r="F323" s="185"/>
      <c r="G323" s="185"/>
      <c r="H323" s="186"/>
      <c r="I323" s="187" t="s">
        <v>490</v>
      </c>
      <c r="J323" s="204"/>
      <c r="K323" s="204"/>
      <c r="L323" s="190"/>
      <c r="M323" s="190"/>
      <c r="N323" s="190"/>
      <c r="O323" s="190"/>
      <c r="P323" s="198"/>
      <c r="Q323" s="198"/>
      <c r="R323" s="190"/>
      <c r="S323" s="64"/>
      <c r="T323" s="190"/>
      <c r="U323" s="64"/>
      <c r="V323" s="51">
        <f t="shared" si="31"/>
        <v>0</v>
      </c>
      <c r="W323" s="7"/>
      <c r="X323" s="7"/>
      <c r="Y323" s="7"/>
      <c r="Z323" s="7"/>
    </row>
    <row r="324" ht="14.25" customHeight="1">
      <c r="A324" s="7"/>
      <c r="B324" s="7" t="s">
        <v>1214</v>
      </c>
      <c r="C324" s="187"/>
      <c r="D324" s="200"/>
      <c r="E324" s="203"/>
      <c r="F324" s="185"/>
      <c r="G324" s="185"/>
      <c r="H324" s="186"/>
      <c r="I324" s="187" t="s">
        <v>570</v>
      </c>
      <c r="J324" s="204"/>
      <c r="K324" s="204"/>
      <c r="L324" s="190"/>
      <c r="M324" s="190"/>
      <c r="N324" s="190"/>
      <c r="O324" s="190"/>
      <c r="P324" s="198"/>
      <c r="Q324" s="191"/>
      <c r="R324" s="190"/>
      <c r="S324" s="64"/>
      <c r="T324" s="190"/>
      <c r="U324" s="64"/>
      <c r="V324" s="51">
        <f t="shared" si="31"/>
        <v>0</v>
      </c>
      <c r="W324" s="7"/>
      <c r="X324" s="7"/>
      <c r="Y324" s="7"/>
      <c r="Z324" s="7"/>
    </row>
    <row r="325" ht="14.25" customHeight="1">
      <c r="A325" s="7"/>
      <c r="B325" s="7" t="s">
        <v>1216</v>
      </c>
      <c r="C325" s="187"/>
      <c r="D325" s="200"/>
      <c r="E325" s="203">
        <v>3.0</v>
      </c>
      <c r="F325" s="185" t="s">
        <v>951</v>
      </c>
      <c r="G325" s="185"/>
      <c r="H325" s="186"/>
      <c r="I325" s="187" t="s">
        <v>381</v>
      </c>
      <c r="J325" s="204"/>
      <c r="K325" s="204"/>
      <c r="L325" s="190"/>
      <c r="M325" s="190"/>
      <c r="N325" s="190"/>
      <c r="O325" s="190"/>
      <c r="P325" s="198"/>
      <c r="Q325" s="190"/>
      <c r="R325" s="190"/>
      <c r="S325" s="64"/>
      <c r="T325" s="190"/>
      <c r="U325" s="64"/>
      <c r="V325" s="51">
        <f t="shared" si="31"/>
        <v>0</v>
      </c>
      <c r="W325" s="7"/>
      <c r="X325" s="7"/>
      <c r="Y325" s="7"/>
      <c r="Z325" s="7"/>
    </row>
    <row r="326" ht="14.25" customHeight="1">
      <c r="A326" s="7"/>
      <c r="B326" s="7" t="s">
        <v>1216</v>
      </c>
      <c r="C326" s="187"/>
      <c r="D326" s="200"/>
      <c r="E326" s="203"/>
      <c r="F326" s="185"/>
      <c r="G326" s="185"/>
      <c r="H326" s="186"/>
      <c r="I326" s="187" t="s">
        <v>489</v>
      </c>
      <c r="J326" s="204"/>
      <c r="K326" s="204"/>
      <c r="L326" s="190"/>
      <c r="M326" s="190"/>
      <c r="N326" s="190"/>
      <c r="O326" s="190"/>
      <c r="P326" s="198"/>
      <c r="Q326" s="190"/>
      <c r="R326" s="190"/>
      <c r="S326" s="64"/>
      <c r="T326" s="190"/>
      <c r="U326" s="64"/>
      <c r="V326" s="51">
        <f t="shared" si="31"/>
        <v>0</v>
      </c>
      <c r="W326" s="7"/>
      <c r="X326" s="7"/>
      <c r="Y326" s="7"/>
      <c r="Z326" s="7"/>
    </row>
    <row r="327" ht="14.25" customHeight="1">
      <c r="A327" s="7"/>
      <c r="B327" s="7" t="s">
        <v>1216</v>
      </c>
      <c r="C327" s="187"/>
      <c r="D327" s="200"/>
      <c r="E327" s="203"/>
      <c r="F327" s="185"/>
      <c r="G327" s="185"/>
      <c r="H327" s="186"/>
      <c r="I327" s="187" t="s">
        <v>570</v>
      </c>
      <c r="J327" s="204"/>
      <c r="K327" s="204"/>
      <c r="L327" s="190"/>
      <c r="M327" s="190"/>
      <c r="N327" s="190"/>
      <c r="O327" s="190"/>
      <c r="P327" s="198"/>
      <c r="Q327" s="190"/>
      <c r="R327" s="190"/>
      <c r="S327" s="64"/>
      <c r="T327" s="190"/>
      <c r="U327" s="64"/>
      <c r="V327" s="51">
        <f t="shared" si="31"/>
        <v>0</v>
      </c>
      <c r="W327" s="7"/>
      <c r="X327" s="7"/>
      <c r="Y327" s="7"/>
      <c r="Z327" s="7"/>
    </row>
    <row r="328" ht="14.25" customHeight="1">
      <c r="A328" s="7"/>
      <c r="B328" s="7" t="s">
        <v>1217</v>
      </c>
      <c r="C328" s="187"/>
      <c r="D328" s="200"/>
      <c r="E328" s="203">
        <v>4.0</v>
      </c>
      <c r="F328" s="185" t="s">
        <v>931</v>
      </c>
      <c r="G328" s="185"/>
      <c r="H328" s="186"/>
      <c r="I328" s="187" t="s">
        <v>381</v>
      </c>
      <c r="J328" s="204"/>
      <c r="K328" s="204"/>
      <c r="L328" s="190"/>
      <c r="M328" s="190"/>
      <c r="N328" s="190"/>
      <c r="O328" s="190"/>
      <c r="P328" s="198"/>
      <c r="Q328" s="190"/>
      <c r="R328" s="190"/>
      <c r="S328" s="64"/>
      <c r="T328" s="190"/>
      <c r="U328" s="64"/>
      <c r="V328" s="51">
        <f t="shared" si="31"/>
        <v>0</v>
      </c>
      <c r="W328" s="7"/>
      <c r="X328" s="7"/>
      <c r="Y328" s="7"/>
      <c r="Z328" s="7"/>
    </row>
    <row r="329" ht="14.25" customHeight="1">
      <c r="A329" s="7"/>
      <c r="B329" s="7" t="s">
        <v>1217</v>
      </c>
      <c r="C329" s="187"/>
      <c r="D329" s="200"/>
      <c r="E329" s="203"/>
      <c r="F329" s="185"/>
      <c r="G329" s="185"/>
      <c r="H329" s="186"/>
      <c r="I329" s="187" t="s">
        <v>489</v>
      </c>
      <c r="J329" s="204"/>
      <c r="K329" s="204"/>
      <c r="L329" s="190"/>
      <c r="M329" s="190"/>
      <c r="N329" s="190"/>
      <c r="O329" s="190"/>
      <c r="P329" s="198"/>
      <c r="Q329" s="190"/>
      <c r="R329" s="190"/>
      <c r="S329" s="64"/>
      <c r="T329" s="190"/>
      <c r="U329" s="64"/>
      <c r="V329" s="51">
        <f t="shared" si="31"/>
        <v>0</v>
      </c>
      <c r="W329" s="7"/>
      <c r="X329" s="7"/>
      <c r="Y329" s="7"/>
      <c r="Z329" s="7"/>
    </row>
    <row r="330" ht="14.25" customHeight="1">
      <c r="A330" s="7"/>
      <c r="B330" s="7" t="s">
        <v>1217</v>
      </c>
      <c r="C330" s="187"/>
      <c r="D330" s="200"/>
      <c r="E330" s="203"/>
      <c r="F330" s="185"/>
      <c r="G330" s="185"/>
      <c r="H330" s="186"/>
      <c r="I330" s="187" t="s">
        <v>490</v>
      </c>
      <c r="J330" s="204"/>
      <c r="K330" s="204"/>
      <c r="L330" s="190"/>
      <c r="M330" s="190"/>
      <c r="N330" s="190"/>
      <c r="O330" s="190"/>
      <c r="P330" s="198"/>
      <c r="Q330" s="190"/>
      <c r="R330" s="190"/>
      <c r="S330" s="64"/>
      <c r="T330" s="190"/>
      <c r="U330" s="64"/>
      <c r="V330" s="51">
        <f t="shared" si="31"/>
        <v>0</v>
      </c>
      <c r="W330" s="7"/>
      <c r="X330" s="7"/>
      <c r="Y330" s="7"/>
      <c r="Z330" s="7"/>
    </row>
    <row r="331" ht="14.25" customHeight="1">
      <c r="A331" s="7"/>
      <c r="B331" s="7" t="s">
        <v>1217</v>
      </c>
      <c r="C331" s="187"/>
      <c r="D331" s="200"/>
      <c r="E331" s="203"/>
      <c r="F331" s="185"/>
      <c r="G331" s="185"/>
      <c r="H331" s="186"/>
      <c r="I331" s="187" t="s">
        <v>570</v>
      </c>
      <c r="J331" s="204"/>
      <c r="K331" s="204"/>
      <c r="L331" s="190"/>
      <c r="M331" s="190"/>
      <c r="N331" s="190"/>
      <c r="O331" s="190"/>
      <c r="P331" s="198"/>
      <c r="Q331" s="190"/>
      <c r="R331" s="190"/>
      <c r="S331" s="64"/>
      <c r="T331" s="190"/>
      <c r="U331" s="64"/>
      <c r="V331" s="51">
        <f t="shared" si="31"/>
        <v>0</v>
      </c>
      <c r="W331" s="7"/>
      <c r="X331" s="7"/>
      <c r="Y331" s="7"/>
      <c r="Z331" s="7"/>
    </row>
    <row r="332" ht="14.25" customHeight="1">
      <c r="A332" s="7"/>
      <c r="B332" s="7" t="s">
        <v>1218</v>
      </c>
      <c r="C332" s="187"/>
      <c r="D332" s="200"/>
      <c r="E332" s="203">
        <v>5.0</v>
      </c>
      <c r="F332" s="185" t="s">
        <v>929</v>
      </c>
      <c r="G332" s="185"/>
      <c r="H332" s="186"/>
      <c r="I332" s="187" t="s">
        <v>381</v>
      </c>
      <c r="J332" s="204"/>
      <c r="K332" s="204"/>
      <c r="L332" s="190"/>
      <c r="M332" s="190"/>
      <c r="N332" s="190"/>
      <c r="O332" s="190"/>
      <c r="P332" s="198"/>
      <c r="Q332" s="190"/>
      <c r="R332" s="190"/>
      <c r="S332" s="64"/>
      <c r="T332" s="190"/>
      <c r="U332" s="64"/>
      <c r="V332" s="51">
        <f t="shared" si="31"/>
        <v>0</v>
      </c>
      <c r="W332" s="7"/>
      <c r="X332" s="7"/>
      <c r="Y332" s="7"/>
      <c r="Z332" s="7"/>
    </row>
    <row r="333" ht="14.25" customHeight="1">
      <c r="A333" s="7"/>
      <c r="B333" s="7" t="s">
        <v>1218</v>
      </c>
      <c r="C333" s="187"/>
      <c r="D333" s="200"/>
      <c r="E333" s="203"/>
      <c r="F333" s="185"/>
      <c r="G333" s="185"/>
      <c r="H333" s="186"/>
      <c r="I333" s="187" t="s">
        <v>489</v>
      </c>
      <c r="J333" s="204"/>
      <c r="K333" s="204"/>
      <c r="L333" s="190"/>
      <c r="M333" s="190"/>
      <c r="N333" s="190"/>
      <c r="O333" s="190"/>
      <c r="P333" s="198"/>
      <c r="Q333" s="190"/>
      <c r="R333" s="190"/>
      <c r="S333" s="64"/>
      <c r="T333" s="190"/>
      <c r="U333" s="64"/>
      <c r="V333" s="51">
        <f t="shared" si="31"/>
        <v>0</v>
      </c>
      <c r="W333" s="7"/>
      <c r="X333" s="7"/>
      <c r="Y333" s="7"/>
      <c r="Z333" s="7"/>
    </row>
    <row r="334" ht="14.25" customHeight="1">
      <c r="A334" s="7"/>
      <c r="B334" s="7" t="s">
        <v>1218</v>
      </c>
      <c r="C334" s="187"/>
      <c r="D334" s="200"/>
      <c r="E334" s="203"/>
      <c r="F334" s="185"/>
      <c r="G334" s="185"/>
      <c r="H334" s="186"/>
      <c r="I334" s="187" t="s">
        <v>570</v>
      </c>
      <c r="J334" s="204"/>
      <c r="K334" s="204"/>
      <c r="L334" s="190"/>
      <c r="M334" s="190"/>
      <c r="N334" s="190"/>
      <c r="O334" s="190"/>
      <c r="P334" s="198"/>
      <c r="Q334" s="190"/>
      <c r="R334" s="190"/>
      <c r="S334" s="64"/>
      <c r="T334" s="190"/>
      <c r="U334" s="64"/>
      <c r="V334" s="51">
        <f t="shared" si="31"/>
        <v>0</v>
      </c>
      <c r="W334" s="7"/>
      <c r="X334" s="7"/>
      <c r="Y334" s="7"/>
      <c r="Z334" s="7"/>
    </row>
    <row r="335" ht="14.25" customHeight="1">
      <c r="A335" s="7"/>
      <c r="B335" s="7" t="s">
        <v>1218</v>
      </c>
      <c r="C335" s="187"/>
      <c r="D335" s="200"/>
      <c r="E335" s="203"/>
      <c r="F335" s="185"/>
      <c r="G335" s="185"/>
      <c r="H335" s="186"/>
      <c r="I335" s="187" t="s">
        <v>1087</v>
      </c>
      <c r="J335" s="204"/>
      <c r="K335" s="204"/>
      <c r="L335" s="190"/>
      <c r="M335" s="190"/>
      <c r="N335" s="190"/>
      <c r="O335" s="190"/>
      <c r="P335" s="198"/>
      <c r="Q335" s="190"/>
      <c r="R335" s="190"/>
      <c r="S335" s="64"/>
      <c r="T335" s="190"/>
      <c r="U335" s="64"/>
      <c r="V335" s="51">
        <f t="shared" si="31"/>
        <v>0</v>
      </c>
      <c r="W335" s="7"/>
      <c r="X335" s="7"/>
      <c r="Y335" s="7"/>
      <c r="Z335" s="7"/>
    </row>
    <row r="336" ht="14.25" customHeight="1">
      <c r="A336" s="7"/>
      <c r="B336" s="7" t="s">
        <v>1219</v>
      </c>
      <c r="C336" s="187"/>
      <c r="D336" s="200"/>
      <c r="E336" s="203">
        <v>6.0</v>
      </c>
      <c r="F336" s="185" t="s">
        <v>1220</v>
      </c>
      <c r="G336" s="185"/>
      <c r="H336" s="186"/>
      <c r="I336" s="187" t="s">
        <v>570</v>
      </c>
      <c r="J336" s="204"/>
      <c r="K336" s="204"/>
      <c r="L336" s="190"/>
      <c r="M336" s="190"/>
      <c r="N336" s="190"/>
      <c r="O336" s="190"/>
      <c r="P336" s="198"/>
      <c r="Q336" s="190"/>
      <c r="R336" s="190"/>
      <c r="S336" s="64"/>
      <c r="T336" s="190"/>
      <c r="U336" s="64"/>
      <c r="V336" s="51">
        <f t="shared" si="31"/>
        <v>0</v>
      </c>
      <c r="W336" s="7"/>
      <c r="X336" s="7"/>
      <c r="Y336" s="7"/>
      <c r="Z336" s="7"/>
    </row>
    <row r="337" ht="14.25" customHeight="1">
      <c r="A337" s="7"/>
      <c r="B337" s="7" t="s">
        <v>1221</v>
      </c>
      <c r="C337" s="187"/>
      <c r="D337" s="200"/>
      <c r="E337" s="203">
        <v>7.0</v>
      </c>
      <c r="F337" s="185" t="s">
        <v>1222</v>
      </c>
      <c r="G337" s="185"/>
      <c r="H337" s="186"/>
      <c r="I337" s="187" t="s">
        <v>381</v>
      </c>
      <c r="J337" s="204"/>
      <c r="K337" s="204"/>
      <c r="L337" s="190"/>
      <c r="M337" s="190"/>
      <c r="N337" s="190"/>
      <c r="O337" s="190"/>
      <c r="P337" s="198"/>
      <c r="Q337" s="190"/>
      <c r="R337" s="190"/>
      <c r="S337" s="64"/>
      <c r="T337" s="190"/>
      <c r="U337" s="64"/>
      <c r="V337" s="51">
        <f t="shared" si="31"/>
        <v>0</v>
      </c>
      <c r="W337" s="7"/>
      <c r="X337" s="7"/>
      <c r="Y337" s="7"/>
      <c r="Z337" s="7"/>
    </row>
    <row r="338" ht="14.25" customHeight="1">
      <c r="A338" s="7"/>
      <c r="B338" s="7" t="s">
        <v>1223</v>
      </c>
      <c r="C338" s="187"/>
      <c r="D338" s="200"/>
      <c r="E338" s="203">
        <v>8.0</v>
      </c>
      <c r="F338" s="185" t="s">
        <v>917</v>
      </c>
      <c r="G338" s="185"/>
      <c r="H338" s="186"/>
      <c r="I338" s="187" t="s">
        <v>381</v>
      </c>
      <c r="J338" s="204"/>
      <c r="K338" s="204"/>
      <c r="L338" s="190"/>
      <c r="M338" s="190"/>
      <c r="N338" s="190"/>
      <c r="O338" s="190"/>
      <c r="P338" s="198"/>
      <c r="Q338" s="190"/>
      <c r="R338" s="190"/>
      <c r="S338" s="64"/>
      <c r="T338" s="190"/>
      <c r="U338" s="64"/>
      <c r="V338" s="51">
        <f t="shared" si="31"/>
        <v>0</v>
      </c>
      <c r="W338" s="7"/>
      <c r="X338" s="7"/>
      <c r="Y338" s="7"/>
      <c r="Z338" s="7"/>
    </row>
    <row r="339" ht="14.25" customHeight="1">
      <c r="A339" s="7"/>
      <c r="B339" s="7" t="s">
        <v>1223</v>
      </c>
      <c r="C339" s="187"/>
      <c r="D339" s="200"/>
      <c r="E339" s="203"/>
      <c r="F339" s="185"/>
      <c r="G339" s="185"/>
      <c r="H339" s="186"/>
      <c r="I339" s="187" t="s">
        <v>570</v>
      </c>
      <c r="J339" s="204"/>
      <c r="K339" s="204"/>
      <c r="L339" s="190"/>
      <c r="M339" s="190"/>
      <c r="N339" s="190"/>
      <c r="O339" s="190"/>
      <c r="P339" s="198"/>
      <c r="Q339" s="190"/>
      <c r="R339" s="190"/>
      <c r="S339" s="64"/>
      <c r="T339" s="190"/>
      <c r="U339" s="64"/>
      <c r="V339" s="51">
        <f t="shared" si="31"/>
        <v>0</v>
      </c>
      <c r="W339" s="7"/>
      <c r="X339" s="7"/>
      <c r="Y339" s="7"/>
      <c r="Z339" s="7"/>
    </row>
    <row r="340" ht="14.25" customHeight="1">
      <c r="A340" s="7"/>
      <c r="B340" s="7" t="s">
        <v>1223</v>
      </c>
      <c r="C340" s="187"/>
      <c r="D340" s="200"/>
      <c r="E340" s="203"/>
      <c r="F340" s="185"/>
      <c r="G340" s="185"/>
      <c r="H340" s="186"/>
      <c r="I340" s="187" t="s">
        <v>489</v>
      </c>
      <c r="J340" s="204"/>
      <c r="K340" s="204"/>
      <c r="L340" s="190"/>
      <c r="M340" s="190"/>
      <c r="N340" s="190"/>
      <c r="O340" s="190"/>
      <c r="P340" s="198"/>
      <c r="Q340" s="190"/>
      <c r="R340" s="190"/>
      <c r="S340" s="64"/>
      <c r="T340" s="190"/>
      <c r="U340" s="64"/>
      <c r="V340" s="51">
        <f t="shared" si="31"/>
        <v>0</v>
      </c>
      <c r="W340" s="7"/>
      <c r="X340" s="7"/>
      <c r="Y340" s="7"/>
      <c r="Z340" s="7"/>
    </row>
    <row r="341" ht="14.25" customHeight="1">
      <c r="A341" s="7"/>
      <c r="B341" s="7" t="s">
        <v>1224</v>
      </c>
      <c r="C341" s="187"/>
      <c r="D341" s="200"/>
      <c r="E341" s="203">
        <v>9.0</v>
      </c>
      <c r="F341" s="185" t="s">
        <v>921</v>
      </c>
      <c r="G341" s="185"/>
      <c r="H341" s="186"/>
      <c r="I341" s="187" t="s">
        <v>381</v>
      </c>
      <c r="J341" s="204"/>
      <c r="K341" s="204"/>
      <c r="L341" s="190"/>
      <c r="M341" s="190"/>
      <c r="N341" s="190"/>
      <c r="O341" s="190"/>
      <c r="P341" s="198"/>
      <c r="Q341" s="190"/>
      <c r="R341" s="190"/>
      <c r="S341" s="64"/>
      <c r="T341" s="190"/>
      <c r="U341" s="64"/>
      <c r="V341" s="51">
        <f t="shared" si="31"/>
        <v>0</v>
      </c>
      <c r="W341" s="7"/>
      <c r="X341" s="7"/>
      <c r="Y341" s="7"/>
      <c r="Z341" s="7"/>
    </row>
    <row r="342" ht="14.25" customHeight="1">
      <c r="A342" s="7"/>
      <c r="B342" s="7" t="s">
        <v>1224</v>
      </c>
      <c r="C342" s="187"/>
      <c r="D342" s="200"/>
      <c r="E342" s="203"/>
      <c r="F342" s="185"/>
      <c r="G342" s="185"/>
      <c r="H342" s="186"/>
      <c r="I342" s="187" t="s">
        <v>570</v>
      </c>
      <c r="J342" s="204"/>
      <c r="K342" s="204"/>
      <c r="L342" s="190"/>
      <c r="M342" s="190"/>
      <c r="N342" s="190"/>
      <c r="O342" s="190"/>
      <c r="P342" s="198"/>
      <c r="Q342" s="190"/>
      <c r="R342" s="190"/>
      <c r="S342" s="64"/>
      <c r="T342" s="190"/>
      <c r="U342" s="64"/>
      <c r="V342" s="51">
        <f t="shared" si="31"/>
        <v>0</v>
      </c>
      <c r="W342" s="7"/>
      <c r="X342" s="7"/>
      <c r="Y342" s="7"/>
      <c r="Z342" s="7"/>
    </row>
    <row r="343" ht="14.25" customHeight="1">
      <c r="A343" s="7"/>
      <c r="B343" s="7" t="s">
        <v>1224</v>
      </c>
      <c r="C343" s="187"/>
      <c r="D343" s="200"/>
      <c r="E343" s="203"/>
      <c r="F343" s="185"/>
      <c r="G343" s="185"/>
      <c r="H343" s="186"/>
      <c r="I343" s="187" t="s">
        <v>489</v>
      </c>
      <c r="J343" s="204"/>
      <c r="K343" s="204"/>
      <c r="L343" s="190"/>
      <c r="M343" s="190"/>
      <c r="N343" s="190"/>
      <c r="O343" s="190"/>
      <c r="P343" s="198"/>
      <c r="Q343" s="190"/>
      <c r="R343" s="190"/>
      <c r="S343" s="64"/>
      <c r="T343" s="190"/>
      <c r="U343" s="64"/>
      <c r="V343" s="51">
        <f t="shared" si="31"/>
        <v>0</v>
      </c>
      <c r="W343" s="7"/>
      <c r="X343" s="7"/>
      <c r="Y343" s="7"/>
      <c r="Z343" s="7"/>
    </row>
    <row r="344" ht="14.25" customHeight="1">
      <c r="A344" s="7"/>
      <c r="B344" s="7" t="s">
        <v>1225</v>
      </c>
      <c r="C344" s="187"/>
      <c r="D344" s="200"/>
      <c r="E344" s="203">
        <v>10.0</v>
      </c>
      <c r="F344" s="185" t="s">
        <v>943</v>
      </c>
      <c r="G344" s="185"/>
      <c r="H344" s="186"/>
      <c r="I344" s="187" t="s">
        <v>489</v>
      </c>
      <c r="J344" s="191">
        <v>41496.0</v>
      </c>
      <c r="K344" s="191">
        <v>99656.0</v>
      </c>
      <c r="L344" s="191">
        <v>87443.0</v>
      </c>
      <c r="M344" s="191">
        <v>32446.0</v>
      </c>
      <c r="N344" s="193">
        <v>121698.0</v>
      </c>
      <c r="O344" s="191"/>
      <c r="P344" s="191"/>
      <c r="Q344" s="191"/>
      <c r="R344" s="191"/>
      <c r="S344" s="191"/>
      <c r="T344" s="191"/>
      <c r="U344" s="191"/>
      <c r="V344" s="51">
        <f t="shared" si="31"/>
        <v>382739</v>
      </c>
      <c r="W344" s="7"/>
      <c r="X344" s="7"/>
      <c r="Y344" s="7"/>
      <c r="Z344" s="7"/>
    </row>
    <row r="345" ht="14.25" customHeight="1">
      <c r="A345" s="7"/>
      <c r="B345" s="7" t="s">
        <v>1225</v>
      </c>
      <c r="C345" s="187"/>
      <c r="D345" s="200"/>
      <c r="E345" s="203"/>
      <c r="F345" s="185"/>
      <c r="G345" s="185"/>
      <c r="H345" s="186"/>
      <c r="I345" s="187" t="s">
        <v>570</v>
      </c>
      <c r="J345" s="191">
        <v>50.0</v>
      </c>
      <c r="K345" s="191">
        <v>83.0</v>
      </c>
      <c r="L345" s="191">
        <v>63.0</v>
      </c>
      <c r="M345" s="191">
        <v>41.0</v>
      </c>
      <c r="N345" s="196">
        <v>139.0</v>
      </c>
      <c r="O345" s="191"/>
      <c r="P345" s="191"/>
      <c r="Q345" s="191"/>
      <c r="R345" s="191"/>
      <c r="S345" s="191"/>
      <c r="T345" s="191"/>
      <c r="U345" s="191"/>
      <c r="V345" s="51">
        <f t="shared" si="31"/>
        <v>376</v>
      </c>
      <c r="W345" s="7"/>
      <c r="X345" s="7"/>
      <c r="Y345" s="7"/>
      <c r="Z345" s="7"/>
    </row>
    <row r="346" ht="14.25" customHeight="1">
      <c r="A346" s="7"/>
      <c r="B346" s="7" t="s">
        <v>1226</v>
      </c>
      <c r="C346" s="187"/>
      <c r="D346" s="200"/>
      <c r="E346" s="203">
        <v>11.0</v>
      </c>
      <c r="F346" s="185" t="s">
        <v>1227</v>
      </c>
      <c r="G346" s="185"/>
      <c r="H346" s="186"/>
      <c r="I346" s="187" t="s">
        <v>381</v>
      </c>
      <c r="J346" s="198"/>
      <c r="K346" s="198"/>
      <c r="L346" s="198"/>
      <c r="M346" s="198"/>
      <c r="N346" s="205"/>
      <c r="O346" s="198"/>
      <c r="P346" s="198"/>
      <c r="Q346" s="198"/>
      <c r="R346" s="198"/>
      <c r="S346" s="198"/>
      <c r="T346" s="198"/>
      <c r="U346" s="198"/>
      <c r="V346" s="51">
        <f t="shared" si="31"/>
        <v>0</v>
      </c>
      <c r="W346" s="7"/>
      <c r="X346" s="7"/>
      <c r="Y346" s="7"/>
      <c r="Z346" s="7"/>
    </row>
    <row r="347" ht="14.25" customHeight="1">
      <c r="A347" s="7"/>
      <c r="B347" s="7" t="s">
        <v>1226</v>
      </c>
      <c r="C347" s="187"/>
      <c r="D347" s="200"/>
      <c r="E347" s="203"/>
      <c r="F347" s="185"/>
      <c r="G347" s="185"/>
      <c r="H347" s="186"/>
      <c r="I347" s="187" t="s">
        <v>489</v>
      </c>
      <c r="J347" s="191">
        <v>48111.0</v>
      </c>
      <c r="K347" s="191">
        <v>226289.0</v>
      </c>
      <c r="L347" s="191">
        <v>139240.0</v>
      </c>
      <c r="M347" s="191">
        <v>40575.0</v>
      </c>
      <c r="N347" s="196">
        <v>117448.0</v>
      </c>
      <c r="O347" s="191"/>
      <c r="P347" s="191"/>
      <c r="Q347" s="191"/>
      <c r="R347" s="191"/>
      <c r="S347" s="191"/>
      <c r="T347" s="191"/>
      <c r="U347" s="191"/>
      <c r="V347" s="51">
        <f t="shared" si="31"/>
        <v>571663</v>
      </c>
      <c r="W347" s="7"/>
      <c r="X347" s="7"/>
      <c r="Y347" s="7"/>
      <c r="Z347" s="7"/>
    </row>
    <row r="348" ht="14.25" customHeight="1">
      <c r="A348" s="7"/>
      <c r="B348" s="7" t="s">
        <v>1226</v>
      </c>
      <c r="C348" s="187"/>
      <c r="D348" s="200"/>
      <c r="E348" s="203"/>
      <c r="F348" s="185"/>
      <c r="G348" s="185"/>
      <c r="H348" s="186"/>
      <c r="I348" s="187" t="s">
        <v>490</v>
      </c>
      <c r="J348" s="206"/>
      <c r="K348" s="198"/>
      <c r="L348" s="198"/>
      <c r="M348" s="198"/>
      <c r="N348" s="205"/>
      <c r="O348" s="198"/>
      <c r="P348" s="191"/>
      <c r="Q348" s="198"/>
      <c r="R348" s="198"/>
      <c r="S348" s="198"/>
      <c r="T348" s="198"/>
      <c r="U348" s="198"/>
      <c r="V348" s="51">
        <f t="shared" si="31"/>
        <v>0</v>
      </c>
      <c r="W348" s="7"/>
      <c r="X348" s="7"/>
      <c r="Y348" s="7"/>
      <c r="Z348" s="7"/>
    </row>
    <row r="349" ht="14.25" customHeight="1">
      <c r="A349" s="7"/>
      <c r="B349" s="7" t="s">
        <v>1228</v>
      </c>
      <c r="C349" s="187"/>
      <c r="D349" s="200"/>
      <c r="E349" s="203">
        <v>12.0</v>
      </c>
      <c r="F349" s="185" t="s">
        <v>919</v>
      </c>
      <c r="G349" s="185"/>
      <c r="H349" s="186"/>
      <c r="I349" s="187" t="s">
        <v>381</v>
      </c>
      <c r="J349" s="204"/>
      <c r="K349" s="198"/>
      <c r="L349" s="198"/>
      <c r="M349" s="198"/>
      <c r="N349" s="205"/>
      <c r="O349" s="198"/>
      <c r="P349" s="198"/>
      <c r="Q349" s="198"/>
      <c r="R349" s="198"/>
      <c r="S349" s="198"/>
      <c r="T349" s="198"/>
      <c r="U349" s="198"/>
      <c r="V349" s="51">
        <f t="shared" si="31"/>
        <v>0</v>
      </c>
      <c r="W349" s="7"/>
      <c r="X349" s="7"/>
      <c r="Y349" s="7"/>
      <c r="Z349" s="7"/>
    </row>
    <row r="350" ht="14.25" customHeight="1">
      <c r="A350" s="7"/>
      <c r="B350" s="7" t="s">
        <v>1228</v>
      </c>
      <c r="C350" s="187"/>
      <c r="D350" s="200"/>
      <c r="E350" s="203"/>
      <c r="F350" s="185"/>
      <c r="G350" s="185"/>
      <c r="H350" s="186"/>
      <c r="I350" s="187" t="s">
        <v>570</v>
      </c>
      <c r="J350" s="204"/>
      <c r="K350" s="198"/>
      <c r="L350" s="198"/>
      <c r="M350" s="198"/>
      <c r="N350" s="205"/>
      <c r="O350" s="198"/>
      <c r="P350" s="198"/>
      <c r="Q350" s="198"/>
      <c r="R350" s="198"/>
      <c r="S350" s="198"/>
      <c r="T350" s="198"/>
      <c r="U350" s="198"/>
      <c r="V350" s="51">
        <f t="shared" si="31"/>
        <v>0</v>
      </c>
      <c r="W350" s="7"/>
      <c r="X350" s="7"/>
      <c r="Y350" s="7"/>
      <c r="Z350" s="7"/>
    </row>
    <row r="351" ht="14.25" customHeight="1">
      <c r="A351" s="7"/>
      <c r="B351" s="7" t="s">
        <v>1228</v>
      </c>
      <c r="C351" s="187"/>
      <c r="D351" s="200"/>
      <c r="E351" s="203"/>
      <c r="F351" s="185"/>
      <c r="G351" s="185"/>
      <c r="H351" s="186"/>
      <c r="I351" s="187" t="s">
        <v>489</v>
      </c>
      <c r="J351" s="204"/>
      <c r="K351" s="198"/>
      <c r="L351" s="198"/>
      <c r="M351" s="198"/>
      <c r="N351" s="205"/>
      <c r="O351" s="198"/>
      <c r="P351" s="198"/>
      <c r="Q351" s="191"/>
      <c r="R351" s="198"/>
      <c r="S351" s="198"/>
      <c r="T351" s="198"/>
      <c r="U351" s="198"/>
      <c r="V351" s="51">
        <f t="shared" si="31"/>
        <v>0</v>
      </c>
      <c r="W351" s="7"/>
      <c r="X351" s="7"/>
      <c r="Y351" s="7"/>
      <c r="Z351" s="7"/>
    </row>
    <row r="352" ht="14.25" customHeight="1">
      <c r="A352" s="7"/>
      <c r="B352" s="7" t="s">
        <v>1229</v>
      </c>
      <c r="C352" s="187"/>
      <c r="D352" s="200"/>
      <c r="E352" s="203">
        <v>13.0</v>
      </c>
      <c r="F352" s="185" t="s">
        <v>937</v>
      </c>
      <c r="G352" s="185"/>
      <c r="H352" s="186"/>
      <c r="I352" s="187" t="s">
        <v>570</v>
      </c>
      <c r="J352" s="190">
        <v>40.5</v>
      </c>
      <c r="K352" s="191">
        <v>182.0</v>
      </c>
      <c r="L352" s="191">
        <v>0.0</v>
      </c>
      <c r="M352" s="191">
        <v>156.0</v>
      </c>
      <c r="N352" s="196">
        <v>320.0</v>
      </c>
      <c r="O352" s="191"/>
      <c r="P352" s="191"/>
      <c r="Q352" s="198"/>
      <c r="R352" s="191"/>
      <c r="S352" s="191"/>
      <c r="T352" s="191"/>
      <c r="U352" s="191"/>
      <c r="V352" s="51">
        <f t="shared" si="31"/>
        <v>698.5</v>
      </c>
      <c r="W352" s="7"/>
      <c r="X352" s="7"/>
      <c r="Y352" s="7"/>
      <c r="Z352" s="7"/>
    </row>
    <row r="353" ht="14.25" customHeight="1">
      <c r="A353" s="7"/>
      <c r="B353" s="7" t="s">
        <v>1229</v>
      </c>
      <c r="C353" s="187"/>
      <c r="D353" s="200"/>
      <c r="E353" s="203"/>
      <c r="F353" s="185"/>
      <c r="G353" s="185"/>
      <c r="H353" s="186"/>
      <c r="I353" s="187" t="s">
        <v>489</v>
      </c>
      <c r="J353" s="191"/>
      <c r="K353" s="204"/>
      <c r="L353" s="191"/>
      <c r="M353" s="191"/>
      <c r="N353" s="191"/>
      <c r="O353" s="191"/>
      <c r="P353" s="198"/>
      <c r="Q353" s="191"/>
      <c r="R353" s="198"/>
      <c r="S353" s="198"/>
      <c r="T353" s="191"/>
      <c r="U353" s="191"/>
      <c r="V353" s="51">
        <f t="shared" si="31"/>
        <v>0</v>
      </c>
      <c r="W353" s="7"/>
      <c r="X353" s="7"/>
      <c r="Y353" s="7"/>
      <c r="Z353" s="7"/>
    </row>
    <row r="354" ht="14.25" customHeight="1">
      <c r="A354" s="7"/>
      <c r="B354" s="7" t="s">
        <v>1230</v>
      </c>
      <c r="C354" s="187"/>
      <c r="D354" s="200"/>
      <c r="E354" s="203">
        <v>14.0</v>
      </c>
      <c r="F354" s="185" t="s">
        <v>915</v>
      </c>
      <c r="G354" s="185"/>
      <c r="H354" s="186"/>
      <c r="I354" s="187" t="s">
        <v>381</v>
      </c>
      <c r="J354" s="190"/>
      <c r="K354" s="204"/>
      <c r="L354" s="190"/>
      <c r="M354" s="190"/>
      <c r="N354" s="190"/>
      <c r="O354" s="190"/>
      <c r="P354" s="198"/>
      <c r="Q354" s="198"/>
      <c r="R354" s="198"/>
      <c r="S354" s="198"/>
      <c r="T354" s="190"/>
      <c r="U354" s="64"/>
      <c r="V354" s="51">
        <f t="shared" si="31"/>
        <v>0</v>
      </c>
      <c r="W354" s="7"/>
      <c r="X354" s="7"/>
      <c r="Y354" s="7"/>
      <c r="Z354" s="7"/>
    </row>
    <row r="355" ht="14.25" customHeight="1">
      <c r="A355" s="7"/>
      <c r="C355" s="187"/>
      <c r="D355" s="189">
        <v>2.0</v>
      </c>
      <c r="E355" s="185" t="s">
        <v>1231</v>
      </c>
      <c r="F355" s="185"/>
      <c r="G355" s="185"/>
      <c r="H355" s="186"/>
      <c r="I355" s="187"/>
      <c r="J355" s="188"/>
      <c r="K355" s="119"/>
      <c r="L355" s="119"/>
      <c r="M355" s="119"/>
      <c r="N355" s="119"/>
      <c r="O355" s="119"/>
      <c r="P355" s="119"/>
      <c r="Q355" s="43"/>
      <c r="R355" s="43"/>
      <c r="S355" s="43"/>
      <c r="T355" s="119"/>
      <c r="U355" s="74"/>
      <c r="V355" s="119"/>
      <c r="W355" s="7"/>
      <c r="X355" s="7"/>
      <c r="Y355" s="7"/>
      <c r="Z355" s="7"/>
    </row>
    <row r="356" ht="14.25" customHeight="1">
      <c r="A356" s="7"/>
      <c r="B356" s="7" t="s">
        <v>1232</v>
      </c>
      <c r="C356" s="187"/>
      <c r="D356" s="200"/>
      <c r="E356" s="203">
        <v>1.0</v>
      </c>
      <c r="F356" s="185" t="s">
        <v>923</v>
      </c>
      <c r="G356" s="185"/>
      <c r="H356" s="186"/>
      <c r="I356" s="187" t="s">
        <v>381</v>
      </c>
      <c r="J356" s="190"/>
      <c r="K356" s="190"/>
      <c r="L356" s="190"/>
      <c r="M356" s="190"/>
      <c r="N356" s="190"/>
      <c r="O356" s="190"/>
      <c r="P356" s="190"/>
      <c r="Q356" s="198"/>
      <c r="R356" s="198"/>
      <c r="S356" s="198"/>
      <c r="T356" s="190"/>
      <c r="U356" s="64"/>
      <c r="V356" s="51">
        <f t="shared" ref="V356:V371" si="32">SUM(J356:U356)</f>
        <v>0</v>
      </c>
      <c r="W356" s="7"/>
      <c r="X356" s="7"/>
      <c r="Y356" s="7"/>
      <c r="Z356" s="7"/>
    </row>
    <row r="357" ht="14.25" customHeight="1">
      <c r="A357" s="7"/>
      <c r="B357" s="7" t="s">
        <v>1232</v>
      </c>
      <c r="C357" s="187"/>
      <c r="D357" s="200"/>
      <c r="E357" s="203"/>
      <c r="F357" s="185"/>
      <c r="G357" s="185"/>
      <c r="H357" s="186"/>
      <c r="I357" s="187" t="s">
        <v>1233</v>
      </c>
      <c r="J357" s="190"/>
      <c r="K357" s="190"/>
      <c r="L357" s="190"/>
      <c r="M357" s="190"/>
      <c r="N357" s="190"/>
      <c r="O357" s="190"/>
      <c r="P357" s="190"/>
      <c r="Q357" s="198"/>
      <c r="R357" s="198"/>
      <c r="S357" s="198"/>
      <c r="T357" s="190"/>
      <c r="U357" s="64"/>
      <c r="V357" s="51">
        <f t="shared" si="32"/>
        <v>0</v>
      </c>
      <c r="W357" s="7"/>
      <c r="X357" s="7"/>
      <c r="Y357" s="7"/>
      <c r="Z357" s="7"/>
    </row>
    <row r="358" ht="14.25" customHeight="1">
      <c r="A358" s="7"/>
      <c r="B358" s="7" t="s">
        <v>1232</v>
      </c>
      <c r="C358" s="187"/>
      <c r="D358" s="200"/>
      <c r="E358" s="203"/>
      <c r="F358" s="185"/>
      <c r="G358" s="185"/>
      <c r="H358" s="186"/>
      <c r="I358" s="187" t="s">
        <v>570</v>
      </c>
      <c r="J358" s="190"/>
      <c r="K358" s="190"/>
      <c r="L358" s="190"/>
      <c r="M358" s="190"/>
      <c r="N358" s="190"/>
      <c r="O358" s="190"/>
      <c r="P358" s="190"/>
      <c r="Q358" s="198"/>
      <c r="R358" s="198"/>
      <c r="S358" s="198"/>
      <c r="T358" s="190"/>
      <c r="U358" s="64"/>
      <c r="V358" s="51">
        <f t="shared" si="32"/>
        <v>0</v>
      </c>
      <c r="W358" s="7"/>
      <c r="X358" s="7"/>
      <c r="Y358" s="7"/>
      <c r="Z358" s="7"/>
    </row>
    <row r="359" ht="14.25" customHeight="1">
      <c r="A359" s="7"/>
      <c r="B359" s="7" t="s">
        <v>1232</v>
      </c>
      <c r="C359" s="187"/>
      <c r="D359" s="200"/>
      <c r="E359" s="203"/>
      <c r="F359" s="185"/>
      <c r="G359" s="185"/>
      <c r="H359" s="186"/>
      <c r="I359" s="187" t="s">
        <v>489</v>
      </c>
      <c r="J359" s="190"/>
      <c r="K359" s="190"/>
      <c r="L359" s="190"/>
      <c r="M359" s="190"/>
      <c r="N359" s="190"/>
      <c r="O359" s="190"/>
      <c r="P359" s="190"/>
      <c r="Q359" s="198"/>
      <c r="R359" s="198"/>
      <c r="S359" s="198"/>
      <c r="T359" s="190"/>
      <c r="U359" s="64"/>
      <c r="V359" s="51">
        <f t="shared" si="32"/>
        <v>0</v>
      </c>
      <c r="W359" s="7"/>
      <c r="X359" s="7"/>
      <c r="Y359" s="7"/>
      <c r="Z359" s="7"/>
    </row>
    <row r="360" ht="14.25" customHeight="1">
      <c r="A360" s="7"/>
      <c r="B360" s="7" t="s">
        <v>1234</v>
      </c>
      <c r="C360" s="187"/>
      <c r="D360" s="200"/>
      <c r="E360" s="203">
        <v>2.0</v>
      </c>
      <c r="F360" s="185" t="s">
        <v>925</v>
      </c>
      <c r="G360" s="185"/>
      <c r="H360" s="186"/>
      <c r="I360" s="187" t="s">
        <v>381</v>
      </c>
      <c r="J360" s="190"/>
      <c r="K360" s="190"/>
      <c r="L360" s="190"/>
      <c r="M360" s="190"/>
      <c r="N360" s="190"/>
      <c r="O360" s="190"/>
      <c r="P360" s="190"/>
      <c r="Q360" s="198"/>
      <c r="R360" s="198"/>
      <c r="S360" s="198"/>
      <c r="T360" s="190"/>
      <c r="U360" s="64"/>
      <c r="V360" s="51">
        <f t="shared" si="32"/>
        <v>0</v>
      </c>
      <c r="W360" s="7"/>
      <c r="X360" s="7"/>
      <c r="Y360" s="7"/>
      <c r="Z360" s="7"/>
    </row>
    <row r="361" ht="14.25" customHeight="1">
      <c r="A361" s="7"/>
      <c r="B361" s="7" t="s">
        <v>1234</v>
      </c>
      <c r="C361" s="187"/>
      <c r="D361" s="200"/>
      <c r="E361" s="203"/>
      <c r="F361" s="185"/>
      <c r="G361" s="185"/>
      <c r="H361" s="186"/>
      <c r="I361" s="187" t="s">
        <v>1233</v>
      </c>
      <c r="J361" s="190"/>
      <c r="K361" s="190"/>
      <c r="L361" s="190"/>
      <c r="M361" s="190"/>
      <c r="N361" s="190"/>
      <c r="O361" s="190"/>
      <c r="P361" s="190"/>
      <c r="Q361" s="198"/>
      <c r="R361" s="198"/>
      <c r="S361" s="198"/>
      <c r="T361" s="190"/>
      <c r="U361" s="64"/>
      <c r="V361" s="51">
        <f t="shared" si="32"/>
        <v>0</v>
      </c>
      <c r="W361" s="7"/>
      <c r="X361" s="7"/>
      <c r="Y361" s="7"/>
      <c r="Z361" s="7"/>
    </row>
    <row r="362" ht="14.25" customHeight="1">
      <c r="A362" s="7"/>
      <c r="B362" s="7" t="s">
        <v>1234</v>
      </c>
      <c r="C362" s="187"/>
      <c r="D362" s="200"/>
      <c r="E362" s="203"/>
      <c r="F362" s="185"/>
      <c r="G362" s="185"/>
      <c r="H362" s="186"/>
      <c r="I362" s="187" t="s">
        <v>570</v>
      </c>
      <c r="J362" s="190"/>
      <c r="K362" s="190"/>
      <c r="L362" s="190"/>
      <c r="M362" s="190"/>
      <c r="N362" s="190"/>
      <c r="O362" s="190"/>
      <c r="P362" s="190"/>
      <c r="Q362" s="198"/>
      <c r="R362" s="198"/>
      <c r="S362" s="198"/>
      <c r="T362" s="190"/>
      <c r="U362" s="64"/>
      <c r="V362" s="51">
        <f t="shared" si="32"/>
        <v>0</v>
      </c>
      <c r="W362" s="7"/>
      <c r="X362" s="7"/>
      <c r="Y362" s="7"/>
      <c r="Z362" s="7"/>
    </row>
    <row r="363" ht="14.25" customHeight="1">
      <c r="A363" s="7"/>
      <c r="B363" s="7" t="s">
        <v>1234</v>
      </c>
      <c r="C363" s="187"/>
      <c r="D363" s="200"/>
      <c r="E363" s="203"/>
      <c r="F363" s="185"/>
      <c r="G363" s="185"/>
      <c r="H363" s="186"/>
      <c r="I363" s="187" t="s">
        <v>489</v>
      </c>
      <c r="J363" s="190"/>
      <c r="K363" s="190"/>
      <c r="L363" s="190"/>
      <c r="M363" s="190"/>
      <c r="N363" s="190"/>
      <c r="O363" s="190"/>
      <c r="P363" s="190"/>
      <c r="Q363" s="198"/>
      <c r="R363" s="198"/>
      <c r="S363" s="198"/>
      <c r="T363" s="190"/>
      <c r="U363" s="64"/>
      <c r="V363" s="51">
        <f t="shared" si="32"/>
        <v>0</v>
      </c>
      <c r="W363" s="7"/>
      <c r="X363" s="7"/>
      <c r="Y363" s="7"/>
      <c r="Z363" s="7"/>
    </row>
    <row r="364" ht="14.25" customHeight="1">
      <c r="A364" s="7"/>
      <c r="B364" s="7" t="s">
        <v>1235</v>
      </c>
      <c r="C364" s="187"/>
      <c r="D364" s="200"/>
      <c r="E364" s="203">
        <v>3.0</v>
      </c>
      <c r="F364" s="185" t="s">
        <v>1236</v>
      </c>
      <c r="G364" s="185"/>
      <c r="H364" s="186"/>
      <c r="I364" s="187" t="s">
        <v>381</v>
      </c>
      <c r="J364" s="190"/>
      <c r="K364" s="190"/>
      <c r="L364" s="190"/>
      <c r="M364" s="190"/>
      <c r="N364" s="190"/>
      <c r="O364" s="190"/>
      <c r="P364" s="190"/>
      <c r="Q364" s="198"/>
      <c r="R364" s="198"/>
      <c r="S364" s="198"/>
      <c r="T364" s="190"/>
      <c r="U364" s="64"/>
      <c r="V364" s="51">
        <f t="shared" si="32"/>
        <v>0</v>
      </c>
      <c r="W364" s="7"/>
      <c r="X364" s="7"/>
      <c r="Y364" s="7"/>
      <c r="Z364" s="7"/>
    </row>
    <row r="365" ht="14.25" customHeight="1">
      <c r="A365" s="7"/>
      <c r="B365" s="7" t="s">
        <v>1235</v>
      </c>
      <c r="C365" s="187"/>
      <c r="D365" s="200"/>
      <c r="E365" s="203"/>
      <c r="F365" s="185"/>
      <c r="G365" s="185"/>
      <c r="H365" s="186"/>
      <c r="I365" s="187" t="s">
        <v>570</v>
      </c>
      <c r="J365" s="190"/>
      <c r="K365" s="190"/>
      <c r="L365" s="190"/>
      <c r="M365" s="190"/>
      <c r="N365" s="190"/>
      <c r="O365" s="190"/>
      <c r="P365" s="190"/>
      <c r="Q365" s="198"/>
      <c r="R365" s="198"/>
      <c r="S365" s="198"/>
      <c r="T365" s="190"/>
      <c r="U365" s="64"/>
      <c r="V365" s="51">
        <f t="shared" si="32"/>
        <v>0</v>
      </c>
      <c r="W365" s="7"/>
      <c r="X365" s="7"/>
      <c r="Y365" s="7"/>
      <c r="Z365" s="7"/>
    </row>
    <row r="366" ht="14.25" customHeight="1">
      <c r="A366" s="7"/>
      <c r="B366" s="7" t="s">
        <v>1237</v>
      </c>
      <c r="C366" s="187"/>
      <c r="D366" s="200"/>
      <c r="E366" s="203">
        <v>4.0</v>
      </c>
      <c r="F366" s="185" t="s">
        <v>947</v>
      </c>
      <c r="G366" s="185"/>
      <c r="H366" s="186"/>
      <c r="I366" s="187" t="s">
        <v>489</v>
      </c>
      <c r="J366" s="190"/>
      <c r="K366" s="190"/>
      <c r="L366" s="190"/>
      <c r="M366" s="190"/>
      <c r="N366" s="190"/>
      <c r="O366" s="190"/>
      <c r="P366" s="190"/>
      <c r="Q366" s="198"/>
      <c r="R366" s="198"/>
      <c r="S366" s="198"/>
      <c r="T366" s="190"/>
      <c r="U366" s="64"/>
      <c r="V366" s="51">
        <f t="shared" si="32"/>
        <v>0</v>
      </c>
      <c r="W366" s="7"/>
      <c r="X366" s="7"/>
      <c r="Y366" s="7"/>
      <c r="Z366" s="7"/>
    </row>
    <row r="367" ht="14.25" customHeight="1">
      <c r="A367" s="7"/>
      <c r="B367" s="7" t="s">
        <v>1237</v>
      </c>
      <c r="C367" s="187"/>
      <c r="D367" s="200"/>
      <c r="E367" s="203"/>
      <c r="F367" s="185"/>
      <c r="G367" s="185"/>
      <c r="H367" s="186"/>
      <c r="I367" s="187" t="s">
        <v>570</v>
      </c>
      <c r="J367" s="190"/>
      <c r="K367" s="190"/>
      <c r="L367" s="190"/>
      <c r="M367" s="190"/>
      <c r="N367" s="190"/>
      <c r="O367" s="190"/>
      <c r="P367" s="190"/>
      <c r="Q367" s="198"/>
      <c r="R367" s="198"/>
      <c r="S367" s="198"/>
      <c r="T367" s="190"/>
      <c r="U367" s="64"/>
      <c r="V367" s="51">
        <f t="shared" si="32"/>
        <v>0</v>
      </c>
      <c r="W367" s="7"/>
      <c r="X367" s="7"/>
      <c r="Y367" s="7"/>
      <c r="Z367" s="7"/>
    </row>
    <row r="368" ht="14.25" customHeight="1">
      <c r="A368" s="7"/>
      <c r="B368" s="7" t="s">
        <v>1238</v>
      </c>
      <c r="C368" s="187"/>
      <c r="D368" s="200"/>
      <c r="E368" s="203">
        <v>5.0</v>
      </c>
      <c r="F368" s="185" t="s">
        <v>941</v>
      </c>
      <c r="G368" s="185"/>
      <c r="H368" s="186"/>
      <c r="I368" s="187" t="s">
        <v>489</v>
      </c>
      <c r="J368" s="190"/>
      <c r="K368" s="190"/>
      <c r="L368" s="190"/>
      <c r="M368" s="190"/>
      <c r="N368" s="190"/>
      <c r="O368" s="190"/>
      <c r="P368" s="190"/>
      <c r="Q368" s="198"/>
      <c r="R368" s="198"/>
      <c r="S368" s="198"/>
      <c r="T368" s="190"/>
      <c r="U368" s="64"/>
      <c r="V368" s="51">
        <f t="shared" si="32"/>
        <v>0</v>
      </c>
      <c r="W368" s="7"/>
      <c r="X368" s="7"/>
      <c r="Y368" s="7"/>
      <c r="Z368" s="7"/>
    </row>
    <row r="369" ht="14.25" customHeight="1">
      <c r="A369" s="7"/>
      <c r="B369" s="7" t="s">
        <v>1238</v>
      </c>
      <c r="C369" s="187"/>
      <c r="D369" s="200"/>
      <c r="E369" s="203"/>
      <c r="F369" s="185"/>
      <c r="G369" s="185"/>
      <c r="H369" s="186"/>
      <c r="I369" s="187" t="s">
        <v>1233</v>
      </c>
      <c r="J369" s="190"/>
      <c r="K369" s="190"/>
      <c r="L369" s="190"/>
      <c r="M369" s="190"/>
      <c r="N369" s="190"/>
      <c r="O369" s="190"/>
      <c r="P369" s="190"/>
      <c r="Q369" s="198"/>
      <c r="R369" s="198"/>
      <c r="S369" s="198"/>
      <c r="T369" s="190"/>
      <c r="U369" s="64"/>
      <c r="V369" s="51">
        <f t="shared" si="32"/>
        <v>0</v>
      </c>
      <c r="W369" s="7"/>
      <c r="X369" s="7"/>
      <c r="Y369" s="7"/>
      <c r="Z369" s="7"/>
    </row>
    <row r="370" ht="14.25" customHeight="1">
      <c r="A370" s="7"/>
      <c r="B370" s="7" t="s">
        <v>1238</v>
      </c>
      <c r="C370" s="187"/>
      <c r="D370" s="200"/>
      <c r="E370" s="203"/>
      <c r="F370" s="185"/>
      <c r="G370" s="185"/>
      <c r="H370" s="186"/>
      <c r="I370" s="187" t="s">
        <v>570</v>
      </c>
      <c r="J370" s="190"/>
      <c r="K370" s="190"/>
      <c r="L370" s="190"/>
      <c r="M370" s="190"/>
      <c r="N370" s="190"/>
      <c r="O370" s="190"/>
      <c r="P370" s="190"/>
      <c r="Q370" s="198"/>
      <c r="R370" s="198"/>
      <c r="S370" s="198"/>
      <c r="T370" s="190"/>
      <c r="U370" s="64"/>
      <c r="V370" s="51">
        <f t="shared" si="32"/>
        <v>0</v>
      </c>
      <c r="W370" s="7"/>
      <c r="X370" s="7"/>
      <c r="Y370" s="7"/>
      <c r="Z370" s="7"/>
    </row>
    <row r="371" ht="14.25" customHeight="1">
      <c r="A371" s="7"/>
      <c r="B371" s="7" t="s">
        <v>1239</v>
      </c>
      <c r="C371" s="187"/>
      <c r="D371" s="200"/>
      <c r="E371" s="203">
        <v>6.0</v>
      </c>
      <c r="F371" s="185" t="s">
        <v>1240</v>
      </c>
      <c r="G371" s="185"/>
      <c r="H371" s="186"/>
      <c r="I371" s="187" t="s">
        <v>381</v>
      </c>
      <c r="J371" s="190"/>
      <c r="K371" s="190"/>
      <c r="L371" s="190"/>
      <c r="M371" s="190"/>
      <c r="N371" s="190"/>
      <c r="O371" s="190"/>
      <c r="P371" s="190"/>
      <c r="Q371" s="198"/>
      <c r="R371" s="198"/>
      <c r="S371" s="198"/>
      <c r="T371" s="190"/>
      <c r="U371" s="64"/>
      <c r="V371" s="51">
        <f t="shared" si="32"/>
        <v>0</v>
      </c>
      <c r="W371" s="7"/>
      <c r="X371" s="7"/>
      <c r="Y371" s="7"/>
      <c r="Z371" s="7"/>
    </row>
    <row r="372" ht="14.25" customHeight="1">
      <c r="A372" s="7"/>
      <c r="C372" s="187"/>
      <c r="D372" s="189">
        <v>3.0</v>
      </c>
      <c r="E372" s="185" t="s">
        <v>1241</v>
      </c>
      <c r="F372" s="185"/>
      <c r="G372" s="185"/>
      <c r="H372" s="186"/>
      <c r="I372" s="187"/>
      <c r="J372" s="188"/>
      <c r="K372" s="119"/>
      <c r="L372" s="119"/>
      <c r="M372" s="119"/>
      <c r="N372" s="119"/>
      <c r="O372" s="119"/>
      <c r="P372" s="119"/>
      <c r="Q372" s="43"/>
      <c r="R372" s="43"/>
      <c r="S372" s="43"/>
      <c r="T372" s="119"/>
      <c r="U372" s="74"/>
      <c r="V372" s="119"/>
      <c r="W372" s="7"/>
      <c r="X372" s="7"/>
      <c r="Y372" s="7"/>
      <c r="Z372" s="7"/>
    </row>
    <row r="373" ht="14.25" customHeight="1">
      <c r="A373" s="7"/>
      <c r="B373" s="7" t="s">
        <v>1242</v>
      </c>
      <c r="C373" s="187"/>
      <c r="D373" s="200"/>
      <c r="E373" s="203">
        <v>1.0</v>
      </c>
      <c r="F373" s="185" t="s">
        <v>1243</v>
      </c>
      <c r="G373" s="185"/>
      <c r="H373" s="186"/>
      <c r="I373" s="187" t="s">
        <v>489</v>
      </c>
      <c r="J373" s="190">
        <v>74242.0</v>
      </c>
      <c r="K373" s="191">
        <v>240822.0</v>
      </c>
      <c r="L373" s="191">
        <v>155824.0</v>
      </c>
      <c r="M373" s="191">
        <v>40575.0</v>
      </c>
      <c r="N373" s="193">
        <v>231293.0</v>
      </c>
      <c r="O373" s="190"/>
      <c r="P373" s="190"/>
      <c r="Q373" s="191"/>
      <c r="R373" s="191"/>
      <c r="S373" s="191"/>
      <c r="T373" s="190"/>
      <c r="U373" s="191"/>
      <c r="V373" s="51">
        <f t="shared" ref="V373:V386" si="33">SUM(J373:U373)</f>
        <v>742756</v>
      </c>
      <c r="W373" s="7"/>
      <c r="X373" s="7"/>
      <c r="Y373" s="7"/>
      <c r="Z373" s="7"/>
    </row>
    <row r="374" ht="14.25" customHeight="1">
      <c r="A374" s="7"/>
      <c r="B374" s="7" t="s">
        <v>1242</v>
      </c>
      <c r="C374" s="187"/>
      <c r="D374" s="200"/>
      <c r="E374" s="203"/>
      <c r="F374" s="185"/>
      <c r="G374" s="185"/>
      <c r="H374" s="186"/>
      <c r="I374" s="187" t="s">
        <v>570</v>
      </c>
      <c r="J374" s="204"/>
      <c r="K374" s="198"/>
      <c r="L374" s="198"/>
      <c r="M374" s="198"/>
      <c r="N374" s="205"/>
      <c r="O374" s="132"/>
      <c r="P374" s="198"/>
      <c r="Q374" s="198"/>
      <c r="R374" s="198"/>
      <c r="S374" s="198"/>
      <c r="T374" s="64"/>
      <c r="U374" s="198"/>
      <c r="V374" s="51">
        <f t="shared" si="33"/>
        <v>0</v>
      </c>
      <c r="W374" s="7"/>
      <c r="X374" s="7"/>
      <c r="Y374" s="7"/>
      <c r="Z374" s="7"/>
    </row>
    <row r="375" ht="14.25" customHeight="1">
      <c r="A375" s="7"/>
      <c r="B375" s="7" t="s">
        <v>1242</v>
      </c>
      <c r="C375" s="187"/>
      <c r="D375" s="200"/>
      <c r="E375" s="203"/>
      <c r="F375" s="185"/>
      <c r="G375" s="185"/>
      <c r="H375" s="186"/>
      <c r="I375" s="187" t="s">
        <v>381</v>
      </c>
      <c r="J375" s="204"/>
      <c r="K375" s="198"/>
      <c r="L375" s="198"/>
      <c r="M375" s="198"/>
      <c r="N375" s="205"/>
      <c r="O375" s="132"/>
      <c r="P375" s="198"/>
      <c r="Q375" s="198"/>
      <c r="R375" s="198"/>
      <c r="S375" s="198"/>
      <c r="T375" s="64"/>
      <c r="U375" s="198"/>
      <c r="V375" s="51">
        <f t="shared" si="33"/>
        <v>0</v>
      </c>
      <c r="W375" s="7"/>
      <c r="X375" s="7"/>
      <c r="Y375" s="7"/>
      <c r="Z375" s="7"/>
    </row>
    <row r="376" ht="14.25" customHeight="1">
      <c r="A376" s="7"/>
      <c r="B376" s="7" t="s">
        <v>1244</v>
      </c>
      <c r="C376" s="187"/>
      <c r="D376" s="200"/>
      <c r="E376" s="203">
        <v>2.0</v>
      </c>
      <c r="F376" s="185" t="s">
        <v>1245</v>
      </c>
      <c r="G376" s="185"/>
      <c r="H376" s="186"/>
      <c r="I376" s="187" t="s">
        <v>489</v>
      </c>
      <c r="J376" s="204"/>
      <c r="K376" s="198"/>
      <c r="L376" s="198"/>
      <c r="M376" s="198"/>
      <c r="N376" s="205"/>
      <c r="O376" s="132"/>
      <c r="P376" s="198"/>
      <c r="Q376" s="198"/>
      <c r="R376" s="198"/>
      <c r="S376" s="198"/>
      <c r="T376" s="64"/>
      <c r="U376" s="198"/>
      <c r="V376" s="51">
        <f t="shared" si="33"/>
        <v>0</v>
      </c>
      <c r="W376" s="7"/>
      <c r="X376" s="7"/>
      <c r="Y376" s="7"/>
      <c r="Z376" s="7"/>
    </row>
    <row r="377" ht="14.25" customHeight="1">
      <c r="A377" s="7"/>
      <c r="B377" s="7" t="s">
        <v>1244</v>
      </c>
      <c r="C377" s="187"/>
      <c r="D377" s="200"/>
      <c r="E377" s="203"/>
      <c r="F377" s="185"/>
      <c r="G377" s="185"/>
      <c r="H377" s="186"/>
      <c r="I377" s="187" t="s">
        <v>570</v>
      </c>
      <c r="J377" s="204"/>
      <c r="K377" s="198"/>
      <c r="L377" s="198"/>
      <c r="M377" s="198"/>
      <c r="N377" s="205"/>
      <c r="O377" s="132"/>
      <c r="P377" s="198"/>
      <c r="Q377" s="198"/>
      <c r="R377" s="198"/>
      <c r="S377" s="198"/>
      <c r="T377" s="64"/>
      <c r="U377" s="198"/>
      <c r="V377" s="51">
        <f t="shared" si="33"/>
        <v>0</v>
      </c>
      <c r="W377" s="7"/>
      <c r="X377" s="7"/>
      <c r="Y377" s="7"/>
      <c r="Z377" s="7"/>
    </row>
    <row r="378" ht="14.25" customHeight="1">
      <c r="A378" s="7"/>
      <c r="B378" s="7" t="s">
        <v>1246</v>
      </c>
      <c r="C378" s="187"/>
      <c r="D378" s="200"/>
      <c r="E378" s="203">
        <v>3.0</v>
      </c>
      <c r="F378" s="185" t="s">
        <v>935</v>
      </c>
      <c r="G378" s="185"/>
      <c r="H378" s="186"/>
      <c r="I378" s="187" t="s">
        <v>489</v>
      </c>
      <c r="J378" s="204"/>
      <c r="K378" s="198"/>
      <c r="L378" s="198"/>
      <c r="M378" s="198"/>
      <c r="N378" s="205"/>
      <c r="O378" s="132"/>
      <c r="P378" s="198"/>
      <c r="Q378" s="198"/>
      <c r="R378" s="198"/>
      <c r="S378" s="198"/>
      <c r="T378" s="64"/>
      <c r="U378" s="198"/>
      <c r="V378" s="51">
        <f t="shared" si="33"/>
        <v>0</v>
      </c>
      <c r="W378" s="7"/>
      <c r="X378" s="7"/>
      <c r="Y378" s="7"/>
      <c r="Z378" s="7"/>
    </row>
    <row r="379" ht="14.25" customHeight="1">
      <c r="A379" s="7"/>
      <c r="B379" s="7" t="s">
        <v>1246</v>
      </c>
      <c r="C379" s="187"/>
      <c r="D379" s="200"/>
      <c r="E379" s="203"/>
      <c r="F379" s="185"/>
      <c r="G379" s="185"/>
      <c r="H379" s="186"/>
      <c r="I379" s="187" t="s">
        <v>570</v>
      </c>
      <c r="J379" s="204"/>
      <c r="K379" s="198"/>
      <c r="L379" s="198"/>
      <c r="M379" s="198"/>
      <c r="N379" s="205"/>
      <c r="O379" s="132"/>
      <c r="P379" s="198"/>
      <c r="Q379" s="198"/>
      <c r="R379" s="198"/>
      <c r="S379" s="198"/>
      <c r="T379" s="64"/>
      <c r="U379" s="198"/>
      <c r="V379" s="51">
        <f t="shared" si="33"/>
        <v>0</v>
      </c>
      <c r="W379" s="7"/>
      <c r="X379" s="7"/>
      <c r="Y379" s="7"/>
      <c r="Z379" s="7"/>
    </row>
    <row r="380" ht="14.25" customHeight="1">
      <c r="A380" s="7"/>
      <c r="B380" s="7" t="s">
        <v>1247</v>
      </c>
      <c r="C380" s="187"/>
      <c r="D380" s="200"/>
      <c r="E380" s="203">
        <v>4.0</v>
      </c>
      <c r="F380" s="185" t="s">
        <v>1248</v>
      </c>
      <c r="G380" s="185"/>
      <c r="H380" s="186"/>
      <c r="I380" s="187" t="s">
        <v>570</v>
      </c>
      <c r="J380" s="204"/>
      <c r="K380" s="198"/>
      <c r="L380" s="198"/>
      <c r="M380" s="198"/>
      <c r="N380" s="205"/>
      <c r="O380" s="132"/>
      <c r="P380" s="198"/>
      <c r="Q380" s="198"/>
      <c r="R380" s="198"/>
      <c r="S380" s="198"/>
      <c r="T380" s="64"/>
      <c r="U380" s="198"/>
      <c r="V380" s="51">
        <f t="shared" si="33"/>
        <v>0</v>
      </c>
      <c r="W380" s="7"/>
      <c r="X380" s="7"/>
      <c r="Y380" s="7"/>
      <c r="Z380" s="7"/>
    </row>
    <row r="381" ht="14.25" customHeight="1">
      <c r="A381" s="7"/>
      <c r="B381" s="7" t="s">
        <v>1249</v>
      </c>
      <c r="C381" s="187"/>
      <c r="D381" s="200"/>
      <c r="E381" s="203">
        <v>5.0</v>
      </c>
      <c r="F381" s="185" t="s">
        <v>1250</v>
      </c>
      <c r="G381" s="185"/>
      <c r="H381" s="186"/>
      <c r="I381" s="187" t="s">
        <v>489</v>
      </c>
      <c r="J381" s="204"/>
      <c r="K381" s="198"/>
      <c r="L381" s="198"/>
      <c r="M381" s="198"/>
      <c r="N381" s="205"/>
      <c r="O381" s="132"/>
      <c r="P381" s="198"/>
      <c r="Q381" s="198"/>
      <c r="R381" s="198"/>
      <c r="S381" s="198"/>
      <c r="T381" s="64"/>
      <c r="U381" s="198"/>
      <c r="V381" s="51">
        <f t="shared" si="33"/>
        <v>0</v>
      </c>
      <c r="W381" s="7"/>
      <c r="X381" s="7"/>
      <c r="Y381" s="7"/>
      <c r="Z381" s="7"/>
    </row>
    <row r="382" ht="14.25" customHeight="1">
      <c r="A382" s="7"/>
      <c r="B382" s="7" t="s">
        <v>1249</v>
      </c>
      <c r="C382" s="187"/>
      <c r="D382" s="200"/>
      <c r="E382" s="203"/>
      <c r="F382" s="185"/>
      <c r="G382" s="185"/>
      <c r="H382" s="186"/>
      <c r="I382" s="187" t="s">
        <v>570</v>
      </c>
      <c r="J382" s="204"/>
      <c r="K382" s="198"/>
      <c r="L382" s="198"/>
      <c r="M382" s="198"/>
      <c r="N382" s="205"/>
      <c r="O382" s="132"/>
      <c r="P382" s="198"/>
      <c r="Q382" s="198"/>
      <c r="R382" s="198"/>
      <c r="S382" s="198"/>
      <c r="T382" s="64"/>
      <c r="U382" s="198"/>
      <c r="V382" s="51">
        <f t="shared" si="33"/>
        <v>0</v>
      </c>
      <c r="W382" s="7"/>
      <c r="X382" s="7"/>
      <c r="Y382" s="7"/>
      <c r="Z382" s="7"/>
    </row>
    <row r="383" ht="14.25" customHeight="1">
      <c r="A383" s="7"/>
      <c r="B383" s="7" t="s">
        <v>1251</v>
      </c>
      <c r="C383" s="187"/>
      <c r="D383" s="200"/>
      <c r="E383" s="203">
        <v>6.0</v>
      </c>
      <c r="F383" s="185" t="s">
        <v>1252</v>
      </c>
      <c r="G383" s="185"/>
      <c r="H383" s="186"/>
      <c r="I383" s="187" t="s">
        <v>489</v>
      </c>
      <c r="J383" s="190">
        <v>40028.0</v>
      </c>
      <c r="K383" s="191">
        <v>36773.0</v>
      </c>
      <c r="L383" s="191">
        <v>26132.0</v>
      </c>
      <c r="M383" s="191">
        <v>52833.0</v>
      </c>
      <c r="N383" s="196">
        <v>42791.0</v>
      </c>
      <c r="O383" s="190"/>
      <c r="P383" s="190"/>
      <c r="Q383" s="191"/>
      <c r="R383" s="191"/>
      <c r="S383" s="191"/>
      <c r="T383" s="190"/>
      <c r="U383" s="191"/>
      <c r="V383" s="51">
        <f t="shared" si="33"/>
        <v>198557</v>
      </c>
      <c r="W383" s="7"/>
      <c r="X383" s="7"/>
      <c r="Y383" s="7"/>
      <c r="Z383" s="7"/>
    </row>
    <row r="384" ht="14.25" customHeight="1">
      <c r="A384" s="7"/>
      <c r="B384" s="7" t="s">
        <v>1251</v>
      </c>
      <c r="C384" s="187"/>
      <c r="D384" s="200"/>
      <c r="E384" s="203"/>
      <c r="F384" s="185"/>
      <c r="G384" s="185"/>
      <c r="H384" s="186"/>
      <c r="I384" s="187" t="s">
        <v>570</v>
      </c>
      <c r="J384" s="190"/>
      <c r="K384" s="190"/>
      <c r="L384" s="190"/>
      <c r="M384" s="190"/>
      <c r="N384" s="190"/>
      <c r="O384" s="132"/>
      <c r="P384" s="190"/>
      <c r="Q384" s="198"/>
      <c r="R384" s="198"/>
      <c r="S384" s="198"/>
      <c r="T384" s="190"/>
      <c r="U384" s="64"/>
      <c r="V384" s="51">
        <f t="shared" si="33"/>
        <v>0</v>
      </c>
      <c r="W384" s="7"/>
      <c r="X384" s="7"/>
      <c r="Y384" s="7"/>
      <c r="Z384" s="7"/>
    </row>
    <row r="385" ht="14.25" customHeight="1">
      <c r="A385" s="7"/>
      <c r="B385" s="7" t="s">
        <v>1253</v>
      </c>
      <c r="C385" s="187"/>
      <c r="D385" s="200"/>
      <c r="E385" s="203">
        <v>7.0</v>
      </c>
      <c r="F385" s="185" t="s">
        <v>1254</v>
      </c>
      <c r="G385" s="185"/>
      <c r="H385" s="186"/>
      <c r="I385" s="187" t="s">
        <v>570</v>
      </c>
      <c r="J385" s="190"/>
      <c r="K385" s="190"/>
      <c r="L385" s="190"/>
      <c r="M385" s="190"/>
      <c r="N385" s="190"/>
      <c r="O385" s="132"/>
      <c r="P385" s="190"/>
      <c r="Q385" s="198"/>
      <c r="R385" s="198"/>
      <c r="S385" s="198"/>
      <c r="T385" s="190"/>
      <c r="U385" s="64"/>
      <c r="V385" s="51">
        <f t="shared" si="33"/>
        <v>0</v>
      </c>
      <c r="W385" s="7"/>
      <c r="X385" s="7"/>
      <c r="Y385" s="7"/>
      <c r="Z385" s="7"/>
    </row>
    <row r="386" ht="14.25" customHeight="1">
      <c r="A386" s="7"/>
      <c r="B386" s="7" t="s">
        <v>1255</v>
      </c>
      <c r="C386" s="187"/>
      <c r="D386" s="200"/>
      <c r="E386" s="203">
        <v>8.0</v>
      </c>
      <c r="F386" s="185" t="s">
        <v>1256</v>
      </c>
      <c r="G386" s="185"/>
      <c r="H386" s="186"/>
      <c r="I386" s="187" t="s">
        <v>381</v>
      </c>
      <c r="J386" s="190"/>
      <c r="K386" s="190"/>
      <c r="L386" s="190"/>
      <c r="M386" s="190"/>
      <c r="N386" s="190"/>
      <c r="O386" s="132"/>
      <c r="P386" s="190"/>
      <c r="Q386" s="198"/>
      <c r="R386" s="198"/>
      <c r="S386" s="198"/>
      <c r="T386" s="190"/>
      <c r="U386" s="64"/>
      <c r="V386" s="51">
        <f t="shared" si="33"/>
        <v>0</v>
      </c>
      <c r="W386" s="7"/>
      <c r="X386" s="7"/>
      <c r="Y386" s="7"/>
      <c r="Z386" s="7"/>
    </row>
    <row r="387" ht="14.25" customHeight="1">
      <c r="A387" s="7"/>
      <c r="C387" s="187"/>
      <c r="D387" s="189">
        <v>4.0</v>
      </c>
      <c r="E387" s="185" t="s">
        <v>1257</v>
      </c>
      <c r="F387" s="185"/>
      <c r="G387" s="185"/>
      <c r="H387" s="186"/>
      <c r="I387" s="187"/>
      <c r="J387" s="188"/>
      <c r="K387" s="119"/>
      <c r="L387" s="119"/>
      <c r="M387" s="119"/>
      <c r="N387" s="119"/>
      <c r="O387" s="119"/>
      <c r="P387" s="119"/>
      <c r="Q387" s="43"/>
      <c r="R387" s="119"/>
      <c r="S387" s="74"/>
      <c r="T387" s="119"/>
      <c r="U387" s="74"/>
      <c r="V387" s="119"/>
      <c r="W387" s="7"/>
      <c r="X387" s="7"/>
      <c r="Y387" s="7"/>
      <c r="Z387" s="7"/>
    </row>
    <row r="388" ht="14.25" customHeight="1">
      <c r="A388" s="7"/>
      <c r="B388" s="7" t="s">
        <v>1258</v>
      </c>
      <c r="C388" s="187"/>
      <c r="D388" s="200"/>
      <c r="E388" s="203">
        <v>1.0</v>
      </c>
      <c r="F388" s="185" t="s">
        <v>1259</v>
      </c>
      <c r="G388" s="185"/>
      <c r="H388" s="186"/>
      <c r="I388" s="187" t="s">
        <v>570</v>
      </c>
      <c r="J388" s="190"/>
      <c r="K388" s="190"/>
      <c r="L388" s="190"/>
      <c r="M388" s="190"/>
      <c r="N388" s="190"/>
      <c r="O388" s="190"/>
      <c r="P388" s="190"/>
      <c r="Q388" s="198"/>
      <c r="R388" s="190"/>
      <c r="S388" s="64"/>
      <c r="T388" s="190"/>
      <c r="U388" s="64"/>
      <c r="V388" s="51">
        <f t="shared" ref="V388:V397" si="34">SUM(J388:U388)</f>
        <v>0</v>
      </c>
      <c r="W388" s="7"/>
      <c r="X388" s="7"/>
      <c r="Y388" s="7"/>
      <c r="Z388" s="7"/>
    </row>
    <row r="389" ht="14.25" customHeight="1">
      <c r="A389" s="7"/>
      <c r="B389" s="7" t="s">
        <v>1258</v>
      </c>
      <c r="C389" s="187"/>
      <c r="D389" s="200"/>
      <c r="E389" s="185"/>
      <c r="F389" s="185"/>
      <c r="G389" s="185"/>
      <c r="H389" s="186"/>
      <c r="I389" s="187" t="s">
        <v>489</v>
      </c>
      <c r="J389" s="190"/>
      <c r="K389" s="190"/>
      <c r="L389" s="190"/>
      <c r="M389" s="190"/>
      <c r="N389" s="190"/>
      <c r="O389" s="190"/>
      <c r="P389" s="190"/>
      <c r="Q389" s="198"/>
      <c r="R389" s="190"/>
      <c r="S389" s="64"/>
      <c r="T389" s="190"/>
      <c r="U389" s="64"/>
      <c r="V389" s="51">
        <f t="shared" si="34"/>
        <v>0</v>
      </c>
      <c r="W389" s="7"/>
      <c r="X389" s="7"/>
      <c r="Y389" s="7"/>
      <c r="Z389" s="7"/>
    </row>
    <row r="390" ht="14.25" customHeight="1">
      <c r="A390" s="7"/>
      <c r="B390" s="7" t="s">
        <v>1260</v>
      </c>
      <c r="C390" s="187"/>
      <c r="D390" s="200"/>
      <c r="E390" s="203">
        <v>2.0</v>
      </c>
      <c r="F390" s="185" t="s">
        <v>865</v>
      </c>
      <c r="G390" s="185"/>
      <c r="H390" s="186"/>
      <c r="I390" s="187" t="s">
        <v>570</v>
      </c>
      <c r="J390" s="190"/>
      <c r="K390" s="190"/>
      <c r="L390" s="190"/>
      <c r="M390" s="190"/>
      <c r="N390" s="190"/>
      <c r="O390" s="190"/>
      <c r="P390" s="190"/>
      <c r="Q390" s="198"/>
      <c r="R390" s="190"/>
      <c r="S390" s="64"/>
      <c r="T390" s="190"/>
      <c r="U390" s="64"/>
      <c r="V390" s="51">
        <f t="shared" si="34"/>
        <v>0</v>
      </c>
      <c r="W390" s="7"/>
      <c r="X390" s="7"/>
      <c r="Y390" s="7"/>
      <c r="Z390" s="7"/>
    </row>
    <row r="391" ht="14.25" customHeight="1">
      <c r="A391" s="7"/>
      <c r="B391" s="7" t="s">
        <v>1260</v>
      </c>
      <c r="C391" s="187"/>
      <c r="D391" s="200"/>
      <c r="E391" s="185"/>
      <c r="F391" s="185"/>
      <c r="G391" s="185"/>
      <c r="H391" s="186"/>
      <c r="I391" s="187" t="s">
        <v>489</v>
      </c>
      <c r="J391" s="190"/>
      <c r="K391" s="190"/>
      <c r="L391" s="190"/>
      <c r="M391" s="190"/>
      <c r="N391" s="190"/>
      <c r="O391" s="190"/>
      <c r="P391" s="190"/>
      <c r="Q391" s="198"/>
      <c r="R391" s="190"/>
      <c r="S391" s="64"/>
      <c r="T391" s="190"/>
      <c r="U391" s="64"/>
      <c r="V391" s="51">
        <f t="shared" si="34"/>
        <v>0</v>
      </c>
      <c r="W391" s="7"/>
      <c r="X391" s="7"/>
      <c r="Y391" s="7"/>
      <c r="Z391" s="7"/>
    </row>
    <row r="392" ht="14.25" customHeight="1">
      <c r="A392" s="7"/>
      <c r="B392" s="7" t="s">
        <v>1261</v>
      </c>
      <c r="C392" s="187"/>
      <c r="D392" s="200"/>
      <c r="E392" s="203">
        <v>3.0</v>
      </c>
      <c r="F392" s="185" t="s">
        <v>867</v>
      </c>
      <c r="G392" s="185"/>
      <c r="H392" s="186"/>
      <c r="I392" s="187" t="s">
        <v>570</v>
      </c>
      <c r="J392" s="190"/>
      <c r="K392" s="190"/>
      <c r="L392" s="190"/>
      <c r="M392" s="190"/>
      <c r="N392" s="190"/>
      <c r="O392" s="190"/>
      <c r="P392" s="190"/>
      <c r="Q392" s="198"/>
      <c r="R392" s="190"/>
      <c r="S392" s="64"/>
      <c r="T392" s="190"/>
      <c r="U392" s="64"/>
      <c r="V392" s="51">
        <f t="shared" si="34"/>
        <v>0</v>
      </c>
      <c r="W392" s="7"/>
      <c r="X392" s="7"/>
      <c r="Y392" s="7"/>
      <c r="Z392" s="7"/>
    </row>
    <row r="393" ht="14.25" customHeight="1">
      <c r="A393" s="7"/>
      <c r="B393" s="7" t="s">
        <v>1262</v>
      </c>
      <c r="C393" s="187"/>
      <c r="D393" s="200"/>
      <c r="E393" s="203">
        <v>4.0</v>
      </c>
      <c r="F393" s="185" t="s">
        <v>869</v>
      </c>
      <c r="G393" s="185"/>
      <c r="H393" s="186"/>
      <c r="I393" s="187" t="s">
        <v>570</v>
      </c>
      <c r="J393" s="190"/>
      <c r="K393" s="190"/>
      <c r="L393" s="190"/>
      <c r="M393" s="190"/>
      <c r="N393" s="190"/>
      <c r="O393" s="190"/>
      <c r="P393" s="190"/>
      <c r="Q393" s="198"/>
      <c r="R393" s="190"/>
      <c r="S393" s="64"/>
      <c r="T393" s="190"/>
      <c r="U393" s="64"/>
      <c r="V393" s="51">
        <f t="shared" si="34"/>
        <v>0</v>
      </c>
      <c r="W393" s="7"/>
      <c r="X393" s="7"/>
      <c r="Y393" s="7"/>
      <c r="Z393" s="7"/>
    </row>
    <row r="394" ht="14.25" customHeight="1">
      <c r="A394" s="7"/>
      <c r="B394" s="7" t="s">
        <v>1263</v>
      </c>
      <c r="C394" s="187"/>
      <c r="D394" s="200"/>
      <c r="E394" s="203">
        <v>5.0</v>
      </c>
      <c r="F394" s="185" t="s">
        <v>871</v>
      </c>
      <c r="G394" s="185"/>
      <c r="H394" s="186"/>
      <c r="I394" s="187" t="s">
        <v>1264</v>
      </c>
      <c r="J394" s="190"/>
      <c r="K394" s="190"/>
      <c r="L394" s="190"/>
      <c r="M394" s="190"/>
      <c r="N394" s="190"/>
      <c r="O394" s="190"/>
      <c r="P394" s="190"/>
      <c r="Q394" s="198"/>
      <c r="R394" s="190"/>
      <c r="S394" s="64"/>
      <c r="T394" s="190"/>
      <c r="U394" s="64"/>
      <c r="V394" s="51">
        <f t="shared" si="34"/>
        <v>0</v>
      </c>
      <c r="W394" s="7"/>
      <c r="X394" s="7"/>
      <c r="Y394" s="7"/>
      <c r="Z394" s="7"/>
    </row>
    <row r="395" ht="14.25" customHeight="1">
      <c r="A395" s="7"/>
      <c r="B395" s="7" t="s">
        <v>1265</v>
      </c>
      <c r="C395" s="187"/>
      <c r="D395" s="200"/>
      <c r="E395" s="203">
        <v>6.0</v>
      </c>
      <c r="F395" s="185" t="s">
        <v>873</v>
      </c>
      <c r="G395" s="185"/>
      <c r="H395" s="186"/>
      <c r="I395" s="187" t="s">
        <v>570</v>
      </c>
      <c r="J395" s="190"/>
      <c r="K395" s="190"/>
      <c r="L395" s="190"/>
      <c r="M395" s="190"/>
      <c r="N395" s="190"/>
      <c r="O395" s="190"/>
      <c r="P395" s="190"/>
      <c r="Q395" s="198"/>
      <c r="R395" s="190"/>
      <c r="S395" s="64"/>
      <c r="T395" s="190"/>
      <c r="U395" s="64"/>
      <c r="V395" s="51">
        <f t="shared" si="34"/>
        <v>0</v>
      </c>
      <c r="W395" s="7"/>
      <c r="X395" s="7"/>
      <c r="Y395" s="7"/>
      <c r="Z395" s="7"/>
    </row>
    <row r="396" ht="14.25" customHeight="1">
      <c r="A396" s="7"/>
      <c r="B396" s="7" t="s">
        <v>1266</v>
      </c>
      <c r="C396" s="187"/>
      <c r="D396" s="200"/>
      <c r="E396" s="203">
        <v>7.0</v>
      </c>
      <c r="F396" s="185" t="s">
        <v>1267</v>
      </c>
      <c r="G396" s="185"/>
      <c r="H396" s="186"/>
      <c r="I396" s="187" t="s">
        <v>570</v>
      </c>
      <c r="J396" s="190"/>
      <c r="K396" s="190"/>
      <c r="L396" s="190"/>
      <c r="M396" s="190"/>
      <c r="N396" s="190"/>
      <c r="O396" s="190"/>
      <c r="P396" s="190"/>
      <c r="Q396" s="198"/>
      <c r="R396" s="190"/>
      <c r="S396" s="64"/>
      <c r="T396" s="190"/>
      <c r="U396" s="64"/>
      <c r="V396" s="51">
        <f t="shared" si="34"/>
        <v>0</v>
      </c>
      <c r="W396" s="7"/>
      <c r="X396" s="7"/>
      <c r="Y396" s="7"/>
      <c r="Z396" s="7"/>
    </row>
    <row r="397" ht="14.25" customHeight="1">
      <c r="A397" s="7"/>
      <c r="B397" s="7" t="s">
        <v>1266</v>
      </c>
      <c r="C397" s="187"/>
      <c r="D397" s="200"/>
      <c r="E397" s="203"/>
      <c r="F397" s="185"/>
      <c r="G397" s="185"/>
      <c r="H397" s="186"/>
      <c r="I397" s="187" t="s">
        <v>398</v>
      </c>
      <c r="J397" s="190"/>
      <c r="K397" s="190"/>
      <c r="L397" s="190"/>
      <c r="M397" s="190"/>
      <c r="N397" s="190"/>
      <c r="O397" s="190"/>
      <c r="P397" s="190"/>
      <c r="Q397" s="198"/>
      <c r="R397" s="190"/>
      <c r="S397" s="64"/>
      <c r="T397" s="190"/>
      <c r="U397" s="64"/>
      <c r="V397" s="51">
        <f t="shared" si="34"/>
        <v>0</v>
      </c>
      <c r="W397" s="7"/>
      <c r="X397" s="7"/>
      <c r="Y397" s="7"/>
      <c r="Z397" s="7"/>
    </row>
    <row r="398" ht="14.25" customHeight="1">
      <c r="A398" s="7"/>
      <c r="B398" s="11"/>
      <c r="C398" s="187"/>
      <c r="D398" s="200"/>
      <c r="E398" s="185"/>
      <c r="F398" s="185"/>
      <c r="G398" s="185"/>
      <c r="H398" s="186"/>
      <c r="I398" s="187"/>
      <c r="J398" s="188"/>
      <c r="K398" s="119"/>
      <c r="L398" s="119"/>
      <c r="M398" s="119"/>
      <c r="N398" s="119"/>
      <c r="O398" s="119"/>
      <c r="P398" s="119"/>
      <c r="Q398" s="119"/>
      <c r="R398" s="119"/>
      <c r="S398" s="74"/>
      <c r="T398" s="119"/>
      <c r="U398" s="74"/>
      <c r="V398" s="119"/>
      <c r="W398" s="7"/>
      <c r="X398" s="7"/>
      <c r="Y398" s="7"/>
      <c r="Z398" s="7"/>
    </row>
    <row r="399" ht="14.25" customHeight="1">
      <c r="A399" s="7"/>
      <c r="C399" s="183">
        <v>13.0</v>
      </c>
      <c r="D399" s="184" t="s">
        <v>1268</v>
      </c>
      <c r="E399" s="185"/>
      <c r="F399" s="185"/>
      <c r="G399" s="185"/>
      <c r="H399" s="186"/>
      <c r="I399" s="187"/>
      <c r="J399" s="188"/>
      <c r="K399" s="119"/>
      <c r="L399" s="119"/>
      <c r="M399" s="119"/>
      <c r="N399" s="119"/>
      <c r="O399" s="119"/>
      <c r="P399" s="119"/>
      <c r="Q399" s="119"/>
      <c r="R399" s="119"/>
      <c r="S399" s="74"/>
      <c r="T399" s="119"/>
      <c r="U399" s="74"/>
      <c r="V399" s="119"/>
      <c r="W399" s="7"/>
      <c r="X399" s="7"/>
      <c r="Y399" s="7"/>
      <c r="Z399" s="7"/>
    </row>
    <row r="400" ht="14.25" customHeight="1">
      <c r="A400" s="7"/>
      <c r="C400" s="187"/>
      <c r="D400" s="189">
        <v>1.0</v>
      </c>
      <c r="E400" s="185" t="s">
        <v>1269</v>
      </c>
      <c r="F400" s="185"/>
      <c r="G400" s="185"/>
      <c r="H400" s="186"/>
      <c r="I400" s="187"/>
      <c r="J400" s="188"/>
      <c r="K400" s="119"/>
      <c r="L400" s="119"/>
      <c r="M400" s="119"/>
      <c r="N400" s="119"/>
      <c r="O400" s="119"/>
      <c r="P400" s="119"/>
      <c r="Q400" s="119"/>
      <c r="R400" s="119"/>
      <c r="S400" s="74"/>
      <c r="T400" s="119"/>
      <c r="U400" s="74"/>
      <c r="V400" s="119"/>
      <c r="W400" s="7"/>
      <c r="X400" s="7"/>
      <c r="Y400" s="7"/>
      <c r="Z400" s="7"/>
    </row>
    <row r="401" ht="14.25" customHeight="1">
      <c r="A401" s="7"/>
      <c r="B401" s="7" t="s">
        <v>1270</v>
      </c>
      <c r="C401" s="187"/>
      <c r="D401" s="189"/>
      <c r="E401" s="143">
        <v>1.0</v>
      </c>
      <c r="F401" s="185" t="s">
        <v>1271</v>
      </c>
      <c r="G401" s="185"/>
      <c r="H401" s="186"/>
      <c r="I401" s="187" t="s">
        <v>1272</v>
      </c>
      <c r="J401" s="215">
        <v>750889.0</v>
      </c>
      <c r="K401" s="216">
        <v>750889.0</v>
      </c>
      <c r="L401" s="216">
        <v>750889.0</v>
      </c>
      <c r="M401" s="216">
        <v>750889.0</v>
      </c>
      <c r="N401" s="216">
        <v>750889.0</v>
      </c>
      <c r="O401" s="217"/>
      <c r="P401" s="217"/>
      <c r="Q401" s="217"/>
      <c r="R401" s="217"/>
      <c r="S401" s="217"/>
      <c r="T401" s="217"/>
      <c r="U401" s="217"/>
      <c r="V401" s="51">
        <f t="shared" ref="V401:V411" si="35">SUM(J401:U401)</f>
        <v>3754445</v>
      </c>
      <c r="W401" s="7"/>
      <c r="X401" s="7"/>
      <c r="Y401" s="7"/>
      <c r="Z401" s="7"/>
    </row>
    <row r="402" ht="14.25" customHeight="1">
      <c r="A402" s="7"/>
      <c r="B402" s="7" t="s">
        <v>1273</v>
      </c>
      <c r="C402" s="187"/>
      <c r="D402" s="189"/>
      <c r="E402" s="143">
        <v>2.0</v>
      </c>
      <c r="F402" s="185" t="s">
        <v>1274</v>
      </c>
      <c r="G402" s="185"/>
      <c r="H402" s="186"/>
      <c r="I402" s="187" t="s">
        <v>489</v>
      </c>
      <c r="J402" s="68"/>
      <c r="K402" s="218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51">
        <f t="shared" si="35"/>
        <v>0</v>
      </c>
      <c r="W402" s="7"/>
      <c r="X402" s="7"/>
      <c r="Y402" s="7"/>
      <c r="Z402" s="7"/>
    </row>
    <row r="403" ht="14.25" customHeight="1">
      <c r="A403" s="7"/>
      <c r="B403" s="7" t="s">
        <v>1273</v>
      </c>
      <c r="C403" s="187"/>
      <c r="D403" s="189"/>
      <c r="E403" s="185"/>
      <c r="F403" s="185"/>
      <c r="G403" s="185"/>
      <c r="H403" s="186"/>
      <c r="I403" s="187" t="s">
        <v>398</v>
      </c>
      <c r="J403" s="68"/>
      <c r="K403" s="218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51">
        <f t="shared" si="35"/>
        <v>0</v>
      </c>
      <c r="W403" s="7"/>
      <c r="X403" s="7"/>
      <c r="Y403" s="7"/>
      <c r="Z403" s="7"/>
    </row>
    <row r="404" ht="14.25" customHeight="1">
      <c r="A404" s="7"/>
      <c r="B404" s="7" t="s">
        <v>1273</v>
      </c>
      <c r="C404" s="187"/>
      <c r="D404" s="189"/>
      <c r="E404" s="185"/>
      <c r="F404" s="185"/>
      <c r="G404" s="185"/>
      <c r="H404" s="186"/>
      <c r="I404" s="187" t="s">
        <v>490</v>
      </c>
      <c r="J404" s="68"/>
      <c r="K404" s="218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51">
        <f t="shared" si="35"/>
        <v>0</v>
      </c>
      <c r="W404" s="7"/>
      <c r="X404" s="7"/>
      <c r="Y404" s="7"/>
      <c r="Z404" s="7"/>
    </row>
    <row r="405" ht="14.25" customHeight="1">
      <c r="A405" s="7"/>
      <c r="B405" s="7" t="s">
        <v>1273</v>
      </c>
      <c r="C405" s="187"/>
      <c r="D405" s="189"/>
      <c r="E405" s="185"/>
      <c r="F405" s="185"/>
      <c r="G405" s="185"/>
      <c r="H405" s="186"/>
      <c r="I405" s="187" t="s">
        <v>1272</v>
      </c>
      <c r="J405" s="68"/>
      <c r="K405" s="218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51">
        <f t="shared" si="35"/>
        <v>0</v>
      </c>
      <c r="W405" s="7"/>
      <c r="X405" s="7"/>
      <c r="Y405" s="7"/>
      <c r="Z405" s="7"/>
    </row>
    <row r="406" ht="14.25" customHeight="1">
      <c r="A406" s="7"/>
      <c r="B406" s="7" t="s">
        <v>1275</v>
      </c>
      <c r="C406" s="187"/>
      <c r="D406" s="189">
        <v>2.0</v>
      </c>
      <c r="E406" s="185" t="s">
        <v>1276</v>
      </c>
      <c r="F406" s="185"/>
      <c r="G406" s="185"/>
      <c r="H406" s="186"/>
      <c r="I406" s="187" t="s">
        <v>1272</v>
      </c>
      <c r="J406" s="68"/>
      <c r="K406" s="218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51">
        <f t="shared" si="35"/>
        <v>0</v>
      </c>
      <c r="W406" s="7"/>
      <c r="X406" s="7"/>
      <c r="Y406" s="7"/>
      <c r="Z406" s="7"/>
    </row>
    <row r="407" ht="14.25" customHeight="1">
      <c r="A407" s="7"/>
      <c r="B407" s="7" t="s">
        <v>1277</v>
      </c>
      <c r="C407" s="187"/>
      <c r="D407" s="189">
        <v>3.0</v>
      </c>
      <c r="E407" s="185" t="s">
        <v>1278</v>
      </c>
      <c r="F407" s="185"/>
      <c r="G407" s="185"/>
      <c r="H407" s="186"/>
      <c r="I407" s="187" t="s">
        <v>489</v>
      </c>
      <c r="J407" s="219"/>
      <c r="K407" s="218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51">
        <f t="shared" si="35"/>
        <v>0</v>
      </c>
      <c r="W407" s="7"/>
      <c r="X407" s="7"/>
      <c r="Y407" s="7"/>
      <c r="Z407" s="7"/>
    </row>
    <row r="408" ht="14.25" customHeight="1">
      <c r="A408" s="7"/>
      <c r="B408" s="7" t="s">
        <v>1277</v>
      </c>
      <c r="C408" s="187"/>
      <c r="D408" s="189"/>
      <c r="E408" s="185"/>
      <c r="F408" s="185"/>
      <c r="G408" s="185"/>
      <c r="H408" s="186"/>
      <c r="I408" s="187" t="s">
        <v>490</v>
      </c>
      <c r="J408" s="68"/>
      <c r="K408" s="218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51">
        <f t="shared" si="35"/>
        <v>0</v>
      </c>
      <c r="W408" s="7"/>
      <c r="X408" s="7"/>
      <c r="Y408" s="7"/>
      <c r="Z408" s="7"/>
    </row>
    <row r="409" ht="14.25" customHeight="1">
      <c r="A409" s="7"/>
      <c r="B409" s="7" t="s">
        <v>1277</v>
      </c>
      <c r="C409" s="187"/>
      <c r="D409" s="189"/>
      <c r="E409" s="185"/>
      <c r="F409" s="185"/>
      <c r="G409" s="185"/>
      <c r="H409" s="186"/>
      <c r="I409" s="187" t="s">
        <v>1272</v>
      </c>
      <c r="J409" s="214">
        <v>1347.0</v>
      </c>
      <c r="K409" s="215">
        <v>1347.0</v>
      </c>
      <c r="L409" s="215">
        <v>1347.0</v>
      </c>
      <c r="M409" s="215">
        <v>1347.0</v>
      </c>
      <c r="N409" s="215">
        <v>1347.0</v>
      </c>
      <c r="O409" s="190"/>
      <c r="P409" s="190"/>
      <c r="Q409" s="217"/>
      <c r="R409" s="217"/>
      <c r="S409" s="217"/>
      <c r="T409" s="217"/>
      <c r="U409" s="217"/>
      <c r="V409" s="51">
        <f t="shared" si="35"/>
        <v>6735</v>
      </c>
      <c r="W409" s="7"/>
      <c r="X409" s="7"/>
      <c r="Y409" s="7"/>
      <c r="Z409" s="7"/>
    </row>
    <row r="410" ht="14.25" customHeight="1">
      <c r="A410" s="7"/>
      <c r="B410" s="7" t="s">
        <v>1277</v>
      </c>
      <c r="C410" s="187"/>
      <c r="D410" s="189"/>
      <c r="E410" s="185"/>
      <c r="F410" s="185"/>
      <c r="G410" s="185"/>
      <c r="H410" s="186"/>
      <c r="I410" s="187" t="s">
        <v>1279</v>
      </c>
      <c r="J410" s="220"/>
      <c r="K410" s="190"/>
      <c r="L410" s="190"/>
      <c r="M410" s="190"/>
      <c r="N410" s="190"/>
      <c r="O410" s="190"/>
      <c r="P410" s="190"/>
      <c r="Q410" s="190"/>
      <c r="R410" s="190"/>
      <c r="S410" s="64"/>
      <c r="T410" s="190"/>
      <c r="U410" s="64"/>
      <c r="V410" s="51">
        <f t="shared" si="35"/>
        <v>0</v>
      </c>
      <c r="W410" s="7"/>
      <c r="X410" s="7"/>
      <c r="Y410" s="7"/>
      <c r="Z410" s="7"/>
    </row>
    <row r="411" ht="14.25" customHeight="1">
      <c r="A411" s="7"/>
      <c r="B411" s="7" t="s">
        <v>1280</v>
      </c>
      <c r="C411" s="187"/>
      <c r="D411" s="189">
        <v>4.0</v>
      </c>
      <c r="E411" s="185" t="s">
        <v>1281</v>
      </c>
      <c r="F411" s="185"/>
      <c r="G411" s="185"/>
      <c r="H411" s="186"/>
      <c r="I411" s="187" t="s">
        <v>1282</v>
      </c>
      <c r="J411" s="220"/>
      <c r="K411" s="190"/>
      <c r="L411" s="190"/>
      <c r="M411" s="190"/>
      <c r="N411" s="190"/>
      <c r="O411" s="190"/>
      <c r="P411" s="190"/>
      <c r="Q411" s="190"/>
      <c r="R411" s="190"/>
      <c r="S411" s="64"/>
      <c r="T411" s="190"/>
      <c r="U411" s="64"/>
      <c r="V411" s="51">
        <f t="shared" si="35"/>
        <v>0</v>
      </c>
      <c r="W411" s="7"/>
      <c r="X411" s="7"/>
      <c r="Y411" s="7"/>
      <c r="Z411" s="7"/>
    </row>
    <row r="412" ht="14.25" customHeight="1">
      <c r="A412" s="7"/>
      <c r="B412" s="11"/>
      <c r="C412" s="187"/>
      <c r="D412" s="200"/>
      <c r="E412" s="185"/>
      <c r="F412" s="185"/>
      <c r="G412" s="185"/>
      <c r="H412" s="186"/>
      <c r="I412" s="187"/>
      <c r="J412" s="221"/>
      <c r="K412" s="119"/>
      <c r="L412" s="119"/>
      <c r="M412" s="119"/>
      <c r="N412" s="119"/>
      <c r="O412" s="119"/>
      <c r="P412" s="119"/>
      <c r="Q412" s="119"/>
      <c r="R412" s="119"/>
      <c r="S412" s="74"/>
      <c r="T412" s="119"/>
      <c r="U412" s="119"/>
      <c r="V412" s="119"/>
      <c r="W412" s="7"/>
      <c r="X412" s="7"/>
      <c r="Y412" s="7"/>
      <c r="Z412" s="7"/>
    </row>
    <row r="413" ht="14.25" customHeight="1">
      <c r="A413" s="7"/>
      <c r="C413" s="183">
        <v>14.0</v>
      </c>
      <c r="D413" s="184" t="s">
        <v>1283</v>
      </c>
      <c r="E413" s="185"/>
      <c r="F413" s="185"/>
      <c r="G413" s="185"/>
      <c r="H413" s="186"/>
      <c r="I413" s="187"/>
      <c r="J413" s="221"/>
      <c r="K413" s="119"/>
      <c r="L413" s="119"/>
      <c r="M413" s="119"/>
      <c r="N413" s="119"/>
      <c r="O413" s="119"/>
      <c r="P413" s="119"/>
      <c r="Q413" s="119"/>
      <c r="R413" s="119"/>
      <c r="S413" s="74"/>
      <c r="T413" s="119"/>
      <c r="U413" s="119"/>
      <c r="V413" s="119"/>
      <c r="W413" s="7"/>
      <c r="X413" s="7"/>
      <c r="Y413" s="7"/>
      <c r="Z413" s="7"/>
    </row>
    <row r="414" ht="14.25" customHeight="1">
      <c r="A414" s="7"/>
      <c r="C414" s="187"/>
      <c r="D414" s="189">
        <v>1.0</v>
      </c>
      <c r="E414" s="185" t="s">
        <v>1284</v>
      </c>
      <c r="F414" s="185"/>
      <c r="G414" s="185"/>
      <c r="H414" s="186"/>
      <c r="I414" s="187"/>
      <c r="J414" s="221"/>
      <c r="K414" s="119"/>
      <c r="L414" s="119"/>
      <c r="M414" s="119"/>
      <c r="N414" s="119"/>
      <c r="O414" s="119"/>
      <c r="P414" s="119"/>
      <c r="Q414" s="119"/>
      <c r="R414" s="119"/>
      <c r="S414" s="74"/>
      <c r="T414" s="119"/>
      <c r="U414" s="119"/>
      <c r="V414" s="119"/>
      <c r="W414" s="7"/>
      <c r="X414" s="7"/>
      <c r="Y414" s="7"/>
      <c r="Z414" s="7"/>
    </row>
    <row r="415" ht="14.25" customHeight="1">
      <c r="A415" s="7"/>
      <c r="C415" s="187"/>
      <c r="D415" s="189"/>
      <c r="E415" s="203">
        <v>1.0</v>
      </c>
      <c r="F415" s="185" t="s">
        <v>1285</v>
      </c>
      <c r="G415" s="185"/>
      <c r="H415" s="186"/>
      <c r="I415" s="187"/>
      <c r="J415" s="221"/>
      <c r="K415" s="119"/>
      <c r="L415" s="119"/>
      <c r="M415" s="119"/>
      <c r="N415" s="119"/>
      <c r="O415" s="119"/>
      <c r="P415" s="119"/>
      <c r="Q415" s="119"/>
      <c r="R415" s="119"/>
      <c r="S415" s="74"/>
      <c r="T415" s="119"/>
      <c r="U415" s="119"/>
      <c r="V415" s="119"/>
      <c r="W415" s="7"/>
      <c r="X415" s="7"/>
      <c r="Y415" s="7"/>
      <c r="Z415" s="7"/>
    </row>
    <row r="416" ht="14.25" customHeight="1">
      <c r="A416" s="7"/>
      <c r="B416" s="7" t="s">
        <v>1286</v>
      </c>
      <c r="C416" s="187"/>
      <c r="D416" s="189"/>
      <c r="E416" s="203"/>
      <c r="F416" s="203">
        <v>1.0</v>
      </c>
      <c r="G416" s="185" t="s">
        <v>1287</v>
      </c>
      <c r="H416" s="186"/>
      <c r="I416" s="187" t="s">
        <v>489</v>
      </c>
      <c r="J416" s="222"/>
      <c r="K416" s="190"/>
      <c r="L416" s="190"/>
      <c r="M416" s="190"/>
      <c r="N416" s="190"/>
      <c r="O416" s="190"/>
      <c r="P416" s="217"/>
      <c r="Q416" s="217"/>
      <c r="R416" s="217"/>
      <c r="S416" s="112"/>
      <c r="T416" s="190"/>
      <c r="U416" s="190"/>
      <c r="V416" s="51">
        <f t="shared" ref="V416:V417" si="36">SUM(J416:U416)</f>
        <v>0</v>
      </c>
      <c r="W416" s="7"/>
      <c r="X416" s="7"/>
      <c r="Y416" s="7"/>
      <c r="Z416" s="7"/>
    </row>
    <row r="417" ht="14.25" customHeight="1">
      <c r="A417" s="7"/>
      <c r="B417" s="7" t="s">
        <v>1288</v>
      </c>
      <c r="C417" s="187"/>
      <c r="D417" s="189"/>
      <c r="E417" s="203"/>
      <c r="F417" s="203">
        <v>2.0</v>
      </c>
      <c r="G417" s="185" t="s">
        <v>1289</v>
      </c>
      <c r="H417" s="186"/>
      <c r="I417" s="187" t="s">
        <v>489</v>
      </c>
      <c r="J417" s="215">
        <v>2014.0</v>
      </c>
      <c r="K417" s="223">
        <v>1204.0</v>
      </c>
      <c r="L417" s="217">
        <v>1022.0</v>
      </c>
      <c r="M417" s="214">
        <v>2544.0</v>
      </c>
      <c r="N417" s="193">
        <v>629.0</v>
      </c>
      <c r="O417" s="223"/>
      <c r="P417" s="217"/>
      <c r="Q417" s="190"/>
      <c r="R417" s="190"/>
      <c r="S417" s="57"/>
      <c r="T417" s="190"/>
      <c r="U417" s="190"/>
      <c r="V417" s="51">
        <f t="shared" si="36"/>
        <v>7413</v>
      </c>
      <c r="W417" s="224"/>
      <c r="X417" s="225"/>
      <c r="Y417" s="7"/>
      <c r="Z417" s="7"/>
    </row>
    <row r="418" ht="14.25" customHeight="1">
      <c r="A418" s="7"/>
      <c r="C418" s="187"/>
      <c r="D418" s="189"/>
      <c r="E418" s="203">
        <v>2.0</v>
      </c>
      <c r="F418" s="185" t="s">
        <v>1290</v>
      </c>
      <c r="G418" s="185"/>
      <c r="H418" s="186"/>
      <c r="I418" s="187"/>
      <c r="J418" s="226"/>
      <c r="K418" s="76"/>
      <c r="L418" s="119"/>
      <c r="M418" s="119"/>
      <c r="N418" s="119"/>
      <c r="O418" s="43"/>
      <c r="P418" s="119"/>
      <c r="Q418" s="119"/>
      <c r="R418" s="119"/>
      <c r="S418" s="76"/>
      <c r="T418" s="119"/>
      <c r="U418" s="119"/>
      <c r="V418" s="119"/>
      <c r="W418" s="7"/>
      <c r="X418" s="7"/>
      <c r="Y418" s="7"/>
      <c r="Z418" s="7"/>
    </row>
    <row r="419" ht="14.25" customHeight="1">
      <c r="A419" s="7"/>
      <c r="B419" s="7" t="s">
        <v>1291</v>
      </c>
      <c r="C419" s="187"/>
      <c r="D419" s="189"/>
      <c r="E419" s="185"/>
      <c r="F419" s="203">
        <v>1.0</v>
      </c>
      <c r="G419" s="185" t="s">
        <v>1287</v>
      </c>
      <c r="H419" s="186"/>
      <c r="I419" s="187" t="s">
        <v>489</v>
      </c>
      <c r="J419" s="227"/>
      <c r="K419" s="68"/>
      <c r="L419" s="190"/>
      <c r="M419" s="190"/>
      <c r="N419" s="190"/>
      <c r="O419" s="198"/>
      <c r="P419" s="190"/>
      <c r="Q419" s="190"/>
      <c r="R419" s="190"/>
      <c r="S419" s="61"/>
      <c r="T419" s="190"/>
      <c r="U419" s="190"/>
      <c r="V419" s="51">
        <f t="shared" ref="V419:V421" si="37">SUM(J419:U419)</f>
        <v>0</v>
      </c>
      <c r="W419" s="7"/>
      <c r="X419" s="7"/>
      <c r="Y419" s="7"/>
      <c r="Z419" s="7"/>
    </row>
    <row r="420" ht="14.25" customHeight="1">
      <c r="A420" s="7"/>
      <c r="B420" s="7" t="s">
        <v>1292</v>
      </c>
      <c r="C420" s="187"/>
      <c r="D420" s="189"/>
      <c r="E420" s="185"/>
      <c r="F420" s="203">
        <v>2.0</v>
      </c>
      <c r="G420" s="185" t="s">
        <v>1289</v>
      </c>
      <c r="H420" s="186"/>
      <c r="I420" s="187" t="s">
        <v>489</v>
      </c>
      <c r="J420" s="223">
        <v>1256.0</v>
      </c>
      <c r="K420" s="223">
        <v>1173.0</v>
      </c>
      <c r="L420" s="223">
        <v>665.0</v>
      </c>
      <c r="M420" s="215">
        <v>1904.0</v>
      </c>
      <c r="N420" s="228">
        <v>4935.0</v>
      </c>
      <c r="O420" s="223"/>
      <c r="P420" s="229"/>
      <c r="Q420" s="190"/>
      <c r="R420" s="190"/>
      <c r="S420" s="57"/>
      <c r="T420" s="190"/>
      <c r="U420" s="190"/>
      <c r="V420" s="51">
        <f t="shared" si="37"/>
        <v>9933</v>
      </c>
      <c r="W420" s="7"/>
      <c r="X420" s="7"/>
      <c r="Y420" s="7"/>
      <c r="Z420" s="7"/>
    </row>
    <row r="421" ht="14.25" customHeight="1">
      <c r="A421" s="7"/>
      <c r="B421" s="7" t="s">
        <v>1293</v>
      </c>
      <c r="C421" s="187"/>
      <c r="D421" s="189">
        <v>2.0</v>
      </c>
      <c r="E421" s="185" t="s">
        <v>1294</v>
      </c>
      <c r="F421" s="185"/>
      <c r="G421" s="185"/>
      <c r="H421" s="186"/>
      <c r="I421" s="187" t="s">
        <v>1295</v>
      </c>
      <c r="J421" s="223">
        <v>142586.0</v>
      </c>
      <c r="K421" s="223">
        <v>174203.0</v>
      </c>
      <c r="L421" s="223">
        <v>140499.0</v>
      </c>
      <c r="M421" s="230">
        <v>239645.0</v>
      </c>
      <c r="N421" s="217"/>
      <c r="O421" s="223"/>
      <c r="P421" s="229"/>
      <c r="Q421" s="190"/>
      <c r="R421" s="190"/>
      <c r="S421" s="57"/>
      <c r="T421" s="190"/>
      <c r="U421" s="190"/>
      <c r="V421" s="51">
        <f t="shared" si="37"/>
        <v>696933</v>
      </c>
      <c r="W421" s="224"/>
      <c r="X421" s="225"/>
      <c r="Y421" s="7"/>
      <c r="Z421" s="7"/>
    </row>
    <row r="422" ht="14.25" customHeight="1">
      <c r="A422" s="7"/>
      <c r="B422" s="11"/>
      <c r="C422" s="187"/>
      <c r="D422" s="200"/>
      <c r="E422" s="185"/>
      <c r="F422" s="185"/>
      <c r="G422" s="185"/>
      <c r="H422" s="186"/>
      <c r="I422" s="187"/>
      <c r="J422" s="221"/>
      <c r="K422" s="43"/>
      <c r="L422" s="119"/>
      <c r="M422" s="119"/>
      <c r="N422" s="119"/>
      <c r="O422" s="43"/>
      <c r="P422" s="119"/>
      <c r="Q422" s="119"/>
      <c r="R422" s="119"/>
      <c r="S422" s="74"/>
      <c r="T422" s="119"/>
      <c r="U422" s="119"/>
      <c r="V422" s="119"/>
      <c r="W422" s="7"/>
      <c r="X422" s="7"/>
      <c r="Y422" s="7"/>
      <c r="Z422" s="7"/>
    </row>
    <row r="423" ht="14.25" customHeight="1">
      <c r="A423" s="7"/>
      <c r="C423" s="183">
        <v>15.0</v>
      </c>
      <c r="D423" s="184" t="s">
        <v>1296</v>
      </c>
      <c r="E423" s="185"/>
      <c r="F423" s="185"/>
      <c r="G423" s="185"/>
      <c r="H423" s="186"/>
      <c r="I423" s="187"/>
      <c r="J423" s="221"/>
      <c r="K423" s="43"/>
      <c r="L423" s="119"/>
      <c r="M423" s="119"/>
      <c r="N423" s="119"/>
      <c r="O423" s="43"/>
      <c r="P423" s="119"/>
      <c r="Q423" s="119"/>
      <c r="R423" s="119"/>
      <c r="S423" s="74"/>
      <c r="T423" s="119"/>
      <c r="U423" s="119"/>
      <c r="V423" s="119"/>
      <c r="W423" s="7"/>
      <c r="X423" s="7"/>
      <c r="Y423" s="7"/>
      <c r="Z423" s="7"/>
    </row>
    <row r="424" ht="14.25" customHeight="1">
      <c r="A424" s="7"/>
      <c r="C424" s="187"/>
      <c r="D424" s="189">
        <v>1.0</v>
      </c>
      <c r="E424" s="185" t="s">
        <v>1297</v>
      </c>
      <c r="F424" s="185"/>
      <c r="G424" s="185"/>
      <c r="H424" s="186"/>
      <c r="I424" s="187"/>
      <c r="J424" s="221"/>
      <c r="K424" s="43"/>
      <c r="L424" s="119"/>
      <c r="M424" s="119"/>
      <c r="N424" s="119"/>
      <c r="O424" s="43"/>
      <c r="P424" s="119"/>
      <c r="Q424" s="119"/>
      <c r="R424" s="119"/>
      <c r="S424" s="74"/>
      <c r="T424" s="119"/>
      <c r="U424" s="119"/>
      <c r="V424" s="119"/>
      <c r="W424" s="7"/>
      <c r="X424" s="7"/>
      <c r="Y424" s="7"/>
      <c r="Z424" s="7"/>
    </row>
    <row r="425" ht="14.25" customHeight="1">
      <c r="A425" s="7"/>
      <c r="B425" s="7" t="s">
        <v>1298</v>
      </c>
      <c r="C425" s="187"/>
      <c r="D425" s="189"/>
      <c r="E425" s="203">
        <v>1.0</v>
      </c>
      <c r="F425" s="185" t="s">
        <v>1299</v>
      </c>
      <c r="G425" s="185"/>
      <c r="H425" s="186"/>
      <c r="I425" s="187" t="s">
        <v>164</v>
      </c>
      <c r="J425" s="231"/>
      <c r="K425" s="198"/>
      <c r="L425" s="190"/>
      <c r="M425" s="190"/>
      <c r="N425" s="190"/>
      <c r="O425" s="198"/>
      <c r="P425" s="190"/>
      <c r="Q425" s="190"/>
      <c r="R425" s="190"/>
      <c r="S425" s="64"/>
      <c r="T425" s="190"/>
      <c r="U425" s="190"/>
      <c r="V425" s="51">
        <f>SUM(J425:U425)</f>
        <v>0</v>
      </c>
      <c r="W425" s="7"/>
      <c r="X425" s="7"/>
      <c r="Y425" s="7"/>
      <c r="Z425" s="7"/>
    </row>
    <row r="426" ht="14.25" customHeight="1">
      <c r="A426" s="7"/>
      <c r="C426" s="187"/>
      <c r="D426" s="189">
        <v>2.0</v>
      </c>
      <c r="E426" s="185" t="s">
        <v>1300</v>
      </c>
      <c r="F426" s="185"/>
      <c r="G426" s="185"/>
      <c r="H426" s="186"/>
      <c r="I426" s="187"/>
      <c r="J426" s="221"/>
      <c r="K426" s="43"/>
      <c r="L426" s="119"/>
      <c r="M426" s="119"/>
      <c r="N426" s="119"/>
      <c r="O426" s="43"/>
      <c r="P426" s="119"/>
      <c r="Q426" s="119"/>
      <c r="R426" s="119"/>
      <c r="S426" s="74"/>
      <c r="T426" s="119"/>
      <c r="U426" s="119"/>
      <c r="V426" s="119"/>
      <c r="W426" s="7"/>
      <c r="X426" s="7"/>
      <c r="Y426" s="7"/>
      <c r="Z426" s="7"/>
    </row>
    <row r="427" ht="14.25" customHeight="1">
      <c r="A427" s="7"/>
      <c r="B427" s="7" t="s">
        <v>1301</v>
      </c>
      <c r="C427" s="187"/>
      <c r="D427" s="189"/>
      <c r="E427" s="203">
        <v>1.0</v>
      </c>
      <c r="F427" s="185" t="s">
        <v>1302</v>
      </c>
      <c r="G427" s="185"/>
      <c r="H427" s="186"/>
      <c r="I427" s="187" t="s">
        <v>164</v>
      </c>
      <c r="J427" s="220"/>
      <c r="K427" s="198"/>
      <c r="L427" s="190"/>
      <c r="M427" s="190"/>
      <c r="N427" s="190"/>
      <c r="O427" s="198"/>
      <c r="P427" s="190"/>
      <c r="Q427" s="190"/>
      <c r="R427" s="190"/>
      <c r="S427" s="64"/>
      <c r="T427" s="190"/>
      <c r="U427" s="190"/>
      <c r="V427" s="51">
        <f t="shared" ref="V427:V428" si="38">SUM(J427:U427)</f>
        <v>0</v>
      </c>
      <c r="W427" s="224"/>
      <c r="X427" s="225"/>
      <c r="Y427" s="7"/>
      <c r="Z427" s="7"/>
    </row>
    <row r="428" ht="14.25" customHeight="1">
      <c r="A428" s="7"/>
      <c r="B428" s="7" t="s">
        <v>1303</v>
      </c>
      <c r="C428" s="187"/>
      <c r="D428" s="189"/>
      <c r="E428" s="203">
        <v>2.0</v>
      </c>
      <c r="F428" s="185" t="s">
        <v>1304</v>
      </c>
      <c r="G428" s="185"/>
      <c r="H428" s="186"/>
      <c r="I428" s="187" t="s">
        <v>164</v>
      </c>
      <c r="J428" s="215">
        <v>268.0</v>
      </c>
      <c r="K428" s="232">
        <v>30.0</v>
      </c>
      <c r="L428" s="217">
        <v>11.0</v>
      </c>
      <c r="M428" s="190">
        <v>9.0</v>
      </c>
      <c r="N428" s="199">
        <v>0.0</v>
      </c>
      <c r="O428" s="223"/>
      <c r="P428" s="190"/>
      <c r="Q428" s="190"/>
      <c r="R428" s="190"/>
      <c r="S428" s="64"/>
      <c r="T428" s="190"/>
      <c r="U428" s="190"/>
      <c r="V428" s="51">
        <f t="shared" si="38"/>
        <v>318</v>
      </c>
      <c r="W428" s="7"/>
      <c r="X428" s="7"/>
      <c r="Y428" s="7"/>
      <c r="Z428" s="7"/>
    </row>
    <row r="429" ht="14.25" customHeight="1">
      <c r="A429" s="7"/>
      <c r="C429" s="187"/>
      <c r="D429" s="189">
        <v>3.0</v>
      </c>
      <c r="E429" s="185" t="s">
        <v>1305</v>
      </c>
      <c r="F429" s="185"/>
      <c r="G429" s="185"/>
      <c r="H429" s="186"/>
      <c r="I429" s="187"/>
      <c r="J429" s="233"/>
      <c r="K429" s="234"/>
      <c r="L429" s="119"/>
      <c r="M429" s="119"/>
      <c r="N429" s="119"/>
      <c r="O429" s="43"/>
      <c r="P429" s="119"/>
      <c r="Q429" s="119"/>
      <c r="R429" s="119"/>
      <c r="S429" s="74"/>
      <c r="T429" s="119"/>
      <c r="U429" s="119"/>
      <c r="V429" s="119"/>
      <c r="W429" s="7"/>
      <c r="X429" s="7"/>
      <c r="Y429" s="7"/>
      <c r="Z429" s="7"/>
    </row>
    <row r="430" ht="14.25" customHeight="1">
      <c r="A430" s="7"/>
      <c r="B430" s="7" t="s">
        <v>1306</v>
      </c>
      <c r="C430" s="187"/>
      <c r="D430" s="189"/>
      <c r="E430" s="203">
        <v>1.0</v>
      </c>
      <c r="F430" s="185" t="s">
        <v>1307</v>
      </c>
      <c r="G430" s="185"/>
      <c r="H430" s="186"/>
      <c r="I430" s="187" t="s">
        <v>164</v>
      </c>
      <c r="J430" s="223">
        <v>12324.0</v>
      </c>
      <c r="K430" s="223">
        <v>8225.0</v>
      </c>
      <c r="L430" s="223">
        <v>7555.0</v>
      </c>
      <c r="M430" s="214">
        <v>15419.0</v>
      </c>
      <c r="N430" s="193">
        <v>14894.0</v>
      </c>
      <c r="O430" s="223"/>
      <c r="P430" s="190"/>
      <c r="Q430" s="190"/>
      <c r="R430" s="190"/>
      <c r="S430" s="235"/>
      <c r="T430" s="190"/>
      <c r="U430" s="190"/>
      <c r="V430" s="51">
        <f t="shared" ref="V430:V441" si="39">SUM(J430:U430)</f>
        <v>58417</v>
      </c>
      <c r="W430" s="7"/>
      <c r="X430" s="7"/>
      <c r="Y430" s="7"/>
      <c r="Z430" s="7"/>
    </row>
    <row r="431" ht="14.25" customHeight="1">
      <c r="A431" s="7"/>
      <c r="B431" s="7" t="s">
        <v>1306</v>
      </c>
      <c r="C431" s="187"/>
      <c r="D431" s="189"/>
      <c r="E431" s="185"/>
      <c r="F431" s="185"/>
      <c r="G431" s="185"/>
      <c r="H431" s="186"/>
      <c r="I431" s="187" t="s">
        <v>381</v>
      </c>
      <c r="J431" s="190"/>
      <c r="K431" s="190"/>
      <c r="L431" s="190"/>
      <c r="M431" s="190"/>
      <c r="N431" s="190"/>
      <c r="O431" s="198"/>
      <c r="P431" s="190"/>
      <c r="Q431" s="190"/>
      <c r="R431" s="190"/>
      <c r="S431" s="64"/>
      <c r="T431" s="190"/>
      <c r="U431" s="190"/>
      <c r="V431" s="51">
        <f t="shared" si="39"/>
        <v>0</v>
      </c>
      <c r="W431" s="7"/>
      <c r="X431" s="7"/>
      <c r="Y431" s="7"/>
      <c r="Z431" s="7"/>
    </row>
    <row r="432" ht="14.25" customHeight="1">
      <c r="A432" s="7"/>
      <c r="B432" s="7" t="s">
        <v>1306</v>
      </c>
      <c r="C432" s="187"/>
      <c r="D432" s="189"/>
      <c r="E432" s="185"/>
      <c r="F432" s="185"/>
      <c r="G432" s="185"/>
      <c r="H432" s="186"/>
      <c r="I432" s="187" t="s">
        <v>489</v>
      </c>
      <c r="J432" s="191">
        <v>234298.8</v>
      </c>
      <c r="K432" s="191">
        <v>407555.75</v>
      </c>
      <c r="L432" s="191">
        <v>282846.0</v>
      </c>
      <c r="M432" s="191">
        <v>329821.13</v>
      </c>
      <c r="N432" s="193">
        <v>404758.0</v>
      </c>
      <c r="O432" s="191"/>
      <c r="P432" s="191"/>
      <c r="Q432" s="191"/>
      <c r="R432" s="191"/>
      <c r="S432" s="191"/>
      <c r="T432" s="191"/>
      <c r="U432" s="190"/>
      <c r="V432" s="51">
        <f t="shared" si="39"/>
        <v>1659279.68</v>
      </c>
      <c r="W432" s="7"/>
      <c r="X432" s="7"/>
      <c r="Y432" s="7"/>
      <c r="Z432" s="7"/>
    </row>
    <row r="433" ht="14.25" customHeight="1">
      <c r="A433" s="7"/>
      <c r="B433" s="7" t="s">
        <v>1306</v>
      </c>
      <c r="C433" s="187"/>
      <c r="D433" s="189"/>
      <c r="E433" s="185"/>
      <c r="F433" s="185"/>
      <c r="G433" s="185"/>
      <c r="H433" s="186"/>
      <c r="I433" s="187" t="s">
        <v>490</v>
      </c>
      <c r="J433" s="191">
        <v>61865.0</v>
      </c>
      <c r="K433" s="191">
        <v>23676.0</v>
      </c>
      <c r="L433" s="191">
        <v>88806.0</v>
      </c>
      <c r="M433" s="191">
        <v>1464.0</v>
      </c>
      <c r="N433" s="196">
        <v>15472.0</v>
      </c>
      <c r="O433" s="191"/>
      <c r="P433" s="191"/>
      <c r="Q433" s="191"/>
      <c r="R433" s="191"/>
      <c r="S433" s="191"/>
      <c r="T433" s="191"/>
      <c r="U433" s="190"/>
      <c r="V433" s="51">
        <f t="shared" si="39"/>
        <v>191283</v>
      </c>
      <c r="W433" s="7"/>
      <c r="X433" s="7"/>
      <c r="Y433" s="7"/>
      <c r="Z433" s="7"/>
    </row>
    <row r="434" ht="16.5" customHeight="1">
      <c r="A434" s="7"/>
      <c r="B434" s="7" t="s">
        <v>1306</v>
      </c>
      <c r="C434" s="187"/>
      <c r="D434" s="189"/>
      <c r="E434" s="185"/>
      <c r="F434" s="185"/>
      <c r="G434" s="185"/>
      <c r="H434" s="186"/>
      <c r="I434" s="187" t="s">
        <v>398</v>
      </c>
      <c r="J434" s="217"/>
      <c r="K434" s="236"/>
      <c r="L434" s="217"/>
      <c r="M434" s="217"/>
      <c r="N434" s="217"/>
      <c r="O434" s="198"/>
      <c r="P434" s="198"/>
      <c r="Q434" s="217"/>
      <c r="R434" s="198"/>
      <c r="S434" s="198"/>
      <c r="T434" s="217"/>
      <c r="U434" s="190"/>
      <c r="V434" s="51">
        <f t="shared" si="39"/>
        <v>0</v>
      </c>
      <c r="W434" s="237"/>
      <c r="X434" s="225"/>
      <c r="Y434" s="7"/>
      <c r="Z434" s="7"/>
    </row>
    <row r="435" ht="14.25" customHeight="1">
      <c r="A435" s="7"/>
      <c r="B435" s="7" t="s">
        <v>1306</v>
      </c>
      <c r="C435" s="187"/>
      <c r="D435" s="189"/>
      <c r="E435" s="185"/>
      <c r="F435" s="185"/>
      <c r="G435" s="185"/>
      <c r="H435" s="186"/>
      <c r="I435" s="187" t="s">
        <v>501</v>
      </c>
      <c r="J435" s="217"/>
      <c r="K435" s="204"/>
      <c r="L435" s="190"/>
      <c r="M435" s="217"/>
      <c r="N435" s="190"/>
      <c r="O435" s="198"/>
      <c r="P435" s="198"/>
      <c r="Q435" s="190"/>
      <c r="R435" s="198"/>
      <c r="S435" s="198"/>
      <c r="T435" s="190"/>
      <c r="U435" s="190"/>
      <c r="V435" s="51">
        <f t="shared" si="39"/>
        <v>0</v>
      </c>
      <c r="W435" s="7"/>
      <c r="X435" s="7"/>
      <c r="Y435" s="7"/>
      <c r="Z435" s="7"/>
    </row>
    <row r="436" ht="14.25" customHeight="1">
      <c r="A436" s="7"/>
      <c r="B436" s="7" t="s">
        <v>1308</v>
      </c>
      <c r="C436" s="187"/>
      <c r="D436" s="189"/>
      <c r="E436" s="203">
        <v>2.0</v>
      </c>
      <c r="F436" s="185" t="s">
        <v>1309</v>
      </c>
      <c r="G436" s="185"/>
      <c r="H436" s="186"/>
      <c r="I436" s="187" t="s">
        <v>164</v>
      </c>
      <c r="J436" s="215">
        <v>312.0</v>
      </c>
      <c r="K436" s="204">
        <v>45.0</v>
      </c>
      <c r="L436" s="217">
        <v>11.0</v>
      </c>
      <c r="M436" s="217">
        <v>7.0</v>
      </c>
      <c r="N436" s="199">
        <v>0.0</v>
      </c>
      <c r="O436" s="223"/>
      <c r="P436" s="198"/>
      <c r="Q436" s="190"/>
      <c r="R436" s="198"/>
      <c r="S436" s="198"/>
      <c r="T436" s="190"/>
      <c r="U436" s="190"/>
      <c r="V436" s="51">
        <f t="shared" si="39"/>
        <v>375</v>
      </c>
      <c r="W436" s="7"/>
      <c r="X436" s="7"/>
      <c r="Y436" s="7"/>
      <c r="Z436" s="7"/>
    </row>
    <row r="437" ht="14.25" customHeight="1">
      <c r="A437" s="7"/>
      <c r="B437" s="7" t="s">
        <v>1308</v>
      </c>
      <c r="C437" s="187"/>
      <c r="D437" s="189"/>
      <c r="E437" s="185"/>
      <c r="F437" s="185"/>
      <c r="G437" s="185"/>
      <c r="H437" s="186"/>
      <c r="I437" s="187" t="s">
        <v>381</v>
      </c>
      <c r="J437" s="217"/>
      <c r="K437" s="204"/>
      <c r="L437" s="190"/>
      <c r="M437" s="217"/>
      <c r="N437" s="190"/>
      <c r="O437" s="223"/>
      <c r="P437" s="198"/>
      <c r="Q437" s="190"/>
      <c r="R437" s="198"/>
      <c r="S437" s="198"/>
      <c r="T437" s="190"/>
      <c r="U437" s="190"/>
      <c r="V437" s="51">
        <f t="shared" si="39"/>
        <v>0</v>
      </c>
      <c r="W437" s="7"/>
      <c r="X437" s="7"/>
      <c r="Y437" s="7"/>
      <c r="Z437" s="7"/>
    </row>
    <row r="438" ht="14.25" customHeight="1">
      <c r="A438" s="7"/>
      <c r="B438" s="7" t="s">
        <v>1308</v>
      </c>
      <c r="C438" s="187"/>
      <c r="D438" s="189"/>
      <c r="E438" s="185"/>
      <c r="F438" s="185" t="s">
        <v>1310</v>
      </c>
      <c r="G438" s="185"/>
      <c r="H438" s="186"/>
      <c r="I438" s="187" t="s">
        <v>489</v>
      </c>
      <c r="J438" s="214">
        <v>296163.8</v>
      </c>
      <c r="K438" s="191">
        <v>431231.75</v>
      </c>
      <c r="L438" s="191">
        <v>371652.0</v>
      </c>
      <c r="M438" s="215">
        <v>331285.0</v>
      </c>
      <c r="N438" s="190"/>
      <c r="O438" s="223"/>
      <c r="P438" s="229"/>
      <c r="Q438" s="190"/>
      <c r="R438" s="190"/>
      <c r="S438" s="235"/>
      <c r="T438" s="190"/>
      <c r="U438" s="190"/>
      <c r="V438" s="51">
        <f t="shared" si="39"/>
        <v>1430332.55</v>
      </c>
      <c r="W438" s="224"/>
      <c r="X438" s="225"/>
      <c r="Y438" s="7"/>
      <c r="Z438" s="7"/>
    </row>
    <row r="439" ht="14.25" customHeight="1">
      <c r="A439" s="7"/>
      <c r="B439" s="7" t="s">
        <v>1308</v>
      </c>
      <c r="C439" s="187"/>
      <c r="D439" s="189"/>
      <c r="E439" s="185"/>
      <c r="F439" s="185"/>
      <c r="G439" s="185"/>
      <c r="H439" s="186"/>
      <c r="I439" s="187" t="s">
        <v>490</v>
      </c>
      <c r="J439" s="217"/>
      <c r="K439" s="204"/>
      <c r="L439" s="190"/>
      <c r="M439" s="217"/>
      <c r="N439" s="190"/>
      <c r="O439" s="190"/>
      <c r="P439" s="198"/>
      <c r="Q439" s="190"/>
      <c r="R439" s="198"/>
      <c r="S439" s="198"/>
      <c r="T439" s="190"/>
      <c r="U439" s="190"/>
      <c r="V439" s="51">
        <f t="shared" si="39"/>
        <v>0</v>
      </c>
      <c r="W439" s="7"/>
      <c r="X439" s="7"/>
      <c r="Y439" s="7"/>
      <c r="Z439" s="7"/>
    </row>
    <row r="440" ht="14.25" customHeight="1">
      <c r="A440" s="7"/>
      <c r="B440" s="7" t="s">
        <v>1308</v>
      </c>
      <c r="C440" s="187"/>
      <c r="D440" s="189"/>
      <c r="E440" s="185"/>
      <c r="F440" s="185"/>
      <c r="G440" s="185"/>
      <c r="H440" s="186"/>
      <c r="I440" s="187" t="s">
        <v>398</v>
      </c>
      <c r="J440" s="217"/>
      <c r="K440" s="236"/>
      <c r="L440" s="217"/>
      <c r="M440" s="217"/>
      <c r="N440" s="217"/>
      <c r="O440" s="180"/>
      <c r="P440" s="198"/>
      <c r="Q440" s="217"/>
      <c r="R440" s="198"/>
      <c r="S440" s="198"/>
      <c r="T440" s="217"/>
      <c r="U440" s="190"/>
      <c r="V440" s="51">
        <f t="shared" si="39"/>
        <v>0</v>
      </c>
      <c r="W440" s="224"/>
      <c r="X440" s="225"/>
      <c r="Y440" s="7"/>
      <c r="Z440" s="7"/>
    </row>
    <row r="441" ht="14.25" customHeight="1">
      <c r="A441" s="7"/>
      <c r="B441" s="7" t="s">
        <v>1308</v>
      </c>
      <c r="C441" s="187"/>
      <c r="D441" s="189"/>
      <c r="E441" s="185"/>
      <c r="F441" s="185"/>
      <c r="G441" s="185"/>
      <c r="H441" s="186"/>
      <c r="I441" s="187" t="s">
        <v>501</v>
      </c>
      <c r="J441" s="190"/>
      <c r="K441" s="204"/>
      <c r="L441" s="190"/>
      <c r="M441" s="190"/>
      <c r="N441" s="190"/>
      <c r="O441" s="190"/>
      <c r="P441" s="198"/>
      <c r="Q441" s="190"/>
      <c r="R441" s="198"/>
      <c r="S441" s="198"/>
      <c r="T441" s="190"/>
      <c r="U441" s="190"/>
      <c r="V441" s="51">
        <f t="shared" si="39"/>
        <v>0</v>
      </c>
      <c r="W441" s="7"/>
      <c r="X441" s="7"/>
      <c r="Y441" s="7"/>
      <c r="Z441" s="7"/>
    </row>
    <row r="442" ht="14.25" customHeight="1">
      <c r="A442" s="7"/>
      <c r="C442" s="187"/>
      <c r="D442" s="189">
        <v>4.0</v>
      </c>
      <c r="E442" s="185" t="s">
        <v>1311</v>
      </c>
      <c r="F442" s="185"/>
      <c r="G442" s="185"/>
      <c r="H442" s="186"/>
      <c r="I442" s="187"/>
      <c r="J442" s="188"/>
      <c r="K442" s="148"/>
      <c r="L442" s="119"/>
      <c r="M442" s="119"/>
      <c r="N442" s="119"/>
      <c r="O442" s="119"/>
      <c r="P442" s="43"/>
      <c r="Q442" s="119"/>
      <c r="R442" s="43"/>
      <c r="S442" s="43"/>
      <c r="T442" s="119"/>
      <c r="U442" s="119"/>
      <c r="V442" s="119"/>
      <c r="W442" s="7"/>
      <c r="X442" s="7"/>
      <c r="Y442" s="7"/>
      <c r="Z442" s="7"/>
    </row>
    <row r="443" ht="14.25" customHeight="1">
      <c r="A443" s="7"/>
      <c r="B443" s="7" t="s">
        <v>1312</v>
      </c>
      <c r="C443" s="187"/>
      <c r="D443" s="189"/>
      <c r="E443" s="203">
        <v>1.0</v>
      </c>
      <c r="F443" s="185" t="s">
        <v>1313</v>
      </c>
      <c r="G443" s="185"/>
      <c r="H443" s="186"/>
      <c r="I443" s="187" t="s">
        <v>398</v>
      </c>
      <c r="J443" s="190"/>
      <c r="K443" s="204"/>
      <c r="L443" s="190"/>
      <c r="M443" s="190"/>
      <c r="N443" s="190"/>
      <c r="O443" s="190"/>
      <c r="P443" s="198"/>
      <c r="Q443" s="190"/>
      <c r="R443" s="198"/>
      <c r="S443" s="198"/>
      <c r="T443" s="190"/>
      <c r="U443" s="190"/>
      <c r="V443" s="51">
        <f>SUM(J443:U443)</f>
        <v>0</v>
      </c>
      <c r="W443" s="7"/>
      <c r="X443" s="7"/>
      <c r="Y443" s="7"/>
      <c r="Z443" s="7"/>
    </row>
    <row r="444" ht="14.25" customHeight="1">
      <c r="A444" s="7"/>
      <c r="C444" s="187"/>
      <c r="D444" s="189">
        <v>5.0</v>
      </c>
      <c r="E444" s="185" t="s">
        <v>1314</v>
      </c>
      <c r="F444" s="185"/>
      <c r="G444" s="185"/>
      <c r="H444" s="186"/>
      <c r="I444" s="187"/>
      <c r="J444" s="188"/>
      <c r="K444" s="148"/>
      <c r="L444" s="119"/>
      <c r="M444" s="119"/>
      <c r="N444" s="119"/>
      <c r="O444" s="119"/>
      <c r="P444" s="43"/>
      <c r="Q444" s="119"/>
      <c r="R444" s="43"/>
      <c r="S444" s="43"/>
      <c r="T444" s="119"/>
      <c r="U444" s="119"/>
      <c r="V444" s="119"/>
      <c r="W444" s="7"/>
      <c r="X444" s="7"/>
      <c r="Y444" s="7"/>
      <c r="Z444" s="7"/>
    </row>
    <row r="445" ht="14.25" customHeight="1">
      <c r="A445" s="7"/>
      <c r="B445" s="7" t="s">
        <v>1315</v>
      </c>
      <c r="C445" s="187"/>
      <c r="D445" s="189"/>
      <c r="E445" s="203">
        <v>1.0</v>
      </c>
      <c r="F445" s="185" t="s">
        <v>1316</v>
      </c>
      <c r="G445" s="185"/>
      <c r="H445" s="186"/>
      <c r="I445" s="187" t="s">
        <v>398</v>
      </c>
      <c r="J445" s="214"/>
      <c r="K445" s="206"/>
      <c r="L445" s="190"/>
      <c r="M445" s="190"/>
      <c r="N445" s="190"/>
      <c r="O445" s="190"/>
      <c r="P445" s="198"/>
      <c r="Q445" s="190"/>
      <c r="R445" s="198"/>
      <c r="S445" s="198"/>
      <c r="T445" s="190"/>
      <c r="U445" s="190"/>
      <c r="V445" s="51">
        <f t="shared" ref="V445:V493" si="40">SUM(J445:U445)</f>
        <v>0</v>
      </c>
      <c r="W445" s="7"/>
      <c r="X445" s="7"/>
      <c r="Y445" s="7"/>
      <c r="Z445" s="7"/>
    </row>
    <row r="446" ht="14.25" customHeight="1">
      <c r="A446" s="7"/>
      <c r="B446" s="7" t="s">
        <v>1315</v>
      </c>
      <c r="C446" s="187"/>
      <c r="D446" s="189"/>
      <c r="E446" s="203"/>
      <c r="F446" s="185"/>
      <c r="G446" s="185"/>
      <c r="H446" s="186"/>
      <c r="I446" s="187" t="s">
        <v>570</v>
      </c>
      <c r="J446" s="204"/>
      <c r="K446" s="190"/>
      <c r="L446" s="190"/>
      <c r="M446" s="190"/>
      <c r="N446" s="190"/>
      <c r="O446" s="190"/>
      <c r="P446" s="198"/>
      <c r="Q446" s="190"/>
      <c r="R446" s="198"/>
      <c r="S446" s="198"/>
      <c r="T446" s="190"/>
      <c r="U446" s="190"/>
      <c r="V446" s="51">
        <f t="shared" si="40"/>
        <v>0</v>
      </c>
      <c r="W446" s="7"/>
      <c r="X446" s="7"/>
      <c r="Y446" s="7"/>
      <c r="Z446" s="7"/>
    </row>
    <row r="447" ht="14.25" customHeight="1">
      <c r="A447" s="7"/>
      <c r="B447" s="7" t="s">
        <v>1315</v>
      </c>
      <c r="C447" s="187"/>
      <c r="D447" s="189"/>
      <c r="E447" s="203"/>
      <c r="F447" s="185"/>
      <c r="G447" s="185"/>
      <c r="H447" s="186"/>
      <c r="I447" s="187" t="s">
        <v>489</v>
      </c>
      <c r="J447" s="204"/>
      <c r="K447" s="190"/>
      <c r="L447" s="190"/>
      <c r="M447" s="190"/>
      <c r="N447" s="190"/>
      <c r="O447" s="190"/>
      <c r="P447" s="198"/>
      <c r="Q447" s="190"/>
      <c r="R447" s="198"/>
      <c r="S447" s="198"/>
      <c r="T447" s="190"/>
      <c r="U447" s="190"/>
      <c r="V447" s="51">
        <f t="shared" si="40"/>
        <v>0</v>
      </c>
      <c r="W447" s="7"/>
      <c r="X447" s="7"/>
      <c r="Y447" s="7"/>
      <c r="Z447" s="7"/>
    </row>
    <row r="448" ht="14.25" customHeight="1">
      <c r="A448" s="7"/>
      <c r="B448" s="7" t="s">
        <v>1315</v>
      </c>
      <c r="C448" s="187"/>
      <c r="D448" s="189"/>
      <c r="E448" s="203"/>
      <c r="F448" s="185"/>
      <c r="G448" s="185"/>
      <c r="H448" s="186"/>
      <c r="I448" s="187" t="s">
        <v>490</v>
      </c>
      <c r="J448" s="204"/>
      <c r="K448" s="190"/>
      <c r="L448" s="190"/>
      <c r="M448" s="190"/>
      <c r="N448" s="190"/>
      <c r="O448" s="190"/>
      <c r="P448" s="198"/>
      <c r="Q448" s="190"/>
      <c r="R448" s="198"/>
      <c r="S448" s="198"/>
      <c r="T448" s="190"/>
      <c r="U448" s="190"/>
      <c r="V448" s="51">
        <f t="shared" si="40"/>
        <v>0</v>
      </c>
      <c r="W448" s="7"/>
      <c r="X448" s="7"/>
      <c r="Y448" s="7"/>
      <c r="Z448" s="7"/>
    </row>
    <row r="449" ht="14.25" customHeight="1">
      <c r="A449" s="7"/>
      <c r="B449" s="7" t="s">
        <v>1315</v>
      </c>
      <c r="C449" s="187"/>
      <c r="D449" s="189"/>
      <c r="E449" s="203"/>
      <c r="F449" s="185"/>
      <c r="G449" s="185"/>
      <c r="H449" s="186"/>
      <c r="I449" s="187" t="s">
        <v>381</v>
      </c>
      <c r="J449" s="204"/>
      <c r="K449" s="190"/>
      <c r="L449" s="190"/>
      <c r="M449" s="190"/>
      <c r="N449" s="190"/>
      <c r="O449" s="190"/>
      <c r="P449" s="198"/>
      <c r="Q449" s="190"/>
      <c r="R449" s="198"/>
      <c r="S449" s="198"/>
      <c r="T449" s="190"/>
      <c r="U449" s="190"/>
      <c r="V449" s="51">
        <f t="shared" si="40"/>
        <v>0</v>
      </c>
      <c r="W449" s="7"/>
      <c r="X449" s="7"/>
      <c r="Y449" s="7"/>
      <c r="Z449" s="7"/>
    </row>
    <row r="450" ht="14.25" customHeight="1">
      <c r="A450" s="7"/>
      <c r="B450" s="7" t="s">
        <v>1315</v>
      </c>
      <c r="C450" s="187"/>
      <c r="D450" s="189"/>
      <c r="E450" s="203"/>
      <c r="F450" s="185"/>
      <c r="G450" s="185"/>
      <c r="H450" s="186"/>
      <c r="I450" s="187" t="s">
        <v>249</v>
      </c>
      <c r="J450" s="204"/>
      <c r="K450" s="190"/>
      <c r="L450" s="190"/>
      <c r="M450" s="190"/>
      <c r="N450" s="190"/>
      <c r="O450" s="190"/>
      <c r="P450" s="198"/>
      <c r="Q450" s="190"/>
      <c r="R450" s="198"/>
      <c r="S450" s="198"/>
      <c r="T450" s="190"/>
      <c r="U450" s="190"/>
      <c r="V450" s="51">
        <f t="shared" si="40"/>
        <v>0</v>
      </c>
      <c r="W450" s="7"/>
      <c r="X450" s="7"/>
      <c r="Y450" s="7"/>
      <c r="Z450" s="7"/>
    </row>
    <row r="451" ht="14.25" customHeight="1">
      <c r="A451" s="7"/>
      <c r="B451" s="7" t="s">
        <v>1317</v>
      </c>
      <c r="C451" s="187"/>
      <c r="D451" s="189"/>
      <c r="E451" s="203">
        <v>2.0</v>
      </c>
      <c r="F451" s="185" t="s">
        <v>1318</v>
      </c>
      <c r="G451" s="185"/>
      <c r="H451" s="186"/>
      <c r="I451" s="187" t="s">
        <v>570</v>
      </c>
      <c r="J451" s="204"/>
      <c r="K451" s="190"/>
      <c r="L451" s="190"/>
      <c r="M451" s="190"/>
      <c r="N451" s="190"/>
      <c r="O451" s="190"/>
      <c r="P451" s="198"/>
      <c r="Q451" s="190"/>
      <c r="R451" s="198"/>
      <c r="S451" s="198"/>
      <c r="T451" s="190"/>
      <c r="U451" s="190"/>
      <c r="V451" s="51">
        <f t="shared" si="40"/>
        <v>0</v>
      </c>
      <c r="W451" s="7"/>
      <c r="X451" s="7"/>
      <c r="Y451" s="7"/>
      <c r="Z451" s="7"/>
    </row>
    <row r="452" ht="14.25" customHeight="1">
      <c r="A452" s="7"/>
      <c r="B452" s="7" t="s">
        <v>1317</v>
      </c>
      <c r="C452" s="187"/>
      <c r="D452" s="189"/>
      <c r="E452" s="203"/>
      <c r="F452" s="185"/>
      <c r="G452" s="185"/>
      <c r="H452" s="186"/>
      <c r="I452" s="187" t="s">
        <v>1272</v>
      </c>
      <c r="J452" s="204"/>
      <c r="K452" s="190"/>
      <c r="L452" s="190"/>
      <c r="M452" s="190"/>
      <c r="N452" s="190"/>
      <c r="O452" s="190"/>
      <c r="P452" s="198"/>
      <c r="Q452" s="190"/>
      <c r="R452" s="198"/>
      <c r="S452" s="198"/>
      <c r="T452" s="190"/>
      <c r="U452" s="190"/>
      <c r="V452" s="51">
        <f t="shared" si="40"/>
        <v>0</v>
      </c>
      <c r="W452" s="7"/>
      <c r="X452" s="7"/>
      <c r="Y452" s="7"/>
      <c r="Z452" s="7"/>
    </row>
    <row r="453" ht="14.25" customHeight="1">
      <c r="A453" s="7"/>
      <c r="B453" s="7" t="s">
        <v>1317</v>
      </c>
      <c r="C453" s="187"/>
      <c r="D453" s="189"/>
      <c r="E453" s="203"/>
      <c r="F453" s="185"/>
      <c r="G453" s="185"/>
      <c r="H453" s="186"/>
      <c r="I453" s="187" t="s">
        <v>1319</v>
      </c>
      <c r="J453" s="204"/>
      <c r="K453" s="190"/>
      <c r="L453" s="190"/>
      <c r="M453" s="190"/>
      <c r="N453" s="190"/>
      <c r="O453" s="190"/>
      <c r="P453" s="198"/>
      <c r="Q453" s="190"/>
      <c r="R453" s="198"/>
      <c r="S453" s="198"/>
      <c r="T453" s="190"/>
      <c r="U453" s="190"/>
      <c r="V453" s="51">
        <f t="shared" si="40"/>
        <v>0</v>
      </c>
      <c r="W453" s="7"/>
      <c r="X453" s="7"/>
      <c r="Y453" s="7"/>
      <c r="Z453" s="7"/>
    </row>
    <row r="454" ht="14.25" customHeight="1">
      <c r="A454" s="7"/>
      <c r="B454" s="7" t="s">
        <v>1320</v>
      </c>
      <c r="C454" s="187"/>
      <c r="D454" s="189"/>
      <c r="E454" s="203">
        <v>3.0</v>
      </c>
      <c r="F454" s="185" t="s">
        <v>1321</v>
      </c>
      <c r="G454" s="185"/>
      <c r="H454" s="186"/>
      <c r="I454" s="187" t="s">
        <v>570</v>
      </c>
      <c r="J454" s="204"/>
      <c r="K454" s="190"/>
      <c r="L454" s="190"/>
      <c r="M454" s="190"/>
      <c r="N454" s="190"/>
      <c r="O454" s="190"/>
      <c r="P454" s="198"/>
      <c r="Q454" s="190"/>
      <c r="R454" s="198"/>
      <c r="S454" s="198"/>
      <c r="T454" s="190"/>
      <c r="U454" s="190"/>
      <c r="V454" s="51">
        <f t="shared" si="40"/>
        <v>0</v>
      </c>
      <c r="W454" s="7"/>
      <c r="X454" s="7"/>
      <c r="Y454" s="7"/>
      <c r="Z454" s="7"/>
    </row>
    <row r="455" ht="14.25" customHeight="1">
      <c r="A455" s="7"/>
      <c r="B455" s="7" t="s">
        <v>1320</v>
      </c>
      <c r="C455" s="187"/>
      <c r="D455" s="189"/>
      <c r="E455" s="203"/>
      <c r="F455" s="185"/>
      <c r="G455" s="185"/>
      <c r="H455" s="186"/>
      <c r="I455" s="187" t="s">
        <v>489</v>
      </c>
      <c r="J455" s="191">
        <v>234298.8</v>
      </c>
      <c r="K455" s="191">
        <v>407555.75</v>
      </c>
      <c r="L455" s="191">
        <v>282846.0</v>
      </c>
      <c r="M455" s="191">
        <v>329821.13</v>
      </c>
      <c r="N455" s="193">
        <v>404758.0</v>
      </c>
      <c r="O455" s="191"/>
      <c r="P455" s="191"/>
      <c r="Q455" s="191"/>
      <c r="R455" s="191"/>
      <c r="S455" s="191"/>
      <c r="T455" s="191"/>
      <c r="U455" s="190"/>
      <c r="V455" s="51">
        <f t="shared" si="40"/>
        <v>1659279.68</v>
      </c>
      <c r="W455" s="7"/>
      <c r="X455" s="7"/>
      <c r="Y455" s="7"/>
      <c r="Z455" s="7"/>
    </row>
    <row r="456" ht="14.25" customHeight="1">
      <c r="A456" s="7"/>
      <c r="B456" s="7" t="s">
        <v>1320</v>
      </c>
      <c r="C456" s="187"/>
      <c r="D456" s="189"/>
      <c r="E456" s="203"/>
      <c r="F456" s="185"/>
      <c r="G456" s="185"/>
      <c r="H456" s="186"/>
      <c r="I456" s="187" t="s">
        <v>490</v>
      </c>
      <c r="J456" s="191">
        <v>61865.0</v>
      </c>
      <c r="K456" s="191">
        <v>23676.0</v>
      </c>
      <c r="L456" s="191">
        <v>88806.0</v>
      </c>
      <c r="M456" s="191">
        <v>1464.0</v>
      </c>
      <c r="N456" s="196">
        <v>14772.0</v>
      </c>
      <c r="O456" s="191"/>
      <c r="P456" s="191"/>
      <c r="Q456" s="191"/>
      <c r="R456" s="191"/>
      <c r="S456" s="191"/>
      <c r="T456" s="191"/>
      <c r="U456" s="190"/>
      <c r="V456" s="51">
        <f t="shared" si="40"/>
        <v>190583</v>
      </c>
      <c r="W456" s="7"/>
      <c r="X456" s="7"/>
      <c r="Y456" s="7"/>
      <c r="Z456" s="7"/>
    </row>
    <row r="457" ht="14.25" customHeight="1">
      <c r="A457" s="7"/>
      <c r="B457" s="7" t="s">
        <v>1320</v>
      </c>
      <c r="C457" s="187"/>
      <c r="D457" s="189"/>
      <c r="E457" s="203"/>
      <c r="F457" s="185"/>
      <c r="G457" s="185"/>
      <c r="H457" s="186"/>
      <c r="I457" s="187" t="s">
        <v>249</v>
      </c>
      <c r="J457" s="204"/>
      <c r="K457" s="190"/>
      <c r="L457" s="190"/>
      <c r="M457" s="190"/>
      <c r="N457" s="190"/>
      <c r="O457" s="190"/>
      <c r="P457" s="198"/>
      <c r="Q457" s="190"/>
      <c r="R457" s="198"/>
      <c r="S457" s="198"/>
      <c r="T457" s="190"/>
      <c r="U457" s="190"/>
      <c r="V457" s="51">
        <f t="shared" si="40"/>
        <v>0</v>
      </c>
      <c r="W457" s="7"/>
      <c r="X457" s="7"/>
      <c r="Y457" s="7"/>
      <c r="Z457" s="7"/>
    </row>
    <row r="458" ht="14.25" customHeight="1">
      <c r="A458" s="7"/>
      <c r="B458" s="7" t="s">
        <v>1320</v>
      </c>
      <c r="C458" s="187"/>
      <c r="D458" s="189"/>
      <c r="E458" s="203"/>
      <c r="F458" s="185"/>
      <c r="G458" s="185"/>
      <c r="H458" s="186"/>
      <c r="I458" s="187" t="s">
        <v>250</v>
      </c>
      <c r="J458" s="204"/>
      <c r="K458" s="190"/>
      <c r="L458" s="190"/>
      <c r="M458" s="190"/>
      <c r="N458" s="190"/>
      <c r="O458" s="190"/>
      <c r="P458" s="198"/>
      <c r="Q458" s="190"/>
      <c r="R458" s="198"/>
      <c r="S458" s="198"/>
      <c r="T458" s="190"/>
      <c r="U458" s="190"/>
      <c r="V458" s="51">
        <f t="shared" si="40"/>
        <v>0</v>
      </c>
      <c r="W458" s="7"/>
      <c r="X458" s="7"/>
      <c r="Y458" s="7"/>
      <c r="Z458" s="7"/>
    </row>
    <row r="459" ht="14.25" customHeight="1">
      <c r="A459" s="7"/>
      <c r="B459" s="7" t="s">
        <v>1320</v>
      </c>
      <c r="C459" s="187"/>
      <c r="D459" s="189"/>
      <c r="E459" s="203"/>
      <c r="F459" s="185"/>
      <c r="G459" s="185"/>
      <c r="H459" s="186"/>
      <c r="I459" s="187" t="s">
        <v>1322</v>
      </c>
      <c r="J459" s="204"/>
      <c r="K459" s="190"/>
      <c r="L459" s="190"/>
      <c r="M459" s="190"/>
      <c r="N459" s="190"/>
      <c r="O459" s="190"/>
      <c r="P459" s="198"/>
      <c r="Q459" s="190"/>
      <c r="R459" s="198"/>
      <c r="S459" s="198"/>
      <c r="T459" s="190"/>
      <c r="U459" s="190"/>
      <c r="V459" s="51">
        <f t="shared" si="40"/>
        <v>0</v>
      </c>
      <c r="W459" s="7"/>
      <c r="X459" s="7"/>
      <c r="Y459" s="7"/>
      <c r="Z459" s="7"/>
    </row>
    <row r="460" ht="14.25" customHeight="1">
      <c r="A460" s="7"/>
      <c r="B460" s="7" t="s">
        <v>1323</v>
      </c>
      <c r="C460" s="187"/>
      <c r="D460" s="189"/>
      <c r="E460" s="203">
        <v>4.0</v>
      </c>
      <c r="F460" s="185" t="s">
        <v>1324</v>
      </c>
      <c r="G460" s="185"/>
      <c r="H460" s="186"/>
      <c r="I460" s="187" t="s">
        <v>489</v>
      </c>
      <c r="J460" s="204"/>
      <c r="K460" s="190"/>
      <c r="L460" s="190"/>
      <c r="M460" s="190"/>
      <c r="N460" s="190"/>
      <c r="O460" s="190"/>
      <c r="P460" s="198"/>
      <c r="Q460" s="190"/>
      <c r="R460" s="198"/>
      <c r="S460" s="198"/>
      <c r="T460" s="190"/>
      <c r="U460" s="190"/>
      <c r="V460" s="51">
        <f t="shared" si="40"/>
        <v>0</v>
      </c>
      <c r="W460" s="7"/>
      <c r="X460" s="7"/>
      <c r="Y460" s="7"/>
      <c r="Z460" s="7"/>
    </row>
    <row r="461" ht="14.25" customHeight="1">
      <c r="A461" s="7"/>
      <c r="B461" s="7" t="s">
        <v>1325</v>
      </c>
      <c r="C461" s="187"/>
      <c r="D461" s="189"/>
      <c r="E461" s="203">
        <v>5.0</v>
      </c>
      <c r="F461" s="185" t="s">
        <v>1326</v>
      </c>
      <c r="G461" s="185"/>
      <c r="H461" s="186"/>
      <c r="I461" s="187" t="s">
        <v>489</v>
      </c>
      <c r="J461" s="204"/>
      <c r="K461" s="190"/>
      <c r="L461" s="190"/>
      <c r="M461" s="190"/>
      <c r="N461" s="190"/>
      <c r="O461" s="190"/>
      <c r="P461" s="198"/>
      <c r="Q461" s="190"/>
      <c r="R461" s="198"/>
      <c r="S461" s="198"/>
      <c r="T461" s="190"/>
      <c r="U461" s="190"/>
      <c r="V461" s="51">
        <f t="shared" si="40"/>
        <v>0</v>
      </c>
      <c r="W461" s="7"/>
      <c r="X461" s="7"/>
      <c r="Y461" s="7"/>
      <c r="Z461" s="7"/>
    </row>
    <row r="462" ht="14.25" customHeight="1">
      <c r="A462" s="7"/>
      <c r="B462" s="7" t="s">
        <v>1327</v>
      </c>
      <c r="C462" s="187"/>
      <c r="D462" s="189"/>
      <c r="E462" s="203">
        <v>6.0</v>
      </c>
      <c r="F462" s="185" t="s">
        <v>1328</v>
      </c>
      <c r="G462" s="185"/>
      <c r="H462" s="186"/>
      <c r="I462" s="187" t="s">
        <v>489</v>
      </c>
      <c r="J462" s="204"/>
      <c r="K462" s="190"/>
      <c r="L462" s="190"/>
      <c r="M462" s="190"/>
      <c r="N462" s="190"/>
      <c r="O462" s="190"/>
      <c r="P462" s="198"/>
      <c r="Q462" s="190"/>
      <c r="R462" s="198"/>
      <c r="S462" s="198"/>
      <c r="T462" s="190"/>
      <c r="U462" s="190"/>
      <c r="V462" s="51">
        <f t="shared" si="40"/>
        <v>0</v>
      </c>
      <c r="W462" s="7"/>
      <c r="X462" s="7"/>
      <c r="Y462" s="7"/>
      <c r="Z462" s="7"/>
    </row>
    <row r="463" ht="14.25" customHeight="1">
      <c r="A463" s="7"/>
      <c r="B463" s="7" t="s">
        <v>1329</v>
      </c>
      <c r="C463" s="187"/>
      <c r="D463" s="189"/>
      <c r="E463" s="203">
        <v>7.0</v>
      </c>
      <c r="F463" s="185" t="s">
        <v>1330</v>
      </c>
      <c r="G463" s="185"/>
      <c r="H463" s="186"/>
      <c r="I463" s="187" t="s">
        <v>398</v>
      </c>
      <c r="J463" s="204"/>
      <c r="K463" s="190"/>
      <c r="L463" s="190"/>
      <c r="M463" s="190"/>
      <c r="N463" s="190"/>
      <c r="O463" s="190"/>
      <c r="P463" s="198"/>
      <c r="Q463" s="190"/>
      <c r="R463" s="198"/>
      <c r="S463" s="198"/>
      <c r="T463" s="190"/>
      <c r="U463" s="190"/>
      <c r="V463" s="51">
        <f t="shared" si="40"/>
        <v>0</v>
      </c>
      <c r="W463" s="7"/>
      <c r="X463" s="7"/>
      <c r="Y463" s="7"/>
      <c r="Z463" s="7"/>
    </row>
    <row r="464" ht="14.25" customHeight="1">
      <c r="A464" s="7"/>
      <c r="B464" s="7" t="s">
        <v>1329</v>
      </c>
      <c r="C464" s="187"/>
      <c r="D464" s="189"/>
      <c r="E464" s="203"/>
      <c r="F464" s="185"/>
      <c r="G464" s="185"/>
      <c r="H464" s="186"/>
      <c r="I464" s="187" t="s">
        <v>1282</v>
      </c>
      <c r="J464" s="204"/>
      <c r="K464" s="190"/>
      <c r="L464" s="190"/>
      <c r="M464" s="190"/>
      <c r="N464" s="190"/>
      <c r="O464" s="190"/>
      <c r="P464" s="198"/>
      <c r="Q464" s="190"/>
      <c r="R464" s="198"/>
      <c r="S464" s="198"/>
      <c r="T464" s="190"/>
      <c r="U464" s="190"/>
      <c r="V464" s="51">
        <f t="shared" si="40"/>
        <v>0</v>
      </c>
      <c r="W464" s="7"/>
      <c r="X464" s="7"/>
      <c r="Y464" s="7"/>
      <c r="Z464" s="7"/>
    </row>
    <row r="465" ht="14.25" customHeight="1">
      <c r="A465" s="7"/>
      <c r="B465" s="7" t="s">
        <v>1331</v>
      </c>
      <c r="C465" s="187"/>
      <c r="D465" s="189"/>
      <c r="E465" s="203">
        <v>8.0</v>
      </c>
      <c r="F465" s="185" t="s">
        <v>1332</v>
      </c>
      <c r="G465" s="185"/>
      <c r="H465" s="186"/>
      <c r="I465" s="187" t="s">
        <v>489</v>
      </c>
      <c r="J465" s="204"/>
      <c r="K465" s="190"/>
      <c r="L465" s="190"/>
      <c r="M465" s="190"/>
      <c r="N465" s="190"/>
      <c r="O465" s="190"/>
      <c r="P465" s="198"/>
      <c r="Q465" s="190"/>
      <c r="R465" s="198"/>
      <c r="S465" s="198"/>
      <c r="T465" s="190"/>
      <c r="U465" s="190"/>
      <c r="V465" s="51">
        <f t="shared" si="40"/>
        <v>0</v>
      </c>
      <c r="W465" s="7"/>
      <c r="X465" s="7"/>
      <c r="Y465" s="7"/>
      <c r="Z465" s="7"/>
    </row>
    <row r="466" ht="14.25" customHeight="1">
      <c r="A466" s="7"/>
      <c r="B466" s="7" t="s">
        <v>1333</v>
      </c>
      <c r="C466" s="187"/>
      <c r="D466" s="189"/>
      <c r="E466" s="203">
        <v>9.0</v>
      </c>
      <c r="F466" s="185" t="s">
        <v>1334</v>
      </c>
      <c r="G466" s="185"/>
      <c r="H466" s="186"/>
      <c r="I466" s="187" t="s">
        <v>1335</v>
      </c>
      <c r="J466" s="204"/>
      <c r="K466" s="190"/>
      <c r="L466" s="190"/>
      <c r="M466" s="190"/>
      <c r="N466" s="190"/>
      <c r="O466" s="190"/>
      <c r="P466" s="198"/>
      <c r="Q466" s="190"/>
      <c r="R466" s="198"/>
      <c r="S466" s="198"/>
      <c r="T466" s="190"/>
      <c r="U466" s="190"/>
      <c r="V466" s="51">
        <f t="shared" si="40"/>
        <v>0</v>
      </c>
      <c r="W466" s="7"/>
      <c r="X466" s="7"/>
      <c r="Y466" s="7"/>
      <c r="Z466" s="7"/>
    </row>
    <row r="467" ht="14.25" customHeight="1">
      <c r="A467" s="7"/>
      <c r="B467" s="7" t="s">
        <v>1336</v>
      </c>
      <c r="C467" s="187"/>
      <c r="D467" s="189"/>
      <c r="E467" s="203">
        <v>10.0</v>
      </c>
      <c r="F467" s="185" t="s">
        <v>1337</v>
      </c>
      <c r="G467" s="185"/>
      <c r="H467" s="186"/>
      <c r="I467" s="187" t="s">
        <v>489</v>
      </c>
      <c r="J467" s="190">
        <v>48595.0</v>
      </c>
      <c r="K467" s="190">
        <v>27159.0</v>
      </c>
      <c r="L467" s="190">
        <v>47635.0</v>
      </c>
      <c r="M467" s="190">
        <v>37721.0</v>
      </c>
      <c r="N467" s="193">
        <v>48547.0</v>
      </c>
      <c r="O467" s="190"/>
      <c r="P467" s="191"/>
      <c r="Q467" s="190"/>
      <c r="R467" s="191"/>
      <c r="S467" s="191"/>
      <c r="T467" s="190"/>
      <c r="U467" s="190"/>
      <c r="V467" s="51">
        <f t="shared" si="40"/>
        <v>209657</v>
      </c>
      <c r="W467" s="7"/>
      <c r="X467" s="7"/>
      <c r="Y467" s="7"/>
      <c r="Z467" s="7"/>
    </row>
    <row r="468" ht="14.25" customHeight="1">
      <c r="A468" s="7"/>
      <c r="B468" s="7" t="s">
        <v>1336</v>
      </c>
      <c r="C468" s="187"/>
      <c r="D468" s="189"/>
      <c r="E468" s="203"/>
      <c r="F468" s="185"/>
      <c r="G468" s="185"/>
      <c r="H468" s="186"/>
      <c r="I468" s="187" t="s">
        <v>490</v>
      </c>
      <c r="J468" s="190"/>
      <c r="K468" s="190"/>
      <c r="L468" s="190"/>
      <c r="M468" s="190"/>
      <c r="N468" s="190"/>
      <c r="O468" s="190"/>
      <c r="P468" s="190"/>
      <c r="Q468" s="190"/>
      <c r="R468" s="198"/>
      <c r="S468" s="198"/>
      <c r="T468" s="190"/>
      <c r="U468" s="190"/>
      <c r="V468" s="51">
        <f t="shared" si="40"/>
        <v>0</v>
      </c>
      <c r="W468" s="7"/>
      <c r="X468" s="7"/>
      <c r="Y468" s="7"/>
      <c r="Z468" s="7"/>
    </row>
    <row r="469" ht="14.25" customHeight="1">
      <c r="A469" s="7"/>
      <c r="B469" s="7" t="s">
        <v>1336</v>
      </c>
      <c r="C469" s="187"/>
      <c r="D469" s="189"/>
      <c r="E469" s="203"/>
      <c r="F469" s="185"/>
      <c r="G469" s="185"/>
      <c r="H469" s="186"/>
      <c r="I469" s="187" t="s">
        <v>398</v>
      </c>
      <c r="J469" s="190"/>
      <c r="K469" s="190"/>
      <c r="L469" s="190"/>
      <c r="M469" s="190"/>
      <c r="N469" s="190"/>
      <c r="O469" s="190"/>
      <c r="P469" s="190"/>
      <c r="Q469" s="190"/>
      <c r="R469" s="198"/>
      <c r="S469" s="198"/>
      <c r="T469" s="190"/>
      <c r="U469" s="190"/>
      <c r="V469" s="51">
        <f t="shared" si="40"/>
        <v>0</v>
      </c>
      <c r="W469" s="7"/>
      <c r="X469" s="7"/>
      <c r="Y469" s="7"/>
      <c r="Z469" s="7"/>
    </row>
    <row r="470" ht="14.25" customHeight="1">
      <c r="A470" s="7"/>
      <c r="B470" s="7" t="s">
        <v>1336</v>
      </c>
      <c r="C470" s="187"/>
      <c r="D470" s="189"/>
      <c r="E470" s="203"/>
      <c r="F470" s="185"/>
      <c r="G470" s="185"/>
      <c r="H470" s="186"/>
      <c r="I470" s="187" t="s">
        <v>381</v>
      </c>
      <c r="J470" s="190"/>
      <c r="K470" s="190"/>
      <c r="L470" s="190"/>
      <c r="M470" s="190"/>
      <c r="N470" s="190"/>
      <c r="O470" s="190"/>
      <c r="P470" s="190"/>
      <c r="Q470" s="190"/>
      <c r="R470" s="198"/>
      <c r="S470" s="198"/>
      <c r="T470" s="190"/>
      <c r="U470" s="190"/>
      <c r="V470" s="51">
        <f t="shared" si="40"/>
        <v>0</v>
      </c>
      <c r="W470" s="7"/>
      <c r="X470" s="7"/>
      <c r="Y470" s="7"/>
      <c r="Z470" s="7"/>
    </row>
    <row r="471" ht="14.25" customHeight="1">
      <c r="A471" s="7"/>
      <c r="B471" s="7" t="s">
        <v>1338</v>
      </c>
      <c r="C471" s="187"/>
      <c r="D471" s="189"/>
      <c r="E471" s="203">
        <v>11.0</v>
      </c>
      <c r="F471" s="185" t="s">
        <v>1339</v>
      </c>
      <c r="G471" s="185"/>
      <c r="H471" s="186"/>
      <c r="I471" s="187" t="s">
        <v>1335</v>
      </c>
      <c r="J471" s="190"/>
      <c r="K471" s="190"/>
      <c r="L471" s="190"/>
      <c r="M471" s="190"/>
      <c r="N471" s="190"/>
      <c r="O471" s="190"/>
      <c r="P471" s="190"/>
      <c r="Q471" s="190"/>
      <c r="R471" s="198"/>
      <c r="S471" s="198"/>
      <c r="T471" s="190"/>
      <c r="U471" s="190"/>
      <c r="V471" s="51">
        <f t="shared" si="40"/>
        <v>0</v>
      </c>
      <c r="W471" s="7"/>
      <c r="X471" s="7"/>
      <c r="Y471" s="7"/>
      <c r="Z471" s="7"/>
    </row>
    <row r="472" ht="14.25" customHeight="1">
      <c r="A472" s="7"/>
      <c r="B472" s="7" t="s">
        <v>1340</v>
      </c>
      <c r="C472" s="187"/>
      <c r="D472" s="189"/>
      <c r="E472" s="203">
        <v>12.0</v>
      </c>
      <c r="F472" s="185" t="s">
        <v>1341</v>
      </c>
      <c r="G472" s="185"/>
      <c r="H472" s="186"/>
      <c r="I472" s="187" t="s">
        <v>398</v>
      </c>
      <c r="J472" s="190"/>
      <c r="K472" s="190"/>
      <c r="L472" s="190"/>
      <c r="M472" s="190"/>
      <c r="N472" s="190"/>
      <c r="O472" s="190"/>
      <c r="P472" s="190"/>
      <c r="Q472" s="190"/>
      <c r="R472" s="198"/>
      <c r="S472" s="198"/>
      <c r="T472" s="190"/>
      <c r="U472" s="190"/>
      <c r="V472" s="51">
        <f t="shared" si="40"/>
        <v>0</v>
      </c>
      <c r="W472" s="7"/>
      <c r="X472" s="7"/>
      <c r="Y472" s="7"/>
      <c r="Z472" s="7"/>
    </row>
    <row r="473" ht="14.25" customHeight="1">
      <c r="A473" s="7"/>
      <c r="B473" s="94" t="s">
        <v>1342</v>
      </c>
      <c r="C473" s="187"/>
      <c r="D473" s="189"/>
      <c r="E473" s="203">
        <v>14.0</v>
      </c>
      <c r="F473" s="238" t="s">
        <v>1343</v>
      </c>
      <c r="G473" s="185"/>
      <c r="H473" s="186"/>
      <c r="I473" s="187" t="s">
        <v>489</v>
      </c>
      <c r="J473" s="190"/>
      <c r="K473" s="190"/>
      <c r="L473" s="190"/>
      <c r="M473" s="190"/>
      <c r="N473" s="190"/>
      <c r="O473" s="190"/>
      <c r="P473" s="190"/>
      <c r="Q473" s="190"/>
      <c r="R473" s="198"/>
      <c r="S473" s="198"/>
      <c r="T473" s="190"/>
      <c r="U473" s="190"/>
      <c r="V473" s="51">
        <f t="shared" si="40"/>
        <v>0</v>
      </c>
      <c r="W473" s="7"/>
      <c r="X473" s="7"/>
      <c r="Y473" s="7"/>
      <c r="Z473" s="7"/>
    </row>
    <row r="474" ht="14.25" customHeight="1">
      <c r="A474" s="7"/>
      <c r="B474" s="94" t="s">
        <v>1342</v>
      </c>
      <c r="C474" s="187"/>
      <c r="D474" s="189"/>
      <c r="E474" s="238"/>
      <c r="F474" s="185"/>
      <c r="G474" s="185"/>
      <c r="H474" s="186"/>
      <c r="I474" s="187" t="s">
        <v>490</v>
      </c>
      <c r="J474" s="190"/>
      <c r="K474" s="190"/>
      <c r="L474" s="190"/>
      <c r="M474" s="190"/>
      <c r="N474" s="190"/>
      <c r="O474" s="190"/>
      <c r="P474" s="190"/>
      <c r="Q474" s="190"/>
      <c r="R474" s="198"/>
      <c r="S474" s="198"/>
      <c r="T474" s="190"/>
      <c r="U474" s="190"/>
      <c r="V474" s="51">
        <f t="shared" si="40"/>
        <v>0</v>
      </c>
      <c r="W474" s="7"/>
      <c r="X474" s="7"/>
      <c r="Y474" s="7"/>
      <c r="Z474" s="7"/>
    </row>
    <row r="475" ht="14.25" customHeight="1">
      <c r="A475" s="7"/>
      <c r="B475" s="94" t="s">
        <v>1342</v>
      </c>
      <c r="C475" s="187"/>
      <c r="D475" s="189"/>
      <c r="E475" s="238"/>
      <c r="F475" s="185"/>
      <c r="G475" s="185"/>
      <c r="H475" s="186"/>
      <c r="I475" s="187" t="s">
        <v>398</v>
      </c>
      <c r="J475" s="190"/>
      <c r="K475" s="190"/>
      <c r="L475" s="190"/>
      <c r="M475" s="190"/>
      <c r="N475" s="190"/>
      <c r="O475" s="190"/>
      <c r="P475" s="190"/>
      <c r="Q475" s="190"/>
      <c r="R475" s="198"/>
      <c r="S475" s="198"/>
      <c r="T475" s="190"/>
      <c r="U475" s="190"/>
      <c r="V475" s="51">
        <f t="shared" si="40"/>
        <v>0</v>
      </c>
      <c r="W475" s="7"/>
      <c r="X475" s="7"/>
      <c r="Y475" s="7"/>
      <c r="Z475" s="7"/>
    </row>
    <row r="476" ht="14.25" customHeight="1">
      <c r="A476" s="7"/>
      <c r="B476" s="94" t="s">
        <v>1342</v>
      </c>
      <c r="C476" s="187"/>
      <c r="D476" s="189"/>
      <c r="E476" s="203"/>
      <c r="F476" s="185"/>
      <c r="G476" s="185"/>
      <c r="H476" s="186"/>
      <c r="I476" s="187" t="s">
        <v>381</v>
      </c>
      <c r="J476" s="190"/>
      <c r="K476" s="190"/>
      <c r="L476" s="190"/>
      <c r="M476" s="190"/>
      <c r="N476" s="190"/>
      <c r="O476" s="190"/>
      <c r="P476" s="190"/>
      <c r="Q476" s="190"/>
      <c r="R476" s="198"/>
      <c r="S476" s="198"/>
      <c r="T476" s="190"/>
      <c r="U476" s="190"/>
      <c r="V476" s="51">
        <f t="shared" si="40"/>
        <v>0</v>
      </c>
      <c r="W476" s="7"/>
      <c r="X476" s="7"/>
      <c r="Y476" s="7"/>
      <c r="Z476" s="7"/>
    </row>
    <row r="477" ht="14.25" customHeight="1">
      <c r="A477" s="7"/>
      <c r="B477" s="7" t="s">
        <v>1344</v>
      </c>
      <c r="C477" s="187"/>
      <c r="D477" s="189">
        <v>6.0</v>
      </c>
      <c r="E477" s="185" t="s">
        <v>1345</v>
      </c>
      <c r="F477" s="185"/>
      <c r="G477" s="185"/>
      <c r="H477" s="186"/>
      <c r="I477" s="187" t="s">
        <v>489</v>
      </c>
      <c r="J477" s="227"/>
      <c r="K477" s="217"/>
      <c r="L477" s="232"/>
      <c r="M477" s="217"/>
      <c r="N477" s="217"/>
      <c r="O477" s="217"/>
      <c r="P477" s="217"/>
      <c r="Q477" s="217"/>
      <c r="R477" s="198"/>
      <c r="S477" s="198"/>
      <c r="T477" s="190"/>
      <c r="U477" s="190"/>
      <c r="V477" s="51">
        <f t="shared" si="40"/>
        <v>0</v>
      </c>
      <c r="W477" s="7"/>
      <c r="X477" s="7"/>
      <c r="Y477" s="7"/>
      <c r="Z477" s="7"/>
    </row>
    <row r="478" ht="14.25" customHeight="1">
      <c r="A478" s="7"/>
      <c r="B478" s="7" t="s">
        <v>1344</v>
      </c>
      <c r="C478" s="187"/>
      <c r="D478" s="189"/>
      <c r="E478" s="185"/>
      <c r="F478" s="185"/>
      <c r="G478" s="185"/>
      <c r="H478" s="186"/>
      <c r="I478" s="187" t="s">
        <v>490</v>
      </c>
      <c r="J478" s="190"/>
      <c r="K478" s="190"/>
      <c r="L478" s="190"/>
      <c r="M478" s="190"/>
      <c r="N478" s="190"/>
      <c r="O478" s="190"/>
      <c r="P478" s="190"/>
      <c r="Q478" s="190"/>
      <c r="R478" s="198"/>
      <c r="S478" s="198"/>
      <c r="T478" s="190"/>
      <c r="U478" s="190"/>
      <c r="V478" s="51">
        <f t="shared" si="40"/>
        <v>0</v>
      </c>
      <c r="W478" s="7"/>
      <c r="X478" s="7"/>
      <c r="Y478" s="7"/>
      <c r="Z478" s="7"/>
    </row>
    <row r="479" ht="14.25" customHeight="1">
      <c r="A479" s="7"/>
      <c r="B479" s="7" t="s">
        <v>1346</v>
      </c>
      <c r="C479" s="187"/>
      <c r="D479" s="189">
        <v>7.0</v>
      </c>
      <c r="E479" s="185" t="s">
        <v>1347</v>
      </c>
      <c r="F479" s="185"/>
      <c r="G479" s="185"/>
      <c r="H479" s="186"/>
      <c r="I479" s="187" t="s">
        <v>1282</v>
      </c>
      <c r="J479" s="190"/>
      <c r="K479" s="190"/>
      <c r="L479" s="190"/>
      <c r="M479" s="190"/>
      <c r="N479" s="190"/>
      <c r="O479" s="190"/>
      <c r="P479" s="190"/>
      <c r="Q479" s="190"/>
      <c r="R479" s="198"/>
      <c r="S479" s="198"/>
      <c r="T479" s="190"/>
      <c r="U479" s="190"/>
      <c r="V479" s="51">
        <f t="shared" si="40"/>
        <v>0</v>
      </c>
      <c r="W479" s="7"/>
      <c r="X479" s="7"/>
      <c r="Y479" s="7"/>
      <c r="Z479" s="7"/>
    </row>
    <row r="480" ht="14.25" customHeight="1">
      <c r="A480" s="7"/>
      <c r="B480" s="7" t="s">
        <v>1346</v>
      </c>
      <c r="C480" s="187"/>
      <c r="D480" s="189"/>
      <c r="E480" s="185"/>
      <c r="F480" s="185"/>
      <c r="G480" s="185"/>
      <c r="H480" s="186"/>
      <c r="I480" s="187" t="s">
        <v>489</v>
      </c>
      <c r="J480" s="190"/>
      <c r="K480" s="190"/>
      <c r="L480" s="190"/>
      <c r="M480" s="190"/>
      <c r="N480" s="190"/>
      <c r="O480" s="190"/>
      <c r="P480" s="190"/>
      <c r="Q480" s="190"/>
      <c r="R480" s="198"/>
      <c r="S480" s="198"/>
      <c r="T480" s="190"/>
      <c r="U480" s="190"/>
      <c r="V480" s="51">
        <f t="shared" si="40"/>
        <v>0</v>
      </c>
      <c r="W480" s="7"/>
      <c r="X480" s="7"/>
      <c r="Y480" s="7"/>
      <c r="Z480" s="7"/>
    </row>
    <row r="481" ht="14.25" customHeight="1">
      <c r="A481" s="7"/>
      <c r="B481" s="7" t="s">
        <v>1346</v>
      </c>
      <c r="C481" s="187"/>
      <c r="D481" s="189"/>
      <c r="E481" s="185"/>
      <c r="F481" s="185"/>
      <c r="G481" s="185"/>
      <c r="H481" s="186"/>
      <c r="I481" s="187" t="s">
        <v>490</v>
      </c>
      <c r="J481" s="190"/>
      <c r="K481" s="190"/>
      <c r="L481" s="190"/>
      <c r="M481" s="190"/>
      <c r="N481" s="190"/>
      <c r="O481" s="190"/>
      <c r="P481" s="190"/>
      <c r="Q481" s="190"/>
      <c r="R481" s="198"/>
      <c r="S481" s="198"/>
      <c r="T481" s="190"/>
      <c r="U481" s="190"/>
      <c r="V481" s="51">
        <f t="shared" si="40"/>
        <v>0</v>
      </c>
      <c r="W481" s="7"/>
      <c r="X481" s="7"/>
      <c r="Y481" s="7"/>
      <c r="Z481" s="7"/>
    </row>
    <row r="482" ht="14.25" customHeight="1">
      <c r="A482" s="7"/>
      <c r="B482" s="7" t="s">
        <v>1346</v>
      </c>
      <c r="C482" s="187"/>
      <c r="D482" s="189"/>
      <c r="E482" s="185"/>
      <c r="F482" s="185"/>
      <c r="G482" s="185"/>
      <c r="H482" s="186"/>
      <c r="I482" s="187" t="s">
        <v>398</v>
      </c>
      <c r="J482" s="190"/>
      <c r="K482" s="190"/>
      <c r="L482" s="190"/>
      <c r="M482" s="190"/>
      <c r="N482" s="190"/>
      <c r="O482" s="190"/>
      <c r="P482" s="190"/>
      <c r="Q482" s="190"/>
      <c r="R482" s="198"/>
      <c r="S482" s="198"/>
      <c r="T482" s="190"/>
      <c r="U482" s="190"/>
      <c r="V482" s="51">
        <f t="shared" si="40"/>
        <v>0</v>
      </c>
      <c r="W482" s="7"/>
      <c r="X482" s="7"/>
      <c r="Y482" s="7"/>
      <c r="Z482" s="7"/>
    </row>
    <row r="483" ht="14.25" customHeight="1">
      <c r="A483" s="7"/>
      <c r="B483" s="7" t="s">
        <v>1346</v>
      </c>
      <c r="C483" s="187"/>
      <c r="D483" s="189"/>
      <c r="E483" s="185"/>
      <c r="F483" s="185"/>
      <c r="G483" s="185"/>
      <c r="H483" s="186"/>
      <c r="I483" s="187" t="s">
        <v>381</v>
      </c>
      <c r="J483" s="190"/>
      <c r="K483" s="190"/>
      <c r="L483" s="190"/>
      <c r="M483" s="190"/>
      <c r="N483" s="190"/>
      <c r="O483" s="190"/>
      <c r="P483" s="190"/>
      <c r="Q483" s="190"/>
      <c r="R483" s="198"/>
      <c r="S483" s="198"/>
      <c r="T483" s="190"/>
      <c r="U483" s="190"/>
      <c r="V483" s="51">
        <f t="shared" si="40"/>
        <v>0</v>
      </c>
      <c r="W483" s="7"/>
      <c r="X483" s="7"/>
      <c r="Y483" s="7"/>
      <c r="Z483" s="7"/>
    </row>
    <row r="484" ht="14.25" customHeight="1">
      <c r="A484" s="7"/>
      <c r="B484" s="7" t="s">
        <v>1346</v>
      </c>
      <c r="C484" s="187"/>
      <c r="D484" s="189"/>
      <c r="E484" s="185"/>
      <c r="F484" s="185"/>
      <c r="G484" s="185"/>
      <c r="H484" s="186"/>
      <c r="I484" s="187" t="s">
        <v>249</v>
      </c>
      <c r="J484" s="190"/>
      <c r="K484" s="190"/>
      <c r="L484" s="190"/>
      <c r="M484" s="190"/>
      <c r="N484" s="190"/>
      <c r="O484" s="190"/>
      <c r="P484" s="190"/>
      <c r="Q484" s="190"/>
      <c r="R484" s="198"/>
      <c r="S484" s="198"/>
      <c r="T484" s="190"/>
      <c r="U484" s="190"/>
      <c r="V484" s="51">
        <f t="shared" si="40"/>
        <v>0</v>
      </c>
      <c r="W484" s="7"/>
      <c r="X484" s="7"/>
      <c r="Y484" s="7"/>
      <c r="Z484" s="7"/>
    </row>
    <row r="485" ht="14.25" customHeight="1">
      <c r="A485" s="7"/>
      <c r="B485" s="7" t="s">
        <v>1346</v>
      </c>
      <c r="C485" s="187"/>
      <c r="D485" s="189"/>
      <c r="E485" s="185"/>
      <c r="F485" s="185"/>
      <c r="G485" s="185"/>
      <c r="H485" s="186"/>
      <c r="I485" s="187" t="s">
        <v>992</v>
      </c>
      <c r="J485" s="190"/>
      <c r="K485" s="190"/>
      <c r="L485" s="190"/>
      <c r="M485" s="190"/>
      <c r="N485" s="190"/>
      <c r="O485" s="190"/>
      <c r="P485" s="190"/>
      <c r="Q485" s="190"/>
      <c r="R485" s="198"/>
      <c r="S485" s="198"/>
      <c r="T485" s="190"/>
      <c r="U485" s="190"/>
      <c r="V485" s="51">
        <f t="shared" si="40"/>
        <v>0</v>
      </c>
      <c r="W485" s="7"/>
      <c r="X485" s="7"/>
      <c r="Y485" s="7"/>
      <c r="Z485" s="7"/>
    </row>
    <row r="486" ht="14.25" customHeight="1">
      <c r="A486" s="7"/>
      <c r="B486" s="7" t="s">
        <v>1346</v>
      </c>
      <c r="C486" s="187"/>
      <c r="D486" s="189"/>
      <c r="E486" s="185"/>
      <c r="F486" s="185"/>
      <c r="G486" s="185"/>
      <c r="H486" s="186"/>
      <c r="I486" s="187" t="s">
        <v>996</v>
      </c>
      <c r="J486" s="190"/>
      <c r="K486" s="190"/>
      <c r="L486" s="190"/>
      <c r="M486" s="190"/>
      <c r="N486" s="190"/>
      <c r="O486" s="190"/>
      <c r="P486" s="190"/>
      <c r="Q486" s="190"/>
      <c r="R486" s="198"/>
      <c r="S486" s="198"/>
      <c r="T486" s="190"/>
      <c r="U486" s="190"/>
      <c r="V486" s="51">
        <f t="shared" si="40"/>
        <v>0</v>
      </c>
      <c r="W486" s="7"/>
      <c r="X486" s="7"/>
      <c r="Y486" s="7"/>
      <c r="Z486" s="7"/>
    </row>
    <row r="487" ht="14.25" customHeight="1">
      <c r="A487" s="7"/>
      <c r="B487" s="7" t="s">
        <v>1348</v>
      </c>
      <c r="C487" s="187"/>
      <c r="D487" s="189">
        <v>9.0</v>
      </c>
      <c r="E487" s="185" t="s">
        <v>1349</v>
      </c>
      <c r="F487" s="185"/>
      <c r="G487" s="185"/>
      <c r="H487" s="186"/>
      <c r="I487" s="187" t="s">
        <v>1350</v>
      </c>
      <c r="J487" s="190"/>
      <c r="K487" s="190"/>
      <c r="L487" s="190"/>
      <c r="M487" s="190"/>
      <c r="N487" s="190"/>
      <c r="O487" s="190"/>
      <c r="P487" s="190"/>
      <c r="Q487" s="190"/>
      <c r="R487" s="198"/>
      <c r="S487" s="198"/>
      <c r="T487" s="190"/>
      <c r="U487" s="190"/>
      <c r="V487" s="51">
        <f t="shared" si="40"/>
        <v>0</v>
      </c>
      <c r="W487" s="7"/>
      <c r="X487" s="7"/>
      <c r="Y487" s="7"/>
      <c r="Z487" s="7"/>
    </row>
    <row r="488" ht="14.25" customHeight="1">
      <c r="A488" s="7"/>
      <c r="B488" s="7" t="s">
        <v>1348</v>
      </c>
      <c r="C488" s="187"/>
      <c r="D488" s="189"/>
      <c r="E488" s="185"/>
      <c r="F488" s="185"/>
      <c r="G488" s="185"/>
      <c r="H488" s="186"/>
      <c r="I488" s="187" t="s">
        <v>1351</v>
      </c>
      <c r="J488" s="190"/>
      <c r="K488" s="190"/>
      <c r="L488" s="190"/>
      <c r="M488" s="190"/>
      <c r="N488" s="190"/>
      <c r="O488" s="190"/>
      <c r="P488" s="190"/>
      <c r="Q488" s="190"/>
      <c r="R488" s="198"/>
      <c r="S488" s="198"/>
      <c r="T488" s="190"/>
      <c r="U488" s="190"/>
      <c r="V488" s="51">
        <f t="shared" si="40"/>
        <v>0</v>
      </c>
      <c r="W488" s="7"/>
      <c r="X488" s="7"/>
      <c r="Y488" s="7"/>
      <c r="Z488" s="7"/>
    </row>
    <row r="489" ht="14.25" customHeight="1">
      <c r="A489" s="7"/>
      <c r="B489" s="7" t="s">
        <v>1352</v>
      </c>
      <c r="C489" s="187"/>
      <c r="D489" s="189">
        <v>99.0</v>
      </c>
      <c r="E489" s="185" t="s">
        <v>1353</v>
      </c>
      <c r="F489" s="185"/>
      <c r="G489" s="185"/>
      <c r="H489" s="186"/>
      <c r="I489" s="187" t="s">
        <v>381</v>
      </c>
      <c r="J489" s="190"/>
      <c r="K489" s="214"/>
      <c r="L489" s="190"/>
      <c r="M489" s="190"/>
      <c r="N489" s="190"/>
      <c r="O489" s="190"/>
      <c r="P489" s="190"/>
      <c r="Q489" s="190"/>
      <c r="R489" s="198"/>
      <c r="S489" s="198"/>
      <c r="T489" s="190"/>
      <c r="U489" s="190"/>
      <c r="V489" s="51">
        <f t="shared" si="40"/>
        <v>0</v>
      </c>
      <c r="W489" s="7"/>
      <c r="X489" s="7"/>
      <c r="Y489" s="7"/>
      <c r="Z489" s="7"/>
    </row>
    <row r="490" ht="14.25" customHeight="1">
      <c r="A490" s="7"/>
      <c r="B490" s="7" t="s">
        <v>1352</v>
      </c>
      <c r="C490" s="187"/>
      <c r="D490" s="189"/>
      <c r="E490" s="185"/>
      <c r="F490" s="185"/>
      <c r="G490" s="185"/>
      <c r="H490" s="186"/>
      <c r="I490" s="187" t="s">
        <v>489</v>
      </c>
      <c r="J490" s="190">
        <v>15365.0</v>
      </c>
      <c r="K490" s="190">
        <v>65953.0</v>
      </c>
      <c r="L490" s="190">
        <v>70305.0</v>
      </c>
      <c r="M490" s="190">
        <v>24471.0</v>
      </c>
      <c r="N490" s="193">
        <v>73404.0</v>
      </c>
      <c r="O490" s="190"/>
      <c r="P490" s="190"/>
      <c r="Q490" s="190"/>
      <c r="R490" s="191"/>
      <c r="S490" s="191"/>
      <c r="T490" s="190"/>
      <c r="U490" s="190"/>
      <c r="V490" s="51">
        <f t="shared" si="40"/>
        <v>249498</v>
      </c>
      <c r="W490" s="7"/>
      <c r="X490" s="7"/>
      <c r="Y490" s="7"/>
      <c r="Z490" s="7"/>
    </row>
    <row r="491" ht="14.25" customHeight="1">
      <c r="A491" s="7"/>
      <c r="B491" s="7" t="s">
        <v>1352</v>
      </c>
      <c r="C491" s="187"/>
      <c r="D491" s="189"/>
      <c r="E491" s="185"/>
      <c r="F491" s="185"/>
      <c r="G491" s="185"/>
      <c r="H491" s="186"/>
      <c r="I491" s="187" t="s">
        <v>398</v>
      </c>
      <c r="J491" s="190"/>
      <c r="K491" s="190"/>
      <c r="L491" s="190"/>
      <c r="M491" s="190"/>
      <c r="N491" s="196">
        <v>2.0</v>
      </c>
      <c r="O491" s="190"/>
      <c r="P491" s="190"/>
      <c r="Q491" s="190"/>
      <c r="R491" s="198"/>
      <c r="S491" s="198"/>
      <c r="T491" s="190"/>
      <c r="U491" s="190"/>
      <c r="V491" s="51">
        <f t="shared" si="40"/>
        <v>2</v>
      </c>
      <c r="W491" s="7"/>
      <c r="X491" s="7"/>
      <c r="Y491" s="7"/>
      <c r="Z491" s="7"/>
    </row>
    <row r="492" ht="14.25" customHeight="1">
      <c r="A492" s="7"/>
      <c r="B492" s="7" t="s">
        <v>1352</v>
      </c>
      <c r="C492" s="187"/>
      <c r="D492" s="189"/>
      <c r="E492" s="185"/>
      <c r="F492" s="185"/>
      <c r="G492" s="185"/>
      <c r="H492" s="186"/>
      <c r="I492" s="187" t="s">
        <v>1272</v>
      </c>
      <c r="J492" s="190"/>
      <c r="K492" s="190"/>
      <c r="L492" s="190"/>
      <c r="M492" s="190"/>
      <c r="N492" s="190"/>
      <c r="O492" s="190"/>
      <c r="P492" s="190"/>
      <c r="Q492" s="190"/>
      <c r="R492" s="198"/>
      <c r="S492" s="198"/>
      <c r="T492" s="190"/>
      <c r="U492" s="190"/>
      <c r="V492" s="51">
        <f t="shared" si="40"/>
        <v>0</v>
      </c>
      <c r="W492" s="7"/>
      <c r="X492" s="7"/>
      <c r="Y492" s="7"/>
      <c r="Z492" s="7"/>
    </row>
    <row r="493" ht="14.25" customHeight="1">
      <c r="A493" s="7"/>
      <c r="B493" s="7" t="s">
        <v>1352</v>
      </c>
      <c r="C493" s="187"/>
      <c r="D493" s="189"/>
      <c r="E493" s="185"/>
      <c r="F493" s="185"/>
      <c r="G493" s="185"/>
      <c r="H493" s="186"/>
      <c r="I493" s="187" t="s">
        <v>1282</v>
      </c>
      <c r="J493" s="190"/>
      <c r="K493" s="190"/>
      <c r="L493" s="190"/>
      <c r="M493" s="190"/>
      <c r="N493" s="190"/>
      <c r="O493" s="190"/>
      <c r="P493" s="190"/>
      <c r="Q493" s="190"/>
      <c r="R493" s="198"/>
      <c r="S493" s="198"/>
      <c r="T493" s="190"/>
      <c r="U493" s="190"/>
      <c r="V493" s="51">
        <f t="shared" si="40"/>
        <v>0</v>
      </c>
      <c r="W493" s="7"/>
      <c r="X493" s="7"/>
      <c r="Y493" s="7"/>
      <c r="Z493" s="7"/>
    </row>
    <row r="494" ht="14.25" customHeight="1">
      <c r="A494" s="7"/>
      <c r="B494" s="11"/>
      <c r="C494" s="187"/>
      <c r="D494" s="200"/>
      <c r="E494" s="185"/>
      <c r="F494" s="185"/>
      <c r="G494" s="185"/>
      <c r="H494" s="186"/>
      <c r="I494" s="187"/>
      <c r="J494" s="188"/>
      <c r="K494" s="119"/>
      <c r="L494" s="119"/>
      <c r="M494" s="119"/>
      <c r="N494" s="119"/>
      <c r="O494" s="119"/>
      <c r="P494" s="119"/>
      <c r="Q494" s="119"/>
      <c r="R494" s="43"/>
      <c r="S494" s="74"/>
      <c r="T494" s="119"/>
      <c r="U494" s="119"/>
      <c r="V494" s="119"/>
      <c r="W494" s="7"/>
      <c r="X494" s="7"/>
      <c r="Y494" s="7"/>
      <c r="Z494" s="7"/>
    </row>
    <row r="495" ht="14.25" customHeight="1">
      <c r="A495" s="7"/>
      <c r="C495" s="183">
        <v>16.0</v>
      </c>
      <c r="D495" s="184" t="s">
        <v>1354</v>
      </c>
      <c r="E495" s="185"/>
      <c r="F495" s="185"/>
      <c r="G495" s="185"/>
      <c r="H495" s="186"/>
      <c r="I495" s="187"/>
      <c r="J495" s="188"/>
      <c r="K495" s="119"/>
      <c r="L495" s="119"/>
      <c r="M495" s="119"/>
      <c r="N495" s="119"/>
      <c r="O495" s="119"/>
      <c r="P495" s="119"/>
      <c r="Q495" s="119"/>
      <c r="R495" s="43"/>
      <c r="S495" s="74"/>
      <c r="T495" s="119"/>
      <c r="U495" s="119"/>
      <c r="V495" s="119"/>
      <c r="W495" s="7"/>
      <c r="X495" s="7"/>
      <c r="Y495" s="7"/>
      <c r="Z495" s="7"/>
    </row>
    <row r="496" ht="14.25" customHeight="1">
      <c r="A496" s="7"/>
      <c r="B496" s="7" t="s">
        <v>1355</v>
      </c>
      <c r="C496" s="187"/>
      <c r="D496" s="189">
        <v>1.0</v>
      </c>
      <c r="E496" s="185" t="s">
        <v>1356</v>
      </c>
      <c r="F496" s="185"/>
      <c r="G496" s="185"/>
      <c r="H496" s="186"/>
      <c r="I496" s="187" t="s">
        <v>381</v>
      </c>
      <c r="J496" s="190"/>
      <c r="K496" s="190"/>
      <c r="L496" s="190"/>
      <c r="M496" s="190"/>
      <c r="N496" s="190"/>
      <c r="O496" s="190"/>
      <c r="P496" s="190"/>
      <c r="Q496" s="190"/>
      <c r="R496" s="198"/>
      <c r="S496" s="64"/>
      <c r="T496" s="190"/>
      <c r="U496" s="190"/>
      <c r="V496" s="51">
        <f t="shared" ref="V496:V503" si="41">SUM(J496:U496)</f>
        <v>0</v>
      </c>
      <c r="W496" s="7"/>
      <c r="X496" s="7"/>
      <c r="Y496" s="7"/>
      <c r="Z496" s="7"/>
    </row>
    <row r="497" ht="14.25" customHeight="1">
      <c r="A497" s="7"/>
      <c r="B497" s="7" t="s">
        <v>1357</v>
      </c>
      <c r="C497" s="187"/>
      <c r="D497" s="189">
        <v>2.0</v>
      </c>
      <c r="E497" s="185" t="s">
        <v>1358</v>
      </c>
      <c r="F497" s="185"/>
      <c r="G497" s="185"/>
      <c r="H497" s="186"/>
      <c r="I497" s="187" t="s">
        <v>1359</v>
      </c>
      <c r="J497" s="190"/>
      <c r="K497" s="190"/>
      <c r="L497" s="190"/>
      <c r="M497" s="190"/>
      <c r="N497" s="190"/>
      <c r="O497" s="190"/>
      <c r="P497" s="190"/>
      <c r="Q497" s="190"/>
      <c r="R497" s="198"/>
      <c r="S497" s="64"/>
      <c r="T497" s="190"/>
      <c r="U497" s="190"/>
      <c r="V497" s="51">
        <f t="shared" si="41"/>
        <v>0</v>
      </c>
      <c r="W497" s="7"/>
      <c r="X497" s="7"/>
      <c r="Y497" s="7"/>
      <c r="Z497" s="7"/>
    </row>
    <row r="498" ht="14.25" customHeight="1">
      <c r="A498" s="7"/>
      <c r="B498" s="7" t="s">
        <v>1360</v>
      </c>
      <c r="C498" s="187"/>
      <c r="D498" s="189">
        <v>3.0</v>
      </c>
      <c r="E498" s="185" t="s">
        <v>1361</v>
      </c>
      <c r="F498" s="185"/>
      <c r="G498" s="185"/>
      <c r="H498" s="186"/>
      <c r="I498" s="187" t="s">
        <v>381</v>
      </c>
      <c r="J498" s="190"/>
      <c r="K498" s="190"/>
      <c r="L498" s="190"/>
      <c r="M498" s="190"/>
      <c r="N498" s="190"/>
      <c r="O498" s="190"/>
      <c r="P498" s="190"/>
      <c r="Q498" s="190"/>
      <c r="R498" s="198"/>
      <c r="S498" s="64"/>
      <c r="T498" s="190"/>
      <c r="U498" s="190"/>
      <c r="V498" s="51">
        <f t="shared" si="41"/>
        <v>0</v>
      </c>
      <c r="W498" s="7"/>
      <c r="X498" s="7"/>
      <c r="Y498" s="7"/>
      <c r="Z498" s="7"/>
    </row>
    <row r="499" ht="14.25" customHeight="1">
      <c r="A499" s="7"/>
      <c r="B499" s="94" t="s">
        <v>1360</v>
      </c>
      <c r="C499" s="187"/>
      <c r="D499" s="189"/>
      <c r="E499" s="185"/>
      <c r="F499" s="185"/>
      <c r="G499" s="185"/>
      <c r="H499" s="186"/>
      <c r="I499" s="187" t="s">
        <v>1282</v>
      </c>
      <c r="J499" s="190"/>
      <c r="K499" s="190"/>
      <c r="L499" s="190"/>
      <c r="M499" s="190"/>
      <c r="N499" s="190"/>
      <c r="O499" s="190"/>
      <c r="P499" s="190"/>
      <c r="Q499" s="190"/>
      <c r="R499" s="198"/>
      <c r="S499" s="64"/>
      <c r="T499" s="190"/>
      <c r="U499" s="190"/>
      <c r="V499" s="51">
        <f t="shared" si="41"/>
        <v>0</v>
      </c>
      <c r="W499" s="7"/>
      <c r="X499" s="7"/>
      <c r="Y499" s="7"/>
      <c r="Z499" s="7"/>
    </row>
    <row r="500" ht="14.25" customHeight="1">
      <c r="A500" s="7"/>
      <c r="B500" s="7" t="s">
        <v>1362</v>
      </c>
      <c r="C500" s="187"/>
      <c r="D500" s="189">
        <v>4.0</v>
      </c>
      <c r="E500" s="185" t="s">
        <v>1363</v>
      </c>
      <c r="F500" s="185"/>
      <c r="G500" s="185"/>
      <c r="H500" s="186"/>
      <c r="I500" s="187" t="s">
        <v>381</v>
      </c>
      <c r="J500" s="190"/>
      <c r="K500" s="190"/>
      <c r="L500" s="190"/>
      <c r="M500" s="190"/>
      <c r="N500" s="190"/>
      <c r="O500" s="190"/>
      <c r="P500" s="190"/>
      <c r="Q500" s="190"/>
      <c r="R500" s="198"/>
      <c r="S500" s="64"/>
      <c r="T500" s="190"/>
      <c r="U500" s="190"/>
      <c r="V500" s="51">
        <f t="shared" si="41"/>
        <v>0</v>
      </c>
      <c r="W500" s="7"/>
      <c r="X500" s="7"/>
      <c r="Y500" s="7"/>
      <c r="Z500" s="7"/>
    </row>
    <row r="501" ht="14.25" customHeight="1">
      <c r="A501" s="7"/>
      <c r="B501" s="7" t="s">
        <v>1364</v>
      </c>
      <c r="C501" s="187"/>
      <c r="D501" s="189">
        <v>5.0</v>
      </c>
      <c r="E501" s="185" t="s">
        <v>1365</v>
      </c>
      <c r="F501" s="185"/>
      <c r="G501" s="185"/>
      <c r="H501" s="186"/>
      <c r="I501" s="187" t="s">
        <v>381</v>
      </c>
      <c r="J501" s="190"/>
      <c r="K501" s="190"/>
      <c r="L501" s="190"/>
      <c r="M501" s="190"/>
      <c r="N501" s="190"/>
      <c r="O501" s="190"/>
      <c r="P501" s="190"/>
      <c r="Q501" s="190"/>
      <c r="R501" s="198"/>
      <c r="S501" s="64"/>
      <c r="T501" s="190"/>
      <c r="U501" s="190"/>
      <c r="V501" s="51">
        <f t="shared" si="41"/>
        <v>0</v>
      </c>
      <c r="W501" s="7"/>
      <c r="X501" s="7"/>
      <c r="Y501" s="7"/>
      <c r="Z501" s="7"/>
    </row>
    <row r="502" ht="14.25" customHeight="1">
      <c r="A502" s="7"/>
      <c r="B502" s="7" t="s">
        <v>1364</v>
      </c>
      <c r="C502" s="187"/>
      <c r="D502" s="189"/>
      <c r="E502" s="185"/>
      <c r="F502" s="185"/>
      <c r="G502" s="185"/>
      <c r="H502" s="186"/>
      <c r="I502" s="187" t="s">
        <v>490</v>
      </c>
      <c r="J502" s="190"/>
      <c r="K502" s="190"/>
      <c r="L502" s="190"/>
      <c r="M502" s="190"/>
      <c r="N502" s="190"/>
      <c r="O502" s="190"/>
      <c r="P502" s="190"/>
      <c r="Q502" s="190"/>
      <c r="R502" s="198"/>
      <c r="S502" s="64"/>
      <c r="T502" s="190"/>
      <c r="U502" s="190"/>
      <c r="V502" s="51">
        <f t="shared" si="41"/>
        <v>0</v>
      </c>
      <c r="W502" s="7"/>
      <c r="X502" s="7"/>
      <c r="Y502" s="7"/>
      <c r="Z502" s="7"/>
    </row>
    <row r="503" ht="14.25" customHeight="1">
      <c r="A503" s="7"/>
      <c r="B503" s="7" t="s">
        <v>1364</v>
      </c>
      <c r="C503" s="187"/>
      <c r="D503" s="189"/>
      <c r="E503" s="185"/>
      <c r="F503" s="185"/>
      <c r="G503" s="185"/>
      <c r="H503" s="186"/>
      <c r="I503" s="187" t="s">
        <v>489</v>
      </c>
      <c r="J503" s="190">
        <v>41496.0</v>
      </c>
      <c r="K503" s="190">
        <v>87393.0</v>
      </c>
      <c r="L503" s="190">
        <v>87443.0</v>
      </c>
      <c r="M503" s="190">
        <v>43842.0</v>
      </c>
      <c r="N503" s="193">
        <v>114317.0</v>
      </c>
      <c r="O503" s="190"/>
      <c r="P503" s="190"/>
      <c r="Q503" s="190"/>
      <c r="R503" s="191"/>
      <c r="S503" s="190"/>
      <c r="T503" s="190"/>
      <c r="U503" s="190"/>
      <c r="V503" s="51">
        <f t="shared" si="41"/>
        <v>374491</v>
      </c>
      <c r="W503" s="7"/>
      <c r="X503" s="7"/>
      <c r="Y503" s="7"/>
      <c r="Z503" s="7"/>
    </row>
    <row r="504" ht="14.25" customHeight="1">
      <c r="A504" s="7"/>
      <c r="B504" s="11"/>
      <c r="C504" s="187"/>
      <c r="D504" s="200"/>
      <c r="E504" s="185"/>
      <c r="F504" s="185"/>
      <c r="G504" s="185"/>
      <c r="H504" s="186"/>
      <c r="I504" s="187"/>
      <c r="J504" s="188"/>
      <c r="K504" s="119"/>
      <c r="L504" s="119"/>
      <c r="M504" s="119"/>
      <c r="N504" s="119"/>
      <c r="O504" s="119"/>
      <c r="P504" s="119"/>
      <c r="Q504" s="119"/>
      <c r="R504" s="119"/>
      <c r="S504" s="74"/>
      <c r="T504" s="119"/>
      <c r="U504" s="119"/>
      <c r="V504" s="119"/>
      <c r="W504" s="7"/>
      <c r="X504" s="7"/>
      <c r="Y504" s="7"/>
      <c r="Z504" s="7"/>
    </row>
    <row r="505" ht="14.25" customHeight="1">
      <c r="A505" s="7"/>
      <c r="C505" s="183">
        <v>17.0</v>
      </c>
      <c r="D505" s="184" t="s">
        <v>1366</v>
      </c>
      <c r="E505" s="185"/>
      <c r="F505" s="185"/>
      <c r="G505" s="185"/>
      <c r="H505" s="186"/>
      <c r="I505" s="187"/>
      <c r="J505" s="188"/>
      <c r="K505" s="119"/>
      <c r="L505" s="119"/>
      <c r="M505" s="119"/>
      <c r="N505" s="119"/>
      <c r="O505" s="119"/>
      <c r="P505" s="119"/>
      <c r="Q505" s="119"/>
      <c r="R505" s="119"/>
      <c r="S505" s="74"/>
      <c r="T505" s="119"/>
      <c r="U505" s="119"/>
      <c r="V505" s="119"/>
      <c r="W505" s="7"/>
      <c r="X505" s="7"/>
      <c r="Y505" s="7"/>
      <c r="Z505" s="7"/>
    </row>
    <row r="506" ht="14.25" customHeight="1">
      <c r="A506" s="7"/>
      <c r="B506" s="7" t="s">
        <v>1367</v>
      </c>
      <c r="C506" s="187"/>
      <c r="D506" s="189">
        <v>1.0</v>
      </c>
      <c r="E506" s="185" t="s">
        <v>1196</v>
      </c>
      <c r="F506" s="185"/>
      <c r="G506" s="185"/>
      <c r="H506" s="186"/>
      <c r="I506" s="187" t="s">
        <v>988</v>
      </c>
      <c r="J506" s="190"/>
      <c r="K506" s="190"/>
      <c r="L506" s="190"/>
      <c r="M506" s="60"/>
      <c r="N506" s="190"/>
      <c r="O506" s="190"/>
      <c r="P506" s="190"/>
      <c r="Q506" s="190"/>
      <c r="R506" s="190"/>
      <c r="S506" s="64"/>
      <c r="T506" s="190"/>
      <c r="U506" s="190"/>
      <c r="V506" s="51">
        <f t="shared" ref="V506:V515" si="42">SUM(J506:U506)</f>
        <v>0</v>
      </c>
      <c r="W506" s="7"/>
      <c r="X506" s="7"/>
      <c r="Y506" s="7"/>
      <c r="Z506" s="7"/>
    </row>
    <row r="507" ht="14.25" customHeight="1">
      <c r="A507" s="7"/>
      <c r="B507" s="7" t="s">
        <v>1368</v>
      </c>
      <c r="C507" s="187"/>
      <c r="D507" s="189">
        <v>2.0</v>
      </c>
      <c r="E507" s="185" t="s">
        <v>1369</v>
      </c>
      <c r="F507" s="185"/>
      <c r="G507" s="185"/>
      <c r="H507" s="186"/>
      <c r="I507" s="187" t="s">
        <v>991</v>
      </c>
      <c r="J507" s="191">
        <v>542.0</v>
      </c>
      <c r="K507" s="192">
        <v>480.0</v>
      </c>
      <c r="L507" s="191">
        <v>502.0</v>
      </c>
      <c r="M507" s="58">
        <v>516.0</v>
      </c>
      <c r="N507" s="239">
        <v>556.0</v>
      </c>
      <c r="O507" s="49"/>
      <c r="P507" s="194"/>
      <c r="Q507" s="194"/>
      <c r="R507" s="191"/>
      <c r="S507" s="58"/>
      <c r="T507" s="47"/>
      <c r="U507" s="191"/>
      <c r="V507" s="51">
        <f t="shared" si="42"/>
        <v>2596</v>
      </c>
      <c r="W507" s="7"/>
      <c r="X507" s="7"/>
      <c r="Y507" s="7"/>
      <c r="Z507" s="7"/>
    </row>
    <row r="508" ht="14.25" customHeight="1">
      <c r="A508" s="7"/>
      <c r="B508" s="7" t="s">
        <v>1368</v>
      </c>
      <c r="C508" s="187"/>
      <c r="D508" s="189"/>
      <c r="E508" s="185"/>
      <c r="F508" s="185"/>
      <c r="G508" s="185"/>
      <c r="H508" s="186"/>
      <c r="I508" s="187" t="s">
        <v>992</v>
      </c>
      <c r="J508" s="191">
        <v>5402039.0</v>
      </c>
      <c r="K508" s="195">
        <v>4799862.0</v>
      </c>
      <c r="L508" s="191">
        <v>5206015.0</v>
      </c>
      <c r="M508" s="58">
        <v>5200290.0</v>
      </c>
      <c r="N508" s="240">
        <v>5894988.0</v>
      </c>
      <c r="O508" s="58"/>
      <c r="P508" s="194"/>
      <c r="Q508" s="194"/>
      <c r="R508" s="191"/>
      <c r="S508" s="58"/>
      <c r="T508" s="59"/>
      <c r="U508" s="191"/>
      <c r="V508" s="51">
        <f t="shared" si="42"/>
        <v>26503194</v>
      </c>
      <c r="W508" s="7"/>
      <c r="X508" s="7"/>
      <c r="Y508" s="7"/>
      <c r="Z508" s="7"/>
    </row>
    <row r="509" ht="14.25" customHeight="1">
      <c r="A509" s="7"/>
      <c r="B509" s="7" t="s">
        <v>1370</v>
      </c>
      <c r="C509" s="187"/>
      <c r="D509" s="189">
        <v>3.0</v>
      </c>
      <c r="E509" s="185" t="s">
        <v>1371</v>
      </c>
      <c r="F509" s="185"/>
      <c r="G509" s="185"/>
      <c r="H509" s="186"/>
      <c r="I509" s="187" t="s">
        <v>995</v>
      </c>
      <c r="J509" s="191">
        <v>1533.0</v>
      </c>
      <c r="K509" s="195">
        <v>1305.08</v>
      </c>
      <c r="L509" s="191">
        <v>1433.1000000032946</v>
      </c>
      <c r="M509" s="58">
        <v>1390.266666665615</v>
      </c>
      <c r="N509" s="240">
        <v>1532.32</v>
      </c>
      <c r="O509" s="58"/>
      <c r="P509" s="194"/>
      <c r="Q509" s="194"/>
      <c r="R509" s="191"/>
      <c r="S509" s="58"/>
      <c r="T509" s="59"/>
      <c r="U509" s="191"/>
      <c r="V509" s="51">
        <f t="shared" si="42"/>
        <v>7193.766667</v>
      </c>
      <c r="W509" s="7"/>
      <c r="X509" s="7"/>
      <c r="Y509" s="7"/>
      <c r="Z509" s="7"/>
    </row>
    <row r="510" ht="14.25" customHeight="1">
      <c r="A510" s="7"/>
      <c r="B510" s="7" t="s">
        <v>1370</v>
      </c>
      <c r="C510" s="187"/>
      <c r="D510" s="189"/>
      <c r="E510" s="185"/>
      <c r="F510" s="185"/>
      <c r="G510" s="185"/>
      <c r="H510" s="186"/>
      <c r="I510" s="187" t="s">
        <v>996</v>
      </c>
      <c r="J510" s="191">
        <v>1.6861261E7</v>
      </c>
      <c r="K510" s="195">
        <v>1.4344691E7</v>
      </c>
      <c r="L510" s="191">
        <v>1.618844555003453E7</v>
      </c>
      <c r="M510" s="58">
        <v>1.5829445650007032E7</v>
      </c>
      <c r="N510" s="240">
        <v>1.816982932E7</v>
      </c>
      <c r="O510" s="58"/>
      <c r="P510" s="194"/>
      <c r="Q510" s="194"/>
      <c r="R510" s="191"/>
      <c r="S510" s="58"/>
      <c r="T510" s="59"/>
      <c r="U510" s="191"/>
      <c r="V510" s="51">
        <f t="shared" si="42"/>
        <v>81393672.52</v>
      </c>
      <c r="W510" s="7"/>
      <c r="X510" s="7"/>
      <c r="Y510" s="7"/>
      <c r="Z510" s="7"/>
    </row>
    <row r="511" ht="14.25" customHeight="1">
      <c r="A511" s="7"/>
      <c r="B511" s="7" t="s">
        <v>1372</v>
      </c>
      <c r="C511" s="187"/>
      <c r="D511" s="189">
        <v>4.0</v>
      </c>
      <c r="E511" s="185" t="s">
        <v>1198</v>
      </c>
      <c r="F511" s="185"/>
      <c r="G511" s="185"/>
      <c r="H511" s="186"/>
      <c r="I511" s="187" t="s">
        <v>999</v>
      </c>
      <c r="J511" s="190"/>
      <c r="K511" s="190"/>
      <c r="L511" s="190"/>
      <c r="M511" s="64"/>
      <c r="N511" s="190"/>
      <c r="O511" s="190"/>
      <c r="P511" s="190"/>
      <c r="Q511" s="190"/>
      <c r="R511" s="190"/>
      <c r="S511" s="64"/>
      <c r="T511" s="190"/>
      <c r="U511" s="190"/>
      <c r="V511" s="51">
        <f t="shared" si="42"/>
        <v>0</v>
      </c>
      <c r="W511" s="7"/>
      <c r="X511" s="7"/>
      <c r="Y511" s="7"/>
      <c r="Z511" s="7"/>
    </row>
    <row r="512" ht="14.25" customHeight="1">
      <c r="A512" s="7"/>
      <c r="B512" s="7" t="s">
        <v>1373</v>
      </c>
      <c r="C512" s="187"/>
      <c r="D512" s="189">
        <v>5.0</v>
      </c>
      <c r="E512" s="185" t="s">
        <v>1008</v>
      </c>
      <c r="F512" s="185"/>
      <c r="G512" s="185"/>
      <c r="H512" s="186"/>
      <c r="I512" s="187" t="s">
        <v>489</v>
      </c>
      <c r="J512" s="190"/>
      <c r="K512" s="190"/>
      <c r="L512" s="190"/>
      <c r="M512" s="64"/>
      <c r="N512" s="190"/>
      <c r="O512" s="190"/>
      <c r="P512" s="190"/>
      <c r="Q512" s="190"/>
      <c r="R512" s="190"/>
      <c r="S512" s="190"/>
      <c r="T512" s="190"/>
      <c r="U512" s="190"/>
      <c r="V512" s="51">
        <f t="shared" si="42"/>
        <v>0</v>
      </c>
      <c r="W512" s="7"/>
      <c r="X512" s="7"/>
      <c r="Y512" s="7"/>
      <c r="Z512" s="7"/>
    </row>
    <row r="513" ht="14.25" customHeight="1">
      <c r="A513" s="7"/>
      <c r="B513" s="7" t="s">
        <v>1373</v>
      </c>
      <c r="C513" s="187"/>
      <c r="D513" s="189"/>
      <c r="E513" s="185"/>
      <c r="F513" s="185"/>
      <c r="G513" s="185"/>
      <c r="H513" s="186"/>
      <c r="I513" s="187" t="s">
        <v>490</v>
      </c>
      <c r="J513" s="190"/>
      <c r="K513" s="190"/>
      <c r="L513" s="190"/>
      <c r="M513" s="64"/>
      <c r="N513" s="190"/>
      <c r="O513" s="190"/>
      <c r="P513" s="190"/>
      <c r="Q513" s="190"/>
      <c r="R513" s="190"/>
      <c r="S513" s="190"/>
      <c r="T513" s="190"/>
      <c r="U513" s="190"/>
      <c r="V513" s="51">
        <f t="shared" si="42"/>
        <v>0</v>
      </c>
      <c r="W513" s="7"/>
      <c r="X513" s="7"/>
      <c r="Y513" s="7"/>
      <c r="Z513" s="7"/>
    </row>
    <row r="514" ht="14.25" customHeight="1">
      <c r="A514" s="7"/>
      <c r="B514" s="7" t="s">
        <v>1374</v>
      </c>
      <c r="C514" s="187"/>
      <c r="D514" s="189">
        <v>6.0</v>
      </c>
      <c r="E514" s="185" t="s">
        <v>1375</v>
      </c>
      <c r="F514" s="185"/>
      <c r="G514" s="185"/>
      <c r="H514" s="186"/>
      <c r="I514" s="187" t="s">
        <v>489</v>
      </c>
      <c r="J514" s="190"/>
      <c r="K514" s="190"/>
      <c r="L514" s="190"/>
      <c r="M514" s="64"/>
      <c r="N514" s="190"/>
      <c r="O514" s="190"/>
      <c r="P514" s="190"/>
      <c r="Q514" s="190"/>
      <c r="R514" s="190"/>
      <c r="S514" s="190"/>
      <c r="T514" s="190"/>
      <c r="U514" s="190"/>
      <c r="V514" s="51">
        <f t="shared" si="42"/>
        <v>0</v>
      </c>
      <c r="W514" s="7"/>
      <c r="X514" s="7"/>
      <c r="Y514" s="7"/>
      <c r="Z514" s="7"/>
    </row>
    <row r="515" ht="14.25" customHeight="1">
      <c r="A515" s="7"/>
      <c r="B515" s="7" t="s">
        <v>1374</v>
      </c>
      <c r="C515" s="187"/>
      <c r="D515" s="200"/>
      <c r="E515" s="185"/>
      <c r="F515" s="185"/>
      <c r="G515" s="185"/>
      <c r="H515" s="186"/>
      <c r="I515" s="187" t="s">
        <v>490</v>
      </c>
      <c r="J515" s="190"/>
      <c r="K515" s="190"/>
      <c r="L515" s="190"/>
      <c r="M515" s="64"/>
      <c r="N515" s="190"/>
      <c r="O515" s="190"/>
      <c r="P515" s="190"/>
      <c r="Q515" s="190"/>
      <c r="R515" s="190"/>
      <c r="S515" s="190"/>
      <c r="T515" s="190"/>
      <c r="U515" s="190"/>
      <c r="V515" s="51">
        <f t="shared" si="42"/>
        <v>0</v>
      </c>
      <c r="W515" s="7"/>
      <c r="X515" s="7"/>
      <c r="Y515" s="7"/>
      <c r="Z515" s="7"/>
    </row>
    <row r="516" ht="14.25" customHeight="1">
      <c r="A516" s="7"/>
      <c r="B516" s="11"/>
      <c r="C516" s="187"/>
      <c r="D516" s="200"/>
      <c r="E516" s="185"/>
      <c r="F516" s="185"/>
      <c r="G516" s="185"/>
      <c r="H516" s="186"/>
      <c r="I516" s="187"/>
      <c r="J516" s="188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7"/>
      <c r="X516" s="7"/>
      <c r="Y516" s="7"/>
      <c r="Z516" s="7"/>
    </row>
    <row r="517" ht="14.25" customHeight="1">
      <c r="A517" s="7"/>
      <c r="C517" s="183">
        <v>18.0</v>
      </c>
      <c r="D517" s="184" t="s">
        <v>1376</v>
      </c>
      <c r="E517" s="185"/>
      <c r="F517" s="185"/>
      <c r="G517" s="185"/>
      <c r="H517" s="186"/>
      <c r="I517" s="187"/>
      <c r="J517" s="188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7"/>
      <c r="X517" s="7"/>
      <c r="Y517" s="7"/>
      <c r="Z517" s="7"/>
    </row>
    <row r="518" ht="14.25" customHeight="1">
      <c r="A518" s="7"/>
      <c r="C518" s="187"/>
      <c r="D518" s="189">
        <v>1.0</v>
      </c>
      <c r="E518" s="185" t="s">
        <v>1377</v>
      </c>
      <c r="F518" s="185"/>
      <c r="G518" s="185"/>
      <c r="H518" s="186"/>
      <c r="I518" s="187"/>
      <c r="J518" s="188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7"/>
      <c r="X518" s="7"/>
      <c r="Y518" s="7"/>
      <c r="Z518" s="7"/>
    </row>
    <row r="519" ht="14.25" customHeight="1">
      <c r="A519" s="7"/>
      <c r="B519" s="7" t="s">
        <v>1378</v>
      </c>
      <c r="C519" s="187"/>
      <c r="D519" s="189"/>
      <c r="E519" s="203">
        <v>1.0</v>
      </c>
      <c r="F519" s="185" t="s">
        <v>1379</v>
      </c>
      <c r="G519" s="185"/>
      <c r="H519" s="186"/>
      <c r="I519" s="187" t="s">
        <v>398</v>
      </c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51">
        <f t="shared" ref="V519:V520" si="43">SUM(J519:U519)</f>
        <v>0</v>
      </c>
      <c r="W519" s="7"/>
      <c r="X519" s="7"/>
      <c r="Y519" s="7"/>
      <c r="Z519" s="7"/>
    </row>
    <row r="520" ht="14.25" customHeight="1">
      <c r="A520" s="7"/>
      <c r="B520" s="7" t="s">
        <v>1380</v>
      </c>
      <c r="C520" s="187"/>
      <c r="D520" s="189"/>
      <c r="E520" s="203">
        <v>2.0</v>
      </c>
      <c r="F520" s="185" t="s">
        <v>1381</v>
      </c>
      <c r="G520" s="185"/>
      <c r="H520" s="186"/>
      <c r="I520" s="187" t="s">
        <v>1085</v>
      </c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51">
        <f t="shared" si="43"/>
        <v>0</v>
      </c>
      <c r="W520" s="7"/>
      <c r="X520" s="7"/>
      <c r="Y520" s="7"/>
      <c r="Z520" s="7"/>
    </row>
    <row r="521" ht="14.25" customHeight="1">
      <c r="A521" s="7"/>
      <c r="C521" s="187"/>
      <c r="D521" s="189">
        <v>2.0</v>
      </c>
      <c r="E521" s="185" t="s">
        <v>1382</v>
      </c>
      <c r="F521" s="185"/>
      <c r="G521" s="185"/>
      <c r="H521" s="186"/>
      <c r="I521" s="187"/>
      <c r="J521" s="188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7"/>
      <c r="X521" s="7"/>
      <c r="Y521" s="7"/>
      <c r="Z521" s="7"/>
    </row>
    <row r="522" ht="14.25" customHeight="1">
      <c r="A522" s="7"/>
      <c r="B522" s="7" t="s">
        <v>1383</v>
      </c>
      <c r="C522" s="187"/>
      <c r="D522" s="189"/>
      <c r="E522" s="203">
        <v>1.0</v>
      </c>
      <c r="F522" s="185" t="s">
        <v>1369</v>
      </c>
      <c r="G522" s="185"/>
      <c r="H522" s="186"/>
      <c r="I522" s="187" t="s">
        <v>1384</v>
      </c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51">
        <f t="shared" ref="V522:V524" si="44">SUM(J522:U522)</f>
        <v>0</v>
      </c>
      <c r="W522" s="7"/>
      <c r="X522" s="7"/>
      <c r="Y522" s="7"/>
      <c r="Z522" s="7"/>
    </row>
    <row r="523" ht="14.25" customHeight="1">
      <c r="A523" s="7"/>
      <c r="B523" s="7" t="s">
        <v>1385</v>
      </c>
      <c r="C523" s="187"/>
      <c r="D523" s="189"/>
      <c r="E523" s="203">
        <v>2.0</v>
      </c>
      <c r="F523" s="185" t="s">
        <v>1371</v>
      </c>
      <c r="G523" s="185"/>
      <c r="H523" s="186"/>
      <c r="I523" s="187" t="s">
        <v>570</v>
      </c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51">
        <f t="shared" si="44"/>
        <v>0</v>
      </c>
      <c r="W523" s="7"/>
      <c r="X523" s="7"/>
      <c r="Y523" s="7"/>
      <c r="Z523" s="7"/>
    </row>
    <row r="524" ht="14.25" customHeight="1">
      <c r="A524" s="7"/>
      <c r="B524" s="7" t="s">
        <v>1386</v>
      </c>
      <c r="C524" s="187"/>
      <c r="D524" s="189"/>
      <c r="E524" s="203">
        <v>3.0</v>
      </c>
      <c r="F524" s="185" t="s">
        <v>1387</v>
      </c>
      <c r="G524" s="185"/>
      <c r="H524" s="186"/>
      <c r="I524" s="187" t="s">
        <v>1388</v>
      </c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51">
        <f t="shared" si="44"/>
        <v>0</v>
      </c>
      <c r="W524" s="7"/>
      <c r="X524" s="7"/>
      <c r="Y524" s="7"/>
      <c r="Z524" s="7"/>
    </row>
    <row r="525" ht="14.25" customHeight="1">
      <c r="A525" s="7"/>
      <c r="C525" s="187"/>
      <c r="D525" s="189">
        <v>3.0</v>
      </c>
      <c r="E525" s="185" t="s">
        <v>1389</v>
      </c>
      <c r="F525" s="185"/>
      <c r="G525" s="185"/>
      <c r="H525" s="186"/>
      <c r="I525" s="187"/>
      <c r="J525" s="188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7"/>
      <c r="X525" s="7"/>
      <c r="Y525" s="7"/>
      <c r="Z525" s="7"/>
    </row>
    <row r="526" ht="14.25" customHeight="1">
      <c r="A526" s="7"/>
      <c r="B526" s="7" t="s">
        <v>1390</v>
      </c>
      <c r="C526" s="187"/>
      <c r="D526" s="189"/>
      <c r="E526" s="203">
        <v>1.0</v>
      </c>
      <c r="F526" s="185" t="s">
        <v>1391</v>
      </c>
      <c r="G526" s="185"/>
      <c r="H526" s="186"/>
      <c r="I526" s="187" t="s">
        <v>1233</v>
      </c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51">
        <f t="shared" ref="V526:V527" si="45">SUM(J526:U526)</f>
        <v>0</v>
      </c>
      <c r="W526" s="7"/>
      <c r="X526" s="7"/>
      <c r="Y526" s="7"/>
      <c r="Z526" s="7"/>
    </row>
    <row r="527" ht="14.25" customHeight="1">
      <c r="A527" s="7"/>
      <c r="B527" s="7" t="s">
        <v>1392</v>
      </c>
      <c r="C527" s="187"/>
      <c r="D527" s="189"/>
      <c r="E527" s="203">
        <v>2.0</v>
      </c>
      <c r="F527" s="185" t="s">
        <v>1393</v>
      </c>
      <c r="G527" s="185"/>
      <c r="H527" s="186"/>
      <c r="I527" s="187" t="s">
        <v>570</v>
      </c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51">
        <f t="shared" si="45"/>
        <v>0</v>
      </c>
      <c r="W527" s="7"/>
      <c r="X527" s="7"/>
      <c r="Y527" s="7"/>
      <c r="Z527" s="7"/>
    </row>
    <row r="528" ht="14.25" customHeight="1">
      <c r="A528" s="7"/>
      <c r="C528" s="187"/>
      <c r="D528" s="189">
        <v>4.0</v>
      </c>
      <c r="E528" s="185" t="s">
        <v>1394</v>
      </c>
      <c r="F528" s="185"/>
      <c r="G528" s="185"/>
      <c r="H528" s="186"/>
      <c r="I528" s="187"/>
      <c r="J528" s="188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7"/>
      <c r="X528" s="7"/>
      <c r="Y528" s="7"/>
      <c r="Z528" s="7"/>
    </row>
    <row r="529" ht="14.25" customHeight="1">
      <c r="A529" s="7"/>
      <c r="B529" s="7" t="s">
        <v>1395</v>
      </c>
      <c r="C529" s="187"/>
      <c r="D529" s="189"/>
      <c r="E529" s="203">
        <v>1.0</v>
      </c>
      <c r="F529" s="185" t="s">
        <v>1396</v>
      </c>
      <c r="G529" s="185"/>
      <c r="H529" s="186"/>
      <c r="I529" s="187" t="s">
        <v>1233</v>
      </c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51">
        <f t="shared" ref="V529:V530" si="46">SUM(J529:U529)</f>
        <v>0</v>
      </c>
      <c r="W529" s="7"/>
      <c r="X529" s="7"/>
      <c r="Y529" s="7"/>
      <c r="Z529" s="7"/>
    </row>
    <row r="530" ht="14.25" customHeight="1">
      <c r="A530" s="7"/>
      <c r="B530" s="7" t="s">
        <v>1397</v>
      </c>
      <c r="C530" s="187"/>
      <c r="D530" s="189"/>
      <c r="E530" s="203">
        <v>2.0</v>
      </c>
      <c r="F530" s="185" t="s">
        <v>1398</v>
      </c>
      <c r="G530" s="185"/>
      <c r="H530" s="186"/>
      <c r="I530" s="187" t="s">
        <v>570</v>
      </c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51">
        <f t="shared" si="46"/>
        <v>0</v>
      </c>
      <c r="W530" s="7"/>
      <c r="X530" s="7"/>
      <c r="Y530" s="7"/>
      <c r="Z530" s="7"/>
    </row>
    <row r="531" ht="14.25" customHeight="1">
      <c r="A531" s="7"/>
      <c r="C531" s="187"/>
      <c r="D531" s="189"/>
      <c r="E531" s="203">
        <v>3.0</v>
      </c>
      <c r="F531" s="185" t="s">
        <v>1399</v>
      </c>
      <c r="G531" s="185"/>
      <c r="H531" s="186"/>
      <c r="I531" s="187"/>
      <c r="J531" s="188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7"/>
      <c r="X531" s="7"/>
      <c r="Y531" s="7"/>
      <c r="Z531" s="7"/>
    </row>
    <row r="532" ht="14.25" customHeight="1">
      <c r="A532" s="7"/>
      <c r="B532" s="7" t="s">
        <v>1400</v>
      </c>
      <c r="C532" s="187"/>
      <c r="D532" s="189"/>
      <c r="E532" s="185"/>
      <c r="F532" s="203">
        <v>1.0</v>
      </c>
      <c r="G532" s="185" t="s">
        <v>1401</v>
      </c>
      <c r="H532" s="186"/>
      <c r="I532" s="187" t="s">
        <v>1282</v>
      </c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51">
        <f t="shared" ref="V532:V533" si="47">SUM(J532:U532)</f>
        <v>0</v>
      </c>
      <c r="W532" s="7"/>
      <c r="X532" s="7"/>
      <c r="Y532" s="7"/>
      <c r="Z532" s="7"/>
    </row>
    <row r="533" ht="14.25" customHeight="1">
      <c r="A533" s="7"/>
      <c r="B533" s="7" t="s">
        <v>1402</v>
      </c>
      <c r="C533" s="187"/>
      <c r="D533" s="189"/>
      <c r="E533" s="185"/>
      <c r="F533" s="203">
        <v>2.0</v>
      </c>
      <c r="G533" s="185" t="s">
        <v>1403</v>
      </c>
      <c r="H533" s="186"/>
      <c r="I533" s="187" t="s">
        <v>1233</v>
      </c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51">
        <f t="shared" si="47"/>
        <v>0</v>
      </c>
      <c r="W533" s="7"/>
      <c r="X533" s="7"/>
      <c r="Y533" s="7"/>
      <c r="Z533" s="7"/>
    </row>
    <row r="534" ht="14.25" customHeight="1">
      <c r="A534" s="7"/>
      <c r="C534" s="187"/>
      <c r="D534" s="189">
        <v>5.0</v>
      </c>
      <c r="E534" s="185" t="s">
        <v>1404</v>
      </c>
      <c r="F534" s="185"/>
      <c r="G534" s="185"/>
      <c r="H534" s="186"/>
      <c r="I534" s="187"/>
      <c r="J534" s="188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7"/>
      <c r="X534" s="7"/>
      <c r="Y534" s="7"/>
      <c r="Z534" s="7"/>
    </row>
    <row r="535" ht="14.25" customHeight="1">
      <c r="A535" s="7"/>
      <c r="B535" s="7" t="s">
        <v>1405</v>
      </c>
      <c r="C535" s="187"/>
      <c r="D535" s="189"/>
      <c r="E535" s="203">
        <v>1.0</v>
      </c>
      <c r="F535" s="185" t="s">
        <v>1406</v>
      </c>
      <c r="G535" s="185"/>
      <c r="H535" s="186"/>
      <c r="I535" s="187" t="s">
        <v>1233</v>
      </c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51">
        <f t="shared" ref="V535:V536" si="48">SUM(J535:U535)</f>
        <v>0</v>
      </c>
      <c r="W535" s="7"/>
      <c r="X535" s="7"/>
      <c r="Y535" s="7"/>
      <c r="Z535" s="7"/>
    </row>
    <row r="536" ht="14.25" customHeight="1">
      <c r="A536" s="7"/>
      <c r="B536" s="7" t="s">
        <v>1407</v>
      </c>
      <c r="C536" s="187"/>
      <c r="D536" s="189"/>
      <c r="E536" s="203">
        <v>2.0</v>
      </c>
      <c r="F536" s="185" t="s">
        <v>1408</v>
      </c>
      <c r="G536" s="185"/>
      <c r="H536" s="186"/>
      <c r="I536" s="187" t="s">
        <v>227</v>
      </c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51">
        <f t="shared" si="48"/>
        <v>0</v>
      </c>
      <c r="W536" s="7"/>
      <c r="X536" s="7"/>
      <c r="Y536" s="7"/>
      <c r="Z536" s="7"/>
    </row>
    <row r="537" ht="14.25" customHeight="1">
      <c r="A537" s="7"/>
      <c r="C537" s="187"/>
      <c r="D537" s="189">
        <v>6.0</v>
      </c>
      <c r="E537" s="185" t="s">
        <v>1409</v>
      </c>
      <c r="F537" s="185"/>
      <c r="G537" s="185"/>
      <c r="H537" s="186"/>
      <c r="I537" s="187"/>
      <c r="J537" s="188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7"/>
      <c r="X537" s="7"/>
      <c r="Y537" s="7"/>
      <c r="Z537" s="7"/>
    </row>
    <row r="538" ht="14.25" customHeight="1">
      <c r="A538" s="7"/>
      <c r="B538" s="7" t="s">
        <v>1410</v>
      </c>
      <c r="C538" s="187"/>
      <c r="D538" s="189"/>
      <c r="E538" s="203">
        <v>1.0</v>
      </c>
      <c r="F538" s="185" t="s">
        <v>1411</v>
      </c>
      <c r="G538" s="185"/>
      <c r="H538" s="186"/>
      <c r="I538" s="187" t="s">
        <v>1412</v>
      </c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51">
        <f t="shared" ref="V538:V539" si="49">SUM(J538:U538)</f>
        <v>0</v>
      </c>
      <c r="W538" s="7"/>
      <c r="X538" s="7"/>
      <c r="Y538" s="7"/>
      <c r="Z538" s="7"/>
    </row>
    <row r="539" ht="14.25" customHeight="1">
      <c r="A539" s="7"/>
      <c r="B539" s="7" t="s">
        <v>1413</v>
      </c>
      <c r="C539" s="187"/>
      <c r="D539" s="189"/>
      <c r="E539" s="203">
        <v>2.0</v>
      </c>
      <c r="F539" s="185" t="s">
        <v>1414</v>
      </c>
      <c r="G539" s="185"/>
      <c r="H539" s="186"/>
      <c r="I539" s="187" t="s">
        <v>489</v>
      </c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51">
        <f t="shared" si="49"/>
        <v>0</v>
      </c>
      <c r="W539" s="7"/>
      <c r="X539" s="7"/>
      <c r="Y539" s="7"/>
      <c r="Z539" s="7"/>
    </row>
    <row r="540" ht="14.25" customHeight="1">
      <c r="A540" s="7"/>
      <c r="C540" s="187"/>
      <c r="D540" s="189"/>
      <c r="E540" s="203">
        <v>3.0</v>
      </c>
      <c r="F540" s="185" t="s">
        <v>1294</v>
      </c>
      <c r="G540" s="185"/>
      <c r="H540" s="186"/>
      <c r="I540" s="187"/>
      <c r="J540" s="188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7"/>
      <c r="X540" s="7"/>
      <c r="Y540" s="7"/>
      <c r="Z540" s="7"/>
    </row>
    <row r="541" ht="14.25" customHeight="1">
      <c r="A541" s="7"/>
      <c r="B541" s="7" t="s">
        <v>1415</v>
      </c>
      <c r="C541" s="187"/>
      <c r="D541" s="189"/>
      <c r="E541" s="203"/>
      <c r="F541" s="203">
        <v>1.0</v>
      </c>
      <c r="G541" s="185" t="s">
        <v>1416</v>
      </c>
      <c r="H541" s="186"/>
      <c r="I541" s="187" t="s">
        <v>1417</v>
      </c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51">
        <f t="shared" ref="V541:V544" si="50">SUM(J541:U541)</f>
        <v>0</v>
      </c>
      <c r="W541" s="7"/>
      <c r="X541" s="7"/>
      <c r="Y541" s="7"/>
      <c r="Z541" s="7"/>
    </row>
    <row r="542" ht="14.25" customHeight="1">
      <c r="A542" s="7"/>
      <c r="B542" s="7" t="s">
        <v>1418</v>
      </c>
      <c r="C542" s="187"/>
      <c r="D542" s="189"/>
      <c r="E542" s="203"/>
      <c r="F542" s="203">
        <v>2.0</v>
      </c>
      <c r="G542" s="185" t="s">
        <v>1419</v>
      </c>
      <c r="H542" s="186"/>
      <c r="I542" s="187" t="s">
        <v>1420</v>
      </c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51">
        <f t="shared" si="50"/>
        <v>0</v>
      </c>
      <c r="W542" s="7"/>
      <c r="X542" s="7"/>
      <c r="Y542" s="7"/>
      <c r="Z542" s="7"/>
    </row>
    <row r="543" ht="14.25" customHeight="1">
      <c r="A543" s="7"/>
      <c r="B543" s="7" t="s">
        <v>1421</v>
      </c>
      <c r="C543" s="187"/>
      <c r="D543" s="189"/>
      <c r="E543" s="203">
        <v>4.0</v>
      </c>
      <c r="F543" s="185" t="s">
        <v>1422</v>
      </c>
      <c r="G543" s="185"/>
      <c r="H543" s="186"/>
      <c r="I543" s="187" t="s">
        <v>497</v>
      </c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51">
        <f t="shared" si="50"/>
        <v>0</v>
      </c>
      <c r="W543" s="7"/>
      <c r="X543" s="7"/>
      <c r="Y543" s="7"/>
      <c r="Z543" s="7"/>
    </row>
    <row r="544" ht="14.25" customHeight="1">
      <c r="A544" s="7"/>
      <c r="B544" s="7" t="s">
        <v>1423</v>
      </c>
      <c r="C544" s="187"/>
      <c r="D544" s="189"/>
      <c r="E544" s="203">
        <v>5.0</v>
      </c>
      <c r="F544" s="185" t="s">
        <v>1424</v>
      </c>
      <c r="G544" s="185"/>
      <c r="H544" s="186"/>
      <c r="I544" s="187" t="s">
        <v>1412</v>
      </c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51">
        <f t="shared" si="50"/>
        <v>0</v>
      </c>
      <c r="W544" s="7"/>
      <c r="X544" s="7"/>
      <c r="Y544" s="7"/>
      <c r="Z544" s="7"/>
    </row>
    <row r="545" ht="14.25" customHeight="1">
      <c r="A545" s="7"/>
      <c r="C545" s="187"/>
      <c r="D545" s="189">
        <v>7.0</v>
      </c>
      <c r="E545" s="185" t="s">
        <v>1425</v>
      </c>
      <c r="F545" s="185"/>
      <c r="G545" s="185"/>
      <c r="H545" s="186"/>
      <c r="I545" s="187"/>
      <c r="J545" s="188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7"/>
      <c r="X545" s="7"/>
      <c r="Y545" s="7"/>
      <c r="Z545" s="7"/>
    </row>
    <row r="546" ht="14.25" customHeight="1">
      <c r="A546" s="7"/>
      <c r="B546" s="7" t="s">
        <v>1426</v>
      </c>
      <c r="C546" s="187"/>
      <c r="D546" s="200"/>
      <c r="E546" s="203">
        <v>1.0</v>
      </c>
      <c r="F546" s="185" t="s">
        <v>1427</v>
      </c>
      <c r="G546" s="185"/>
      <c r="H546" s="186"/>
      <c r="I546" s="187" t="s">
        <v>1384</v>
      </c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51">
        <f t="shared" ref="V546:V554" si="51">SUM(J546:U546)</f>
        <v>0</v>
      </c>
      <c r="W546" s="7"/>
      <c r="X546" s="7"/>
      <c r="Y546" s="7"/>
      <c r="Z546" s="7"/>
    </row>
    <row r="547" ht="14.25" customHeight="1">
      <c r="A547" s="7"/>
      <c r="B547" s="7" t="s">
        <v>1428</v>
      </c>
      <c r="C547" s="187"/>
      <c r="D547" s="200"/>
      <c r="E547" s="203">
        <v>2.0</v>
      </c>
      <c r="F547" s="185" t="s">
        <v>1429</v>
      </c>
      <c r="G547" s="185"/>
      <c r="H547" s="186"/>
      <c r="I547" s="187" t="s">
        <v>489</v>
      </c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51">
        <f t="shared" si="51"/>
        <v>0</v>
      </c>
      <c r="W547" s="7"/>
      <c r="X547" s="7"/>
      <c r="Y547" s="7"/>
      <c r="Z547" s="7"/>
    </row>
    <row r="548" ht="14.25" customHeight="1">
      <c r="A548" s="7"/>
      <c r="B548" s="7" t="s">
        <v>1430</v>
      </c>
      <c r="C548" s="187"/>
      <c r="D548" s="200"/>
      <c r="E548" s="203">
        <v>3.0</v>
      </c>
      <c r="F548" s="185" t="s">
        <v>1431</v>
      </c>
      <c r="G548" s="185"/>
      <c r="H548" s="186"/>
      <c r="I548" s="187" t="s">
        <v>249</v>
      </c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51">
        <f t="shared" si="51"/>
        <v>0</v>
      </c>
      <c r="W548" s="7"/>
      <c r="X548" s="7"/>
      <c r="Y548" s="7"/>
      <c r="Z548" s="7"/>
    </row>
    <row r="549" ht="14.25" customHeight="1">
      <c r="A549" s="7"/>
      <c r="B549" s="7" t="s">
        <v>1430</v>
      </c>
      <c r="C549" s="187"/>
      <c r="D549" s="200"/>
      <c r="E549" s="203"/>
      <c r="F549" s="185"/>
      <c r="G549" s="185"/>
      <c r="H549" s="186"/>
      <c r="I549" s="187" t="s">
        <v>381</v>
      </c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51">
        <f t="shared" si="51"/>
        <v>0</v>
      </c>
      <c r="W549" s="7"/>
      <c r="X549" s="7"/>
      <c r="Y549" s="7"/>
      <c r="Z549" s="7"/>
    </row>
    <row r="550" ht="14.25" customHeight="1">
      <c r="A550" s="7"/>
      <c r="B550" s="7" t="s">
        <v>1430</v>
      </c>
      <c r="C550" s="187"/>
      <c r="D550" s="200"/>
      <c r="E550" s="203"/>
      <c r="F550" s="185"/>
      <c r="G550" s="185"/>
      <c r="H550" s="186"/>
      <c r="I550" s="187" t="s">
        <v>489</v>
      </c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51">
        <f t="shared" si="51"/>
        <v>0</v>
      </c>
      <c r="W550" s="7"/>
      <c r="X550" s="7"/>
      <c r="Y550" s="7"/>
      <c r="Z550" s="7"/>
    </row>
    <row r="551" ht="14.25" customHeight="1">
      <c r="A551" s="7"/>
      <c r="B551" s="7" t="s">
        <v>1432</v>
      </c>
      <c r="C551" s="187"/>
      <c r="D551" s="200"/>
      <c r="E551" s="203">
        <v>4.0</v>
      </c>
      <c r="F551" s="185" t="s">
        <v>1433</v>
      </c>
      <c r="G551" s="185"/>
      <c r="H551" s="186"/>
      <c r="I551" s="187" t="s">
        <v>489</v>
      </c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51">
        <f t="shared" si="51"/>
        <v>0</v>
      </c>
      <c r="W551" s="7"/>
      <c r="X551" s="7"/>
      <c r="Y551" s="7"/>
      <c r="Z551" s="7"/>
    </row>
    <row r="552" ht="14.25" customHeight="1">
      <c r="A552" s="7"/>
      <c r="B552" s="7" t="s">
        <v>1432</v>
      </c>
      <c r="C552" s="187"/>
      <c r="D552" s="200"/>
      <c r="E552" s="203"/>
      <c r="F552" s="185"/>
      <c r="G552" s="185"/>
      <c r="H552" s="186"/>
      <c r="I552" s="187" t="s">
        <v>1434</v>
      </c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51">
        <f t="shared" si="51"/>
        <v>0</v>
      </c>
      <c r="W552" s="7"/>
      <c r="X552" s="7"/>
      <c r="Y552" s="7"/>
      <c r="Z552" s="7"/>
    </row>
    <row r="553" ht="14.25" customHeight="1">
      <c r="A553" s="7"/>
      <c r="B553" s="7" t="s">
        <v>1435</v>
      </c>
      <c r="C553" s="241"/>
      <c r="D553" s="242"/>
      <c r="E553" s="243">
        <v>5.0</v>
      </c>
      <c r="F553" s="244" t="s">
        <v>1436</v>
      </c>
      <c r="G553" s="244"/>
      <c r="H553" s="245"/>
      <c r="I553" s="241" t="s">
        <v>1384</v>
      </c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246"/>
      <c r="V553" s="247">
        <f t="shared" si="51"/>
        <v>0</v>
      </c>
      <c r="W553" s="7"/>
      <c r="X553" s="7"/>
      <c r="Y553" s="7"/>
      <c r="Z553" s="7"/>
    </row>
    <row r="554" ht="14.25" customHeight="1">
      <c r="A554" s="7"/>
      <c r="B554" s="7" t="s">
        <v>1437</v>
      </c>
      <c r="C554" s="187"/>
      <c r="D554" s="187"/>
      <c r="E554" s="96">
        <v>6.0</v>
      </c>
      <c r="F554" s="187" t="s">
        <v>1438</v>
      </c>
      <c r="G554" s="187"/>
      <c r="H554" s="187"/>
      <c r="I554" s="187" t="s">
        <v>1384</v>
      </c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51">
        <f t="shared" si="51"/>
        <v>0</v>
      </c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7"/>
      <c r="X1000" s="7"/>
      <c r="Y1000" s="7"/>
      <c r="Z1000" s="7"/>
    </row>
  </sheetData>
  <mergeCells count="10">
    <mergeCell ref="D15:H15"/>
    <mergeCell ref="J15:U15"/>
    <mergeCell ref="D16:H16"/>
    <mergeCell ref="C2:G2"/>
    <mergeCell ref="C4:G4"/>
    <mergeCell ref="C6:G6"/>
    <mergeCell ref="C12:C14"/>
    <mergeCell ref="D12:H14"/>
    <mergeCell ref="I12:I14"/>
    <mergeCell ref="J12:V13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2021-08-22T08:56:02Z</dcterms:created>
  <dc:creator>Akhmad Fadilah</dc:creator>
</cp:coreProperties>
</file>