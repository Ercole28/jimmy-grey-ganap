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JIMMY GREEI GANAP\Documents\RKM 2027\"/>
    </mc:Choice>
  </mc:AlternateContent>
  <xr:revisionPtr revIDLastSave="0" documentId="13_ncr:1_{E791E463-1F89-4795-B43D-22B02EA052B0}" xr6:coauthVersionLast="45" xr6:coauthVersionMax="47" xr10:uidLastSave="{00000000-0000-0000-0000-000000000000}"/>
  <bookViews>
    <workbookView xWindow="-108" yWindow="-108" windowWidth="23256" windowHeight="12456" firstSheet="1" activeTab="4" xr2:uid="{FD5C3D26-30DB-9A43-B93E-8CCBCDA66590}"/>
  </bookViews>
  <sheets>
    <sheet name="Sheet1" sheetId="1" r:id="rId1"/>
    <sheet name="Operasi" sheetId="2" r:id="rId2"/>
    <sheet name="Executive Summary" sheetId="3" r:id="rId3"/>
    <sheet name="Laba Rugi" sheetId="4" r:id="rId4"/>
    <sheet name="Trafik vs Pend" sheetId="8" r:id="rId5"/>
    <sheet name="Permasalahan Strategis" sheetId="9" r:id="rId6"/>
    <sheet name="Rencana Kenaikan Tarif" sheetId="5" r:id="rId7"/>
    <sheet name="Optipi" sheetId="11" r:id="rId8"/>
    <sheet name="Investasi yang sudah menghasilk" sheetId="6" r:id="rId9"/>
    <sheet name="Rencana Relokasi" sheetId="7" r:id="rId10"/>
    <sheet name="Struktur Kosong" sheetId="10" r:id="rId11"/>
  </sheets>
  <externalReferences>
    <externalReference r:id="rId12"/>
    <externalReference r:id="rId13"/>
    <externalReference r:id="rId14"/>
    <externalReference r:id="rId1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8" i="8" l="1"/>
  <c r="H18" i="8"/>
  <c r="I15" i="8" l="1"/>
  <c r="I14" i="8"/>
  <c r="I13" i="8"/>
  <c r="H15" i="8"/>
  <c r="H14" i="8"/>
  <c r="H12" i="8"/>
  <c r="H13" i="8"/>
  <c r="G15" i="8"/>
  <c r="G14" i="8"/>
  <c r="G13" i="8"/>
  <c r="G12" i="8"/>
  <c r="H6" i="8"/>
  <c r="I8" i="8"/>
  <c r="I7" i="8"/>
  <c r="I6" i="8"/>
  <c r="I5" i="8"/>
  <c r="H8" i="8"/>
  <c r="H7" i="8"/>
  <c r="H5" i="8"/>
  <c r="G8" i="8"/>
  <c r="G7" i="8"/>
  <c r="G6" i="8"/>
  <c r="G5" i="8"/>
  <c r="I12" i="8"/>
  <c r="H18" i="2" l="1"/>
  <c r="H13" i="2"/>
  <c r="G8" i="2"/>
  <c r="H7" i="4"/>
  <c r="G7" i="2"/>
  <c r="G6" i="2"/>
  <c r="G5" i="2"/>
  <c r="H15" i="2"/>
  <c r="G15" i="2"/>
  <c r="F15" i="8"/>
  <c r="F15" i="2" s="1"/>
  <c r="E15" i="8"/>
  <c r="E15" i="2" s="1"/>
  <c r="H14" i="2"/>
  <c r="G14" i="2"/>
  <c r="F14" i="8"/>
  <c r="F14" i="2" s="1"/>
  <c r="E14" i="8"/>
  <c r="E14" i="2" s="1"/>
  <c r="I13" i="2"/>
  <c r="G13" i="2"/>
  <c r="F13" i="8"/>
  <c r="F13" i="2" s="1"/>
  <c r="E13" i="8"/>
  <c r="E13" i="2" s="1"/>
  <c r="I12" i="2"/>
  <c r="H12" i="2"/>
  <c r="G12" i="2"/>
  <c r="F12" i="8"/>
  <c r="F12" i="2" s="1"/>
  <c r="E12" i="8"/>
  <c r="E12" i="2" s="1"/>
  <c r="G7" i="4"/>
  <c r="G18" i="2"/>
  <c r="F18" i="8"/>
  <c r="E7" i="4" s="1"/>
  <c r="E18" i="8"/>
  <c r="E18" i="2" s="1"/>
  <c r="L14" i="8" l="1"/>
  <c r="L15" i="8"/>
  <c r="J14" i="8"/>
  <c r="I14" i="2"/>
  <c r="K14" i="8"/>
  <c r="D7" i="4"/>
  <c r="J15" i="8"/>
  <c r="F7" i="4"/>
  <c r="I15" i="2"/>
  <c r="F18" i="2"/>
  <c r="K15" i="8"/>
  <c r="I11" i="8"/>
  <c r="H11" i="8"/>
  <c r="G11" i="8"/>
  <c r="F11" i="8"/>
  <c r="E11" i="8"/>
  <c r="I8" i="2"/>
  <c r="H8" i="2"/>
  <c r="F8" i="8"/>
  <c r="F8" i="2" s="1"/>
  <c r="E8" i="8"/>
  <c r="E8" i="2" s="1"/>
  <c r="I6" i="2"/>
  <c r="H6" i="2"/>
  <c r="F6" i="8"/>
  <c r="F6" i="2" s="1"/>
  <c r="E6" i="8"/>
  <c r="E6" i="2" s="1"/>
  <c r="I5" i="2"/>
  <c r="H5" i="2"/>
  <c r="F5" i="8"/>
  <c r="F5" i="2" s="1"/>
  <c r="E5" i="8"/>
  <c r="I7" i="2"/>
  <c r="H7" i="2"/>
  <c r="F7" i="8"/>
  <c r="F7" i="2" s="1"/>
  <c r="E7" i="8"/>
  <c r="E7" i="2" s="1"/>
  <c r="D6" i="4" l="1"/>
  <c r="J6" i="4" s="1"/>
  <c r="E11" i="2"/>
  <c r="E21" i="2" s="1"/>
  <c r="F11" i="2"/>
  <c r="E6" i="4"/>
  <c r="G11" i="2"/>
  <c r="F6" i="4"/>
  <c r="H11" i="2"/>
  <c r="G6" i="4"/>
  <c r="E9" i="8"/>
  <c r="E5" i="2"/>
  <c r="E9" i="2" s="1"/>
  <c r="I11" i="2"/>
  <c r="H6" i="4"/>
  <c r="L22" i="8"/>
  <c r="K22" i="8"/>
  <c r="J22" i="8"/>
  <c r="I21" i="8"/>
  <c r="H21" i="8"/>
  <c r="G21" i="8"/>
  <c r="F21" i="8"/>
  <c r="E21" i="8"/>
  <c r="L18" i="8"/>
  <c r="K18" i="8"/>
  <c r="J18" i="8"/>
  <c r="I17" i="8"/>
  <c r="H17" i="8"/>
  <c r="G17" i="8"/>
  <c r="F17" i="8"/>
  <c r="E17" i="8"/>
  <c r="I16" i="8"/>
  <c r="H16" i="8"/>
  <c r="G16" i="8"/>
  <c r="F16" i="8"/>
  <c r="E16" i="8"/>
  <c r="E19" i="8" s="1"/>
  <c r="L13" i="8"/>
  <c r="K13" i="8"/>
  <c r="J13" i="8"/>
  <c r="L12" i="8"/>
  <c r="K12" i="8"/>
  <c r="J12" i="8"/>
  <c r="L11" i="8"/>
  <c r="K11" i="8"/>
  <c r="J11" i="8"/>
  <c r="I10" i="8"/>
  <c r="H10" i="8"/>
  <c r="G10" i="8"/>
  <c r="F10" i="8"/>
  <c r="E10" i="8"/>
  <c r="I9" i="8"/>
  <c r="H9" i="8"/>
  <c r="J9" i="8" s="1"/>
  <c r="G9" i="8"/>
  <c r="F9" i="8"/>
  <c r="L8" i="8"/>
  <c r="K8" i="8"/>
  <c r="J8" i="8"/>
  <c r="L7" i="8"/>
  <c r="K7" i="8"/>
  <c r="J7" i="8"/>
  <c r="L6" i="8"/>
  <c r="K6" i="8"/>
  <c r="J6" i="8"/>
  <c r="L5" i="8"/>
  <c r="K5" i="8"/>
  <c r="J5" i="8"/>
  <c r="E10" i="6"/>
  <c r="K44" i="4"/>
  <c r="J44" i="4"/>
  <c r="I44" i="4"/>
  <c r="F44" i="4"/>
  <c r="K43" i="4"/>
  <c r="J43" i="4"/>
  <c r="I43" i="4"/>
  <c r="F43" i="4"/>
  <c r="K42" i="4"/>
  <c r="J42" i="4"/>
  <c r="I42" i="4"/>
  <c r="F42" i="4"/>
  <c r="K41" i="4"/>
  <c r="J41" i="4"/>
  <c r="I41" i="4"/>
  <c r="F41" i="4"/>
  <c r="H39" i="4"/>
  <c r="G39" i="4"/>
  <c r="E39" i="4"/>
  <c r="D39" i="4"/>
  <c r="K38" i="4"/>
  <c r="J38" i="4"/>
  <c r="I38" i="4"/>
  <c r="F38" i="4"/>
  <c r="K37" i="4"/>
  <c r="J37" i="4"/>
  <c r="I37" i="4"/>
  <c r="F37" i="4"/>
  <c r="K36" i="4"/>
  <c r="J36" i="4"/>
  <c r="K33" i="4"/>
  <c r="J33" i="4"/>
  <c r="I33" i="4"/>
  <c r="F33" i="4"/>
  <c r="K32" i="4"/>
  <c r="J32" i="4"/>
  <c r="I32" i="4"/>
  <c r="F32" i="4"/>
  <c r="H31" i="4"/>
  <c r="H34" i="4" s="1"/>
  <c r="G31" i="4"/>
  <c r="G34" i="4" s="1"/>
  <c r="E31" i="4"/>
  <c r="E34" i="4" s="1"/>
  <c r="D31" i="4"/>
  <c r="K30" i="4"/>
  <c r="J30" i="4"/>
  <c r="I30" i="4"/>
  <c r="K29" i="4"/>
  <c r="J29" i="4"/>
  <c r="I29" i="4"/>
  <c r="F29" i="4"/>
  <c r="F31" i="4" s="1"/>
  <c r="K28" i="4"/>
  <c r="J28" i="4"/>
  <c r="I28" i="4"/>
  <c r="F28" i="4"/>
  <c r="K27" i="4"/>
  <c r="J27" i="4"/>
  <c r="I27" i="4"/>
  <c r="F27" i="4"/>
  <c r="K26" i="4"/>
  <c r="J26" i="4"/>
  <c r="I26" i="4"/>
  <c r="F26" i="4"/>
  <c r="K25" i="4"/>
  <c r="J25" i="4"/>
  <c r="I25" i="4"/>
  <c r="F25" i="4"/>
  <c r="K24" i="4"/>
  <c r="J24" i="4"/>
  <c r="I24" i="4"/>
  <c r="F24" i="4"/>
  <c r="K22" i="4"/>
  <c r="J22" i="4"/>
  <c r="I22" i="4"/>
  <c r="H20" i="4"/>
  <c r="G20" i="4"/>
  <c r="E20" i="4"/>
  <c r="D20" i="4"/>
  <c r="K19" i="4"/>
  <c r="J19" i="4"/>
  <c r="I19" i="4"/>
  <c r="K18" i="4"/>
  <c r="J18" i="4"/>
  <c r="I18" i="4"/>
  <c r="F18" i="4"/>
  <c r="F20" i="4" s="1"/>
  <c r="K17" i="4"/>
  <c r="J17" i="4"/>
  <c r="I17" i="4"/>
  <c r="F17" i="4"/>
  <c r="K16" i="4"/>
  <c r="J16" i="4"/>
  <c r="I16" i="4"/>
  <c r="F16" i="4"/>
  <c r="K15" i="4"/>
  <c r="J15" i="4"/>
  <c r="I15" i="4"/>
  <c r="F15" i="4"/>
  <c r="K14" i="4"/>
  <c r="J14" i="4"/>
  <c r="I14" i="4"/>
  <c r="F14" i="4"/>
  <c r="K13" i="4"/>
  <c r="J13" i="4"/>
  <c r="I13" i="4"/>
  <c r="F13" i="4"/>
  <c r="K12" i="4"/>
  <c r="J12" i="4"/>
  <c r="I12" i="4"/>
  <c r="F12" i="4"/>
  <c r="H11" i="4"/>
  <c r="G11" i="4"/>
  <c r="G21" i="4" s="1"/>
  <c r="E11" i="4"/>
  <c r="E21" i="4" s="1"/>
  <c r="E23" i="4" s="1"/>
  <c r="D11" i="4"/>
  <c r="K10" i="4"/>
  <c r="J10" i="4"/>
  <c r="I10" i="4"/>
  <c r="F10" i="4"/>
  <c r="K9" i="4"/>
  <c r="J9" i="4"/>
  <c r="I9" i="4"/>
  <c r="F9" i="4"/>
  <c r="K8" i="4"/>
  <c r="J8" i="4"/>
  <c r="I8" i="4"/>
  <c r="F8" i="4"/>
  <c r="K7" i="4"/>
  <c r="J7" i="4"/>
  <c r="I7" i="4"/>
  <c r="K6" i="4"/>
  <c r="I6" i="4"/>
  <c r="N20" i="3"/>
  <c r="M20" i="3"/>
  <c r="L20" i="3"/>
  <c r="N19" i="3"/>
  <c r="M19" i="3"/>
  <c r="L19" i="3"/>
  <c r="N18" i="3"/>
  <c r="M18" i="3"/>
  <c r="L18" i="3"/>
  <c r="N17" i="3"/>
  <c r="M17" i="3"/>
  <c r="L17" i="3"/>
  <c r="K16" i="3"/>
  <c r="F16" i="3"/>
  <c r="E16" i="3"/>
  <c r="N14" i="3"/>
  <c r="M14" i="3"/>
  <c r="L14" i="3"/>
  <c r="N13" i="3"/>
  <c r="M13" i="3"/>
  <c r="L13" i="3"/>
  <c r="N12" i="3"/>
  <c r="M12" i="3"/>
  <c r="L12" i="3"/>
  <c r="N11" i="3"/>
  <c r="M11" i="3"/>
  <c r="L11" i="3"/>
  <c r="M10" i="3"/>
  <c r="J10" i="3"/>
  <c r="L10" i="3" s="1"/>
  <c r="N9" i="3"/>
  <c r="M9" i="3"/>
  <c r="L9" i="3"/>
  <c r="N8" i="3"/>
  <c r="M8" i="3"/>
  <c r="L8" i="3"/>
  <c r="N7" i="3"/>
  <c r="M7" i="3"/>
  <c r="L7" i="3"/>
  <c r="P6" i="3"/>
  <c r="O6" i="3"/>
  <c r="N6" i="3"/>
  <c r="M6" i="3"/>
  <c r="L6" i="3"/>
  <c r="P5" i="3"/>
  <c r="O5" i="3"/>
  <c r="N5" i="3"/>
  <c r="M5" i="3"/>
  <c r="L5" i="3"/>
  <c r="AR86" i="1"/>
  <c r="N11" i="1"/>
  <c r="M11" i="1"/>
  <c r="L11" i="1"/>
  <c r="K16" i="1"/>
  <c r="F16" i="1"/>
  <c r="E16" i="1"/>
  <c r="N14" i="1"/>
  <c r="M14" i="1"/>
  <c r="L14" i="1"/>
  <c r="N13" i="1"/>
  <c r="M13" i="1"/>
  <c r="L13" i="1"/>
  <c r="N12" i="1"/>
  <c r="M12" i="1"/>
  <c r="L12" i="1"/>
  <c r="L9" i="8" l="1"/>
  <c r="H20" i="8"/>
  <c r="F19" i="8"/>
  <c r="F20" i="8"/>
  <c r="J17" i="8"/>
  <c r="E20" i="8"/>
  <c r="L17" i="8"/>
  <c r="G19" i="8"/>
  <c r="J16" i="8"/>
  <c r="L16" i="8"/>
  <c r="K21" i="8"/>
  <c r="J21" i="8"/>
  <c r="G20" i="8"/>
  <c r="L10" i="8"/>
  <c r="H19" i="8"/>
  <c r="J19" i="8" s="1"/>
  <c r="I19" i="8"/>
  <c r="L19" i="8" s="1"/>
  <c r="K10" i="8"/>
  <c r="K17" i="8"/>
  <c r="J10" i="8"/>
  <c r="K9" i="8"/>
  <c r="K16" i="8"/>
  <c r="L21" i="8"/>
  <c r="I20" i="8"/>
  <c r="I11" i="4"/>
  <c r="E35" i="4"/>
  <c r="E40" i="4" s="1"/>
  <c r="E45" i="4" s="1"/>
  <c r="K11" i="4"/>
  <c r="J20" i="4"/>
  <c r="J31" i="4"/>
  <c r="J39" i="4"/>
  <c r="G23" i="4"/>
  <c r="G35" i="4" s="1"/>
  <c r="K20" i="4"/>
  <c r="D21" i="4"/>
  <c r="D23" i="4" s="1"/>
  <c r="F34" i="4"/>
  <c r="H21" i="4"/>
  <c r="F11" i="4"/>
  <c r="F21" i="4" s="1"/>
  <c r="F23" i="4" s="1"/>
  <c r="J11" i="4"/>
  <c r="K39" i="4"/>
  <c r="F39" i="4"/>
  <c r="K34" i="4"/>
  <c r="I20" i="4"/>
  <c r="I39" i="4"/>
  <c r="D34" i="4"/>
  <c r="K31" i="4"/>
  <c r="I31" i="4"/>
  <c r="J16" i="3"/>
  <c r="L16" i="3" s="1"/>
  <c r="M16" i="3"/>
  <c r="N10" i="3"/>
  <c r="N16" i="3"/>
  <c r="J20" i="8" l="1"/>
  <c r="K19" i="8"/>
  <c r="K20" i="8"/>
  <c r="L20" i="8"/>
  <c r="I21" i="4"/>
  <c r="F35" i="4"/>
  <c r="F40" i="4" s="1"/>
  <c r="F45" i="4" s="1"/>
  <c r="D35" i="4"/>
  <c r="D40" i="4" s="1"/>
  <c r="D45" i="4" s="1"/>
  <c r="J34" i="4"/>
  <c r="I34" i="4"/>
  <c r="K21" i="4"/>
  <c r="H23" i="4"/>
  <c r="J23" i="4"/>
  <c r="J21" i="4"/>
  <c r="G40" i="4"/>
  <c r="J35" i="4" l="1"/>
  <c r="I23" i="4"/>
  <c r="K23" i="4"/>
  <c r="H35" i="4"/>
  <c r="G45" i="4"/>
  <c r="J45" i="4" s="1"/>
  <c r="J40" i="4"/>
  <c r="I35" i="4" l="1"/>
  <c r="K35" i="4"/>
  <c r="H40" i="4"/>
  <c r="H45" i="4" l="1"/>
  <c r="K40" i="4"/>
  <c r="I40" i="4"/>
  <c r="K45" i="4" l="1"/>
  <c r="I45" i="4"/>
  <c r="BE108" i="1" l="1"/>
  <c r="BC108" i="1"/>
  <c r="Z53" i="1"/>
  <c r="Y53" i="1"/>
  <c r="X53" i="1"/>
  <c r="S54" i="1"/>
  <c r="W54" i="1"/>
  <c r="V54" i="1"/>
  <c r="T54" i="1"/>
  <c r="V43" i="1"/>
  <c r="T43" i="1"/>
  <c r="S43" i="1"/>
  <c r="BB107" i="1"/>
  <c r="BA107" i="1"/>
  <c r="AZ107" i="1"/>
  <c r="AY107" i="1"/>
  <c r="BE97" i="1"/>
  <c r="BE92" i="1"/>
  <c r="BC104" i="1"/>
  <c r="BE98" i="1"/>
  <c r="BD97" i="1"/>
  <c r="BC97" i="1"/>
  <c r="BE93" i="1"/>
  <c r="BD93" i="1"/>
  <c r="BC93" i="1"/>
  <c r="BA103" i="1"/>
  <c r="BA102" i="1"/>
  <c r="BA95" i="1"/>
  <c r="BA105" i="1" s="1"/>
  <c r="BE91" i="1"/>
  <c r="BC91" i="1"/>
  <c r="AX107" i="1"/>
  <c r="AZ103" i="1"/>
  <c r="AY103" i="1"/>
  <c r="AX103" i="1"/>
  <c r="BB102" i="1"/>
  <c r="AZ102" i="1"/>
  <c r="AY102" i="1"/>
  <c r="AX102" i="1"/>
  <c r="AZ96" i="1"/>
  <c r="AY96" i="1"/>
  <c r="AX96" i="1"/>
  <c r="BB95" i="1"/>
  <c r="AZ95" i="1"/>
  <c r="AY95" i="1"/>
  <c r="AX95" i="1"/>
  <c r="I21" i="2"/>
  <c r="H21" i="2"/>
  <c r="G21" i="2"/>
  <c r="F21" i="2"/>
  <c r="I10" i="2"/>
  <c r="F9" i="2"/>
  <c r="G9" i="2"/>
  <c r="H9" i="2"/>
  <c r="I9" i="2"/>
  <c r="E10" i="2"/>
  <c r="F10" i="2"/>
  <c r="G10" i="2"/>
  <c r="H10" i="2"/>
  <c r="I17" i="2"/>
  <c r="E16" i="2"/>
  <c r="F16" i="2"/>
  <c r="G16" i="2"/>
  <c r="H16" i="2"/>
  <c r="I16" i="2"/>
  <c r="E17" i="2"/>
  <c r="F17" i="2"/>
  <c r="G17" i="2"/>
  <c r="H17" i="2"/>
  <c r="F20" i="2" l="1"/>
  <c r="E20" i="2"/>
  <c r="G20" i="2"/>
  <c r="I19" i="2"/>
  <c r="F19" i="2"/>
  <c r="Y54" i="1"/>
  <c r="AY106" i="1"/>
  <c r="AZ106" i="1"/>
  <c r="BD108" i="1"/>
  <c r="Y43" i="1"/>
  <c r="AX105" i="1"/>
  <c r="AY105" i="1"/>
  <c r="BC107" i="1"/>
  <c r="Z54" i="1"/>
  <c r="X54" i="1"/>
  <c r="BE102" i="1"/>
  <c r="Y42" i="1"/>
  <c r="AZ105" i="1"/>
  <c r="AX106" i="1"/>
  <c r="BB105" i="1"/>
  <c r="BD102" i="1"/>
  <c r="BC103" i="1"/>
  <c r="BE104" i="1"/>
  <c r="BE107" i="1"/>
  <c r="BD104" i="1"/>
  <c r="BD107" i="1"/>
  <c r="BE95" i="1"/>
  <c r="BC102" i="1"/>
  <c r="BD98" i="1"/>
  <c r="BC99" i="1"/>
  <c r="BC98" i="1"/>
  <c r="BB96" i="1"/>
  <c r="BC94" i="1"/>
  <c r="BD92" i="1"/>
  <c r="BC92" i="1"/>
  <c r="BC95" i="1"/>
  <c r="BD95" i="1"/>
  <c r="BD91" i="1"/>
  <c r="BA96" i="1"/>
  <c r="BA106" i="1" s="1"/>
  <c r="G19" i="2"/>
  <c r="E19" i="2"/>
  <c r="H19" i="2"/>
  <c r="H20" i="2"/>
  <c r="I20" i="2"/>
  <c r="BE105" i="1" l="1"/>
  <c r="Z42" i="1"/>
  <c r="W43" i="1"/>
  <c r="X42" i="1"/>
  <c r="BB103" i="1"/>
  <c r="BB106" i="1" s="1"/>
  <c r="BE99" i="1"/>
  <c r="BD99" i="1"/>
  <c r="BE94" i="1"/>
  <c r="BD94" i="1"/>
  <c r="BC106" i="1"/>
  <c r="BC96" i="1"/>
  <c r="BE96" i="1"/>
  <c r="BD96" i="1"/>
  <c r="BD105" i="1"/>
  <c r="BC105" i="1"/>
  <c r="Z43" i="1" l="1"/>
  <c r="X43" i="1"/>
  <c r="BE103" i="1"/>
  <c r="BD103" i="1"/>
  <c r="BE106" i="1"/>
  <c r="BD106" i="1"/>
  <c r="P6" i="1" l="1"/>
  <c r="O6" i="1"/>
  <c r="P5" i="1"/>
  <c r="O5" i="1"/>
  <c r="N5" i="1"/>
  <c r="M5" i="1"/>
  <c r="L5" i="1"/>
  <c r="J10" i="1"/>
  <c r="J16" i="1" s="1"/>
  <c r="N9" i="1"/>
  <c r="M9" i="1"/>
  <c r="L9" i="1"/>
  <c r="N7" i="1"/>
  <c r="M7" i="1"/>
  <c r="L7" i="1"/>
  <c r="W62" i="1"/>
  <c r="X67" i="1"/>
  <c r="X66" i="1"/>
  <c r="X65" i="1"/>
  <c r="X64" i="1"/>
  <c r="X61" i="1"/>
  <c r="X60" i="1"/>
  <c r="X56" i="1"/>
  <c r="X55" i="1"/>
  <c r="X52" i="1"/>
  <c r="X51" i="1"/>
  <c r="X50" i="1"/>
  <c r="X49" i="1"/>
  <c r="X48" i="1"/>
  <c r="X47" i="1"/>
  <c r="X45" i="1"/>
  <c r="X41" i="1"/>
  <c r="X40" i="1"/>
  <c r="X39" i="1"/>
  <c r="X38" i="1"/>
  <c r="X37" i="1"/>
  <c r="X36" i="1"/>
  <c r="X35" i="1"/>
  <c r="X33" i="1"/>
  <c r="X32" i="1"/>
  <c r="X31" i="1"/>
  <c r="X30" i="1"/>
  <c r="X29" i="1"/>
  <c r="Z66" i="1"/>
  <c r="Y66" i="1"/>
  <c r="Z65" i="1"/>
  <c r="Y65" i="1"/>
  <c r="Z64" i="1"/>
  <c r="Y64" i="1"/>
  <c r="Z61" i="1"/>
  <c r="Y61" i="1"/>
  <c r="Z60" i="1"/>
  <c r="Y60" i="1"/>
  <c r="U67" i="1"/>
  <c r="U66" i="1"/>
  <c r="U65" i="1"/>
  <c r="U64" i="1"/>
  <c r="U61" i="1"/>
  <c r="U60" i="1"/>
  <c r="U62" i="1" s="1"/>
  <c r="U47" i="1"/>
  <c r="U56" i="1"/>
  <c r="U55" i="1"/>
  <c r="U52" i="1"/>
  <c r="U54" i="1" s="1"/>
  <c r="U51" i="1"/>
  <c r="U50" i="1"/>
  <c r="U49" i="1"/>
  <c r="U48" i="1"/>
  <c r="U41" i="1"/>
  <c r="U43" i="1" s="1"/>
  <c r="U40" i="1"/>
  <c r="U39" i="1"/>
  <c r="U38" i="1"/>
  <c r="U37" i="1"/>
  <c r="U36" i="1"/>
  <c r="U35" i="1"/>
  <c r="U33" i="1"/>
  <c r="U32" i="1"/>
  <c r="U31" i="1"/>
  <c r="U30" i="1"/>
  <c r="U29" i="1"/>
  <c r="Z67" i="1"/>
  <c r="Y67" i="1"/>
  <c r="Z59" i="1"/>
  <c r="Y59" i="1"/>
  <c r="Z56" i="1"/>
  <c r="Y56" i="1"/>
  <c r="Z55" i="1"/>
  <c r="Y55" i="1"/>
  <c r="Z52" i="1"/>
  <c r="Y52" i="1"/>
  <c r="Z51" i="1"/>
  <c r="Y51" i="1"/>
  <c r="Z50" i="1"/>
  <c r="Y50" i="1"/>
  <c r="Z49" i="1"/>
  <c r="Y49" i="1"/>
  <c r="Z48" i="1"/>
  <c r="Y48" i="1"/>
  <c r="Z47" i="1"/>
  <c r="Y47" i="1"/>
  <c r="Z45" i="1"/>
  <c r="Y45" i="1"/>
  <c r="Z41" i="1"/>
  <c r="Y41" i="1"/>
  <c r="Z40" i="1"/>
  <c r="Y40" i="1"/>
  <c r="Z39" i="1"/>
  <c r="Y39" i="1"/>
  <c r="Z38" i="1"/>
  <c r="Y38" i="1"/>
  <c r="Z37" i="1"/>
  <c r="Y37" i="1"/>
  <c r="Z36" i="1"/>
  <c r="Y36" i="1"/>
  <c r="Z35" i="1"/>
  <c r="Y35" i="1"/>
  <c r="Z33" i="1"/>
  <c r="Y33" i="1"/>
  <c r="Z32" i="1"/>
  <c r="Y32" i="1"/>
  <c r="Z31" i="1"/>
  <c r="Y31" i="1"/>
  <c r="Z29" i="1"/>
  <c r="Y29" i="1"/>
  <c r="Z30" i="1"/>
  <c r="Y30" i="1"/>
  <c r="W57" i="1"/>
  <c r="V57" i="1"/>
  <c r="T57" i="1"/>
  <c r="V62" i="1"/>
  <c r="T62" i="1"/>
  <c r="S62" i="1"/>
  <c r="S57" i="1"/>
  <c r="W34" i="1"/>
  <c r="W44" i="1" s="1"/>
  <c r="W46" i="1" s="1"/>
  <c r="V34" i="1"/>
  <c r="V44" i="1" s="1"/>
  <c r="V46" i="1" s="1"/>
  <c r="T34" i="1"/>
  <c r="T44" i="1" s="1"/>
  <c r="T46" i="1" s="1"/>
  <c r="S34" i="1"/>
  <c r="S44" i="1" s="1"/>
  <c r="S46" i="1" s="1"/>
  <c r="L10" i="1" l="1"/>
  <c r="L16" i="1"/>
  <c r="Y57" i="1"/>
  <c r="X46" i="1"/>
  <c r="Z57" i="1"/>
  <c r="U34" i="1"/>
  <c r="U44" i="1" s="1"/>
  <c r="U46" i="1" s="1"/>
  <c r="S58" i="1"/>
  <c r="S63" i="1" s="1"/>
  <c r="S68" i="1" s="1"/>
  <c r="U57" i="1"/>
  <c r="U58" i="1" s="1"/>
  <c r="U63" i="1" s="1"/>
  <c r="U68" i="1" s="1"/>
  <c r="X44" i="1"/>
  <c r="X57" i="1"/>
  <c r="Y62" i="1"/>
  <c r="X62" i="1"/>
  <c r="X34" i="1"/>
  <c r="Z62" i="1"/>
  <c r="T58" i="1"/>
  <c r="T63" i="1" s="1"/>
  <c r="T68" i="1" s="1"/>
  <c r="V58" i="1"/>
  <c r="W58" i="1"/>
  <c r="Y34" i="1"/>
  <c r="Z34" i="1"/>
  <c r="Z44" i="1"/>
  <c r="Z46" i="1"/>
  <c r="Y44" i="1"/>
  <c r="Y46" i="1"/>
  <c r="N10" i="1" l="1"/>
  <c r="M10" i="1"/>
  <c r="Y58" i="1"/>
  <c r="Z58" i="1"/>
  <c r="X58" i="1"/>
  <c r="V63" i="1"/>
  <c r="W63" i="1"/>
  <c r="X63" i="1" s="1"/>
  <c r="Z63" i="1"/>
  <c r="V68" i="1"/>
  <c r="Y68" i="1" s="1"/>
  <c r="Y63" i="1"/>
  <c r="N16" i="1" l="1"/>
  <c r="M16" i="1"/>
  <c r="W68" i="1"/>
  <c r="X68" i="1" s="1"/>
  <c r="Z68" i="1" l="1"/>
  <c r="N20" i="1"/>
  <c r="M20" i="1"/>
  <c r="L20" i="1"/>
  <c r="N19" i="1"/>
  <c r="M19" i="1"/>
  <c r="L19" i="1"/>
  <c r="N18" i="1"/>
  <c r="M18" i="1"/>
  <c r="L18" i="1"/>
  <c r="N17" i="1"/>
  <c r="M17" i="1"/>
  <c r="L17" i="1"/>
  <c r="N6" i="1"/>
  <c r="M6" i="1"/>
  <c r="L6" i="1"/>
  <c r="N8" i="1"/>
  <c r="M8" i="1"/>
  <c r="L8" i="1"/>
</calcChain>
</file>

<file path=xl/sharedStrings.xml><?xml version="1.0" encoding="utf-8"?>
<sst xmlns="http://schemas.openxmlformats.org/spreadsheetml/2006/main" count="629" uniqueCount="237">
  <si>
    <t>Executive Summary</t>
  </si>
  <si>
    <t>BOPO*</t>
  </si>
  <si>
    <t>Pendapatan Bersih*</t>
  </si>
  <si>
    <t>Persentase</t>
  </si>
  <si>
    <t>IDR Juta</t>
  </si>
  <si>
    <t>GT Juta</t>
  </si>
  <si>
    <t>Realisasi 2025</t>
  </si>
  <si>
    <t>Realisasi s.d Mei 2026</t>
  </si>
  <si>
    <t>RKAP 2026</t>
  </si>
  <si>
    <t>Prognosa 2026</t>
  </si>
  <si>
    <t>Usulan 2027</t>
  </si>
  <si>
    <t>TAD</t>
  </si>
  <si>
    <t>Security</t>
  </si>
  <si>
    <t>Pegawai Organik</t>
  </si>
  <si>
    <t>Personel</t>
  </si>
  <si>
    <t>Jumlah Aset Relokasi</t>
  </si>
  <si>
    <t>item</t>
  </si>
  <si>
    <t>Keterangan</t>
  </si>
  <si>
    <t>Satuan</t>
  </si>
  <si>
    <t>Summary</t>
  </si>
  <si>
    <t>6=4/1</t>
  </si>
  <si>
    <t>8=5/4</t>
  </si>
  <si>
    <t>* Pendapatan bersih diluar pendapatan revenue sharing</t>
  </si>
  <si>
    <t>*BOPO = (Beban  Usaha-Beban  Revenue  Sharing-  Beban  Penyusutan/Amortisasi  -  Beban  Penyisihan  Piutang Afiliasi)/ (Pendapatan Usaha Bersih - Pendapatan Revenue sharing)</t>
  </si>
  <si>
    <t>Laba Rugi</t>
  </si>
  <si>
    <t>URAIAN</t>
  </si>
  <si>
    <t>Realisasi
Tahun 2025</t>
  </si>
  <si>
    <t>1</t>
  </si>
  <si>
    <t>2</t>
  </si>
  <si>
    <t xml:space="preserve">Pendapatan Usaha </t>
  </si>
  <si>
    <t>Reduksi Pendapatan Pelayanan Kapal</t>
  </si>
  <si>
    <t>Pelayanan Kapal</t>
  </si>
  <si>
    <t>Reduksi Pendapatan Pelayanan TUKS</t>
  </si>
  <si>
    <t>Pendapatan Pelayanan Terminal UKS</t>
  </si>
  <si>
    <t>Reduksi Pendapatan Pelayanan Pelsus</t>
  </si>
  <si>
    <t>Pelayanan pelra</t>
  </si>
  <si>
    <t>Reduksi Pendapatan Pelayanan Pelra</t>
  </si>
  <si>
    <t>Pendapatan Marine</t>
  </si>
  <si>
    <t>Pendapatan Pelsus, Tersus, dan Dersus</t>
  </si>
  <si>
    <t>Total Pendapatan Kapal</t>
  </si>
  <si>
    <t>Reduksi Pendapatan Pelayanan Petikemas</t>
  </si>
  <si>
    <t>Pelayanan Petikemas</t>
  </si>
  <si>
    <t>Reduksi Pendapatan Barang Non Petikemas</t>
  </si>
  <si>
    <t>Pendapatan Barang Non Petikemas</t>
  </si>
  <si>
    <t>Reduksi Pendapatan Konsolidasi dan Distribusi Barang</t>
  </si>
  <si>
    <t>Pelayanan Konsolidasi dan Distribusi Barang</t>
  </si>
  <si>
    <t>Reduksi Pendapatan Pengusahaan Alat</t>
  </si>
  <si>
    <t>Pendapatan Pengusahaan Alat</t>
  </si>
  <si>
    <t>Reduksi Pendapatan Pengusahaan Properti</t>
  </si>
  <si>
    <t>Pendapatan Pengusahaan Properti</t>
  </si>
  <si>
    <t>Reduksi Pendapatan Pengusahaan Air / Listrik</t>
  </si>
  <si>
    <t>Pendapatan Pengusahaan Air / Listrik</t>
  </si>
  <si>
    <t>Reduksi Pendapatan Rupa-Rupa Usaha</t>
  </si>
  <si>
    <t>Pelayanan Rupa-Rupa Usaha</t>
  </si>
  <si>
    <t>Reduksi Pendapatan Marine</t>
  </si>
  <si>
    <t>TOTAL PENDAPATAN USAHA</t>
  </si>
  <si>
    <t>TOTAL REDUKSI PENDAPATAN</t>
  </si>
  <si>
    <t>Beban Penghasilan</t>
  </si>
  <si>
    <t>Beban Bahan</t>
  </si>
  <si>
    <t>Beban Pemeliharaan</t>
  </si>
  <si>
    <t>Beban Penyusutan dan Amortisasi</t>
  </si>
  <si>
    <t>Beban Asuransi</t>
  </si>
  <si>
    <t>Beban Kerjasama Mitra Usaha (KSMU)</t>
  </si>
  <si>
    <t>Beban Administrasi Kantor</t>
  </si>
  <si>
    <t>Beban Umum</t>
  </si>
  <si>
    <t>TOTAL BEBAN USAHA</t>
  </si>
  <si>
    <t>LABA (RUGI) USAHA</t>
  </si>
  <si>
    <t xml:space="preserve">Pendapatan (Beban) di Luar Usaha </t>
  </si>
  <si>
    <t>Pendapatan di Luar Usaha *)</t>
  </si>
  <si>
    <t xml:space="preserve">Pendapatan Di Luar Usaha </t>
  </si>
  <si>
    <t>Beban di Luar Usaha *)</t>
  </si>
  <si>
    <t>Beban diluar usaha</t>
  </si>
  <si>
    <t xml:space="preserve">Jumlah Pendapatan (Beban) di Luar Usaha </t>
  </si>
  <si>
    <t>LABA (RUGI) SEBELUM PAJAK DAN PENUGASAN</t>
  </si>
  <si>
    <t>Beban Penugasan Pemerintah</t>
  </si>
  <si>
    <t>Beban Bunga</t>
  </si>
  <si>
    <t>Beban Pajak Final</t>
  </si>
  <si>
    <t>Manfaat / Beban Pajak Tanggungan</t>
  </si>
  <si>
    <t>LABA (RUGI) TAHUN BERJALAN</t>
  </si>
  <si>
    <t>Realissi s.d Mei 2026</t>
  </si>
  <si>
    <t>7=4/1</t>
  </si>
  <si>
    <t>6=5/1</t>
  </si>
  <si>
    <t>Cabang</t>
  </si>
  <si>
    <t>Jenis Tarif Pelayanan</t>
  </si>
  <si>
    <t>Negosiasi</t>
  </si>
  <si>
    <t>Berita Acara Kesepakatan</t>
  </si>
  <si>
    <t>Konsultasi</t>
  </si>
  <si>
    <t>HO</t>
  </si>
  <si>
    <t>Pembahasan dengan Kementerian</t>
  </si>
  <si>
    <t>Rekomendasi Menhub</t>
  </si>
  <si>
    <t>Pemberlakuan</t>
  </si>
  <si>
    <t>Avrg % Penyesuaian</t>
  </si>
  <si>
    <t>Potensi Tambahan Pendapatan per Tahun</t>
  </si>
  <si>
    <t>Pontianak</t>
  </si>
  <si>
    <t>Tarif Petikemas</t>
  </si>
  <si>
    <t>Rencana Kenaikan Tarif</t>
  </si>
  <si>
    <t>Proses negosisasi dan kelengkapan Data Pendukung</t>
  </si>
  <si>
    <t>Agst 25</t>
  </si>
  <si>
    <t>Efektif Per</t>
  </si>
  <si>
    <t>1 Januari 2027</t>
  </si>
  <si>
    <t>dst….</t>
  </si>
  <si>
    <t>TW II 2027</t>
  </si>
  <si>
    <t>tarif Jasa Kapal</t>
  </si>
  <si>
    <t>Investasi 2025-2026 yang telah menghasilkan pendapatan</t>
  </si>
  <si>
    <t>Bengkulu</t>
  </si>
  <si>
    <t>dst…</t>
  </si>
  <si>
    <t>Pendapatan di 2026</t>
  </si>
  <si>
    <t>Potensi Pendapatan di 2027</t>
  </si>
  <si>
    <t>Laba Bersih</t>
  </si>
  <si>
    <t>Arus Kapal DN</t>
  </si>
  <si>
    <t>Arus Kapal LN</t>
  </si>
  <si>
    <t>M2</t>
  </si>
  <si>
    <t>Indikasi Prognosa 2026</t>
  </si>
  <si>
    <t>Indikasi  Usulan RKAP 2027</t>
  </si>
  <si>
    <t>Kesesuaian dengan Indikasi</t>
  </si>
  <si>
    <t>8=6/1</t>
  </si>
  <si>
    <t>9=7/1</t>
  </si>
  <si>
    <t>10=7/6</t>
  </si>
  <si>
    <t>SATUAN</t>
  </si>
  <si>
    <t>REALISASI 2025</t>
  </si>
  <si>
    <t>PROGNOSA 2026</t>
  </si>
  <si>
    <t>USULAN RKAP 2027</t>
  </si>
  <si>
    <t>UMUM Dalam Negeri</t>
  </si>
  <si>
    <t>Call</t>
  </si>
  <si>
    <t>GT</t>
  </si>
  <si>
    <t>UMUM Luar Negeri</t>
  </si>
  <si>
    <t xml:space="preserve">TUKS Luar Negeri </t>
  </si>
  <si>
    <t xml:space="preserve">TUKS Dalam Negeri </t>
  </si>
  <si>
    <t>Total Trafik Dermaga Umum</t>
  </si>
  <si>
    <t>Total Trafik Dermaga Khusus</t>
  </si>
  <si>
    <t>Total Trafik</t>
  </si>
  <si>
    <t>Trafik</t>
  </si>
  <si>
    <t>Total Pendapatan Pandu, Tunda, Tambat di Dermaga Umum</t>
  </si>
  <si>
    <t>Total Pendapatan Pandu, Tunda, Tambat di Dermaga Khusus</t>
  </si>
  <si>
    <t>7=5/4</t>
  </si>
  <si>
    <t>8=5/1</t>
  </si>
  <si>
    <t>Realisasi s.d April/Mei 2026</t>
  </si>
  <si>
    <t>Daftar Rencana Aset Relokasi In/out</t>
  </si>
  <si>
    <t>Tanjung Priok</t>
  </si>
  <si>
    <t>Nama Item Aset</t>
  </si>
  <si>
    <t>KT Tanjung Priok</t>
  </si>
  <si>
    <t>Rencana Relokasi in/out</t>
  </si>
  <si>
    <t>Out</t>
  </si>
  <si>
    <t>In</t>
  </si>
  <si>
    <t>RTGC 01</t>
  </si>
  <si>
    <t>KP Tanjung Priok 2</t>
  </si>
  <si>
    <t>Cirebon</t>
  </si>
  <si>
    <t>Tujuan/Dari</t>
  </si>
  <si>
    <t>Kijing</t>
  </si>
  <si>
    <t>Palembang</t>
  </si>
  <si>
    <t>Permasalahan Strategis</t>
  </si>
  <si>
    <t>keterangan</t>
  </si>
  <si>
    <t>Rencana Mitigasi</t>
  </si>
  <si>
    <t>Kebutuhan Anggaran mitigasi</t>
  </si>
  <si>
    <t>Pelaksanaan konsinyering dengan asosiasi untuk pembuatan BA kesekapatan</t>
  </si>
  <si>
    <t>untuk biaya pelaksanaan konsinyering dan honor 2x di Yogyakarta</t>
  </si>
  <si>
    <t>dst</t>
  </si>
  <si>
    <t>No</t>
  </si>
  <si>
    <t>Daftar Struktur Kosong</t>
  </si>
  <si>
    <t>Struktur Kosong</t>
  </si>
  <si>
    <t>Rencana Pengisian</t>
  </si>
  <si>
    <t>Justifikasi</t>
  </si>
  <si>
    <t>Ya</t>
  </si>
  <si>
    <t>Tidak</t>
  </si>
  <si>
    <t>Supervisor Keuangan</t>
  </si>
  <si>
    <t>Saat ini hanya terisi Manager dan 1 TAD tanpa memiliki Organik di Keuangan</t>
  </si>
  <si>
    <t>Asman SDM dan Umum</t>
  </si>
  <si>
    <t>Posisi Supervisor SDM umum saat ini terisi namun akan pensiun pada TW III 2026</t>
  </si>
  <si>
    <t>Manager Teknik</t>
  </si>
  <si>
    <t xml:space="preserve">                 Pelayanan Rupa-Rupa lainnya</t>
  </si>
  <si>
    <t xml:space="preserve">                 Pelayanan Rupa-Rupa Managemen fee</t>
  </si>
  <si>
    <t xml:space="preserve">                 Beban KSMU Revenue Sharing</t>
  </si>
  <si>
    <t xml:space="preserve">                 Beban KSMU Non Revenue Sharing</t>
  </si>
  <si>
    <t>Total pendapatan Pas Pelabuhan</t>
  </si>
  <si>
    <t>Untuk dapat dijelaskan saat pemaparan</t>
  </si>
  <si>
    <t>Rencana TMT</t>
  </si>
  <si>
    <t>Juni 2027</t>
  </si>
  <si>
    <t>Desember 2026</t>
  </si>
  <si>
    <t>Februari 2027</t>
  </si>
  <si>
    <t>Implementasi kenaikan Tarif Petikemas</t>
  </si>
  <si>
    <t>Nilai</t>
  </si>
  <si>
    <t>Account</t>
  </si>
  <si>
    <t>Pendapatan petikemas</t>
  </si>
  <si>
    <t>Permasalahan Kemacetan di Tanjung Priok</t>
  </si>
  <si>
    <t>Potensi Dampak</t>
  </si>
  <si>
    <t>Pendapatan Pas Pelabuhan</t>
  </si>
  <si>
    <t>Durasi</t>
  </si>
  <si>
    <t>1 tahun</t>
  </si>
  <si>
    <t>1 hari</t>
  </si>
  <si>
    <t>Biaya jamuan</t>
  </si>
  <si>
    <t>Biaya lembur TAD</t>
  </si>
  <si>
    <t>Sewa lapangan penumpukan di Cakung</t>
  </si>
  <si>
    <t>Penambahan personel operasional</t>
  </si>
  <si>
    <t>Proyeksi nilai sewa lapangan</t>
  </si>
  <si>
    <t>Penghasilan untuk 3 personel lapangan</t>
  </si>
  <si>
    <t>Pelebaran jalan di jalan Utara</t>
  </si>
  <si>
    <t>Usulan Investasi</t>
  </si>
  <si>
    <t>OPTIPI 2026/2027</t>
  </si>
  <si>
    <t>Kategori</t>
  </si>
  <si>
    <t>Revenue growth</t>
  </si>
  <si>
    <t>Cost Avoidance</t>
  </si>
  <si>
    <t>Cost Eficiency</t>
  </si>
  <si>
    <t>Pemanfaat lahan iddle di …</t>
  </si>
  <si>
    <t>Potensi Nilai</t>
  </si>
  <si>
    <t>Biaya Yang dibutuhkan</t>
  </si>
  <si>
    <t>1.Pemanfaatan Discount PBB</t>
  </si>
  <si>
    <t>2. penagihan Piutang PT Djakarta Lyod</t>
  </si>
  <si>
    <t>untuk Biaya Promosi dan Jamuan</t>
  </si>
  <si>
    <t>nihil</t>
  </si>
  <si>
    <t>Untuk honor dengan JPN dan Konsumsi</t>
  </si>
  <si>
    <t>1. Standarisasi pemberian Jamuan kepada tamu</t>
  </si>
  <si>
    <t>2. Evaluasi kontrak kebersihan dengan vendor</t>
  </si>
  <si>
    <t>Investasi</t>
  </si>
  <si>
    <t>Pengerukan Alur</t>
  </si>
  <si>
    <t>Pendapatan Alur</t>
  </si>
  <si>
    <t>Perbaikan Conveyor</t>
  </si>
  <si>
    <t>Pendapatan Manajemen Fee</t>
  </si>
  <si>
    <t>Lahan Idle Clean &amp; Clear</t>
  </si>
  <si>
    <t>Lahan Idle Bermasalah</t>
  </si>
  <si>
    <t>Lahan Digunakan Sendiri</t>
  </si>
  <si>
    <t>Total Lahan</t>
  </si>
  <si>
    <t>Lahan Lainnya*</t>
  </si>
  <si>
    <t>Lahan dikerjasamakan bermasalah</t>
  </si>
  <si>
    <t>Lahan dikerjasamakan Clean &amp; Clear</t>
  </si>
  <si>
    <t>Uraian</t>
  </si>
  <si>
    <t>Nominal</t>
  </si>
  <si>
    <t>Penyusutan</t>
  </si>
  <si>
    <t>pemeliharaan</t>
  </si>
  <si>
    <t>Beban / Tahun</t>
  </si>
  <si>
    <t>Listrik</t>
  </si>
  <si>
    <t>Sunda kelapa</t>
  </si>
  <si>
    <t>Perbaikan Jalan dan tanggul dermaga</t>
  </si>
  <si>
    <t>PFS</t>
  </si>
  <si>
    <t>Pas pelabuhan</t>
  </si>
  <si>
    <t xml:space="preserve"> 1 tahun </t>
  </si>
  <si>
    <t>Realisasi s.d Maret 2026</t>
  </si>
  <si>
    <t>Realissi s.d Maret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</si>
</sst>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-* #,##0_-;\-* #,##0_-;_-* &quot;-&quot;_-;_-@_-"/>
    <numFmt numFmtId="167" formatCode="_(* #,##0,,_);_(* \(#,##0\);_(* &quot;-&quot;??_);_(@_)"/>
    <numFmt numFmtId="168" formatCode="_(* #,##0,,_)"/>
    <numFmt numFmtId="169" formatCode="_(* #,###,,\);_(* \(#,###,,\);_(* &quot;-&quot;??_);_(@_)"/>
    <numFmt numFmtId="170" formatCode="#,##0;\(#,##0\)"/>
    <numFmt numFmtId="171" formatCode="_(* #,##0,,_);_(* \(#,##0,,\);_(* &quot;-&quot;??_);_(@_)"/>
    <numFmt numFmtId="172" formatCode="_(* #,##0_);_(* \(#,##0\);_(* &quot;-&quot;??_);_(@_)"/>
  </numFmts>
  <fonts count="34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2060"/>
      <name val="Aptos Narrow"/>
      <family val="2"/>
      <scheme val="minor"/>
    </font>
    <font>
      <sz val="11"/>
      <color theme="1"/>
      <name val="Aptos Narrow"/>
      <family val="2"/>
      <charset val="1"/>
      <scheme val="minor"/>
    </font>
    <font>
      <sz val="10"/>
      <color theme="1"/>
      <name val="Pragmatica Book"/>
      <family val="2"/>
    </font>
    <font>
      <sz val="14"/>
      <color theme="0"/>
      <name val="Pragmatica Book"/>
      <family val="2"/>
    </font>
    <font>
      <sz val="14"/>
      <color rgb="FF002060"/>
      <name val="Aptos Narrow"/>
      <family val="2"/>
      <scheme val="minor"/>
    </font>
    <font>
      <b/>
      <sz val="14"/>
      <color rgb="FF002060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4"/>
      <color theme="0"/>
      <name val="Aptos Narrow"/>
      <family val="2"/>
      <scheme val="minor"/>
    </font>
    <font>
      <sz val="12"/>
      <name val="Aptos Narrow"/>
      <family val="2"/>
      <scheme val="minor"/>
    </font>
    <font>
      <sz val="14"/>
      <name val="Pragmatica Book"/>
      <family val="2"/>
    </font>
    <font>
      <sz val="14"/>
      <name val="Aptos Narrow"/>
      <family val="2"/>
      <scheme val="minor"/>
    </font>
    <font>
      <b/>
      <sz val="14"/>
      <name val="Aptos Narrow"/>
      <family val="2"/>
      <scheme val="minor"/>
    </font>
    <font>
      <sz val="11"/>
      <name val="Pragmatica Light"/>
      <family val="2"/>
    </font>
    <font>
      <b/>
      <sz val="12"/>
      <color theme="1"/>
      <name val="Aptos Narrow"/>
      <scheme val="minor"/>
    </font>
    <font>
      <sz val="11"/>
      <color theme="0"/>
      <name val="Pragmatica Book"/>
      <family val="2"/>
    </font>
    <font>
      <sz val="11"/>
      <color rgb="FF000000"/>
      <name val="Pragmatica Book"/>
      <family val="2"/>
    </font>
    <font>
      <b/>
      <sz val="6"/>
      <color theme="0"/>
      <name val="Pragmatica Book"/>
      <family val="2"/>
    </font>
    <font>
      <sz val="6"/>
      <color theme="0"/>
      <name val="Pragmatica Book"/>
      <family val="2"/>
    </font>
    <font>
      <sz val="6"/>
      <color rgb="FF002060"/>
      <name val="Pragmatica Book"/>
      <family val="2"/>
    </font>
    <font>
      <sz val="10"/>
      <color rgb="FF002060"/>
      <name val="Pragmatica Book Reg"/>
    </font>
    <font>
      <sz val="10"/>
      <color theme="0"/>
      <name val="Pragmatica Book Reg"/>
    </font>
    <font>
      <b/>
      <sz val="10"/>
      <color theme="0"/>
      <name val="Pragmatica Book Reg"/>
    </font>
    <font>
      <sz val="11"/>
      <color rgb="FF002060"/>
      <name val="Pragmatica Book"/>
      <family val="2"/>
    </font>
    <font>
      <b/>
      <sz val="12"/>
      <color rgb="FF002060"/>
      <name val="Aptos Narrow"/>
      <scheme val="minor"/>
    </font>
    <font>
      <sz val="12"/>
      <color rgb="FF000000"/>
      <name val="Aptos Narrow"/>
      <family val="2"/>
      <scheme val="minor"/>
    </font>
    <font>
      <sz val="11"/>
      <color rgb="FFFFFFFF"/>
      <name val="Pragmatica Book"/>
      <family val="2"/>
    </font>
    <font>
      <sz val="8"/>
      <color theme="0"/>
      <name val="Pragmatica Book"/>
      <family val="2"/>
    </font>
    <font>
      <sz val="8"/>
      <color rgb="FF002060"/>
      <name val="Aptos Narrow"/>
      <family val="2"/>
      <scheme val="minor"/>
    </font>
    <font>
      <sz val="8"/>
      <color theme="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CBEC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2060"/>
        <bgColor rgb="FF2F5496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F2F2F2"/>
      </left>
      <right style="thin">
        <color rgb="FFF2F2F2"/>
      </right>
      <top style="thin">
        <color rgb="FF000000"/>
      </top>
      <bottom/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F2F2F2"/>
      </left>
      <right/>
      <top/>
      <bottom/>
      <diagonal/>
    </border>
    <border>
      <left style="thin">
        <color rgb="FFF2F2F2"/>
      </left>
      <right/>
      <top style="thin">
        <color rgb="FF000000"/>
      </top>
      <bottom/>
      <diagonal/>
    </border>
    <border>
      <left style="thin">
        <color rgb="FFF2F2F2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FFFFFF"/>
      </left>
      <right style="thin">
        <color rgb="FFFFFFFF"/>
      </right>
      <top/>
      <bottom style="thin">
        <color indexed="64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5" fillId="0" borderId="0"/>
    <xf numFmtId="41" fontId="4" fillId="0" borderId="0" applyFont="0" applyFill="0" applyBorder="0" applyAlignment="0" applyProtection="0"/>
    <xf numFmtId="166" fontId="10" fillId="0" borderId="0" applyFont="0" applyFill="0" applyBorder="0" applyAlignment="0" applyProtection="0"/>
    <xf numFmtId="164" fontId="11" fillId="0" borderId="0" applyFont="0" applyFill="0" applyBorder="0" applyAlignment="0" applyProtection="0"/>
  </cellStyleXfs>
  <cellXfs count="232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3" xfId="0" applyFont="1" applyBorder="1"/>
    <xf numFmtId="0" fontId="2" fillId="2" borderId="2" xfId="0" applyFont="1" applyFill="1" applyBorder="1" applyAlignment="1">
      <alignment horizontal="center"/>
    </xf>
    <xf numFmtId="9" fontId="3" fillId="0" borderId="3" xfId="3" applyFont="1" applyBorder="1"/>
    <xf numFmtId="9" fontId="3" fillId="0" borderId="1" xfId="3" applyFont="1" applyBorder="1"/>
    <xf numFmtId="41" fontId="3" fillId="0" borderId="1" xfId="2" applyFont="1" applyBorder="1"/>
    <xf numFmtId="10" fontId="3" fillId="0" borderId="1" xfId="3" applyNumberFormat="1" applyFont="1" applyBorder="1"/>
    <xf numFmtId="41" fontId="3" fillId="0" borderId="3" xfId="2" applyFont="1" applyBorder="1"/>
    <xf numFmtId="165" fontId="6" fillId="2" borderId="4" xfId="5" applyNumberFormat="1" applyFont="1" applyFill="1" applyBorder="1" applyAlignment="1">
      <alignment horizontal="center" vertical="center" wrapText="1"/>
    </xf>
    <xf numFmtId="41" fontId="7" fillId="3" borderId="8" xfId="7" applyFont="1" applyFill="1" applyBorder="1" applyAlignment="1" applyProtection="1">
      <alignment vertical="center"/>
      <protection locked="0"/>
    </xf>
    <xf numFmtId="41" fontId="8" fillId="3" borderId="0" xfId="7" applyFont="1" applyFill="1" applyBorder="1" applyAlignment="1" applyProtection="1">
      <alignment vertical="center"/>
      <protection locked="0"/>
    </xf>
    <xf numFmtId="165" fontId="7" fillId="3" borderId="9" xfId="5" applyNumberFormat="1" applyFont="1" applyFill="1" applyBorder="1"/>
    <xf numFmtId="0" fontId="9" fillId="3" borderId="8" xfId="4" applyFont="1" applyFill="1" applyBorder="1"/>
    <xf numFmtId="41" fontId="7" fillId="3" borderId="0" xfId="7" applyFont="1" applyFill="1" applyBorder="1" applyAlignment="1" applyProtection="1">
      <alignment vertical="center"/>
      <protection locked="0"/>
    </xf>
    <xf numFmtId="167" fontId="7" fillId="3" borderId="9" xfId="8" applyNumberFormat="1" applyFont="1" applyFill="1" applyBorder="1" applyAlignment="1">
      <alignment horizontal="right" vertical="center" indent="1"/>
    </xf>
    <xf numFmtId="9" fontId="7" fillId="3" borderId="9" xfId="3" applyFont="1" applyFill="1" applyBorder="1" applyAlignment="1">
      <alignment horizontal="right" vertical="center" indent="1"/>
    </xf>
    <xf numFmtId="0" fontId="9" fillId="4" borderId="8" xfId="4" applyFont="1" applyFill="1" applyBorder="1"/>
    <xf numFmtId="41" fontId="8" fillId="4" borderId="0" xfId="7" applyFont="1" applyFill="1" applyBorder="1" applyAlignment="1" applyProtection="1">
      <alignment vertical="center"/>
      <protection locked="0"/>
    </xf>
    <xf numFmtId="167" fontId="8" fillId="4" borderId="10" xfId="8" applyNumberFormat="1" applyFont="1" applyFill="1" applyBorder="1" applyAlignment="1">
      <alignment horizontal="right" vertical="center" indent="1"/>
    </xf>
    <xf numFmtId="0" fontId="9" fillId="3" borderId="8" xfId="4" applyFont="1" applyFill="1" applyBorder="1" applyAlignment="1">
      <alignment vertical="center"/>
    </xf>
    <xf numFmtId="41" fontId="12" fillId="5" borderId="11" xfId="7" applyFont="1" applyFill="1" applyBorder="1" applyAlignment="1" applyProtection="1">
      <alignment vertical="center"/>
      <protection locked="0"/>
    </xf>
    <xf numFmtId="41" fontId="12" fillId="5" borderId="12" xfId="7" applyFont="1" applyFill="1" applyBorder="1" applyAlignment="1" applyProtection="1">
      <alignment vertical="center"/>
      <protection locked="0"/>
    </xf>
    <xf numFmtId="168" fontId="12" fillId="5" borderId="1" xfId="8" applyNumberFormat="1" applyFont="1" applyFill="1" applyBorder="1" applyAlignment="1">
      <alignment horizontal="right" vertical="center" indent="1"/>
    </xf>
    <xf numFmtId="9" fontId="12" fillId="5" borderId="1" xfId="3" applyFont="1" applyFill="1" applyBorder="1" applyAlignment="1">
      <alignment horizontal="right" vertical="center" indent="1"/>
    </xf>
    <xf numFmtId="0" fontId="9" fillId="3" borderId="6" xfId="4" applyFont="1" applyFill="1" applyBorder="1"/>
    <xf numFmtId="41" fontId="7" fillId="3" borderId="7" xfId="7" applyFont="1" applyFill="1" applyBorder="1" applyAlignment="1" applyProtection="1">
      <alignment vertical="center"/>
      <protection locked="0"/>
    </xf>
    <xf numFmtId="41" fontId="9" fillId="5" borderId="11" xfId="7" applyFont="1" applyFill="1" applyBorder="1" applyAlignment="1" applyProtection="1">
      <alignment vertical="center"/>
      <protection locked="0"/>
    </xf>
    <xf numFmtId="167" fontId="9" fillId="5" borderId="1" xfId="8" applyNumberFormat="1" applyFont="1" applyFill="1" applyBorder="1" applyAlignment="1">
      <alignment horizontal="right" vertical="center" indent="1"/>
    </xf>
    <xf numFmtId="9" fontId="9" fillId="5" borderId="1" xfId="3" applyFont="1" applyFill="1" applyBorder="1" applyAlignment="1">
      <alignment horizontal="right" vertical="center" indent="1"/>
    </xf>
    <xf numFmtId="41" fontId="7" fillId="0" borderId="13" xfId="7" applyFont="1" applyFill="1" applyBorder="1" applyAlignment="1" applyProtection="1">
      <alignment vertical="center"/>
      <protection locked="0"/>
    </xf>
    <xf numFmtId="170" fontId="7" fillId="3" borderId="9" xfId="8" applyNumberFormat="1" applyFont="1" applyFill="1" applyBorder="1" applyAlignment="1">
      <alignment horizontal="right" vertical="center" indent="1"/>
    </xf>
    <xf numFmtId="41" fontId="12" fillId="5" borderId="11" xfId="7" applyFont="1" applyFill="1" applyBorder="1" applyAlignment="1" applyProtection="1">
      <alignment vertical="center" wrapText="1"/>
      <protection locked="0"/>
    </xf>
    <xf numFmtId="41" fontId="12" fillId="5" borderId="12" xfId="7" applyFont="1" applyFill="1" applyBorder="1" applyAlignment="1" applyProtection="1">
      <alignment vertical="center" wrapText="1"/>
      <protection locked="0"/>
    </xf>
    <xf numFmtId="171" fontId="12" fillId="5" borderId="1" xfId="8" applyNumberFormat="1" applyFont="1" applyFill="1" applyBorder="1" applyAlignment="1">
      <alignment horizontal="right" vertical="center" indent="1"/>
    </xf>
    <xf numFmtId="41" fontId="16" fillId="0" borderId="0" xfId="7" applyFont="1" applyFill="1" applyBorder="1" applyAlignment="1" applyProtection="1">
      <alignment vertical="center"/>
      <protection locked="0"/>
    </xf>
    <xf numFmtId="41" fontId="15" fillId="0" borderId="0" xfId="7" applyFont="1" applyFill="1" applyBorder="1" applyAlignment="1" applyProtection="1">
      <alignment vertical="center"/>
      <protection locked="0"/>
    </xf>
    <xf numFmtId="41" fontId="17" fillId="0" borderId="0" xfId="9" applyNumberFormat="1" applyFont="1" applyFill="1" applyBorder="1" applyAlignment="1" applyProtection="1">
      <alignment vertical="center"/>
    </xf>
    <xf numFmtId="41" fontId="15" fillId="0" borderId="0" xfId="7" applyFont="1" applyFill="1" applyBorder="1" applyAlignment="1" applyProtection="1">
      <alignment horizontal="left" vertical="center" indent="4"/>
      <protection locked="0"/>
    </xf>
    <xf numFmtId="0" fontId="13" fillId="0" borderId="0" xfId="0" applyFont="1"/>
    <xf numFmtId="0" fontId="14" fillId="0" borderId="0" xfId="0" applyFont="1" applyAlignment="1">
      <alignment horizontal="center" vertical="center"/>
    </xf>
    <xf numFmtId="165" fontId="14" fillId="0" borderId="0" xfId="5" quotePrefix="1" applyNumberFormat="1" applyFont="1" applyFill="1" applyBorder="1" applyAlignment="1">
      <alignment horizontal="right"/>
    </xf>
    <xf numFmtId="165" fontId="14" fillId="0" borderId="0" xfId="5" quotePrefix="1" applyNumberFormat="1" applyFont="1" applyFill="1" applyBorder="1" applyAlignment="1">
      <alignment horizontal="right" vertical="center"/>
    </xf>
    <xf numFmtId="165" fontId="15" fillId="0" borderId="0" xfId="5" applyNumberFormat="1" applyFont="1" applyFill="1" applyBorder="1"/>
    <xf numFmtId="0" fontId="15" fillId="0" borderId="0" xfId="4" applyFont="1"/>
    <xf numFmtId="167" fontId="15" fillId="0" borderId="0" xfId="8" applyNumberFormat="1" applyFont="1" applyFill="1" applyBorder="1" applyAlignment="1">
      <alignment horizontal="right" vertical="center" indent="1"/>
    </xf>
    <xf numFmtId="167" fontId="16" fillId="0" borderId="0" xfId="8" applyNumberFormat="1" applyFont="1" applyFill="1" applyBorder="1" applyAlignment="1">
      <alignment horizontal="right" vertical="center" indent="1"/>
    </xf>
    <xf numFmtId="0" fontId="15" fillId="0" borderId="0" xfId="4" applyFont="1" applyAlignment="1">
      <alignment vertical="center"/>
    </xf>
    <xf numFmtId="168" fontId="16" fillId="0" borderId="0" xfId="8" applyNumberFormat="1" applyFont="1" applyFill="1" applyBorder="1" applyAlignment="1">
      <alignment horizontal="right" vertical="center" indent="1"/>
    </xf>
    <xf numFmtId="169" fontId="15" fillId="0" borderId="0" xfId="1" applyNumberFormat="1" applyFont="1" applyFill="1" applyBorder="1" applyAlignment="1">
      <alignment horizontal="right" vertical="center" indent="1"/>
    </xf>
    <xf numFmtId="170" fontId="15" fillId="0" borderId="0" xfId="8" applyNumberFormat="1" applyFont="1" applyFill="1" applyBorder="1" applyAlignment="1">
      <alignment horizontal="right" vertical="center" indent="1"/>
    </xf>
    <xf numFmtId="41" fontId="16" fillId="0" borderId="0" xfId="7" applyFont="1" applyFill="1" applyBorder="1" applyAlignment="1" applyProtection="1">
      <alignment vertical="center" wrapText="1"/>
      <protection locked="0"/>
    </xf>
    <xf numFmtId="171" fontId="16" fillId="0" borderId="0" xfId="8" applyNumberFormat="1" applyFont="1" applyFill="1" applyBorder="1" applyAlignment="1">
      <alignment horizontal="right" vertical="center" indent="1"/>
    </xf>
    <xf numFmtId="165" fontId="6" fillId="2" borderId="5" xfId="5" quotePrefix="1" applyNumberFormat="1" applyFont="1" applyFill="1" applyBorder="1" applyAlignment="1">
      <alignment horizontal="center"/>
    </xf>
    <xf numFmtId="0" fontId="18" fillId="6" borderId="0" xfId="0" applyFont="1" applyFill="1"/>
    <xf numFmtId="0" fontId="19" fillId="2" borderId="20" xfId="0" applyFont="1" applyFill="1" applyBorder="1" applyAlignment="1">
      <alignment horizontal="center" vertical="center" wrapText="1" readingOrder="1"/>
    </xf>
    <xf numFmtId="0" fontId="19" fillId="2" borderId="21" xfId="0" applyFont="1" applyFill="1" applyBorder="1" applyAlignment="1">
      <alignment horizontal="center" vertical="center" wrapText="1" readingOrder="1"/>
    </xf>
    <xf numFmtId="0" fontId="20" fillId="0" borderId="0" xfId="0" applyFont="1" applyAlignment="1">
      <alignment horizontal="center" vertical="center" readingOrder="1"/>
    </xf>
    <xf numFmtId="41" fontId="0" fillId="0" borderId="0" xfId="2" applyFont="1"/>
    <xf numFmtId="0" fontId="19" fillId="0" borderId="0" xfId="0" applyFont="1" applyAlignment="1">
      <alignment horizontal="center" vertical="center" wrapText="1" readingOrder="1"/>
    </xf>
    <xf numFmtId="41" fontId="0" fillId="0" borderId="0" xfId="2" applyFont="1" applyFill="1" applyBorder="1"/>
    <xf numFmtId="41" fontId="20" fillId="0" borderId="0" xfId="2" applyFont="1" applyAlignment="1">
      <alignment horizontal="center" vertical="center" readingOrder="1"/>
    </xf>
    <xf numFmtId="0" fontId="2" fillId="2" borderId="2" xfId="0" applyFont="1" applyFill="1" applyBorder="1" applyAlignment="1">
      <alignment horizontal="center" vertical="center" wrapText="1"/>
    </xf>
    <xf numFmtId="41" fontId="3" fillId="7" borderId="1" xfId="2" applyFont="1" applyFill="1" applyBorder="1"/>
    <xf numFmtId="0" fontId="3" fillId="7" borderId="1" xfId="0" applyFont="1" applyFill="1" applyBorder="1"/>
    <xf numFmtId="0" fontId="2" fillId="0" borderId="2" xfId="0" applyFont="1" applyBorder="1" applyAlignment="1">
      <alignment vertical="center" wrapText="1"/>
    </xf>
    <xf numFmtId="0" fontId="2" fillId="2" borderId="28" xfId="0" applyFont="1" applyFill="1" applyBorder="1" applyAlignment="1">
      <alignment horizontal="center"/>
    </xf>
    <xf numFmtId="0" fontId="21" fillId="8" borderId="28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/>
    </xf>
    <xf numFmtId="0" fontId="22" fillId="9" borderId="31" xfId="0" applyFont="1" applyFill="1" applyBorder="1" applyAlignment="1">
      <alignment horizontal="center" vertical="center"/>
    </xf>
    <xf numFmtId="0" fontId="22" fillId="9" borderId="1" xfId="0" applyFont="1" applyFill="1" applyBorder="1" applyAlignment="1">
      <alignment horizontal="center" vertical="center"/>
    </xf>
    <xf numFmtId="0" fontId="21" fillId="8" borderId="32" xfId="0" applyFont="1" applyFill="1" applyBorder="1" applyAlignment="1">
      <alignment horizontal="center" vertical="center" wrapText="1"/>
    </xf>
    <xf numFmtId="0" fontId="21" fillId="8" borderId="35" xfId="0" applyFont="1" applyFill="1" applyBorder="1" applyAlignment="1">
      <alignment horizontal="center" vertical="center" wrapText="1"/>
    </xf>
    <xf numFmtId="0" fontId="21" fillId="8" borderId="34" xfId="0" applyFont="1" applyFill="1" applyBorder="1" applyAlignment="1">
      <alignment horizontal="center" vertical="center" wrapText="1"/>
    </xf>
    <xf numFmtId="0" fontId="21" fillId="8" borderId="33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2" fillId="9" borderId="31" xfId="0" applyFont="1" applyFill="1" applyBorder="1" applyAlignment="1">
      <alignment vertical="center"/>
    </xf>
    <xf numFmtId="172" fontId="24" fillId="0" borderId="1" xfId="1" applyNumberFormat="1" applyFont="1" applyFill="1" applyBorder="1"/>
    <xf numFmtId="172" fontId="25" fillId="5" borderId="1" xfId="1" applyNumberFormat="1" applyFont="1" applyFill="1" applyBorder="1"/>
    <xf numFmtId="172" fontId="24" fillId="3" borderId="1" xfId="1" applyNumberFormat="1" applyFont="1" applyFill="1" applyBorder="1"/>
    <xf numFmtId="172" fontId="25" fillId="9" borderId="1" xfId="1" applyNumberFormat="1" applyFont="1" applyFill="1" applyBorder="1"/>
    <xf numFmtId="0" fontId="26" fillId="8" borderId="33" xfId="0" applyFont="1" applyFill="1" applyBorder="1" applyAlignment="1">
      <alignment horizontal="center" vertical="center" wrapText="1"/>
    </xf>
    <xf numFmtId="0" fontId="26" fillId="8" borderId="32" xfId="0" applyFont="1" applyFill="1" applyBorder="1" applyAlignment="1">
      <alignment horizontal="center" vertical="center" wrapText="1"/>
    </xf>
    <xf numFmtId="0" fontId="26" fillId="8" borderId="34" xfId="0" applyFont="1" applyFill="1" applyBorder="1" applyAlignment="1">
      <alignment horizontal="center" vertical="center" wrapText="1"/>
    </xf>
    <xf numFmtId="0" fontId="26" fillId="8" borderId="35" xfId="0" applyFont="1" applyFill="1" applyBorder="1" applyAlignment="1">
      <alignment horizontal="center" vertical="center" wrapText="1"/>
    </xf>
    <xf numFmtId="0" fontId="26" fillId="8" borderId="28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center" vertical="center"/>
    </xf>
    <xf numFmtId="0" fontId="24" fillId="3" borderId="9" xfId="0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center" vertical="center"/>
    </xf>
    <xf numFmtId="0" fontId="25" fillId="9" borderId="31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/>
    </xf>
    <xf numFmtId="0" fontId="25" fillId="9" borderId="31" xfId="0" applyFont="1" applyFill="1" applyBorder="1" applyAlignment="1">
      <alignment vertical="center"/>
    </xf>
    <xf numFmtId="172" fontId="25" fillId="9" borderId="31" xfId="0" applyNumberFormat="1" applyFont="1" applyFill="1" applyBorder="1" applyAlignment="1">
      <alignment vertical="center"/>
    </xf>
    <xf numFmtId="9" fontId="24" fillId="0" borderId="1" xfId="3" applyFont="1" applyFill="1" applyBorder="1"/>
    <xf numFmtId="9" fontId="25" fillId="5" borderId="1" xfId="3" applyFont="1" applyFill="1" applyBorder="1"/>
    <xf numFmtId="9" fontId="24" fillId="3" borderId="1" xfId="3" applyFont="1" applyFill="1" applyBorder="1"/>
    <xf numFmtId="9" fontId="25" fillId="9" borderId="1" xfId="3" applyFont="1" applyFill="1" applyBorder="1"/>
    <xf numFmtId="9" fontId="25" fillId="9" borderId="31" xfId="3" applyFont="1" applyFill="1" applyBorder="1" applyAlignment="1">
      <alignment vertical="center"/>
    </xf>
    <xf numFmtId="41" fontId="20" fillId="0" borderId="0" xfId="2" applyFont="1" applyFill="1" applyBorder="1" applyAlignment="1">
      <alignment horizontal="center" vertical="center" readingOrder="1"/>
    </xf>
    <xf numFmtId="0" fontId="19" fillId="2" borderId="28" xfId="0" applyFont="1" applyFill="1" applyBorder="1" applyAlignment="1">
      <alignment horizontal="center" vertical="center" wrapText="1" readingOrder="1"/>
    </xf>
    <xf numFmtId="0" fontId="19" fillId="2" borderId="37" xfId="0" applyFont="1" applyFill="1" applyBorder="1" applyAlignment="1">
      <alignment horizontal="center" vertical="center" wrapText="1" readingOrder="1"/>
    </xf>
    <xf numFmtId="0" fontId="19" fillId="2" borderId="24" xfId="0" applyFont="1" applyFill="1" applyBorder="1" applyAlignment="1">
      <alignment horizontal="center" vertical="center" wrapText="1" readingOrder="1"/>
    </xf>
    <xf numFmtId="0" fontId="19" fillId="2" borderId="25" xfId="0" applyFont="1" applyFill="1" applyBorder="1" applyAlignment="1">
      <alignment horizontal="center" vertical="center" wrapText="1" readingOrder="1"/>
    </xf>
    <xf numFmtId="0" fontId="19" fillId="2" borderId="39" xfId="0" applyFont="1" applyFill="1" applyBorder="1" applyAlignment="1">
      <alignment horizontal="center" vertical="center" wrapText="1" readingOrder="1"/>
    </xf>
    <xf numFmtId="0" fontId="9" fillId="0" borderId="6" xfId="4" applyFont="1" applyBorder="1"/>
    <xf numFmtId="169" fontId="7" fillId="0" borderId="9" xfId="1" applyNumberFormat="1" applyFont="1" applyFill="1" applyBorder="1" applyAlignment="1">
      <alignment horizontal="right" vertical="center" indent="1"/>
    </xf>
    <xf numFmtId="0" fontId="9" fillId="0" borderId="8" xfId="4" applyFont="1" applyBorder="1"/>
    <xf numFmtId="41" fontId="7" fillId="0" borderId="10" xfId="7" applyFont="1" applyFill="1" applyBorder="1" applyAlignment="1" applyProtection="1">
      <alignment vertical="center"/>
      <protection locked="0"/>
    </xf>
    <xf numFmtId="41" fontId="7" fillId="0" borderId="8" xfId="7" applyFont="1" applyFill="1" applyBorder="1" applyAlignment="1" applyProtection="1">
      <alignment vertical="center"/>
      <protection locked="0"/>
    </xf>
    <xf numFmtId="170" fontId="7" fillId="0" borderId="9" xfId="8" applyNumberFormat="1" applyFont="1" applyFill="1" applyBorder="1" applyAlignment="1">
      <alignment horizontal="right" vertical="center" indent="1"/>
    </xf>
    <xf numFmtId="41" fontId="7" fillId="0" borderId="0" xfId="7" applyFont="1" applyFill="1" applyBorder="1" applyAlignment="1" applyProtection="1">
      <alignment vertical="center"/>
      <protection locked="0"/>
    </xf>
    <xf numFmtId="167" fontId="7" fillId="0" borderId="9" xfId="8" applyNumberFormat="1" applyFont="1" applyFill="1" applyBorder="1" applyAlignment="1">
      <alignment horizontal="right" vertical="center" inden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wrapText="1"/>
    </xf>
    <xf numFmtId="0" fontId="3" fillId="7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4" fillId="0" borderId="1" xfId="0" applyFont="1" applyBorder="1" applyAlignment="1">
      <alignment vertical="center"/>
    </xf>
    <xf numFmtId="9" fontId="24" fillId="0" borderId="1" xfId="3" applyFont="1" applyFill="1" applyBorder="1" applyAlignment="1">
      <alignment vertical="center"/>
    </xf>
    <xf numFmtId="41" fontId="27" fillId="0" borderId="0" xfId="2" applyFont="1" applyAlignment="1">
      <alignment horizontal="center" vertical="center" readingOrder="1"/>
    </xf>
    <xf numFmtId="41" fontId="3" fillId="0" borderId="0" xfId="2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41" fontId="3" fillId="0" borderId="1" xfId="2" applyFont="1" applyBorder="1" applyAlignment="1">
      <alignment vertical="center"/>
    </xf>
    <xf numFmtId="0" fontId="3" fillId="0" borderId="1" xfId="0" applyFont="1" applyBorder="1" applyAlignment="1">
      <alignment wrapText="1"/>
    </xf>
    <xf numFmtId="0" fontId="0" fillId="0" borderId="1" xfId="0" applyBorder="1"/>
    <xf numFmtId="41" fontId="3" fillId="0" borderId="1" xfId="2" applyFont="1" applyBorder="1" applyAlignment="1">
      <alignment horizontal="center"/>
    </xf>
    <xf numFmtId="41" fontId="3" fillId="0" borderId="1" xfId="2" applyFont="1" applyBorder="1" applyAlignment="1">
      <alignment horizontal="left" wrapText="1"/>
    </xf>
    <xf numFmtId="41" fontId="3" fillId="0" borderId="1" xfId="2" applyFont="1" applyBorder="1" applyAlignment="1">
      <alignment horizontal="left"/>
    </xf>
    <xf numFmtId="41" fontId="3" fillId="0" borderId="3" xfId="2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19" fillId="2" borderId="2" xfId="0" applyFont="1" applyFill="1" applyBorder="1" applyAlignment="1">
      <alignment horizontal="center" vertical="center" wrapText="1" readingOrder="1"/>
    </xf>
    <xf numFmtId="0" fontId="3" fillId="7" borderId="1" xfId="0" applyFont="1" applyFill="1" applyBorder="1" applyAlignment="1">
      <alignment horizontal="left" wrapText="1"/>
    </xf>
    <xf numFmtId="0" fontId="28" fillId="0" borderId="1" xfId="0" applyFont="1" applyBorder="1"/>
    <xf numFmtId="0" fontId="28" fillId="7" borderId="1" xfId="0" applyFont="1" applyFill="1" applyBorder="1"/>
    <xf numFmtId="41" fontId="28" fillId="0" borderId="1" xfId="2" applyFont="1" applyBorder="1"/>
    <xf numFmtId="41" fontId="9" fillId="0" borderId="8" xfId="7" applyFont="1" applyFill="1" applyBorder="1" applyAlignment="1" applyProtection="1">
      <alignment vertical="center"/>
      <protection locked="0"/>
    </xf>
    <xf numFmtId="0" fontId="0" fillId="0" borderId="0" xfId="0" applyAlignment="1">
      <alignment horizontal="left" wrapText="1"/>
    </xf>
    <xf numFmtId="0" fontId="29" fillId="0" borderId="0" xfId="0" applyFont="1"/>
    <xf numFmtId="0" fontId="30" fillId="10" borderId="48" xfId="0" applyFont="1" applyFill="1" applyBorder="1" applyAlignment="1">
      <alignment horizontal="center" vertical="center" wrapText="1" readingOrder="1"/>
    </xf>
    <xf numFmtId="0" fontId="3" fillId="0" borderId="12" xfId="0" applyFont="1" applyBorder="1" applyAlignment="1">
      <alignment horizontal="left" vertical="center" wrapText="1"/>
    </xf>
    <xf numFmtId="0" fontId="3" fillId="0" borderId="12" xfId="0" applyFont="1" applyBorder="1" applyAlignment="1">
      <alignment vertical="center"/>
    </xf>
    <xf numFmtId="41" fontId="3" fillId="0" borderId="12" xfId="0" applyNumberFormat="1" applyFont="1" applyBorder="1" applyAlignment="1">
      <alignment vertical="center"/>
    </xf>
    <xf numFmtId="0" fontId="3" fillId="0" borderId="12" xfId="0" applyFont="1" applyBorder="1" applyAlignment="1">
      <alignment wrapText="1"/>
    </xf>
    <xf numFmtId="0" fontId="3" fillId="0" borderId="3" xfId="0" applyFont="1" applyBorder="1" applyAlignment="1">
      <alignment horizontal="center" vertical="center"/>
    </xf>
    <xf numFmtId="0" fontId="3" fillId="0" borderId="50" xfId="0" applyFont="1" applyBorder="1" applyAlignment="1">
      <alignment wrapText="1"/>
    </xf>
    <xf numFmtId="41" fontId="3" fillId="0" borderId="50" xfId="0" applyNumberFormat="1" applyFont="1" applyBorder="1"/>
    <xf numFmtId="0" fontId="3" fillId="0" borderId="50" xfId="0" applyFont="1" applyBorder="1"/>
    <xf numFmtId="0" fontId="29" fillId="0" borderId="3" xfId="0" applyFont="1" applyBorder="1"/>
    <xf numFmtId="0" fontId="29" fillId="0" borderId="50" xfId="0" applyFont="1" applyBorder="1"/>
    <xf numFmtId="167" fontId="7" fillId="11" borderId="9" xfId="8" applyNumberFormat="1" applyFont="1" applyFill="1" applyBorder="1" applyAlignment="1">
      <alignment horizontal="right" vertical="center" indent="1"/>
    </xf>
    <xf numFmtId="9" fontId="7" fillId="11" borderId="9" xfId="3" applyFont="1" applyFill="1" applyBorder="1" applyAlignment="1">
      <alignment horizontal="right" vertical="center" indent="1"/>
    </xf>
    <xf numFmtId="172" fontId="24" fillId="11" borderId="1" xfId="1" applyNumberFormat="1" applyFont="1" applyFill="1" applyBorder="1"/>
    <xf numFmtId="0" fontId="24" fillId="12" borderId="9" xfId="0" applyFont="1" applyFill="1" applyBorder="1" applyAlignment="1">
      <alignment horizontal="left" vertical="center" wrapText="1"/>
    </xf>
    <xf numFmtId="0" fontId="24" fillId="12" borderId="1" xfId="0" applyFont="1" applyFill="1" applyBorder="1" applyAlignment="1">
      <alignment horizontal="center" vertical="center"/>
    </xf>
    <xf numFmtId="0" fontId="23" fillId="12" borderId="9" xfId="0" applyFont="1" applyFill="1" applyBorder="1" applyAlignment="1">
      <alignment horizontal="left" vertical="center" wrapText="1"/>
    </xf>
    <xf numFmtId="0" fontId="23" fillId="12" borderId="1" xfId="0" applyFont="1" applyFill="1" applyBorder="1" applyAlignment="1">
      <alignment horizontal="center" vertical="center"/>
    </xf>
    <xf numFmtId="172" fontId="31" fillId="9" borderId="31" xfId="0" applyNumberFormat="1" applyFont="1" applyFill="1" applyBorder="1" applyAlignment="1">
      <alignment vertical="center"/>
    </xf>
    <xf numFmtId="172" fontId="32" fillId="0" borderId="1" xfId="1" applyNumberFormat="1" applyFont="1" applyFill="1" applyBorder="1"/>
    <xf numFmtId="172" fontId="33" fillId="5" borderId="1" xfId="1" applyNumberFormat="1" applyFont="1" applyFill="1" applyBorder="1"/>
    <xf numFmtId="172" fontId="32" fillId="12" borderId="1" xfId="1" applyNumberFormat="1" applyFont="1" applyFill="1" applyBorder="1" applyAlignment="1">
      <alignment vertical="center"/>
    </xf>
    <xf numFmtId="172" fontId="33" fillId="9" borderId="1" xfId="1" applyNumberFormat="1" applyFont="1" applyFill="1" applyBorder="1"/>
    <xf numFmtId="172" fontId="24" fillId="12" borderId="1" xfId="1" applyNumberFormat="1" applyFont="1" applyFill="1" applyBorder="1" applyAlignment="1">
      <alignment vertical="center"/>
    </xf>
    <xf numFmtId="9" fontId="24" fillId="12" borderId="1" xfId="3" applyFont="1" applyFill="1" applyBorder="1" applyAlignment="1">
      <alignment vertical="center"/>
    </xf>
    <xf numFmtId="9" fontId="24" fillId="3" borderId="1" xfId="3" applyFont="1" applyFill="1" applyBorder="1" applyAlignment="1">
      <alignment vertical="center"/>
    </xf>
    <xf numFmtId="172" fontId="24" fillId="11" borderId="1" xfId="1" applyNumberFormat="1" applyFont="1" applyFill="1" applyBorder="1" applyAlignment="1">
      <alignment vertical="center"/>
    </xf>
    <xf numFmtId="0" fontId="19" fillId="0" borderId="0" xfId="0" applyFont="1" applyAlignment="1">
      <alignment horizontal="center" vertical="center" wrapText="1" readingOrder="1"/>
    </xf>
    <xf numFmtId="0" fontId="19" fillId="2" borderId="20" xfId="0" applyFont="1" applyFill="1" applyBorder="1" applyAlignment="1">
      <alignment horizontal="center" vertical="center" wrapText="1" readingOrder="1"/>
    </xf>
    <xf numFmtId="0" fontId="19" fillId="2" borderId="21" xfId="0" applyFont="1" applyFill="1" applyBorder="1" applyAlignment="1">
      <alignment horizontal="center" vertical="center" wrapText="1" readingOrder="1"/>
    </xf>
    <xf numFmtId="0" fontId="19" fillId="2" borderId="22" xfId="0" applyFont="1" applyFill="1" applyBorder="1" applyAlignment="1">
      <alignment horizontal="center" vertical="center" wrapText="1" readingOrder="1"/>
    </xf>
    <xf numFmtId="0" fontId="19" fillId="2" borderId="23" xfId="0" applyFont="1" applyFill="1" applyBorder="1" applyAlignment="1">
      <alignment horizontal="center" vertical="center" wrapText="1" readingOrder="1"/>
    </xf>
    <xf numFmtId="0" fontId="19" fillId="2" borderId="24" xfId="0" applyFont="1" applyFill="1" applyBorder="1" applyAlignment="1">
      <alignment horizontal="center" vertical="center" wrapText="1" readingOrder="1"/>
    </xf>
    <xf numFmtId="0" fontId="19" fillId="2" borderId="44" xfId="0" applyFont="1" applyFill="1" applyBorder="1" applyAlignment="1">
      <alignment horizontal="center" vertical="center" wrapText="1" readingOrder="1"/>
    </xf>
    <xf numFmtId="165" fontId="6" fillId="2" borderId="17" xfId="5" applyNumberFormat="1" applyFont="1" applyFill="1" applyBorder="1" applyAlignment="1">
      <alignment horizontal="center" vertical="center" wrapText="1"/>
    </xf>
    <xf numFmtId="165" fontId="6" fillId="2" borderId="19" xfId="5" applyNumberFormat="1" applyFont="1" applyFill="1" applyBorder="1" applyAlignment="1">
      <alignment horizontal="center" vertical="center" wrapText="1"/>
    </xf>
    <xf numFmtId="165" fontId="6" fillId="2" borderId="18" xfId="5" applyNumberFormat="1" applyFont="1" applyFill="1" applyBorder="1" applyAlignment="1">
      <alignment horizontal="center" vertical="center" wrapText="1"/>
    </xf>
    <xf numFmtId="41" fontId="16" fillId="0" borderId="0" xfId="7" applyFont="1" applyFill="1" applyBorder="1" applyAlignment="1" applyProtection="1">
      <alignment horizontal="left" vertical="center" wrapText="1"/>
      <protection locked="0"/>
    </xf>
    <xf numFmtId="0" fontId="6" fillId="2" borderId="6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41" fontId="12" fillId="5" borderId="11" xfId="7" applyFont="1" applyFill="1" applyBorder="1" applyAlignment="1" applyProtection="1">
      <alignment horizontal="left" vertical="center" wrapText="1"/>
      <protection locked="0"/>
    </xf>
    <xf numFmtId="41" fontId="12" fillId="5" borderId="12" xfId="7" applyFont="1" applyFill="1" applyBorder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24" fillId="0" borderId="31" xfId="0" applyFont="1" applyBorder="1" applyAlignment="1">
      <alignment horizontal="left" vertical="center"/>
    </xf>
    <xf numFmtId="0" fontId="24" fillId="0" borderId="3" xfId="0" applyFont="1" applyBorder="1" applyAlignment="1">
      <alignment horizontal="left" vertical="center"/>
    </xf>
    <xf numFmtId="0" fontId="25" fillId="5" borderId="31" xfId="0" applyFont="1" applyFill="1" applyBorder="1" applyAlignment="1">
      <alignment horizontal="left" vertical="center"/>
    </xf>
    <xf numFmtId="0" fontId="25" fillId="5" borderId="3" xfId="0" applyFont="1" applyFill="1" applyBorder="1" applyAlignment="1">
      <alignment horizontal="left" vertical="center"/>
    </xf>
    <xf numFmtId="0" fontId="25" fillId="9" borderId="31" xfId="0" applyFont="1" applyFill="1" applyBorder="1" applyAlignment="1">
      <alignment horizontal="center" vertical="center"/>
    </xf>
    <xf numFmtId="0" fontId="25" fillId="9" borderId="3" xfId="0" applyFont="1" applyFill="1" applyBorder="1" applyAlignment="1">
      <alignment horizontal="center" vertical="center"/>
    </xf>
    <xf numFmtId="0" fontId="26" fillId="8" borderId="36" xfId="0" applyFont="1" applyFill="1" applyBorder="1" applyAlignment="1">
      <alignment horizontal="center" vertical="center" wrapText="1"/>
    </xf>
    <xf numFmtId="0" fontId="26" fillId="8" borderId="0" xfId="0" applyFont="1" applyFill="1" applyAlignment="1">
      <alignment horizontal="center" vertical="center" wrapText="1"/>
    </xf>
    <xf numFmtId="0" fontId="26" fillId="8" borderId="29" xfId="0" applyFont="1" applyFill="1" applyBorder="1" applyAlignment="1">
      <alignment horizontal="center" vertical="center" wrapText="1"/>
    </xf>
    <xf numFmtId="0" fontId="26" fillId="8" borderId="30" xfId="0" applyFont="1" applyFill="1" applyBorder="1" applyAlignment="1">
      <alignment horizontal="center" vertical="center" wrapText="1"/>
    </xf>
    <xf numFmtId="0" fontId="24" fillId="3" borderId="31" xfId="0" applyFont="1" applyFill="1" applyBorder="1" applyAlignment="1">
      <alignment horizontal="left" vertical="center"/>
    </xf>
    <xf numFmtId="0" fontId="24" fillId="3" borderId="3" xfId="0" applyFont="1" applyFill="1" applyBorder="1" applyAlignment="1">
      <alignment horizontal="left" vertical="center"/>
    </xf>
    <xf numFmtId="0" fontId="19" fillId="2" borderId="28" xfId="0" applyFont="1" applyFill="1" applyBorder="1" applyAlignment="1">
      <alignment horizontal="center" vertical="center" wrapText="1" readingOrder="1"/>
    </xf>
    <xf numFmtId="0" fontId="19" fillId="2" borderId="37" xfId="0" applyFont="1" applyFill="1" applyBorder="1" applyAlignment="1">
      <alignment horizontal="center" vertical="center" wrapText="1" readingOrder="1"/>
    </xf>
    <xf numFmtId="0" fontId="19" fillId="2" borderId="35" xfId="0" applyFont="1" applyFill="1" applyBorder="1" applyAlignment="1">
      <alignment horizontal="center" vertical="center" wrapText="1" readingOrder="1"/>
    </xf>
    <xf numFmtId="0" fontId="19" fillId="2" borderId="38" xfId="0" applyFont="1" applyFill="1" applyBorder="1" applyAlignment="1">
      <alignment horizontal="center" vertical="center" wrapText="1" readingOrder="1"/>
    </xf>
    <xf numFmtId="0" fontId="19" fillId="2" borderId="39" xfId="0" applyFont="1" applyFill="1" applyBorder="1" applyAlignment="1">
      <alignment horizontal="center" vertical="center" wrapText="1" readingOrder="1"/>
    </xf>
    <xf numFmtId="0" fontId="19" fillId="2" borderId="36" xfId="0" applyFont="1" applyFill="1" applyBorder="1" applyAlignment="1">
      <alignment horizontal="center" vertical="center" wrapText="1" readingOrder="1"/>
    </xf>
    <xf numFmtId="0" fontId="19" fillId="2" borderId="2" xfId="0" applyFont="1" applyFill="1" applyBorder="1" applyAlignment="1">
      <alignment horizontal="center" vertical="center" wrapText="1" readingOrder="1"/>
    </xf>
    <xf numFmtId="0" fontId="19" fillId="2" borderId="41" xfId="0" applyFont="1" applyFill="1" applyBorder="1" applyAlignment="1">
      <alignment horizontal="center" vertical="center" wrapText="1" readingOrder="1"/>
    </xf>
    <xf numFmtId="0" fontId="19" fillId="2" borderId="43" xfId="0" applyFont="1" applyFill="1" applyBorder="1" applyAlignment="1">
      <alignment horizontal="center" vertical="center" wrapText="1" readingOrder="1"/>
    </xf>
    <xf numFmtId="0" fontId="19" fillId="2" borderId="42" xfId="0" applyFont="1" applyFill="1" applyBorder="1" applyAlignment="1">
      <alignment horizontal="center" vertical="center" wrapText="1" readingOrder="1"/>
    </xf>
    <xf numFmtId="0" fontId="19" fillId="2" borderId="40" xfId="0" applyFont="1" applyFill="1" applyBorder="1" applyAlignment="1">
      <alignment horizontal="center" vertical="center" wrapText="1" readingOrder="1"/>
    </xf>
    <xf numFmtId="0" fontId="21" fillId="8" borderId="29" xfId="0" applyFont="1" applyFill="1" applyBorder="1" applyAlignment="1">
      <alignment horizontal="center" vertical="center" wrapText="1"/>
    </xf>
    <xf numFmtId="0" fontId="21" fillId="8" borderId="30" xfId="0" applyFont="1" applyFill="1" applyBorder="1" applyAlignment="1">
      <alignment horizontal="center" vertical="center" wrapText="1"/>
    </xf>
    <xf numFmtId="0" fontId="23" fillId="0" borderId="31" xfId="0" applyFont="1" applyBorder="1" applyAlignment="1">
      <alignment horizontal="left" vertical="center"/>
    </xf>
    <xf numFmtId="0" fontId="23" fillId="0" borderId="3" xfId="0" applyFont="1" applyBorder="1" applyAlignment="1">
      <alignment horizontal="left" vertical="center"/>
    </xf>
    <xf numFmtId="0" fontId="22" fillId="5" borderId="31" xfId="0" applyFont="1" applyFill="1" applyBorder="1" applyAlignment="1">
      <alignment horizontal="left" vertical="center"/>
    </xf>
    <xf numFmtId="0" fontId="22" fillId="5" borderId="3" xfId="0" applyFont="1" applyFill="1" applyBorder="1" applyAlignment="1">
      <alignment horizontal="left" vertical="center"/>
    </xf>
    <xf numFmtId="0" fontId="22" fillId="9" borderId="31" xfId="0" applyFont="1" applyFill="1" applyBorder="1" applyAlignment="1">
      <alignment horizontal="left" vertical="center"/>
    </xf>
    <xf numFmtId="0" fontId="22" fillId="9" borderId="3" xfId="0" applyFont="1" applyFill="1" applyBorder="1" applyAlignment="1">
      <alignment horizontal="left" vertical="center"/>
    </xf>
    <xf numFmtId="0" fontId="23" fillId="3" borderId="31" xfId="0" applyFont="1" applyFill="1" applyBorder="1" applyAlignment="1">
      <alignment horizontal="left" vertical="center"/>
    </xf>
    <xf numFmtId="0" fontId="23" fillId="3" borderId="3" xfId="0" applyFont="1" applyFill="1" applyBorder="1" applyAlignment="1">
      <alignment horizontal="left" vertical="center"/>
    </xf>
    <xf numFmtId="0" fontId="30" fillId="10" borderId="49" xfId="0" applyFont="1" applyFill="1" applyBorder="1" applyAlignment="1">
      <alignment horizontal="center" vertical="center" wrapText="1" readingOrder="1"/>
    </xf>
    <xf numFmtId="0" fontId="30" fillId="10" borderId="53" xfId="0" applyFont="1" applyFill="1" applyBorder="1" applyAlignment="1">
      <alignment horizontal="center" vertical="center" wrapText="1" readingOrder="1"/>
    </xf>
    <xf numFmtId="0" fontId="30" fillId="10" borderId="45" xfId="0" applyFont="1" applyFill="1" applyBorder="1" applyAlignment="1">
      <alignment horizontal="center" vertical="center" wrapText="1" readingOrder="1"/>
    </xf>
    <xf numFmtId="0" fontId="30" fillId="10" borderId="51" xfId="0" applyFont="1" applyFill="1" applyBorder="1" applyAlignment="1">
      <alignment horizontal="center" vertical="center" wrapText="1" readingOrder="1"/>
    </xf>
    <xf numFmtId="0" fontId="30" fillId="10" borderId="52" xfId="0" applyFont="1" applyFill="1" applyBorder="1" applyAlignment="1">
      <alignment horizontal="center" vertical="center" wrapText="1" readingOrder="1"/>
    </xf>
    <xf numFmtId="0" fontId="30" fillId="10" borderId="47" xfId="0" applyFont="1" applyFill="1" applyBorder="1" applyAlignment="1">
      <alignment horizontal="center" vertical="center" wrapText="1" readingOrder="1"/>
    </xf>
    <xf numFmtId="0" fontId="30" fillId="10" borderId="46" xfId="0" applyFont="1" applyFill="1" applyBorder="1" applyAlignment="1">
      <alignment horizontal="center" vertical="center" wrapText="1" readingOrder="1"/>
    </xf>
  </cellXfs>
  <cellStyles count="10">
    <cellStyle name="Comma" xfId="1" builtinId="3"/>
    <cellStyle name="Comma [0]" xfId="2" builtinId="6"/>
    <cellStyle name="Comma [0] 103" xfId="7" xr:uid="{E4C4D469-6E3E-4744-95A5-EADF5F22A15A}"/>
    <cellStyle name="Comma [0] 2" xfId="8" xr:uid="{6B1ED8A7-8BC7-B94A-A343-89A076987245}"/>
    <cellStyle name="Comma 2 2" xfId="9" xr:uid="{41B1CBFF-3B72-AD4A-BA37-55A7AB3011CD}"/>
    <cellStyle name="Comma 2 80" xfId="5" xr:uid="{9353E7F0-9C96-8C4A-8C74-8A0A6D5B9832}"/>
    <cellStyle name="Normal" xfId="0" builtinId="0"/>
    <cellStyle name="Normal 101" xfId="4" xr:uid="{1A4AB78F-9478-CE4B-862D-10739E921D93}"/>
    <cellStyle name="Normal 2 3 2" xfId="6" xr:uid="{56A86591-BC9D-5A49-BDC3-4C43EDA84939}"/>
    <cellStyle name="Percent" xfId="3" builtinId="5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CBEC1"/>
      <color rgb="FFFFA3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MMY%20GREEI%20GANAP/Downloads/2.%20Banten%20_Prognosa%202026%20dan%20RKAP%202027%20dan%20Penjelasa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.%20Banten%20_Prognosa%202026%20dan%20RKAP%202027%20dan%20Penjelasa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MMY%20GREEI%20GANAP/Documents/Surat2/Surat%20Dinas%202026/6.%20Surat%20Juni%202026/1.%20Kertas%20Kerja%20A3_Prognosa%202026%20dan%20RKAP%202027-keuangan-rev-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.%20Kertas%20Kerja%20A3_Prognosa%202026%20dan%20RKAP%202027-keuangan-rev-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Reg 2 dari HO"/>
      <sheetName val="Regional 2"/>
    </sheetNames>
    <sheetDataSet>
      <sheetData sheetId="0"/>
      <sheetData sheetId="1"/>
      <sheetData sheetId="2">
        <row r="14">
          <cell r="P14">
            <v>184</v>
          </cell>
          <cell r="Q14">
            <v>180</v>
          </cell>
        </row>
        <row r="15">
          <cell r="P15">
            <v>3691444</v>
          </cell>
          <cell r="Q15">
            <v>3556185.7733333302</v>
          </cell>
        </row>
        <row r="16">
          <cell r="P16">
            <v>806</v>
          </cell>
          <cell r="Q16">
            <v>674</v>
          </cell>
        </row>
        <row r="17">
          <cell r="P17">
            <v>2619161</v>
          </cell>
          <cell r="Q17">
            <v>2508863.2307692301</v>
          </cell>
        </row>
        <row r="20">
          <cell r="P20">
            <v>543</v>
          </cell>
          <cell r="Q20">
            <v>510</v>
          </cell>
        </row>
        <row r="21">
          <cell r="P21">
            <v>9889101</v>
          </cell>
          <cell r="Q21">
            <v>9644471</v>
          </cell>
        </row>
        <row r="22">
          <cell r="P22">
            <v>3639</v>
          </cell>
          <cell r="Q22">
            <v>4308</v>
          </cell>
        </row>
        <row r="23">
          <cell r="P23">
            <v>22673573</v>
          </cell>
          <cell r="Q23">
            <v>26778183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Reg 2 dari HO"/>
      <sheetName val="Regional 2"/>
    </sheetNames>
    <sheetDataSet>
      <sheetData sheetId="0"/>
      <sheetData sheetId="1"/>
      <sheetData sheetId="2">
        <row r="14">
          <cell r="S14">
            <v>98</v>
          </cell>
          <cell r="T14">
            <v>225</v>
          </cell>
          <cell r="U14">
            <v>229.5</v>
          </cell>
        </row>
        <row r="15">
          <cell r="S15">
            <v>1964950</v>
          </cell>
          <cell r="T15">
            <v>4615880</v>
          </cell>
          <cell r="U15">
            <v>4708197.5999999996</v>
          </cell>
        </row>
        <row r="16">
          <cell r="S16">
            <v>634</v>
          </cell>
          <cell r="T16">
            <v>1421</v>
          </cell>
          <cell r="U16">
            <v>1449.42</v>
          </cell>
        </row>
        <row r="17">
          <cell r="S17">
            <v>1338067</v>
          </cell>
          <cell r="T17">
            <v>3111361</v>
          </cell>
          <cell r="U17">
            <v>3173588.22</v>
          </cell>
        </row>
        <row r="20">
          <cell r="S20">
            <v>247</v>
          </cell>
          <cell r="T20">
            <v>582</v>
          </cell>
          <cell r="U20">
            <v>593.64</v>
          </cell>
        </row>
        <row r="21">
          <cell r="S21">
            <v>4308561</v>
          </cell>
          <cell r="T21">
            <v>10240546</v>
          </cell>
          <cell r="U21">
            <v>10445356.92</v>
          </cell>
        </row>
        <row r="22">
          <cell r="S22">
            <v>1218</v>
          </cell>
          <cell r="T22">
            <v>3343</v>
          </cell>
          <cell r="U22">
            <v>3409.86</v>
          </cell>
        </row>
        <row r="23">
          <cell r="S23">
            <v>9771942</v>
          </cell>
          <cell r="T23">
            <v>23452661</v>
          </cell>
          <cell r="U23">
            <v>23921714.219999999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12">
          <cell r="F12">
            <v>95048178375</v>
          </cell>
          <cell r="G12">
            <v>98940555039</v>
          </cell>
          <cell r="H12">
            <v>29181123591</v>
          </cell>
          <cell r="S12">
            <v>128801886656</v>
          </cell>
          <cell r="AF12">
            <v>136240622822.96107</v>
          </cell>
        </row>
        <row r="61">
          <cell r="F61">
            <v>224964602823</v>
          </cell>
          <cell r="G61">
            <v>247293103165.27103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61">
          <cell r="S61">
            <v>206339039425</v>
          </cell>
          <cell r="AF61">
            <v>211481390656.56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A9D81-24EC-2F45-8A39-FE9F85ACE6A3}">
  <dimension ref="C2:BX142"/>
  <sheetViews>
    <sheetView showGridLines="0" topLeftCell="AK109" zoomScale="79" workbookViewId="0">
      <selection activeCell="S29" sqref="S29"/>
    </sheetView>
  </sheetViews>
  <sheetFormatPr defaultColWidth="11.54296875" defaultRowHeight="15"/>
  <cols>
    <col min="3" max="3" width="32.6328125" customWidth="1"/>
    <col min="5" max="11" width="13.81640625" customWidth="1"/>
    <col min="18" max="18" width="46.6328125" customWidth="1"/>
    <col min="19" max="24" width="19.6328125" customWidth="1"/>
    <col min="29" max="29" width="9.36328125" bestFit="1" customWidth="1"/>
    <col min="30" max="30" width="13.36328125" bestFit="1" customWidth="1"/>
    <col min="31" max="31" width="9.6328125" bestFit="1" customWidth="1"/>
    <col min="32" max="32" width="12.08984375" bestFit="1" customWidth="1"/>
    <col min="33" max="33" width="10" bestFit="1" customWidth="1"/>
    <col min="34" max="34" width="18.81640625" bestFit="1" customWidth="1"/>
    <col min="35" max="35" width="11" bestFit="1" customWidth="1"/>
    <col min="36" max="36" width="10.36328125" bestFit="1" customWidth="1"/>
    <col min="37" max="37" width="11.6328125" bestFit="1" customWidth="1"/>
    <col min="38" max="38" width="20.36328125" bestFit="1" customWidth="1"/>
    <col min="39" max="39" width="14.81640625" customWidth="1"/>
    <col min="41" max="41" width="13.81640625" customWidth="1"/>
    <col min="42" max="42" width="35.36328125" customWidth="1"/>
    <col min="43" max="44" width="19.81640625" customWidth="1"/>
    <col min="45" max="46" width="28.36328125" customWidth="1"/>
    <col min="47" max="47" width="18" customWidth="1"/>
    <col min="48" max="48" width="27.81640625" bestFit="1" customWidth="1"/>
    <col min="59" max="59" width="26" bestFit="1" customWidth="1"/>
    <col min="60" max="60" width="24.08984375" customWidth="1"/>
    <col min="61" max="62" width="14.81640625" customWidth="1"/>
    <col min="63" max="63" width="39.08984375" customWidth="1"/>
    <col min="64" max="64" width="26.81640625" bestFit="1" customWidth="1"/>
    <col min="65" max="65" width="37.36328125" customWidth="1"/>
    <col min="68" max="68" width="33.6328125" customWidth="1"/>
    <col min="70" max="70" width="62.453125" bestFit="1" customWidth="1"/>
    <col min="72" max="72" width="19" customWidth="1"/>
    <col min="73" max="73" width="51.36328125" customWidth="1"/>
    <col min="74" max="74" width="27.453125" customWidth="1"/>
    <col min="75" max="75" width="18.81640625" customWidth="1"/>
    <col min="76" max="76" width="37" customWidth="1"/>
  </cols>
  <sheetData>
    <row r="2" spans="3:17">
      <c r="C2" s="1" t="s">
        <v>0</v>
      </c>
      <c r="D2" s="1"/>
      <c r="E2" s="1"/>
      <c r="F2" s="1"/>
      <c r="G2" s="1"/>
      <c r="H2" s="1"/>
      <c r="I2" s="1"/>
      <c r="J2" s="1">
        <v>6</v>
      </c>
      <c r="K2" s="1">
        <v>7</v>
      </c>
      <c r="L2" s="1"/>
      <c r="M2" s="1"/>
      <c r="N2" s="1"/>
    </row>
    <row r="3" spans="3:17" ht="54" customHeight="1">
      <c r="C3" s="187" t="s">
        <v>17</v>
      </c>
      <c r="D3" s="187" t="s">
        <v>18</v>
      </c>
      <c r="E3" s="63" t="s">
        <v>6</v>
      </c>
      <c r="F3" s="63" t="s">
        <v>7</v>
      </c>
      <c r="G3" s="63" t="s">
        <v>8</v>
      </c>
      <c r="H3" s="63" t="s">
        <v>112</v>
      </c>
      <c r="I3" s="63" t="s">
        <v>113</v>
      </c>
      <c r="J3" s="63" t="s">
        <v>9</v>
      </c>
      <c r="K3" s="63" t="s">
        <v>10</v>
      </c>
      <c r="L3" s="188" t="s">
        <v>19</v>
      </c>
      <c r="M3" s="188"/>
      <c r="N3" s="188"/>
      <c r="O3" s="189" t="s">
        <v>114</v>
      </c>
      <c r="P3" s="190"/>
      <c r="Q3" s="66"/>
    </row>
    <row r="4" spans="3:17" ht="21" customHeight="1">
      <c r="C4" s="187"/>
      <c r="D4" s="187"/>
      <c r="E4" s="4">
        <v>1</v>
      </c>
      <c r="F4" s="4">
        <v>2</v>
      </c>
      <c r="G4" s="4">
        <v>3</v>
      </c>
      <c r="H4" s="4"/>
      <c r="I4" s="4"/>
      <c r="J4" s="4">
        <v>4</v>
      </c>
      <c r="K4" s="4">
        <v>5</v>
      </c>
      <c r="L4" s="4" t="s">
        <v>115</v>
      </c>
      <c r="M4" s="4" t="s">
        <v>116</v>
      </c>
      <c r="N4" s="4" t="s">
        <v>117</v>
      </c>
      <c r="O4" s="67" t="s">
        <v>117</v>
      </c>
      <c r="P4" s="67" t="s">
        <v>117</v>
      </c>
    </row>
    <row r="5" spans="3:17">
      <c r="C5" s="3" t="s">
        <v>2</v>
      </c>
      <c r="D5" s="3" t="s">
        <v>4</v>
      </c>
      <c r="E5" s="9">
        <v>1000000</v>
      </c>
      <c r="F5" s="9">
        <v>550000</v>
      </c>
      <c r="G5" s="9">
        <v>1100000</v>
      </c>
      <c r="H5" s="9">
        <v>1149000</v>
      </c>
      <c r="I5" s="9">
        <v>1195000</v>
      </c>
      <c r="J5" s="9">
        <v>1150000</v>
      </c>
      <c r="K5" s="9">
        <v>1200000</v>
      </c>
      <c r="L5" s="5">
        <f>J5/E5</f>
        <v>1.1499999999999999</v>
      </c>
      <c r="M5" s="5">
        <f>K5/E5</f>
        <v>1.2</v>
      </c>
      <c r="N5" s="5">
        <f>K5/J5</f>
        <v>1.0434782608695652</v>
      </c>
      <c r="O5" s="2" t="str">
        <f>IF(J5&gt;=H5,"Sesuai","Belum")</f>
        <v>Sesuai</v>
      </c>
      <c r="P5" s="2" t="str">
        <f>IF(K5&gt;=I5,"Sesuai","Belum")</f>
        <v>Sesuai</v>
      </c>
    </row>
    <row r="6" spans="3:17">
      <c r="C6" s="2" t="s">
        <v>1</v>
      </c>
      <c r="D6" s="2" t="s">
        <v>3</v>
      </c>
      <c r="E6" s="8">
        <v>0.54700000000000004</v>
      </c>
      <c r="F6" s="8">
        <v>53.5</v>
      </c>
      <c r="G6" s="8">
        <v>0.54</v>
      </c>
      <c r="H6" s="8">
        <v>0.54149999999999998</v>
      </c>
      <c r="I6" s="8">
        <v>0.53100000000000003</v>
      </c>
      <c r="J6" s="8">
        <v>0.54100000000000004</v>
      </c>
      <c r="K6" s="8">
        <v>0.53200000000000003</v>
      </c>
      <c r="L6" s="6">
        <f>J6-E6</f>
        <v>-6.0000000000000053E-3</v>
      </c>
      <c r="M6" s="6">
        <f>K6-E6</f>
        <v>-1.5000000000000013E-2</v>
      </c>
      <c r="N6" s="6">
        <f>K6-J6</f>
        <v>-9.000000000000008E-3</v>
      </c>
      <c r="O6" s="2" t="str">
        <f>IF(J6&lt;=H6,"Sesuai","Belum")</f>
        <v>Sesuai</v>
      </c>
      <c r="P6" s="2" t="str">
        <f>IF(K6&lt;=I6,"Sesuai","Belum")</f>
        <v>Belum</v>
      </c>
    </row>
    <row r="7" spans="3:17">
      <c r="C7" s="2" t="s">
        <v>108</v>
      </c>
      <c r="D7" s="3" t="s">
        <v>4</v>
      </c>
      <c r="E7" s="7">
        <v>551230</v>
      </c>
      <c r="F7" s="7">
        <v>267500</v>
      </c>
      <c r="G7" s="7">
        <v>570000</v>
      </c>
      <c r="H7" s="64"/>
      <c r="I7" s="64"/>
      <c r="J7" s="7">
        <v>566845</v>
      </c>
      <c r="K7" s="7">
        <v>577231</v>
      </c>
      <c r="L7" s="5">
        <f>J7/E7</f>
        <v>1.0283275583694647</v>
      </c>
      <c r="M7" s="5">
        <f>K7/E7</f>
        <v>1.047169058287829</v>
      </c>
      <c r="N7" s="5">
        <f>K7/J7</f>
        <v>1.018322469105311</v>
      </c>
      <c r="O7" s="64"/>
      <c r="P7" s="64"/>
    </row>
    <row r="8" spans="3:17">
      <c r="C8" s="2" t="s">
        <v>109</v>
      </c>
      <c r="D8" s="2" t="s">
        <v>5</v>
      </c>
      <c r="E8" s="2">
        <v>153</v>
      </c>
      <c r="F8" s="2">
        <v>62</v>
      </c>
      <c r="G8" s="2">
        <v>155</v>
      </c>
      <c r="H8" s="65"/>
      <c r="I8" s="65"/>
      <c r="J8" s="2">
        <v>150</v>
      </c>
      <c r="K8" s="2">
        <v>165</v>
      </c>
      <c r="L8" s="6">
        <f t="shared" ref="L8" si="0">J8/E8</f>
        <v>0.98039215686274506</v>
      </c>
      <c r="M8" s="6">
        <f t="shared" ref="M8" si="1">K8/E8</f>
        <v>1.0784313725490196</v>
      </c>
      <c r="N8" s="6">
        <f t="shared" ref="N8" si="2">K8/J8</f>
        <v>1.1000000000000001</v>
      </c>
      <c r="O8" s="65"/>
      <c r="P8" s="65"/>
    </row>
    <row r="9" spans="3:17">
      <c r="C9" s="2" t="s">
        <v>110</v>
      </c>
      <c r="D9" s="2" t="s">
        <v>5</v>
      </c>
      <c r="E9" s="2">
        <v>110</v>
      </c>
      <c r="F9" s="2">
        <v>45</v>
      </c>
      <c r="G9" s="2">
        <v>112</v>
      </c>
      <c r="H9" s="65"/>
      <c r="I9" s="65"/>
      <c r="J9" s="2">
        <v>108</v>
      </c>
      <c r="K9" s="2">
        <v>115</v>
      </c>
      <c r="L9" s="6">
        <f t="shared" ref="L9" si="3">J9/E9</f>
        <v>0.98181818181818181</v>
      </c>
      <c r="M9" s="6">
        <f t="shared" ref="M9" si="4">K9/E9</f>
        <v>1.0454545454545454</v>
      </c>
      <c r="N9" s="6">
        <f t="shared" ref="N9" si="5">K9/J9</f>
        <v>1.0648148148148149</v>
      </c>
      <c r="O9" s="65"/>
      <c r="P9" s="65"/>
    </row>
    <row r="10" spans="3:17">
      <c r="C10" s="2" t="s">
        <v>223</v>
      </c>
      <c r="D10" s="2" t="s">
        <v>111</v>
      </c>
      <c r="E10" s="2">
        <v>5300</v>
      </c>
      <c r="F10" s="2">
        <v>5300</v>
      </c>
      <c r="G10" s="65"/>
      <c r="H10" s="65"/>
      <c r="I10" s="65"/>
      <c r="J10" s="2">
        <f>F10+300</f>
        <v>5600</v>
      </c>
      <c r="K10" s="2">
        <v>5600</v>
      </c>
      <c r="L10" s="7">
        <f t="shared" ref="L10" si="6">J10-E10</f>
        <v>300</v>
      </c>
      <c r="M10" s="7">
        <f t="shared" ref="M10" si="7">K10-E10</f>
        <v>300</v>
      </c>
      <c r="N10" s="7">
        <f t="shared" ref="N10" si="8">K10-J10</f>
        <v>0</v>
      </c>
      <c r="O10" s="65"/>
      <c r="P10" s="65"/>
    </row>
    <row r="11" spans="3:17">
      <c r="C11" s="2" t="s">
        <v>222</v>
      </c>
      <c r="D11" s="2" t="s">
        <v>111</v>
      </c>
      <c r="E11" s="2">
        <v>20</v>
      </c>
      <c r="F11" s="2">
        <v>20</v>
      </c>
      <c r="G11" s="65"/>
      <c r="H11" s="65"/>
      <c r="I11" s="65"/>
      <c r="J11" s="2">
        <v>20</v>
      </c>
      <c r="K11" s="2">
        <v>0</v>
      </c>
      <c r="L11" s="7">
        <f t="shared" ref="L11" si="9">J11-E11</f>
        <v>0</v>
      </c>
      <c r="M11" s="7">
        <f t="shared" ref="M11" si="10">K11-E11</f>
        <v>-20</v>
      </c>
      <c r="N11" s="7">
        <f t="shared" ref="N11" si="11">K11-J11</f>
        <v>-20</v>
      </c>
      <c r="O11" s="65"/>
      <c r="P11" s="65"/>
    </row>
    <row r="12" spans="3:17">
      <c r="C12" s="2" t="s">
        <v>218</v>
      </c>
      <c r="D12" s="2" t="s">
        <v>111</v>
      </c>
      <c r="E12" s="2">
        <v>300</v>
      </c>
      <c r="F12" s="2">
        <v>300</v>
      </c>
      <c r="G12" s="65"/>
      <c r="H12" s="65"/>
      <c r="I12" s="65"/>
      <c r="J12" s="2">
        <v>250</v>
      </c>
      <c r="K12" s="2">
        <v>220</v>
      </c>
      <c r="L12" s="7">
        <f t="shared" ref="L12:L16" si="12">J12-E12</f>
        <v>-50</v>
      </c>
      <c r="M12" s="7">
        <f t="shared" ref="M12:M16" si="13">K12-E12</f>
        <v>-80</v>
      </c>
      <c r="N12" s="7">
        <f t="shared" ref="N12:N16" si="14">K12-J12</f>
        <v>-30</v>
      </c>
      <c r="O12" s="65"/>
      <c r="P12" s="65"/>
    </row>
    <row r="13" spans="3:17">
      <c r="C13" s="2" t="s">
        <v>217</v>
      </c>
      <c r="D13" s="2" t="s">
        <v>111</v>
      </c>
      <c r="E13" s="2">
        <v>950</v>
      </c>
      <c r="F13" s="2">
        <v>950</v>
      </c>
      <c r="G13" s="65"/>
      <c r="H13" s="65"/>
      <c r="I13" s="65"/>
      <c r="J13" s="2">
        <v>700</v>
      </c>
      <c r="K13" s="2">
        <v>730</v>
      </c>
      <c r="L13" s="7">
        <f t="shared" si="12"/>
        <v>-250</v>
      </c>
      <c r="M13" s="7">
        <f t="shared" si="13"/>
        <v>-220</v>
      </c>
      <c r="N13" s="7">
        <f t="shared" si="14"/>
        <v>30</v>
      </c>
      <c r="O13" s="65"/>
      <c r="P13" s="65"/>
    </row>
    <row r="14" spans="3:17">
      <c r="C14" s="2" t="s">
        <v>219</v>
      </c>
      <c r="D14" s="2" t="s">
        <v>111</v>
      </c>
      <c r="E14" s="2">
        <v>45</v>
      </c>
      <c r="F14" s="2">
        <v>45</v>
      </c>
      <c r="G14" s="65"/>
      <c r="H14" s="65"/>
      <c r="I14" s="65"/>
      <c r="J14" s="2">
        <v>45</v>
      </c>
      <c r="K14" s="2">
        <v>45</v>
      </c>
      <c r="L14" s="7">
        <f t="shared" si="12"/>
        <v>0</v>
      </c>
      <c r="M14" s="7">
        <f t="shared" si="13"/>
        <v>0</v>
      </c>
      <c r="N14" s="7">
        <f t="shared" si="14"/>
        <v>0</v>
      </c>
      <c r="O14" s="65"/>
      <c r="P14" s="65"/>
    </row>
    <row r="15" spans="3:17">
      <c r="C15" s="2" t="s">
        <v>221</v>
      </c>
      <c r="D15" s="2" t="s">
        <v>111</v>
      </c>
      <c r="E15" s="2">
        <v>40</v>
      </c>
      <c r="F15" s="2">
        <v>40</v>
      </c>
      <c r="G15" s="65"/>
      <c r="H15" s="65"/>
      <c r="I15" s="65"/>
      <c r="J15" s="2">
        <v>40</v>
      </c>
      <c r="K15" s="2">
        <v>40</v>
      </c>
      <c r="L15" s="7"/>
      <c r="M15" s="7"/>
      <c r="N15" s="7"/>
      <c r="O15" s="65"/>
      <c r="P15" s="65"/>
    </row>
    <row r="16" spans="3:17" ht="15.6">
      <c r="C16" s="136" t="s">
        <v>220</v>
      </c>
      <c r="D16" s="136" t="s">
        <v>111</v>
      </c>
      <c r="E16" s="136">
        <f>SUM(E10:E15)</f>
        <v>6655</v>
      </c>
      <c r="F16" s="136">
        <f>SUM(F10:F15)</f>
        <v>6655</v>
      </c>
      <c r="G16" s="137"/>
      <c r="H16" s="137"/>
      <c r="I16" s="137"/>
      <c r="J16" s="136">
        <f>SUM(J10:J15)</f>
        <v>6655</v>
      </c>
      <c r="K16" s="136">
        <f>SUM(K10:K15)</f>
        <v>6635</v>
      </c>
      <c r="L16" s="138">
        <f t="shared" si="12"/>
        <v>0</v>
      </c>
      <c r="M16" s="138">
        <f t="shared" si="13"/>
        <v>-20</v>
      </c>
      <c r="N16" s="138">
        <f t="shared" si="14"/>
        <v>-20</v>
      </c>
      <c r="O16" s="65"/>
      <c r="P16" s="65"/>
    </row>
    <row r="17" spans="3:26">
      <c r="C17" s="2" t="s">
        <v>13</v>
      </c>
      <c r="D17" s="2" t="s">
        <v>14</v>
      </c>
      <c r="E17" s="2">
        <v>134</v>
      </c>
      <c r="F17" s="2">
        <v>133</v>
      </c>
      <c r="G17" s="2">
        <v>135</v>
      </c>
      <c r="H17" s="65"/>
      <c r="I17" s="65"/>
      <c r="J17" s="2">
        <v>133</v>
      </c>
      <c r="K17" s="2">
        <v>136</v>
      </c>
      <c r="L17" s="7">
        <f t="shared" ref="L17:L20" si="15">J17-E17</f>
        <v>-1</v>
      </c>
      <c r="M17" s="7">
        <f t="shared" ref="M17:M20" si="16">K17-E17</f>
        <v>2</v>
      </c>
      <c r="N17" s="7">
        <f t="shared" ref="N17:N20" si="17">K17-J17</f>
        <v>3</v>
      </c>
      <c r="O17" s="65"/>
      <c r="P17" s="65"/>
    </row>
    <row r="18" spans="3:26">
      <c r="C18" s="2" t="s">
        <v>11</v>
      </c>
      <c r="D18" s="2" t="s">
        <v>14</v>
      </c>
      <c r="E18" s="2">
        <v>50</v>
      </c>
      <c r="F18" s="2">
        <v>50</v>
      </c>
      <c r="G18" s="2">
        <v>51</v>
      </c>
      <c r="H18" s="65"/>
      <c r="I18" s="65"/>
      <c r="J18" s="2">
        <v>49</v>
      </c>
      <c r="K18" s="2">
        <v>48</v>
      </c>
      <c r="L18" s="7">
        <f t="shared" si="15"/>
        <v>-1</v>
      </c>
      <c r="M18" s="7">
        <f t="shared" si="16"/>
        <v>-2</v>
      </c>
      <c r="N18" s="7">
        <f t="shared" si="17"/>
        <v>-1</v>
      </c>
      <c r="O18" s="65"/>
      <c r="P18" s="65"/>
    </row>
    <row r="19" spans="3:26">
      <c r="C19" s="2" t="s">
        <v>12</v>
      </c>
      <c r="D19" s="2" t="s">
        <v>14</v>
      </c>
      <c r="E19" s="2">
        <v>33</v>
      </c>
      <c r="F19" s="2">
        <v>32</v>
      </c>
      <c r="G19" s="2">
        <v>34</v>
      </c>
      <c r="H19" s="65"/>
      <c r="I19" s="65"/>
      <c r="J19" s="2">
        <v>34</v>
      </c>
      <c r="K19" s="2">
        <v>38</v>
      </c>
      <c r="L19" s="7">
        <f t="shared" si="15"/>
        <v>1</v>
      </c>
      <c r="M19" s="7">
        <f t="shared" si="16"/>
        <v>5</v>
      </c>
      <c r="N19" s="7">
        <f t="shared" si="17"/>
        <v>4</v>
      </c>
      <c r="O19" s="65"/>
      <c r="P19" s="65"/>
    </row>
    <row r="20" spans="3:26">
      <c r="C20" s="2" t="s">
        <v>15</v>
      </c>
      <c r="D20" s="2" t="s">
        <v>16</v>
      </c>
      <c r="E20" s="2">
        <v>3</v>
      </c>
      <c r="F20" s="2">
        <v>0</v>
      </c>
      <c r="G20" s="65"/>
      <c r="H20" s="65"/>
      <c r="I20" s="65"/>
      <c r="J20" s="2">
        <v>2</v>
      </c>
      <c r="K20" s="2">
        <v>3</v>
      </c>
      <c r="L20" s="7">
        <f t="shared" si="15"/>
        <v>-1</v>
      </c>
      <c r="M20" s="7">
        <f t="shared" si="16"/>
        <v>0</v>
      </c>
      <c r="N20" s="7">
        <f t="shared" si="17"/>
        <v>1</v>
      </c>
      <c r="O20" s="65"/>
      <c r="P20" s="65"/>
    </row>
    <row r="22" spans="3:26">
      <c r="C22" s="1" t="s">
        <v>22</v>
      </c>
    </row>
    <row r="23" spans="3:26" ht="30.9" customHeight="1">
      <c r="C23" s="191" t="s">
        <v>23</v>
      </c>
      <c r="D23" s="191"/>
      <c r="E23" s="191"/>
      <c r="F23" s="191"/>
      <c r="G23" s="191"/>
      <c r="H23" s="191"/>
      <c r="I23" s="191"/>
      <c r="J23" s="191"/>
      <c r="K23" s="191"/>
      <c r="L23" s="191"/>
      <c r="M23" s="191"/>
      <c r="N23" s="191"/>
      <c r="O23" s="191"/>
      <c r="P23" s="191"/>
    </row>
    <row r="24" spans="3:26">
      <c r="C24" s="1"/>
    </row>
    <row r="25" spans="3:26">
      <c r="C25" s="1"/>
      <c r="Q25" s="1" t="s">
        <v>24</v>
      </c>
    </row>
    <row r="26" spans="3:26" ht="39.9" customHeight="1">
      <c r="Q26" s="180" t="s">
        <v>25</v>
      </c>
      <c r="R26" s="181"/>
      <c r="S26" s="10" t="s">
        <v>26</v>
      </c>
      <c r="T26" s="10" t="s">
        <v>8</v>
      </c>
      <c r="U26" s="10" t="s">
        <v>79</v>
      </c>
      <c r="V26" s="10" t="s">
        <v>9</v>
      </c>
      <c r="W26" s="10" t="s">
        <v>10</v>
      </c>
      <c r="X26" s="176" t="s">
        <v>19</v>
      </c>
      <c r="Y26" s="177"/>
      <c r="Z26" s="178"/>
    </row>
    <row r="27" spans="3:26" ht="17.399999999999999">
      <c r="C27" s="40"/>
      <c r="D27" s="40"/>
      <c r="E27" s="40"/>
      <c r="F27" s="40"/>
      <c r="G27" s="40"/>
      <c r="H27" s="40"/>
      <c r="I27" s="40"/>
      <c r="J27" s="40"/>
      <c r="Q27" s="182"/>
      <c r="R27" s="183"/>
      <c r="S27" s="54" t="s">
        <v>27</v>
      </c>
      <c r="T27" s="54" t="s">
        <v>28</v>
      </c>
      <c r="U27" s="54">
        <v>3</v>
      </c>
      <c r="V27" s="54">
        <v>4</v>
      </c>
      <c r="W27" s="54">
        <v>5</v>
      </c>
      <c r="X27" s="54" t="s">
        <v>81</v>
      </c>
      <c r="Y27" s="54" t="s">
        <v>80</v>
      </c>
      <c r="Z27" s="54" t="s">
        <v>21</v>
      </c>
    </row>
    <row r="28" spans="3:26" ht="17.399999999999999">
      <c r="C28" s="186"/>
      <c r="D28" s="186"/>
      <c r="E28" s="42"/>
      <c r="F28" s="42"/>
      <c r="G28" s="42"/>
      <c r="H28" s="42"/>
      <c r="I28" s="42"/>
      <c r="J28" s="42"/>
      <c r="Q28" s="11" t="s">
        <v>29</v>
      </c>
      <c r="R28" s="12"/>
      <c r="S28" s="13"/>
      <c r="T28" s="13"/>
      <c r="U28" s="13"/>
      <c r="V28" s="13"/>
      <c r="W28" s="13"/>
      <c r="X28" s="13"/>
      <c r="Y28" s="13"/>
      <c r="Z28" s="13"/>
    </row>
    <row r="29" spans="3:26" ht="17.399999999999999">
      <c r="C29" s="41"/>
      <c r="D29" s="41"/>
      <c r="E29" s="43"/>
      <c r="F29" s="43"/>
      <c r="G29" s="43"/>
      <c r="H29" s="43"/>
      <c r="I29" s="43"/>
      <c r="J29" s="43"/>
      <c r="Q29" s="14" t="s">
        <v>30</v>
      </c>
      <c r="R29" s="15" t="s">
        <v>31</v>
      </c>
      <c r="S29" s="16">
        <v>810862639326</v>
      </c>
      <c r="T29" s="16">
        <v>865955395270</v>
      </c>
      <c r="U29" s="16">
        <f>T29/12*5</f>
        <v>360814748029.16663</v>
      </c>
      <c r="V29" s="16">
        <v>961497004235</v>
      </c>
      <c r="W29" s="16">
        <v>1091369996040.4021</v>
      </c>
      <c r="X29" s="17">
        <f>IF(ISERROR(W29/S29),0,W29/S29)</f>
        <v>1.3459369603556572</v>
      </c>
      <c r="Y29" s="17">
        <f t="shared" ref="Y29" si="18">IF(ISERROR(V29/S29),0,V29/S29)</f>
        <v>1.1857705085958941</v>
      </c>
      <c r="Z29" s="17">
        <f t="shared" ref="Z29" si="19">IF(ISERROR(W29/V29),0,W29/V29)</f>
        <v>1.1350737352621638</v>
      </c>
    </row>
    <row r="30" spans="3:26" ht="17.399999999999999">
      <c r="C30" s="37"/>
      <c r="D30" s="36"/>
      <c r="E30" s="44"/>
      <c r="F30" s="44"/>
      <c r="G30" s="44"/>
      <c r="H30" s="44"/>
      <c r="I30" s="44"/>
      <c r="J30" s="44"/>
      <c r="Q30" s="14" t="s">
        <v>32</v>
      </c>
      <c r="R30" s="15" t="s">
        <v>33</v>
      </c>
      <c r="S30" s="16">
        <v>0</v>
      </c>
      <c r="T30" s="16">
        <v>14132982107</v>
      </c>
      <c r="U30" s="16">
        <f t="shared" ref="U30:U33" si="20">T30/12*5</f>
        <v>5888742544.583334</v>
      </c>
      <c r="V30" s="16">
        <v>30961430082</v>
      </c>
      <c r="W30" s="16">
        <v>39328779777.463287</v>
      </c>
      <c r="X30" s="17">
        <f t="shared" ref="X30:X46" si="21">IF(ISERROR(W30/S30),0,W30/S30)</f>
        <v>0</v>
      </c>
      <c r="Y30" s="17">
        <f>IF(ISERROR(V30/S30),0,V30/S30)</f>
        <v>0</v>
      </c>
      <c r="Z30" s="17">
        <f>IF(ISERROR(W30/V30),0,W30/V30)</f>
        <v>1.2702507498297955</v>
      </c>
    </row>
    <row r="31" spans="3:26" ht="17.399999999999999">
      <c r="C31" s="45"/>
      <c r="D31" s="37"/>
      <c r="E31" s="46"/>
      <c r="F31" s="46"/>
      <c r="G31" s="46"/>
      <c r="H31" s="46"/>
      <c r="I31" s="46"/>
      <c r="J31" s="46"/>
      <c r="Q31" s="14" t="s">
        <v>34</v>
      </c>
      <c r="R31" s="15" t="s">
        <v>35</v>
      </c>
      <c r="S31" s="16">
        <v>0</v>
      </c>
      <c r="T31" s="16">
        <v>0</v>
      </c>
      <c r="U31" s="16">
        <f t="shared" si="20"/>
        <v>0</v>
      </c>
      <c r="V31" s="16">
        <v>0</v>
      </c>
      <c r="W31" s="16">
        <v>0</v>
      </c>
      <c r="X31" s="17">
        <f t="shared" si="21"/>
        <v>0</v>
      </c>
      <c r="Y31" s="17">
        <f>IF(ISERROR(V31/S31),0,V31/S31)</f>
        <v>0</v>
      </c>
      <c r="Z31" s="17">
        <f>IF(ISERROR(W31/V31),0,W31/V31)</f>
        <v>0</v>
      </c>
    </row>
    <row r="32" spans="3:26" ht="17.399999999999999">
      <c r="C32" s="45"/>
      <c r="D32" s="37"/>
      <c r="E32" s="46"/>
      <c r="F32" s="46"/>
      <c r="G32" s="46"/>
      <c r="H32" s="46"/>
      <c r="I32" s="46"/>
      <c r="J32" s="46"/>
      <c r="Q32" s="14" t="s">
        <v>36</v>
      </c>
      <c r="R32" s="15" t="s">
        <v>37</v>
      </c>
      <c r="S32" s="16">
        <v>0</v>
      </c>
      <c r="T32" s="16">
        <v>0</v>
      </c>
      <c r="U32" s="16">
        <f t="shared" si="20"/>
        <v>0</v>
      </c>
      <c r="V32" s="16">
        <v>0</v>
      </c>
      <c r="W32" s="16">
        <v>0</v>
      </c>
      <c r="X32" s="17">
        <f t="shared" si="21"/>
        <v>0</v>
      </c>
      <c r="Y32" s="17">
        <f>IF(ISERROR(V32/S32),0,V32/S32)</f>
        <v>0</v>
      </c>
      <c r="Z32" s="17">
        <f>IF(ISERROR(W32/V32),0,W32/V32)</f>
        <v>0</v>
      </c>
    </row>
    <row r="33" spans="3:26" ht="17.399999999999999">
      <c r="C33" s="45"/>
      <c r="D33" s="37"/>
      <c r="E33" s="46"/>
      <c r="F33" s="46"/>
      <c r="G33" s="46"/>
      <c r="H33" s="46"/>
      <c r="I33" s="46"/>
      <c r="J33" s="46"/>
      <c r="Q33" s="14"/>
      <c r="R33" s="15" t="s">
        <v>38</v>
      </c>
      <c r="S33" s="16">
        <v>0</v>
      </c>
      <c r="T33" s="16">
        <v>0</v>
      </c>
      <c r="U33" s="16">
        <f t="shared" si="20"/>
        <v>0</v>
      </c>
      <c r="V33" s="16">
        <v>0</v>
      </c>
      <c r="W33" s="16">
        <v>0</v>
      </c>
      <c r="X33" s="17">
        <f t="shared" si="21"/>
        <v>0</v>
      </c>
      <c r="Y33" s="17">
        <f>IF(ISERROR(V33/S33),0,V33/S33)</f>
        <v>0</v>
      </c>
      <c r="Z33" s="17">
        <f>IF(ISERROR(W33/V33),0,W33/V33)</f>
        <v>0</v>
      </c>
    </row>
    <row r="34" spans="3:26" ht="17.399999999999999">
      <c r="C34" s="45"/>
      <c r="D34" s="37"/>
      <c r="E34" s="46"/>
      <c r="F34" s="46"/>
      <c r="G34" s="46"/>
      <c r="H34" s="46"/>
      <c r="I34" s="46"/>
      <c r="J34" s="46"/>
      <c r="Q34" s="18"/>
      <c r="R34" s="19" t="s">
        <v>39</v>
      </c>
      <c r="S34" s="20">
        <f>SUM(S29:S33)</f>
        <v>810862639326</v>
      </c>
      <c r="T34" s="20">
        <f t="shared" ref="T34:W34" si="22">SUM(T29:T33)</f>
        <v>880088377377</v>
      </c>
      <c r="U34" s="20">
        <f t="shared" si="22"/>
        <v>366703490573.74994</v>
      </c>
      <c r="V34" s="20">
        <f t="shared" si="22"/>
        <v>992458434317</v>
      </c>
      <c r="W34" s="20">
        <f t="shared" si="22"/>
        <v>1130698775817.8655</v>
      </c>
      <c r="X34" s="17">
        <f t="shared" si="21"/>
        <v>1.3944393550524385</v>
      </c>
      <c r="Y34" s="17">
        <f t="shared" ref="Y34" si="23">IF(ISERROR(V34/S34),0,V34/S34)</f>
        <v>1.2239538316156049</v>
      </c>
      <c r="Z34" s="17">
        <f t="shared" ref="Z34" si="24">IF(ISERROR(W34/V34),0,W34/V34)</f>
        <v>1.1392908123109469</v>
      </c>
    </row>
    <row r="35" spans="3:26" ht="17.399999999999999">
      <c r="C35" s="45"/>
      <c r="D35" s="37"/>
      <c r="E35" s="46"/>
      <c r="F35" s="46"/>
      <c r="G35" s="46"/>
      <c r="H35" s="46"/>
      <c r="I35" s="46"/>
      <c r="J35" s="46"/>
      <c r="Q35" s="14" t="s">
        <v>40</v>
      </c>
      <c r="R35" s="15" t="s">
        <v>41</v>
      </c>
      <c r="S35" s="16">
        <v>45048696500</v>
      </c>
      <c r="T35" s="16">
        <v>51360511500</v>
      </c>
      <c r="U35" s="16">
        <f t="shared" ref="U35:U41" si="25">T35/12*5</f>
        <v>21400213125</v>
      </c>
      <c r="V35" s="16">
        <v>100900291000</v>
      </c>
      <c r="W35" s="16">
        <v>106575455760.28873</v>
      </c>
      <c r="X35" s="17">
        <f t="shared" si="21"/>
        <v>2.3657833420394025</v>
      </c>
      <c r="Y35" s="17">
        <f t="shared" ref="Y35:Y59" si="26">IF(ISERROR(V35/S35),0,V35/S35)</f>
        <v>2.2398048964635415</v>
      </c>
      <c r="Z35" s="17">
        <f t="shared" ref="Z35:Z59" si="27">IF(ISERROR(W35/V35),0,W35/V35)</f>
        <v>1.0562452764411623</v>
      </c>
    </row>
    <row r="36" spans="3:26" ht="17.399999999999999">
      <c r="C36" s="45"/>
      <c r="D36" s="36"/>
      <c r="E36" s="47"/>
      <c r="F36" s="47"/>
      <c r="G36" s="47"/>
      <c r="H36" s="47"/>
      <c r="I36" s="47"/>
      <c r="J36" s="47"/>
      <c r="Q36" s="14" t="s">
        <v>42</v>
      </c>
      <c r="R36" s="15" t="s">
        <v>43</v>
      </c>
      <c r="S36" s="16">
        <v>86072813121</v>
      </c>
      <c r="T36" s="16">
        <v>75799168087</v>
      </c>
      <c r="U36" s="16">
        <f t="shared" si="25"/>
        <v>31582986702.916664</v>
      </c>
      <c r="V36" s="16">
        <v>75678681014</v>
      </c>
      <c r="W36" s="16">
        <v>55659740875.007019</v>
      </c>
      <c r="X36" s="17">
        <f t="shared" si="21"/>
        <v>0.64665878640170971</v>
      </c>
      <c r="Y36" s="17">
        <f t="shared" si="26"/>
        <v>0.87924024171966975</v>
      </c>
      <c r="Z36" s="17">
        <f t="shared" si="27"/>
        <v>0.73547451051254942</v>
      </c>
    </row>
    <row r="37" spans="3:26" ht="17.399999999999999">
      <c r="C37" s="45"/>
      <c r="D37" s="37"/>
      <c r="E37" s="46"/>
      <c r="F37" s="46"/>
      <c r="G37" s="46"/>
      <c r="H37" s="46"/>
      <c r="I37" s="46"/>
      <c r="J37" s="46"/>
      <c r="Q37" s="14" t="s">
        <v>44</v>
      </c>
      <c r="R37" s="15" t="s">
        <v>45</v>
      </c>
      <c r="S37" s="16">
        <v>0</v>
      </c>
      <c r="T37" s="16">
        <v>0</v>
      </c>
      <c r="U37" s="16">
        <f t="shared" si="25"/>
        <v>0</v>
      </c>
      <c r="V37" s="16">
        <v>0</v>
      </c>
      <c r="W37" s="16">
        <v>0</v>
      </c>
      <c r="X37" s="17">
        <f t="shared" si="21"/>
        <v>0</v>
      </c>
      <c r="Y37" s="17">
        <f t="shared" si="26"/>
        <v>0</v>
      </c>
      <c r="Z37" s="17">
        <f t="shared" si="27"/>
        <v>0</v>
      </c>
    </row>
    <row r="38" spans="3:26" ht="17.399999999999999">
      <c r="C38" s="45"/>
      <c r="D38" s="37"/>
      <c r="E38" s="46"/>
      <c r="F38" s="46"/>
      <c r="G38" s="46"/>
      <c r="H38" s="46"/>
      <c r="I38" s="46"/>
      <c r="J38" s="46"/>
      <c r="Q38" s="21" t="s">
        <v>46</v>
      </c>
      <c r="R38" s="15" t="s">
        <v>47</v>
      </c>
      <c r="S38" s="16">
        <v>0</v>
      </c>
      <c r="T38" s="16">
        <v>0</v>
      </c>
      <c r="U38" s="16">
        <f t="shared" si="25"/>
        <v>0</v>
      </c>
      <c r="V38" s="16">
        <v>0</v>
      </c>
      <c r="W38" s="16">
        <v>0</v>
      </c>
      <c r="X38" s="17">
        <f t="shared" si="21"/>
        <v>0</v>
      </c>
      <c r="Y38" s="17">
        <f t="shared" si="26"/>
        <v>0</v>
      </c>
      <c r="Z38" s="17">
        <f t="shared" si="27"/>
        <v>0</v>
      </c>
    </row>
    <row r="39" spans="3:26" ht="17.399999999999999">
      <c r="C39" s="45"/>
      <c r="D39" s="37"/>
      <c r="E39" s="46"/>
      <c r="F39" s="46"/>
      <c r="G39" s="46"/>
      <c r="H39" s="46"/>
      <c r="I39" s="46"/>
      <c r="J39" s="46"/>
      <c r="Q39" s="14" t="s">
        <v>48</v>
      </c>
      <c r="R39" s="15" t="s">
        <v>49</v>
      </c>
      <c r="S39" s="16">
        <v>431942664108</v>
      </c>
      <c r="T39" s="16">
        <v>459329580716</v>
      </c>
      <c r="U39" s="16">
        <f t="shared" si="25"/>
        <v>191387325298.33331</v>
      </c>
      <c r="V39" s="16">
        <v>480400759634</v>
      </c>
      <c r="W39" s="16">
        <v>455219400906.38013</v>
      </c>
      <c r="X39" s="17">
        <f t="shared" si="21"/>
        <v>1.053888487367759</v>
      </c>
      <c r="Y39" s="17">
        <f t="shared" si="26"/>
        <v>1.1121864070224929</v>
      </c>
      <c r="Z39" s="17">
        <f t="shared" si="27"/>
        <v>0.94758260010495265</v>
      </c>
    </row>
    <row r="40" spans="3:26" ht="17.399999999999999">
      <c r="C40" s="48"/>
      <c r="D40" s="37"/>
      <c r="E40" s="46"/>
      <c r="F40" s="46"/>
      <c r="G40" s="46"/>
      <c r="H40" s="46"/>
      <c r="I40" s="46"/>
      <c r="J40" s="46"/>
      <c r="Q40" s="14" t="s">
        <v>50</v>
      </c>
      <c r="R40" s="15" t="s">
        <v>51</v>
      </c>
      <c r="S40" s="16">
        <v>22363776</v>
      </c>
      <c r="T40" s="16">
        <v>103046784</v>
      </c>
      <c r="U40" s="16">
        <f t="shared" si="25"/>
        <v>42936160</v>
      </c>
      <c r="V40" s="16">
        <v>228079275</v>
      </c>
      <c r="W40" s="16">
        <v>0</v>
      </c>
      <c r="X40" s="17">
        <f t="shared" si="21"/>
        <v>0</v>
      </c>
      <c r="Y40" s="17">
        <f t="shared" si="26"/>
        <v>10.19860308920998</v>
      </c>
      <c r="Z40" s="17">
        <f t="shared" si="27"/>
        <v>0</v>
      </c>
    </row>
    <row r="41" spans="3:26" ht="17.399999999999999">
      <c r="C41" s="45"/>
      <c r="D41" s="37"/>
      <c r="E41" s="46"/>
      <c r="F41" s="46"/>
      <c r="G41" s="46"/>
      <c r="H41" s="46"/>
      <c r="I41" s="46"/>
      <c r="J41" s="46"/>
      <c r="Q41" s="14" t="s">
        <v>52</v>
      </c>
      <c r="R41" s="15" t="s">
        <v>53</v>
      </c>
      <c r="S41" s="16">
        <v>639015023272</v>
      </c>
      <c r="T41" s="16">
        <v>652634177971</v>
      </c>
      <c r="U41" s="16">
        <f t="shared" si="25"/>
        <v>271930907487.91669</v>
      </c>
      <c r="V41" s="16">
        <v>859478218593</v>
      </c>
      <c r="W41" s="16">
        <v>731089510097.20251</v>
      </c>
      <c r="X41" s="17">
        <f t="shared" si="21"/>
        <v>1.1440881410796042</v>
      </c>
      <c r="Y41" s="17">
        <f t="shared" si="26"/>
        <v>1.3450047139614099</v>
      </c>
      <c r="Z41" s="17">
        <f t="shared" si="27"/>
        <v>0.85062017196203654</v>
      </c>
    </row>
    <row r="42" spans="3:26" ht="17.399999999999999">
      <c r="C42" s="45"/>
      <c r="D42" s="37"/>
      <c r="E42" s="46"/>
      <c r="F42" s="46"/>
      <c r="G42" s="46"/>
      <c r="H42" s="46"/>
      <c r="I42" s="46"/>
      <c r="J42" s="46"/>
      <c r="Q42" s="14"/>
      <c r="R42" s="113" t="s">
        <v>170</v>
      </c>
      <c r="S42" s="16">
        <v>301015023272</v>
      </c>
      <c r="T42" s="16">
        <v>332634177971</v>
      </c>
      <c r="U42" s="16">
        <v>141200177811</v>
      </c>
      <c r="V42" s="114">
        <v>338880426746.40002</v>
      </c>
      <c r="W42" s="114">
        <v>288258526873.59113</v>
      </c>
      <c r="X42" s="17">
        <f t="shared" ref="X42:X43" si="28">IF(ISERROR(W42/S42),0,W42/S42)</f>
        <v>0.95762172844482252</v>
      </c>
      <c r="Y42" s="17">
        <f t="shared" ref="Y42:Y43" si="29">IF(ISERROR(V42/S42),0,V42/S42)</f>
        <v>1.1257924041890244</v>
      </c>
      <c r="Z42" s="17">
        <f t="shared" ref="Z42:Z43" si="30">IF(ISERROR(W42/V42),0,W42/V42)</f>
        <v>0.85062017196203654</v>
      </c>
    </row>
    <row r="43" spans="3:26" ht="17.399999999999999">
      <c r="C43" s="45"/>
      <c r="D43" s="37"/>
      <c r="E43" s="46"/>
      <c r="F43" s="46"/>
      <c r="G43" s="46"/>
      <c r="H43" s="46"/>
      <c r="I43" s="46"/>
      <c r="J43" s="46"/>
      <c r="Q43" s="14"/>
      <c r="R43" s="113" t="s">
        <v>169</v>
      </c>
      <c r="S43" s="114">
        <f>S41-S42</f>
        <v>338000000000</v>
      </c>
      <c r="T43" s="114">
        <f t="shared" ref="T43:W43" si="31">T41-T42</f>
        <v>320000000000</v>
      </c>
      <c r="U43" s="114">
        <f t="shared" si="31"/>
        <v>130730729676.91669</v>
      </c>
      <c r="V43" s="114">
        <f t="shared" si="31"/>
        <v>520597791846.59998</v>
      </c>
      <c r="W43" s="114">
        <f t="shared" si="31"/>
        <v>442830983223.61139</v>
      </c>
      <c r="X43" s="17">
        <f t="shared" si="28"/>
        <v>1.3101508379396787</v>
      </c>
      <c r="Y43" s="17">
        <f t="shared" si="29"/>
        <v>1.5402301533923075</v>
      </c>
      <c r="Z43" s="17">
        <f t="shared" si="30"/>
        <v>0.85062017196203654</v>
      </c>
    </row>
    <row r="44" spans="3:26" ht="17.399999999999999">
      <c r="C44" s="45"/>
      <c r="D44" s="37"/>
      <c r="E44" s="46"/>
      <c r="F44" s="46"/>
      <c r="G44" s="46"/>
      <c r="H44" s="46"/>
      <c r="I44" s="46"/>
      <c r="J44" s="46"/>
      <c r="Q44" s="22"/>
      <c r="R44" s="23" t="s">
        <v>55</v>
      </c>
      <c r="S44" s="24">
        <f>SUM(S34:S41)</f>
        <v>2012964200103</v>
      </c>
      <c r="T44" s="24">
        <f t="shared" ref="T44:W44" si="32">SUM(T34:T41)</f>
        <v>2119314862435</v>
      </c>
      <c r="U44" s="24">
        <f t="shared" si="32"/>
        <v>883047859347.91675</v>
      </c>
      <c r="V44" s="24">
        <f t="shared" si="32"/>
        <v>2509144463833</v>
      </c>
      <c r="W44" s="24">
        <f t="shared" si="32"/>
        <v>2479242883456.7441</v>
      </c>
      <c r="X44" s="25">
        <f t="shared" si="21"/>
        <v>1.2316378420092546</v>
      </c>
      <c r="Y44" s="25">
        <f t="shared" si="26"/>
        <v>1.2464923438303628</v>
      </c>
      <c r="Z44" s="25">
        <f t="shared" si="27"/>
        <v>0.98808295783393119</v>
      </c>
    </row>
    <row r="45" spans="3:26" ht="17.399999999999999">
      <c r="C45" s="45"/>
      <c r="D45" s="37"/>
      <c r="E45" s="46"/>
      <c r="F45" s="46"/>
      <c r="G45" s="46"/>
      <c r="H45" s="46"/>
      <c r="I45" s="46"/>
      <c r="J45" s="46"/>
      <c r="Q45" s="26" t="s">
        <v>54</v>
      </c>
      <c r="R45" s="27" t="s">
        <v>56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f t="shared" si="21"/>
        <v>0</v>
      </c>
      <c r="Y45" s="17">
        <f t="shared" si="26"/>
        <v>0</v>
      </c>
      <c r="Z45" s="17">
        <f t="shared" si="27"/>
        <v>0</v>
      </c>
    </row>
    <row r="46" spans="3:26" ht="17.399999999999999">
      <c r="C46" s="36"/>
      <c r="D46" s="36"/>
      <c r="E46" s="49"/>
      <c r="F46" s="49"/>
      <c r="G46" s="49"/>
      <c r="H46" s="49"/>
      <c r="I46" s="49"/>
      <c r="J46" s="49"/>
      <c r="Q46" s="28"/>
      <c r="R46" s="23" t="s">
        <v>55</v>
      </c>
      <c r="S46" s="29">
        <f>S44+S45</f>
        <v>2012964200103</v>
      </c>
      <c r="T46" s="29">
        <f t="shared" ref="T46:W46" si="33">T44+T45</f>
        <v>2119314862435</v>
      </c>
      <c r="U46" s="29">
        <f t="shared" si="33"/>
        <v>883047859347.91675</v>
      </c>
      <c r="V46" s="29">
        <f t="shared" si="33"/>
        <v>2509144463833</v>
      </c>
      <c r="W46" s="29">
        <f t="shared" si="33"/>
        <v>2479242883456.7441</v>
      </c>
      <c r="X46" s="30">
        <f t="shared" si="21"/>
        <v>1.2316378420092546</v>
      </c>
      <c r="Y46" s="30">
        <f t="shared" si="26"/>
        <v>1.2464923438303628</v>
      </c>
      <c r="Z46" s="30">
        <f t="shared" si="27"/>
        <v>0.98808295783393119</v>
      </c>
    </row>
    <row r="47" spans="3:26" ht="17.399999999999999">
      <c r="C47" s="45"/>
      <c r="D47" s="37"/>
      <c r="E47" s="46"/>
      <c r="F47" s="46"/>
      <c r="G47" s="46"/>
      <c r="H47" s="46"/>
      <c r="I47" s="46"/>
      <c r="J47" s="46"/>
      <c r="Q47" s="107" t="s">
        <v>57</v>
      </c>
      <c r="R47" s="31" t="s">
        <v>57</v>
      </c>
      <c r="S47" s="108">
        <v>-153440115859</v>
      </c>
      <c r="T47" s="108">
        <v>-121727456532</v>
      </c>
      <c r="U47" s="108">
        <f>T47/12*5</f>
        <v>-50719773555</v>
      </c>
      <c r="V47" s="108">
        <v>-83279941263</v>
      </c>
      <c r="W47" s="108">
        <v>-87562175557.373993</v>
      </c>
      <c r="X47" s="17">
        <f>IF(ISERROR(W47/S47),0,W47/S47)</f>
        <v>0.57066025443983037</v>
      </c>
      <c r="Y47" s="17">
        <f t="shared" si="26"/>
        <v>0.5427520749497351</v>
      </c>
      <c r="Z47" s="17">
        <f t="shared" si="27"/>
        <v>1.0514197564195031</v>
      </c>
    </row>
    <row r="48" spans="3:26" ht="17.399999999999999">
      <c r="C48" s="37"/>
      <c r="D48" s="36"/>
      <c r="E48" s="46"/>
      <c r="F48" s="46"/>
      <c r="G48" s="46"/>
      <c r="H48" s="46"/>
      <c r="I48" s="46"/>
      <c r="J48" s="46"/>
      <c r="Q48" s="109" t="s">
        <v>58</v>
      </c>
      <c r="R48" s="110" t="s">
        <v>58</v>
      </c>
      <c r="S48" s="108">
        <v>-33763489129</v>
      </c>
      <c r="T48" s="108">
        <v>-24751929788</v>
      </c>
      <c r="U48" s="108">
        <f t="shared" ref="U48:U56" si="34">T48/12*5</f>
        <v>-10313304078.333334</v>
      </c>
      <c r="V48" s="108">
        <v>-23118604907</v>
      </c>
      <c r="W48" s="108">
        <v>-27409207878.750004</v>
      </c>
      <c r="X48" s="17">
        <f t="shared" ref="X48:X58" si="35">IF(ISERROR(W48/S48),0,W48/S48)</f>
        <v>0.81180021928503232</v>
      </c>
      <c r="Y48" s="17">
        <f t="shared" si="26"/>
        <v>0.68472203268657628</v>
      </c>
      <c r="Z48" s="17">
        <f t="shared" si="27"/>
        <v>1.1855909121251027</v>
      </c>
    </row>
    <row r="49" spans="3:26" ht="17.399999999999999">
      <c r="C49" s="45"/>
      <c r="D49" s="37"/>
      <c r="E49" s="50"/>
      <c r="F49" s="50"/>
      <c r="G49" s="50"/>
      <c r="H49" s="50"/>
      <c r="I49" s="50"/>
      <c r="J49" s="50"/>
      <c r="Q49" s="109" t="s">
        <v>59</v>
      </c>
      <c r="R49" s="110" t="s">
        <v>59</v>
      </c>
      <c r="S49" s="108">
        <v>-50150142315</v>
      </c>
      <c r="T49" s="108">
        <v>-47854171477</v>
      </c>
      <c r="U49" s="108">
        <f t="shared" si="34"/>
        <v>-19939238115.416668</v>
      </c>
      <c r="V49" s="108">
        <v>-55072743729</v>
      </c>
      <c r="W49" s="108">
        <v>-56038699610.469994</v>
      </c>
      <c r="X49" s="17">
        <f t="shared" si="35"/>
        <v>1.1174185560328653</v>
      </c>
      <c r="Y49" s="17">
        <f t="shared" si="26"/>
        <v>1.0981572770637511</v>
      </c>
      <c r="Z49" s="17">
        <f t="shared" si="27"/>
        <v>1.0175396360534212</v>
      </c>
    </row>
    <row r="50" spans="3:26" ht="17.399999999999999">
      <c r="C50" s="45"/>
      <c r="D50" s="37"/>
      <c r="E50" s="50"/>
      <c r="F50" s="50"/>
      <c r="G50" s="50"/>
      <c r="H50" s="50"/>
      <c r="I50" s="50"/>
      <c r="J50" s="50"/>
      <c r="Q50" s="109" t="s">
        <v>60</v>
      </c>
      <c r="R50" s="110" t="s">
        <v>60</v>
      </c>
      <c r="S50" s="108">
        <v>-222368917608</v>
      </c>
      <c r="T50" s="108">
        <v>-223804037186</v>
      </c>
      <c r="U50" s="108">
        <f t="shared" si="34"/>
        <v>-93251682160.833344</v>
      </c>
      <c r="V50" s="108">
        <v>-150060315846</v>
      </c>
      <c r="W50" s="108">
        <v>-123155492774.92807</v>
      </c>
      <c r="X50" s="17">
        <f t="shared" si="35"/>
        <v>0.55383411539570937</v>
      </c>
      <c r="Y50" s="17">
        <f t="shared" si="26"/>
        <v>0.67482594896887416</v>
      </c>
      <c r="Z50" s="17">
        <f t="shared" si="27"/>
        <v>0.82070660774376147</v>
      </c>
    </row>
    <row r="51" spans="3:26" ht="17.399999999999999">
      <c r="C51" s="45"/>
      <c r="D51" s="37"/>
      <c r="E51" s="50"/>
      <c r="F51" s="50"/>
      <c r="G51" s="50"/>
      <c r="H51" s="50"/>
      <c r="I51" s="50"/>
      <c r="J51" s="50"/>
      <c r="Q51" s="109" t="s">
        <v>61</v>
      </c>
      <c r="R51" s="110" t="s">
        <v>61</v>
      </c>
      <c r="S51" s="108">
        <v>-10515268361</v>
      </c>
      <c r="T51" s="108">
        <v>-12915967029</v>
      </c>
      <c r="U51" s="108">
        <f t="shared" si="34"/>
        <v>-5381652928.75</v>
      </c>
      <c r="V51" s="108">
        <v>-16814155205</v>
      </c>
      <c r="W51" s="108">
        <v>-15926180309.435061</v>
      </c>
      <c r="X51" s="17">
        <f t="shared" si="35"/>
        <v>1.5145766862692303</v>
      </c>
      <c r="Y51" s="17">
        <f t="shared" si="26"/>
        <v>1.5990229281605304</v>
      </c>
      <c r="Z51" s="17">
        <f t="shared" si="27"/>
        <v>0.94718884863743358</v>
      </c>
    </row>
    <row r="52" spans="3:26" ht="17.399999999999999">
      <c r="C52" s="45"/>
      <c r="D52" s="37"/>
      <c r="E52" s="50"/>
      <c r="F52" s="50"/>
      <c r="G52" s="50"/>
      <c r="H52" s="50"/>
      <c r="I52" s="50"/>
      <c r="J52" s="50"/>
      <c r="Q52" s="109" t="s">
        <v>62</v>
      </c>
      <c r="R52" s="110" t="s">
        <v>62</v>
      </c>
      <c r="S52" s="108">
        <v>-588267592868</v>
      </c>
      <c r="T52" s="108">
        <v>-646716043685</v>
      </c>
      <c r="U52" s="108">
        <f t="shared" si="34"/>
        <v>-269465018202.08331</v>
      </c>
      <c r="V52" s="108">
        <v>-775333229806</v>
      </c>
      <c r="W52" s="108">
        <v>-833588050341.77991</v>
      </c>
      <c r="X52" s="17">
        <f t="shared" si="35"/>
        <v>1.4170218799199208</v>
      </c>
      <c r="Y52" s="17">
        <f t="shared" si="26"/>
        <v>1.317994122412885</v>
      </c>
      <c r="Z52" s="17">
        <f t="shared" si="27"/>
        <v>1.0751352041887281</v>
      </c>
    </row>
    <row r="53" spans="3:26" ht="17.399999999999999">
      <c r="C53" s="45"/>
      <c r="D53" s="37"/>
      <c r="E53" s="50"/>
      <c r="F53" s="50"/>
      <c r="G53" s="50"/>
      <c r="H53" s="50"/>
      <c r="I53" s="50"/>
      <c r="J53" s="50"/>
      <c r="Q53" s="109"/>
      <c r="R53" s="113" t="s">
        <v>171</v>
      </c>
      <c r="S53" s="108">
        <v>-324345055730.40002</v>
      </c>
      <c r="T53" s="108">
        <v>-346382158108</v>
      </c>
      <c r="U53" s="108">
        <v>-144325899211.66666</v>
      </c>
      <c r="V53" s="108">
        <v>-384598801694</v>
      </c>
      <c r="W53" s="108">
        <v>-436547998416.16089</v>
      </c>
      <c r="X53" s="17">
        <f t="shared" ref="X53:X54" si="36">IF(ISERROR(W53/S53),0,W53/S53)</f>
        <v>1.3459369603556572</v>
      </c>
      <c r="Y53" s="17">
        <f t="shared" ref="Y53:Y54" si="37">IF(ISERROR(V53/S53),0,V53/S53)</f>
        <v>1.1857705085958938</v>
      </c>
      <c r="Z53" s="17">
        <f t="shared" ref="Z53:Z54" si="38">IF(ISERROR(W53/V53),0,W53/V53)</f>
        <v>1.135073735262164</v>
      </c>
    </row>
    <row r="54" spans="3:26" ht="17.399999999999999">
      <c r="C54" s="45"/>
      <c r="D54" s="37"/>
      <c r="E54" s="50"/>
      <c r="F54" s="50"/>
      <c r="G54" s="50"/>
      <c r="H54" s="50"/>
      <c r="I54" s="50"/>
      <c r="J54" s="50"/>
      <c r="Q54" s="109"/>
      <c r="R54" s="113" t="s">
        <v>172</v>
      </c>
      <c r="S54" s="108">
        <f>S52-S53</f>
        <v>-263922537137.59998</v>
      </c>
      <c r="T54" s="108">
        <f t="shared" ref="T54:W54" si="39">T52-T53</f>
        <v>-300333885577</v>
      </c>
      <c r="U54" s="108">
        <f t="shared" si="39"/>
        <v>-125139118990.41666</v>
      </c>
      <c r="V54" s="108">
        <f t="shared" si="39"/>
        <v>-390734428112</v>
      </c>
      <c r="W54" s="108">
        <f t="shared" si="39"/>
        <v>-397040051925.61902</v>
      </c>
      <c r="X54" s="17">
        <f t="shared" si="36"/>
        <v>1.5043810060018339</v>
      </c>
      <c r="Y54" s="17">
        <f t="shared" si="37"/>
        <v>1.4804890569397822</v>
      </c>
      <c r="Z54" s="17">
        <f t="shared" si="38"/>
        <v>1.0161378761633248</v>
      </c>
    </row>
    <row r="55" spans="3:26" ht="17.399999999999999">
      <c r="C55" s="38"/>
      <c r="D55" s="39"/>
      <c r="E55" s="50"/>
      <c r="F55" s="50"/>
      <c r="G55" s="50"/>
      <c r="H55" s="50"/>
      <c r="I55" s="50"/>
      <c r="J55" s="50"/>
      <c r="Q55" s="109" t="s">
        <v>63</v>
      </c>
      <c r="R55" s="110" t="s">
        <v>63</v>
      </c>
      <c r="S55" s="108">
        <v>-952922291</v>
      </c>
      <c r="T55" s="108">
        <v>-1144182711</v>
      </c>
      <c r="U55" s="108">
        <f t="shared" si="34"/>
        <v>-476742796.25</v>
      </c>
      <c r="V55" s="108">
        <v>-930898801</v>
      </c>
      <c r="W55" s="108">
        <v>-1103860000</v>
      </c>
      <c r="X55" s="17">
        <f t="shared" si="35"/>
        <v>1.1583945621018115</v>
      </c>
      <c r="Y55" s="17">
        <f t="shared" si="26"/>
        <v>0.97688847222065878</v>
      </c>
      <c r="Z55" s="17">
        <f t="shared" si="27"/>
        <v>1.1858002167520247</v>
      </c>
    </row>
    <row r="56" spans="3:26" ht="17.399999999999999">
      <c r="C56" s="38"/>
      <c r="D56" s="39"/>
      <c r="E56" s="50"/>
      <c r="F56" s="50"/>
      <c r="G56" s="50"/>
      <c r="H56" s="50"/>
      <c r="I56" s="50"/>
      <c r="J56" s="50"/>
      <c r="Q56" s="109" t="s">
        <v>64</v>
      </c>
      <c r="R56" s="110" t="s">
        <v>64</v>
      </c>
      <c r="S56" s="108">
        <v>-66407485742</v>
      </c>
      <c r="T56" s="108">
        <v>-82959626626</v>
      </c>
      <c r="U56" s="108">
        <f t="shared" si="34"/>
        <v>-34566511094.166664</v>
      </c>
      <c r="V56" s="108">
        <v>-106088833995</v>
      </c>
      <c r="W56" s="108">
        <v>-104882492906.08617</v>
      </c>
      <c r="X56" s="17">
        <f t="shared" si="35"/>
        <v>1.5793775616436614</v>
      </c>
      <c r="Y56" s="17">
        <f t="shared" si="26"/>
        <v>1.5975433011749032</v>
      </c>
      <c r="Z56" s="17">
        <f t="shared" si="27"/>
        <v>0.98862895326975986</v>
      </c>
    </row>
    <row r="57" spans="3:26" ht="17.399999999999999">
      <c r="C57" s="45"/>
      <c r="D57" s="39"/>
      <c r="E57" s="50"/>
      <c r="F57" s="50"/>
      <c r="G57" s="50"/>
      <c r="H57" s="50"/>
      <c r="I57" s="50"/>
      <c r="J57" s="50"/>
      <c r="Q57" s="33"/>
      <c r="R57" s="34" t="s">
        <v>65</v>
      </c>
      <c r="S57" s="35">
        <f>SUM(S47:S56)</f>
        <v>-1714133527041</v>
      </c>
      <c r="T57" s="35">
        <f>SUM(T47:T56)</f>
        <v>-1808589458719</v>
      </c>
      <c r="U57" s="35">
        <f>SUM(U47:U56)</f>
        <v>-753578941132.9165</v>
      </c>
      <c r="V57" s="35">
        <f>SUM(V47:V56)</f>
        <v>-1986031953358</v>
      </c>
      <c r="W57" s="35">
        <f>SUM(W47:W56)</f>
        <v>-2083254209720.6033</v>
      </c>
      <c r="X57" s="25">
        <f t="shared" si="35"/>
        <v>1.2153395151874737</v>
      </c>
      <c r="Y57" s="25">
        <f t="shared" si="26"/>
        <v>1.1586214971165991</v>
      </c>
      <c r="Z57" s="25">
        <f t="shared" si="27"/>
        <v>1.048953017195025</v>
      </c>
    </row>
    <row r="58" spans="3:26" ht="17.399999999999999">
      <c r="C58" s="52"/>
      <c r="D58" s="52"/>
      <c r="E58" s="53"/>
      <c r="F58" s="53"/>
      <c r="G58" s="53"/>
      <c r="H58" s="53"/>
      <c r="I58" s="53"/>
      <c r="J58" s="53"/>
      <c r="Q58" s="184" t="s">
        <v>66</v>
      </c>
      <c r="R58" s="185"/>
      <c r="S58" s="24">
        <f>S46+S57</f>
        <v>298830673062</v>
      </c>
      <c r="T58" s="24">
        <f>T46+T57</f>
        <v>310725403716</v>
      </c>
      <c r="U58" s="24">
        <f>U46+U57</f>
        <v>129468918215.00024</v>
      </c>
      <c r="V58" s="24">
        <f>V46+V57</f>
        <v>523112510475</v>
      </c>
      <c r="W58" s="24">
        <f>W46+W57</f>
        <v>395988673736.14087</v>
      </c>
      <c r="X58" s="25">
        <f t="shared" si="35"/>
        <v>1.32512726916083</v>
      </c>
      <c r="Y58" s="25">
        <f t="shared" si="26"/>
        <v>1.7505315137662159</v>
      </c>
      <c r="Z58" s="25">
        <f t="shared" si="27"/>
        <v>0.75698566906108344</v>
      </c>
    </row>
    <row r="59" spans="3:26" ht="17.399999999999999">
      <c r="C59" s="179"/>
      <c r="D59" s="179"/>
      <c r="E59" s="49"/>
      <c r="F59" s="49"/>
      <c r="G59" s="49"/>
      <c r="H59" s="49"/>
      <c r="I59" s="49"/>
      <c r="J59" s="49"/>
      <c r="Q59" s="111" t="s">
        <v>67</v>
      </c>
      <c r="R59" s="110"/>
      <c r="S59" s="112"/>
      <c r="T59" s="112"/>
      <c r="U59" s="108"/>
      <c r="V59" s="112"/>
      <c r="W59" s="112"/>
      <c r="X59" s="32"/>
      <c r="Y59" s="17">
        <f t="shared" si="26"/>
        <v>0</v>
      </c>
      <c r="Z59" s="17">
        <f t="shared" si="27"/>
        <v>0</v>
      </c>
    </row>
    <row r="60" spans="3:26" ht="17.399999999999999">
      <c r="C60" s="37"/>
      <c r="D60" s="37"/>
      <c r="E60" s="51"/>
      <c r="F60" s="51"/>
      <c r="G60" s="51"/>
      <c r="H60" s="51"/>
      <c r="I60" s="51"/>
      <c r="J60" s="51"/>
      <c r="Q60" s="109" t="s">
        <v>68</v>
      </c>
      <c r="R60" s="110" t="s">
        <v>69</v>
      </c>
      <c r="S60" s="108">
        <v>6225447076</v>
      </c>
      <c r="T60" s="108">
        <v>92285845887</v>
      </c>
      <c r="U60" s="108">
        <f t="shared" ref="U60:U61" si="40">T60/12*5</f>
        <v>38452435786.25</v>
      </c>
      <c r="V60" s="108">
        <v>4628212157</v>
      </c>
      <c r="W60" s="108">
        <v>0</v>
      </c>
      <c r="X60" s="17">
        <f t="shared" ref="X60" si="41">IF(ISERROR(W60/S60),0,W60/S60)</f>
        <v>0</v>
      </c>
      <c r="Y60" s="17">
        <f t="shared" ref="Y60:Y61" si="42">IF(ISERROR(V60/S60),0,V60/S60)</f>
        <v>0.74343450365876984</v>
      </c>
      <c r="Z60" s="17">
        <f t="shared" ref="Z60:Z61" si="43">IF(ISERROR(W60/V60),0,W60/V60)</f>
        <v>0</v>
      </c>
    </row>
    <row r="61" spans="3:26" ht="17.399999999999999">
      <c r="C61" s="37"/>
      <c r="D61" s="37"/>
      <c r="E61" s="51"/>
      <c r="F61" s="51"/>
      <c r="G61" s="51"/>
      <c r="H61" s="51"/>
      <c r="I61" s="51"/>
      <c r="J61" s="51"/>
      <c r="Q61" s="109" t="s">
        <v>70</v>
      </c>
      <c r="R61" s="110" t="s">
        <v>71</v>
      </c>
      <c r="S61" s="108">
        <v>-10801911954</v>
      </c>
      <c r="T61" s="108">
        <v>-7259949782</v>
      </c>
      <c r="U61" s="108">
        <f t="shared" si="40"/>
        <v>-3024979075.833333</v>
      </c>
      <c r="V61" s="108">
        <v>-2574872887</v>
      </c>
      <c r="W61" s="108">
        <v>0</v>
      </c>
      <c r="X61" s="17">
        <f>IF(ISERROR(W61/S61),0,W61/S61)</f>
        <v>0</v>
      </c>
      <c r="Y61" s="17">
        <f t="shared" si="42"/>
        <v>0.2383719565540906</v>
      </c>
      <c r="Z61" s="17">
        <f t="shared" si="43"/>
        <v>0</v>
      </c>
    </row>
    <row r="62" spans="3:26" ht="17.399999999999999">
      <c r="C62" s="45"/>
      <c r="D62" s="37"/>
      <c r="E62" s="50"/>
      <c r="F62" s="50"/>
      <c r="G62" s="50"/>
      <c r="H62" s="50"/>
      <c r="I62" s="50"/>
      <c r="J62" s="50"/>
      <c r="Q62" s="184" t="s">
        <v>72</v>
      </c>
      <c r="R62" s="185"/>
      <c r="S62" s="24">
        <f>S60+S61</f>
        <v>-4576464878</v>
      </c>
      <c r="T62" s="24">
        <f t="shared" ref="T62:W62" si="44">T60+T61</f>
        <v>85025896105</v>
      </c>
      <c r="U62" s="24">
        <f t="shared" ref="U62" si="45">U60+U61</f>
        <v>35427456710.416664</v>
      </c>
      <c r="V62" s="24">
        <f t="shared" si="44"/>
        <v>2053339270</v>
      </c>
      <c r="W62" s="24">
        <f t="shared" si="44"/>
        <v>0</v>
      </c>
      <c r="X62" s="25">
        <f t="shared" ref="X62:X63" si="46">IF(ISERROR(W62/S62),0,W62/S62)</f>
        <v>0</v>
      </c>
      <c r="Y62" s="25">
        <f>IF(ISERROR(V62/S62),0,V62/S62)</f>
        <v>-0.44867366509700984</v>
      </c>
      <c r="Z62" s="25">
        <f>IF(ISERROR(W62/V62),0,W62/V62)</f>
        <v>0</v>
      </c>
    </row>
    <row r="63" spans="3:26" ht="17.399999999999999">
      <c r="C63" s="179"/>
      <c r="D63" s="179"/>
      <c r="E63" s="49"/>
      <c r="F63" s="49"/>
      <c r="G63" s="49"/>
      <c r="H63" s="49"/>
      <c r="I63" s="49"/>
      <c r="J63" s="49"/>
      <c r="Q63" s="22" t="s">
        <v>73</v>
      </c>
      <c r="R63" s="23"/>
      <c r="S63" s="35">
        <f>S58+S62</f>
        <v>294254208184</v>
      </c>
      <c r="T63" s="35">
        <f>T58+T62</f>
        <v>395751299821</v>
      </c>
      <c r="U63" s="35">
        <f>U58+U62</f>
        <v>164896374925.4169</v>
      </c>
      <c r="V63" s="35">
        <f>V58+V62</f>
        <v>525165849745</v>
      </c>
      <c r="W63" s="35">
        <f>W58+W62</f>
        <v>395988673736.14087</v>
      </c>
      <c r="X63" s="25">
        <f t="shared" si="46"/>
        <v>1.3457366546429315</v>
      </c>
      <c r="Y63" s="25">
        <f>IF(ISERROR(V63/S63),0,V63/S63)</f>
        <v>1.7847352226025217</v>
      </c>
      <c r="Z63" s="25">
        <f>IF(ISERROR(W63/V63),0,W63/V63)</f>
        <v>0.75402594043085147</v>
      </c>
    </row>
    <row r="64" spans="3:26" ht="17.399999999999999">
      <c r="C64" s="36"/>
      <c r="D64" s="36"/>
      <c r="E64" s="53"/>
      <c r="F64" s="53"/>
      <c r="G64" s="53"/>
      <c r="H64" s="53"/>
      <c r="I64" s="53"/>
      <c r="J64" s="53"/>
      <c r="Q64" s="139"/>
      <c r="R64" s="110" t="s">
        <v>74</v>
      </c>
      <c r="S64" s="108">
        <v>0</v>
      </c>
      <c r="T64" s="108">
        <v>0</v>
      </c>
      <c r="U64" s="108">
        <f t="shared" ref="U64:U67" si="47">T64/12*5</f>
        <v>0</v>
      </c>
      <c r="V64" s="108">
        <v>0</v>
      </c>
      <c r="W64" s="108">
        <v>0</v>
      </c>
      <c r="X64" s="17">
        <f t="shared" ref="X64:X68" si="48">IF(ISERROR(W64/S64),0,W64/S64)</f>
        <v>0</v>
      </c>
      <c r="Y64" s="17">
        <f t="shared" ref="Y64:Y66" si="49">IF(ISERROR(V64/S64),0,V64/S64)</f>
        <v>0</v>
      </c>
      <c r="Z64" s="17">
        <f t="shared" ref="Z64:Z66" si="50">IF(ISERROR(W64/V64),0,W64/V64)</f>
        <v>0</v>
      </c>
    </row>
    <row r="65" spans="3:53" ht="17.399999999999999">
      <c r="C65" s="37"/>
      <c r="D65" s="37"/>
      <c r="E65" s="51"/>
      <c r="F65" s="51"/>
      <c r="G65" s="51"/>
      <c r="H65" s="51"/>
      <c r="I65" s="51"/>
      <c r="J65" s="51"/>
      <c r="Q65" s="139"/>
      <c r="R65" s="110" t="s">
        <v>75</v>
      </c>
      <c r="S65" s="108">
        <v>-8199790</v>
      </c>
      <c r="T65" s="108">
        <v>0</v>
      </c>
      <c r="U65" s="108">
        <f t="shared" si="47"/>
        <v>0</v>
      </c>
      <c r="V65" s="108">
        <v>0</v>
      </c>
      <c r="W65" s="108">
        <v>0</v>
      </c>
      <c r="X65" s="17">
        <f t="shared" si="48"/>
        <v>0</v>
      </c>
      <c r="Y65" s="17">
        <f t="shared" si="49"/>
        <v>0</v>
      </c>
      <c r="Z65" s="17">
        <f t="shared" si="50"/>
        <v>0</v>
      </c>
    </row>
    <row r="66" spans="3:53" ht="17.399999999999999">
      <c r="C66" s="37"/>
      <c r="D66" s="37"/>
      <c r="E66" s="50"/>
      <c r="F66" s="50"/>
      <c r="G66" s="50"/>
      <c r="H66" s="50"/>
      <c r="I66" s="50"/>
      <c r="J66" s="50"/>
      <c r="Q66" s="139"/>
      <c r="R66" s="110" t="s">
        <v>76</v>
      </c>
      <c r="S66" s="108">
        <v>-45944172954</v>
      </c>
      <c r="T66" s="108">
        <v>-53271658071</v>
      </c>
      <c r="U66" s="108">
        <f t="shared" si="47"/>
        <v>-22196524196.25</v>
      </c>
      <c r="V66" s="108">
        <v>-48820675999</v>
      </c>
      <c r="W66" s="108">
        <v>-45521940090.659988</v>
      </c>
      <c r="X66" s="17">
        <f t="shared" si="48"/>
        <v>0.99080987128089659</v>
      </c>
      <c r="Y66" s="17">
        <f t="shared" si="49"/>
        <v>1.0626086587276258</v>
      </c>
      <c r="Z66" s="17">
        <f t="shared" si="50"/>
        <v>0.93243158066046483</v>
      </c>
    </row>
    <row r="67" spans="3:53" ht="17.399999999999999">
      <c r="C67" s="37"/>
      <c r="D67" s="37"/>
      <c r="E67" s="50"/>
      <c r="F67" s="50"/>
      <c r="G67" s="50"/>
      <c r="H67" s="50"/>
      <c r="I67" s="50"/>
      <c r="J67" s="50"/>
      <c r="Q67" s="139"/>
      <c r="R67" s="110" t="s">
        <v>77</v>
      </c>
      <c r="S67" s="108">
        <v>0</v>
      </c>
      <c r="T67" s="108">
        <v>0</v>
      </c>
      <c r="U67" s="108">
        <f t="shared" si="47"/>
        <v>0</v>
      </c>
      <c r="V67" s="108">
        <v>0</v>
      </c>
      <c r="W67" s="108">
        <v>0</v>
      </c>
      <c r="X67" s="17">
        <f t="shared" si="48"/>
        <v>0</v>
      </c>
      <c r="Y67" s="17">
        <f>IF(ISERROR(V67/S67),0,V67/S67)</f>
        <v>0</v>
      </c>
      <c r="Z67" s="17">
        <f>IF(ISERROR(W67/V67),0,W67/V67)</f>
        <v>0</v>
      </c>
    </row>
    <row r="68" spans="3:53" ht="17.399999999999999">
      <c r="C68" s="37"/>
      <c r="D68" s="37"/>
      <c r="E68" s="50"/>
      <c r="F68" s="50"/>
      <c r="G68" s="50"/>
      <c r="H68" s="50"/>
      <c r="I68" s="50"/>
      <c r="J68" s="50"/>
      <c r="Q68" s="22" t="s">
        <v>78</v>
      </c>
      <c r="R68" s="23"/>
      <c r="S68" s="35">
        <f>S63+SUM(S64:S67)</f>
        <v>248301835440</v>
      </c>
      <c r="T68" s="35">
        <f>T63+SUM(T64:T67)</f>
        <v>342479641750</v>
      </c>
      <c r="U68" s="35">
        <f>U63+SUM(U64:U67)</f>
        <v>142699850729.1669</v>
      </c>
      <c r="V68" s="35">
        <f>V63+SUM(V64:V67)</f>
        <v>476345173746</v>
      </c>
      <c r="W68" s="35">
        <f>W63+SUM(W64:W67)</f>
        <v>350466733645.4809</v>
      </c>
      <c r="X68" s="25">
        <f t="shared" si="48"/>
        <v>1.4114544623660994</v>
      </c>
      <c r="Y68" s="25">
        <f>IF(ISERROR(V68/S68),0,V68/S68)</f>
        <v>1.9184118107781958</v>
      </c>
      <c r="Z68" s="25">
        <f>IF(ISERROR(W68/V68),0,W68/V68)</f>
        <v>0.73574112421334015</v>
      </c>
    </row>
    <row r="69" spans="3:53" ht="17.399999999999999">
      <c r="C69" s="37"/>
      <c r="D69" s="37"/>
      <c r="E69" s="51"/>
      <c r="F69" s="51"/>
      <c r="G69" s="51"/>
      <c r="H69" s="51"/>
      <c r="I69" s="51"/>
      <c r="J69" s="51"/>
    </row>
    <row r="70" spans="3:53" ht="17.399999999999999">
      <c r="C70" s="36"/>
      <c r="D70" s="36"/>
      <c r="E70" s="53"/>
      <c r="F70" s="53"/>
      <c r="G70" s="53"/>
      <c r="H70" s="53"/>
      <c r="I70" s="53"/>
      <c r="J70" s="53"/>
      <c r="Q70" s="55" t="s">
        <v>174</v>
      </c>
      <c r="R70" s="55"/>
    </row>
    <row r="71" spans="3:53" ht="18" thickBot="1">
      <c r="C71" s="36"/>
      <c r="D71" s="36"/>
      <c r="E71" s="53"/>
      <c r="F71" s="53"/>
      <c r="G71" s="53"/>
      <c r="H71" s="53"/>
      <c r="I71" s="53"/>
      <c r="J71" s="53"/>
      <c r="Q71" s="55"/>
      <c r="R71" s="55"/>
      <c r="AC71" t="s">
        <v>95</v>
      </c>
    </row>
    <row r="72" spans="3:53" ht="44.1" customHeight="1">
      <c r="AC72" s="170" t="s">
        <v>82</v>
      </c>
      <c r="AD72" s="170" t="s">
        <v>83</v>
      </c>
      <c r="AE72" s="170" t="s">
        <v>84</v>
      </c>
      <c r="AF72" s="170" t="s">
        <v>85</v>
      </c>
      <c r="AG72" s="56" t="s">
        <v>86</v>
      </c>
      <c r="AH72" s="170" t="s">
        <v>88</v>
      </c>
      <c r="AI72" s="170" t="s">
        <v>89</v>
      </c>
      <c r="AJ72" s="170" t="s">
        <v>90</v>
      </c>
      <c r="AK72" s="170" t="s">
        <v>91</v>
      </c>
      <c r="AL72" s="170" t="s">
        <v>92</v>
      </c>
      <c r="AM72" s="172" t="s">
        <v>98</v>
      </c>
    </row>
    <row r="73" spans="3:53">
      <c r="AC73" s="171"/>
      <c r="AD73" s="171"/>
      <c r="AE73" s="171"/>
      <c r="AF73" s="171"/>
      <c r="AG73" s="57" t="s">
        <v>87</v>
      </c>
      <c r="AH73" s="171"/>
      <c r="AI73" s="171"/>
      <c r="AJ73" s="171"/>
      <c r="AK73" s="171"/>
      <c r="AL73" s="171"/>
      <c r="AM73" s="173"/>
    </row>
    <row r="74" spans="3:53">
      <c r="AC74" t="s">
        <v>93</v>
      </c>
      <c r="AD74" t="s">
        <v>102</v>
      </c>
      <c r="AE74" s="58" t="s">
        <v>97</v>
      </c>
      <c r="AH74" s="58" t="s">
        <v>96</v>
      </c>
      <c r="AL74" s="59">
        <v>3000000000</v>
      </c>
      <c r="AM74" t="s">
        <v>99</v>
      </c>
    </row>
    <row r="75" spans="3:53">
      <c r="AD75" t="s">
        <v>94</v>
      </c>
      <c r="AL75" s="59">
        <v>400000000</v>
      </c>
      <c r="AM75" t="s">
        <v>101</v>
      </c>
    </row>
    <row r="76" spans="3:53">
      <c r="AD76" t="s">
        <v>100</v>
      </c>
    </row>
    <row r="78" spans="3:53" ht="15.6" thickBot="1">
      <c r="AO78" t="s">
        <v>103</v>
      </c>
    </row>
    <row r="79" spans="3:53" ht="27.6">
      <c r="AO79" s="170" t="s">
        <v>82</v>
      </c>
      <c r="AP79" s="170" t="s">
        <v>212</v>
      </c>
      <c r="AQ79" s="174" t="s">
        <v>228</v>
      </c>
      <c r="AR79" s="175"/>
      <c r="AS79" s="170" t="s">
        <v>83</v>
      </c>
      <c r="AT79" s="56" t="s">
        <v>106</v>
      </c>
      <c r="AU79" s="104" t="s">
        <v>107</v>
      </c>
      <c r="AV79" s="169"/>
      <c r="AW79" s="169"/>
      <c r="AX79" s="169"/>
      <c r="AY79" s="169"/>
      <c r="AZ79" s="169"/>
      <c r="BA79" s="169"/>
    </row>
    <row r="80" spans="3:53">
      <c r="AO80" s="171"/>
      <c r="AP80" s="171"/>
      <c r="AQ80" s="57" t="s">
        <v>224</v>
      </c>
      <c r="AR80" s="57" t="s">
        <v>225</v>
      </c>
      <c r="AS80" s="171"/>
      <c r="AT80" s="57"/>
      <c r="AU80" s="105"/>
      <c r="AV80" s="169"/>
      <c r="AW80" s="169"/>
      <c r="AX80" s="169"/>
      <c r="AY80" s="169"/>
      <c r="AZ80" s="169"/>
      <c r="BA80" s="169"/>
    </row>
    <row r="81" spans="41:57">
      <c r="AO81" t="s">
        <v>104</v>
      </c>
      <c r="AP81" t="s">
        <v>213</v>
      </c>
      <c r="AQ81" s="59" t="s">
        <v>226</v>
      </c>
      <c r="AR81" s="59">
        <v>7500000000</v>
      </c>
      <c r="AS81" t="s">
        <v>214</v>
      </c>
      <c r="AT81" s="62">
        <v>7500000000</v>
      </c>
      <c r="AU81" s="59">
        <v>80000000000</v>
      </c>
      <c r="AV81" s="58"/>
      <c r="AZ81" s="61"/>
    </row>
    <row r="82" spans="41:57">
      <c r="AQ82" s="59" t="s">
        <v>227</v>
      </c>
      <c r="AR82" s="59">
        <v>80000000000</v>
      </c>
      <c r="AT82" s="59"/>
      <c r="AU82" s="59"/>
      <c r="AZ82" s="61"/>
    </row>
    <row r="83" spans="41:57">
      <c r="AP83" t="s">
        <v>215</v>
      </c>
      <c r="AQ83" s="59" t="s">
        <v>226</v>
      </c>
      <c r="AR83" s="59">
        <v>400000000</v>
      </c>
      <c r="AS83" t="s">
        <v>216</v>
      </c>
      <c r="AT83" s="59">
        <v>300000000</v>
      </c>
      <c r="AU83" s="59">
        <v>700000000</v>
      </c>
    </row>
    <row r="84" spans="41:57">
      <c r="AQ84" s="59" t="s">
        <v>229</v>
      </c>
      <c r="AR84" s="59">
        <v>30000000</v>
      </c>
    </row>
    <row r="85" spans="41:57">
      <c r="AQ85" s="59"/>
    </row>
    <row r="86" spans="41:57">
      <c r="AO86" t="s">
        <v>230</v>
      </c>
      <c r="AP86" s="140" t="s">
        <v>231</v>
      </c>
      <c r="AQ86" s="59" t="s">
        <v>226</v>
      </c>
      <c r="AR86" s="59">
        <f>16000000000/20</f>
        <v>800000000</v>
      </c>
      <c r="AS86" t="s">
        <v>232</v>
      </c>
      <c r="AT86" s="59">
        <v>3000000000</v>
      </c>
      <c r="AU86" s="59">
        <v>5000000000</v>
      </c>
    </row>
    <row r="87" spans="41:57">
      <c r="AQ87" s="59" t="s">
        <v>227</v>
      </c>
      <c r="AR87" s="59">
        <v>400000000</v>
      </c>
      <c r="AS87" t="s">
        <v>233</v>
      </c>
      <c r="AT87" s="59">
        <v>450000000</v>
      </c>
      <c r="AU87" s="59">
        <v>650000000</v>
      </c>
    </row>
    <row r="88" spans="41:57">
      <c r="AQ88" s="59"/>
    </row>
    <row r="89" spans="41:57" ht="26.4">
      <c r="AV89" s="200" t="s">
        <v>25</v>
      </c>
      <c r="AW89" s="200" t="s">
        <v>118</v>
      </c>
      <c r="AX89" s="83" t="s">
        <v>119</v>
      </c>
      <c r="AY89" s="83" t="s">
        <v>8</v>
      </c>
      <c r="AZ89" s="84" t="s">
        <v>136</v>
      </c>
      <c r="BA89" s="85" t="s">
        <v>120</v>
      </c>
      <c r="BB89" s="86" t="s">
        <v>121</v>
      </c>
      <c r="BC89" s="198" t="s">
        <v>19</v>
      </c>
      <c r="BD89" s="199"/>
      <c r="BE89" s="199"/>
    </row>
    <row r="90" spans="41:57">
      <c r="AV90" s="201"/>
      <c r="AW90" s="201"/>
      <c r="AX90" s="87">
        <v>1</v>
      </c>
      <c r="AY90" s="87">
        <v>2</v>
      </c>
      <c r="AZ90" s="87">
        <v>3</v>
      </c>
      <c r="BA90" s="87">
        <v>4</v>
      </c>
      <c r="BB90" s="87">
        <v>5</v>
      </c>
      <c r="BC90" s="87" t="s">
        <v>20</v>
      </c>
      <c r="BD90" s="87" t="s">
        <v>134</v>
      </c>
      <c r="BE90" s="87" t="s">
        <v>135</v>
      </c>
    </row>
    <row r="91" spans="41:57" ht="17.100000000000001" customHeight="1">
      <c r="AQ91" s="59"/>
      <c r="AR91" s="59"/>
      <c r="AT91" s="59"/>
      <c r="AU91" s="59"/>
      <c r="AV91" s="202" t="s">
        <v>122</v>
      </c>
      <c r="AW91" s="88" t="s">
        <v>123</v>
      </c>
      <c r="AX91" s="79">
        <v>1701</v>
      </c>
      <c r="AY91" s="79">
        <v>1788</v>
      </c>
      <c r="AZ91" s="79">
        <v>745</v>
      </c>
      <c r="BA91" s="79">
        <v>1800</v>
      </c>
      <c r="BB91" s="79">
        <v>1830</v>
      </c>
      <c r="BC91" s="96">
        <f>BA91/AX91</f>
        <v>1.0582010582010581</v>
      </c>
      <c r="BD91" s="96">
        <f>BB91/BA91</f>
        <v>1.0166666666666666</v>
      </c>
      <c r="BE91" s="96">
        <f>BB91/AX91</f>
        <v>1.0758377425044092</v>
      </c>
    </row>
    <row r="92" spans="41:57" ht="17.100000000000001" customHeight="1">
      <c r="AV92" s="203"/>
      <c r="AW92" s="88" t="s">
        <v>124</v>
      </c>
      <c r="AX92" s="79">
        <v>2308623</v>
      </c>
      <c r="AY92" s="79">
        <v>2597870</v>
      </c>
      <c r="AZ92" s="79">
        <v>1082445.8333333333</v>
      </c>
      <c r="BA92" s="79">
        <v>2610870</v>
      </c>
      <c r="BB92" s="79">
        <v>2630100</v>
      </c>
      <c r="BC92" s="96">
        <f t="shared" ref="BC92:BC107" si="51">BA92/AX92</f>
        <v>1.1309208996011908</v>
      </c>
      <c r="BD92" s="96">
        <f t="shared" ref="BD92:BD107" si="52">BB92/BA92</f>
        <v>1.0073653609716302</v>
      </c>
      <c r="BE92" s="96">
        <f t="shared" ref="BE92:BE107" si="53">BB92/AX92</f>
        <v>1.1392505402571143</v>
      </c>
    </row>
    <row r="93" spans="41:57" ht="17.100000000000001" customHeight="1">
      <c r="AV93" s="192" t="s">
        <v>125</v>
      </c>
      <c r="AW93" s="88" t="s">
        <v>123</v>
      </c>
      <c r="AX93" s="79">
        <v>917</v>
      </c>
      <c r="AY93" s="79">
        <v>930</v>
      </c>
      <c r="AZ93" s="79">
        <v>387.5</v>
      </c>
      <c r="BA93" s="79">
        <v>920</v>
      </c>
      <c r="BB93" s="79">
        <v>901</v>
      </c>
      <c r="BC93" s="96">
        <f t="shared" si="51"/>
        <v>1.0032715376226826</v>
      </c>
      <c r="BD93" s="96">
        <f t="shared" si="52"/>
        <v>0.97934782608695647</v>
      </c>
      <c r="BE93" s="96">
        <f t="shared" si="53"/>
        <v>0.98255179934569248</v>
      </c>
    </row>
    <row r="94" spans="41:57" ht="17.100000000000001" customHeight="1">
      <c r="AO94" s="169"/>
      <c r="AP94" s="169"/>
      <c r="AQ94" s="60"/>
      <c r="AR94" s="60"/>
      <c r="AS94" s="169"/>
      <c r="AT94" s="169"/>
      <c r="AV94" s="193"/>
      <c r="AW94" s="88" t="s">
        <v>124</v>
      </c>
      <c r="AX94" s="79">
        <v>927972</v>
      </c>
      <c r="AY94" s="79">
        <v>892896</v>
      </c>
      <c r="AZ94" s="79">
        <v>372040</v>
      </c>
      <c r="BA94" s="79">
        <v>900100</v>
      </c>
      <c r="BB94" s="79">
        <v>905100</v>
      </c>
      <c r="BC94" s="96">
        <f t="shared" si="51"/>
        <v>0.96996461100119402</v>
      </c>
      <c r="BD94" s="96">
        <f t="shared" si="52"/>
        <v>1.0055549383401845</v>
      </c>
      <c r="BE94" s="96">
        <f t="shared" si="53"/>
        <v>0.97535270460746659</v>
      </c>
    </row>
    <row r="95" spans="41:57" ht="17.100000000000001" customHeight="1">
      <c r="AO95" s="169"/>
      <c r="AP95" s="169"/>
      <c r="AQ95" s="60"/>
      <c r="AR95" s="60"/>
      <c r="AS95" s="169"/>
      <c r="AT95" s="169"/>
      <c r="AV95" s="194" t="s">
        <v>128</v>
      </c>
      <c r="AW95" s="89" t="s">
        <v>123</v>
      </c>
      <c r="AX95" s="80">
        <f>SUM(AX91,AX93)</f>
        <v>2618</v>
      </c>
      <c r="AY95" s="80">
        <f t="shared" ref="AY95:BB96" si="54">SUM(AY91,AY93)</f>
        <v>2718</v>
      </c>
      <c r="AZ95" s="80">
        <f t="shared" si="54"/>
        <v>1132.5</v>
      </c>
      <c r="BA95" s="80">
        <f t="shared" si="54"/>
        <v>2720</v>
      </c>
      <c r="BB95" s="80">
        <f t="shared" si="54"/>
        <v>2731</v>
      </c>
      <c r="BC95" s="97">
        <f t="shared" si="51"/>
        <v>1.0389610389610389</v>
      </c>
      <c r="BD95" s="97">
        <f t="shared" si="52"/>
        <v>1.0040441176470589</v>
      </c>
      <c r="BE95" s="97">
        <f t="shared" si="53"/>
        <v>1.043162719633308</v>
      </c>
    </row>
    <row r="96" spans="41:57" ht="17.100000000000001" customHeight="1">
      <c r="AS96" s="101"/>
      <c r="AT96" s="61"/>
      <c r="AV96" s="195"/>
      <c r="AW96" s="89" t="s">
        <v>124</v>
      </c>
      <c r="AX96" s="80">
        <f>SUM(AX92,AX94)</f>
        <v>3236595</v>
      </c>
      <c r="AY96" s="80">
        <f t="shared" si="54"/>
        <v>3490766</v>
      </c>
      <c r="AZ96" s="80">
        <f t="shared" si="54"/>
        <v>1454485.8333333333</v>
      </c>
      <c r="BA96" s="80">
        <f t="shared" si="54"/>
        <v>3510970</v>
      </c>
      <c r="BB96" s="80">
        <f t="shared" si="54"/>
        <v>3535200</v>
      </c>
      <c r="BC96" s="97">
        <f t="shared" si="51"/>
        <v>1.0847727318370077</v>
      </c>
      <c r="BD96" s="97">
        <f t="shared" si="52"/>
        <v>1.0069012267265172</v>
      </c>
      <c r="BE96" s="97">
        <f t="shared" si="53"/>
        <v>1.0922589944061583</v>
      </c>
    </row>
    <row r="97" spans="41:57" ht="30" customHeight="1">
      <c r="AS97" s="101"/>
      <c r="AV97" s="90" t="s">
        <v>132</v>
      </c>
      <c r="AW97" s="88" t="s">
        <v>4</v>
      </c>
      <c r="AX97" s="81">
        <v>9907.3033379999997</v>
      </c>
      <c r="AY97" s="81">
        <v>11134.0955746122</v>
      </c>
      <c r="AZ97" s="81">
        <v>2783.5318676160528</v>
      </c>
      <c r="BA97" s="81">
        <v>11198.537954018173</v>
      </c>
      <c r="BB97" s="81">
        <v>11275.821603444359</v>
      </c>
      <c r="BC97" s="98">
        <f t="shared" si="51"/>
        <v>1.1303315919545507</v>
      </c>
      <c r="BD97" s="98">
        <f t="shared" si="52"/>
        <v>1.0069012267265172</v>
      </c>
      <c r="BE97" s="98">
        <f t="shared" si="53"/>
        <v>1.1381322665467739</v>
      </c>
    </row>
    <row r="98" spans="41:57" ht="17.100000000000001" customHeight="1">
      <c r="AS98" s="101"/>
      <c r="AV98" s="192" t="s">
        <v>127</v>
      </c>
      <c r="AW98" s="91" t="s">
        <v>123</v>
      </c>
      <c r="AX98" s="79">
        <v>161</v>
      </c>
      <c r="AY98" s="79">
        <v>82</v>
      </c>
      <c r="AZ98" s="79">
        <v>34.166666666666664</v>
      </c>
      <c r="BA98" s="79">
        <v>82</v>
      </c>
      <c r="BB98" s="79">
        <v>85</v>
      </c>
      <c r="BC98" s="96">
        <f t="shared" si="51"/>
        <v>0.50931677018633537</v>
      </c>
      <c r="BD98" s="96">
        <f t="shared" si="52"/>
        <v>1.0365853658536586</v>
      </c>
      <c r="BE98" s="96">
        <f t="shared" si="53"/>
        <v>0.52795031055900621</v>
      </c>
    </row>
    <row r="99" spans="41:57" ht="17.100000000000001" customHeight="1">
      <c r="AS99" s="101"/>
      <c r="AV99" s="193"/>
      <c r="AW99" s="91" t="s">
        <v>124</v>
      </c>
      <c r="AX99" s="79">
        <v>154102</v>
      </c>
      <c r="AY99" s="79">
        <v>157200</v>
      </c>
      <c r="AZ99" s="79">
        <v>65500</v>
      </c>
      <c r="BA99" s="79">
        <v>157200</v>
      </c>
      <c r="BB99" s="79">
        <v>158210</v>
      </c>
      <c r="BC99" s="96">
        <f t="shared" si="51"/>
        <v>1.0201035677668038</v>
      </c>
      <c r="BD99" s="96">
        <f t="shared" si="52"/>
        <v>1.0064249363867686</v>
      </c>
      <c r="BE99" s="96">
        <f t="shared" si="53"/>
        <v>1.026657668297621</v>
      </c>
    </row>
    <row r="100" spans="41:57" ht="17.100000000000001" customHeight="1">
      <c r="AV100" s="192" t="s">
        <v>126</v>
      </c>
      <c r="AW100" s="91" t="s">
        <v>123</v>
      </c>
      <c r="AX100" s="79">
        <v>0</v>
      </c>
      <c r="AY100" s="79">
        <v>0</v>
      </c>
      <c r="AZ100" s="79">
        <v>0</v>
      </c>
      <c r="BA100" s="79">
        <v>0</v>
      </c>
      <c r="BB100" s="79">
        <v>0</v>
      </c>
      <c r="BC100" s="96">
        <v>0</v>
      </c>
      <c r="BD100" s="96">
        <v>0</v>
      </c>
      <c r="BE100" s="96">
        <v>0</v>
      </c>
    </row>
    <row r="101" spans="41:57" ht="17.100000000000001" customHeight="1">
      <c r="AV101" s="193"/>
      <c r="AW101" s="91" t="s">
        <v>124</v>
      </c>
      <c r="AX101" s="79">
        <v>0</v>
      </c>
      <c r="AY101" s="79">
        <v>0</v>
      </c>
      <c r="AZ101" s="79">
        <v>0</v>
      </c>
      <c r="BA101" s="79">
        <v>0</v>
      </c>
      <c r="BB101" s="79">
        <v>0</v>
      </c>
      <c r="BC101" s="96">
        <v>0</v>
      </c>
      <c r="BD101" s="96">
        <v>0</v>
      </c>
      <c r="BE101" s="96">
        <v>0</v>
      </c>
    </row>
    <row r="102" spans="41:57" ht="17.100000000000001" customHeight="1">
      <c r="AV102" s="194" t="s">
        <v>129</v>
      </c>
      <c r="AW102" s="89" t="s">
        <v>123</v>
      </c>
      <c r="AX102" s="80">
        <f>SUM(AX98,AX100)</f>
        <v>161</v>
      </c>
      <c r="AY102" s="80">
        <f t="shared" ref="AY102:BB103" si="55">SUM(AY98,AY100)</f>
        <v>82</v>
      </c>
      <c r="AZ102" s="80">
        <f t="shared" si="55"/>
        <v>34.166666666666664</v>
      </c>
      <c r="BA102" s="80">
        <f t="shared" si="55"/>
        <v>82</v>
      </c>
      <c r="BB102" s="80">
        <f t="shared" si="55"/>
        <v>85</v>
      </c>
      <c r="BC102" s="97">
        <f t="shared" si="51"/>
        <v>0.50931677018633537</v>
      </c>
      <c r="BD102" s="97">
        <f t="shared" si="52"/>
        <v>1.0365853658536586</v>
      </c>
      <c r="BE102" s="97">
        <f t="shared" si="53"/>
        <v>0.52795031055900621</v>
      </c>
    </row>
    <row r="103" spans="41:57" ht="17.100000000000001" customHeight="1">
      <c r="AV103" s="195"/>
      <c r="AW103" s="89" t="s">
        <v>124</v>
      </c>
      <c r="AX103" s="80">
        <f>SUM(AX99,AX101)</f>
        <v>154102</v>
      </c>
      <c r="AY103" s="80">
        <f t="shared" si="55"/>
        <v>157200</v>
      </c>
      <c r="AZ103" s="80">
        <f t="shared" si="55"/>
        <v>65500</v>
      </c>
      <c r="BA103" s="80">
        <f t="shared" si="55"/>
        <v>157200</v>
      </c>
      <c r="BB103" s="80">
        <f t="shared" si="55"/>
        <v>158210</v>
      </c>
      <c r="BC103" s="97">
        <f t="shared" si="51"/>
        <v>1.0201035677668038</v>
      </c>
      <c r="BD103" s="97">
        <f t="shared" si="52"/>
        <v>1.0064249363867686</v>
      </c>
      <c r="BE103" s="97">
        <f t="shared" si="53"/>
        <v>1.026657668297621</v>
      </c>
    </row>
    <row r="104" spans="41:57" ht="30" customHeight="1">
      <c r="AV104" s="90" t="s">
        <v>133</v>
      </c>
      <c r="AW104" s="88" t="s">
        <v>4</v>
      </c>
      <c r="AX104" s="81">
        <v>3491.6720780000001</v>
      </c>
      <c r="AY104" s="81">
        <v>4561.7068258692307</v>
      </c>
      <c r="AZ104" s="81">
        <v>1189.8738156746053</v>
      </c>
      <c r="BA104" s="81">
        <v>4561.7068258692307</v>
      </c>
      <c r="BB104" s="81">
        <v>4591.0155020405282</v>
      </c>
      <c r="BC104" s="98">
        <f t="shared" si="51"/>
        <v>1.3064533908012741</v>
      </c>
      <c r="BD104" s="98">
        <f t="shared" si="52"/>
        <v>1.0064249363867686</v>
      </c>
      <c r="BE104" s="98">
        <f t="shared" si="53"/>
        <v>1.3148472707294503</v>
      </c>
    </row>
    <row r="105" spans="41:57" ht="17.100000000000001" customHeight="1">
      <c r="AV105" s="196" t="s">
        <v>130</v>
      </c>
      <c r="AW105" s="93" t="s">
        <v>123</v>
      </c>
      <c r="AX105" s="82">
        <f t="shared" ref="AX105:BB106" si="56">SUM(AX95,AX102)</f>
        <v>2779</v>
      </c>
      <c r="AY105" s="82">
        <f t="shared" si="56"/>
        <v>2800</v>
      </c>
      <c r="AZ105" s="82">
        <f t="shared" si="56"/>
        <v>1166.6666666666667</v>
      </c>
      <c r="BA105" s="82">
        <f t="shared" si="56"/>
        <v>2802</v>
      </c>
      <c r="BB105" s="82">
        <f t="shared" si="56"/>
        <v>2816</v>
      </c>
      <c r="BC105" s="99">
        <f t="shared" si="51"/>
        <v>1.0082763584023029</v>
      </c>
      <c r="BD105" s="99">
        <f t="shared" si="52"/>
        <v>1.0049964311206281</v>
      </c>
      <c r="BE105" s="99">
        <f t="shared" si="53"/>
        <v>1.0133141417776179</v>
      </c>
    </row>
    <row r="106" spans="41:57" ht="17.100000000000001" customHeight="1">
      <c r="AV106" s="197"/>
      <c r="AW106" s="93" t="s">
        <v>124</v>
      </c>
      <c r="AX106" s="82">
        <f t="shared" si="56"/>
        <v>3390697</v>
      </c>
      <c r="AY106" s="82">
        <f t="shared" si="56"/>
        <v>3647966</v>
      </c>
      <c r="AZ106" s="82">
        <f t="shared" si="56"/>
        <v>1519985.8333333333</v>
      </c>
      <c r="BA106" s="82">
        <f t="shared" si="56"/>
        <v>3668170</v>
      </c>
      <c r="BB106" s="82">
        <f t="shared" si="56"/>
        <v>3693410</v>
      </c>
      <c r="BC106" s="99">
        <f t="shared" si="51"/>
        <v>1.081833617099965</v>
      </c>
      <c r="BD106" s="99">
        <f t="shared" si="52"/>
        <v>1.0068808152293922</v>
      </c>
      <c r="BE106" s="99">
        <f t="shared" si="53"/>
        <v>1.089277514328175</v>
      </c>
    </row>
    <row r="107" spans="41:57" ht="17.100000000000001" customHeight="1">
      <c r="AV107" s="94" t="s">
        <v>39</v>
      </c>
      <c r="AW107" s="92" t="s">
        <v>4</v>
      </c>
      <c r="AX107" s="95">
        <f>AX97+AX104</f>
        <v>13398.975415999999</v>
      </c>
      <c r="AY107" s="95">
        <f>AY97+AY104</f>
        <v>15695.802400481431</v>
      </c>
      <c r="AZ107" s="95">
        <f>AZ97+AZ104</f>
        <v>3973.4056832906581</v>
      </c>
      <c r="BA107" s="95">
        <f>BA97+BA104</f>
        <v>15760.244779887404</v>
      </c>
      <c r="BB107" s="95">
        <f>BB97+BB104</f>
        <v>15866.837105484887</v>
      </c>
      <c r="BC107" s="100">
        <f t="shared" si="51"/>
        <v>1.1762276062591892</v>
      </c>
      <c r="BD107" s="100">
        <f t="shared" si="52"/>
        <v>1.0067633673896685</v>
      </c>
      <c r="BE107" s="100">
        <f t="shared" si="53"/>
        <v>1.1841828656941904</v>
      </c>
    </row>
    <row r="108" spans="41:57">
      <c r="AV108" s="119" t="s">
        <v>173</v>
      </c>
      <c r="AW108" s="91" t="s">
        <v>4</v>
      </c>
      <c r="AX108" s="81">
        <v>904.30333800000005</v>
      </c>
      <c r="AY108" s="81">
        <v>1014.0955746122</v>
      </c>
      <c r="AZ108" s="81">
        <v>422.53982275508338</v>
      </c>
      <c r="BA108" s="81">
        <v>1120</v>
      </c>
      <c r="BB108" s="81">
        <v>1127.7065130569192</v>
      </c>
      <c r="BC108" s="120">
        <f t="shared" ref="BC108" si="57">BA108/AX108</f>
        <v>1.2385224657879124</v>
      </c>
      <c r="BD108" s="120">
        <f t="shared" ref="BD108" si="58">BB108/BA108</f>
        <v>1.0068808152293922</v>
      </c>
      <c r="BE108" s="120">
        <f t="shared" ref="BE108" si="59">BB108/AX108</f>
        <v>1.2470445100324501</v>
      </c>
    </row>
    <row r="109" spans="41:57">
      <c r="AO109" t="s">
        <v>137</v>
      </c>
    </row>
    <row r="110" spans="41:57">
      <c r="AO110" s="204" t="s">
        <v>82</v>
      </c>
      <c r="AP110" s="204" t="s">
        <v>139</v>
      </c>
      <c r="AQ110" s="102"/>
      <c r="AR110" s="102"/>
      <c r="AS110" s="204" t="s">
        <v>141</v>
      </c>
      <c r="AT110" s="206" t="s">
        <v>147</v>
      </c>
      <c r="AU110" s="206" t="s">
        <v>175</v>
      </c>
    </row>
    <row r="111" spans="41:57">
      <c r="AO111" s="205"/>
      <c r="AP111" s="205"/>
      <c r="AQ111" s="103"/>
      <c r="AR111" s="103"/>
      <c r="AS111" s="205"/>
      <c r="AT111" s="207"/>
      <c r="AU111" s="207"/>
    </row>
    <row r="112" spans="41:57">
      <c r="AO112" s="1" t="s">
        <v>138</v>
      </c>
      <c r="AP112" s="1" t="s">
        <v>140</v>
      </c>
      <c r="AQ112" s="1"/>
      <c r="AR112" s="1"/>
      <c r="AS112" s="121" t="s">
        <v>142</v>
      </c>
      <c r="AT112" s="122" t="s">
        <v>146</v>
      </c>
      <c r="AU112" s="1" t="s">
        <v>176</v>
      </c>
    </row>
    <row r="113" spans="41:70">
      <c r="AO113" s="1"/>
      <c r="AP113" s="1" t="s">
        <v>144</v>
      </c>
      <c r="AQ113" s="1"/>
      <c r="AR113" s="1"/>
      <c r="AS113" s="121" t="s">
        <v>142</v>
      </c>
      <c r="AT113" s="1" t="s">
        <v>148</v>
      </c>
      <c r="AU113" s="1" t="s">
        <v>177</v>
      </c>
    </row>
    <row r="114" spans="41:70">
      <c r="AO114" s="1"/>
      <c r="AP114" s="1" t="s">
        <v>145</v>
      </c>
      <c r="AQ114" s="1"/>
      <c r="AR114" s="1"/>
      <c r="AS114" s="121" t="s">
        <v>143</v>
      </c>
      <c r="AT114" s="1" t="s">
        <v>149</v>
      </c>
      <c r="AU114" s="1" t="s">
        <v>178</v>
      </c>
    </row>
    <row r="115" spans="41:70">
      <c r="AO115" s="1"/>
      <c r="AP115" s="1" t="s">
        <v>105</v>
      </c>
      <c r="AQ115" s="1"/>
      <c r="AR115" s="1"/>
      <c r="AS115" s="121" t="s">
        <v>142</v>
      </c>
      <c r="AT115" s="1"/>
      <c r="AU115" s="1"/>
    </row>
    <row r="119" spans="41:70">
      <c r="BG119" t="s">
        <v>150</v>
      </c>
    </row>
    <row r="121" spans="41:70">
      <c r="BF121" s="206" t="s">
        <v>157</v>
      </c>
      <c r="BG121" s="206" t="s">
        <v>150</v>
      </c>
      <c r="BH121" s="211" t="s">
        <v>184</v>
      </c>
      <c r="BI121" s="212"/>
      <c r="BJ121" s="213"/>
      <c r="BK121" s="214" t="s">
        <v>152</v>
      </c>
      <c r="BL121" s="206" t="s">
        <v>153</v>
      </c>
      <c r="BM121" s="206" t="s">
        <v>151</v>
      </c>
    </row>
    <row r="122" spans="41:70" ht="15.9" customHeight="1">
      <c r="BF122" s="208"/>
      <c r="BG122" s="208"/>
      <c r="BH122" s="106" t="s">
        <v>181</v>
      </c>
      <c r="BI122" s="106" t="s">
        <v>180</v>
      </c>
      <c r="BJ122" s="106" t="s">
        <v>186</v>
      </c>
      <c r="BK122" s="208"/>
      <c r="BL122" s="209"/>
      <c r="BM122" s="209"/>
    </row>
    <row r="123" spans="41:70" ht="30">
      <c r="BF123" s="123">
        <v>1</v>
      </c>
      <c r="BG123" s="124" t="s">
        <v>179</v>
      </c>
      <c r="BH123" s="125" t="s">
        <v>182</v>
      </c>
      <c r="BI123" s="126">
        <v>1500000000</v>
      </c>
      <c r="BJ123" s="126" t="s">
        <v>187</v>
      </c>
      <c r="BK123" s="124" t="s">
        <v>154</v>
      </c>
      <c r="BL123" s="126">
        <v>500000000</v>
      </c>
      <c r="BM123" s="127" t="s">
        <v>155</v>
      </c>
    </row>
    <row r="124" spans="41:70" ht="30">
      <c r="BF124" s="123">
        <v>2</v>
      </c>
      <c r="BG124" s="127" t="s">
        <v>183</v>
      </c>
      <c r="BH124" s="127" t="s">
        <v>185</v>
      </c>
      <c r="BI124" s="7">
        <v>-500000000</v>
      </c>
      <c r="BJ124" s="2" t="s">
        <v>188</v>
      </c>
      <c r="BK124" s="2" t="s">
        <v>191</v>
      </c>
      <c r="BL124" s="7">
        <v>1500000000</v>
      </c>
      <c r="BM124" s="2" t="s">
        <v>193</v>
      </c>
    </row>
    <row r="125" spans="41:70">
      <c r="BF125" s="2"/>
      <c r="BG125" s="2"/>
      <c r="BH125" s="2" t="s">
        <v>189</v>
      </c>
      <c r="BI125" s="7">
        <v>50000000</v>
      </c>
      <c r="BJ125" s="2" t="s">
        <v>188</v>
      </c>
      <c r="BK125" s="2" t="s">
        <v>192</v>
      </c>
      <c r="BL125" s="7">
        <v>240000000</v>
      </c>
      <c r="BM125" s="2" t="s">
        <v>194</v>
      </c>
    </row>
    <row r="126" spans="41:70">
      <c r="BF126" s="2"/>
      <c r="BG126" s="2"/>
      <c r="BH126" s="2" t="s">
        <v>190</v>
      </c>
      <c r="BI126" s="7">
        <v>15000000</v>
      </c>
      <c r="BJ126" s="2" t="s">
        <v>188</v>
      </c>
      <c r="BK126" s="2" t="s">
        <v>195</v>
      </c>
      <c r="BL126" s="7">
        <v>5000000000</v>
      </c>
      <c r="BM126" s="2" t="s">
        <v>196</v>
      </c>
      <c r="BO126" s="1" t="s">
        <v>158</v>
      </c>
    </row>
    <row r="127" spans="41:70">
      <c r="BF127" s="128"/>
      <c r="BG127" s="128"/>
      <c r="BH127" s="128"/>
      <c r="BI127" s="128"/>
      <c r="BJ127" s="128"/>
      <c r="BK127" s="128"/>
      <c r="BL127" s="128"/>
      <c r="BM127" s="128"/>
      <c r="BO127" s="204" t="s">
        <v>157</v>
      </c>
      <c r="BP127" s="204" t="s">
        <v>159</v>
      </c>
      <c r="BQ127" s="204" t="s">
        <v>160</v>
      </c>
      <c r="BR127" s="204" t="s">
        <v>161</v>
      </c>
    </row>
    <row r="128" spans="41:70" ht="15.9" customHeight="1">
      <c r="BO128" s="208"/>
      <c r="BP128" s="208"/>
      <c r="BQ128" s="208"/>
      <c r="BR128" s="208"/>
    </row>
    <row r="129" spans="67:76" ht="30.9" customHeight="1">
      <c r="BO129" s="115">
        <v>1</v>
      </c>
      <c r="BP129" s="115" t="s">
        <v>164</v>
      </c>
      <c r="BQ129" s="115" t="s">
        <v>162</v>
      </c>
      <c r="BR129" s="116" t="s">
        <v>165</v>
      </c>
    </row>
    <row r="130" spans="67:76" ht="30.9" customHeight="1">
      <c r="BO130" s="115">
        <v>2</v>
      </c>
      <c r="BP130" s="115" t="s">
        <v>166</v>
      </c>
      <c r="BQ130" s="115" t="s">
        <v>162</v>
      </c>
      <c r="BR130" s="116" t="s">
        <v>167</v>
      </c>
    </row>
    <row r="131" spans="67:76" ht="30.9" customHeight="1">
      <c r="BO131" s="115">
        <v>3</v>
      </c>
      <c r="BP131" s="115" t="s">
        <v>168</v>
      </c>
      <c r="BQ131" s="115" t="s">
        <v>163</v>
      </c>
      <c r="BR131" s="117"/>
    </row>
    <row r="132" spans="67:76" ht="30.9" customHeight="1">
      <c r="BO132" s="115">
        <v>4</v>
      </c>
      <c r="BP132" s="115" t="s">
        <v>156</v>
      </c>
      <c r="BQ132" s="115" t="s">
        <v>163</v>
      </c>
      <c r="BR132" s="118"/>
    </row>
    <row r="134" spans="67:76">
      <c r="BT134" s="1" t="s">
        <v>197</v>
      </c>
    </row>
    <row r="135" spans="67:76">
      <c r="BT135" s="204" t="s">
        <v>198</v>
      </c>
      <c r="BU135" s="204" t="s">
        <v>17</v>
      </c>
      <c r="BV135" s="206" t="s">
        <v>203</v>
      </c>
      <c r="BW135" s="210" t="s">
        <v>204</v>
      </c>
      <c r="BX135" s="210"/>
    </row>
    <row r="136" spans="67:76">
      <c r="BT136" s="208"/>
      <c r="BU136" s="208"/>
      <c r="BV136" s="209"/>
      <c r="BW136" s="134" t="s">
        <v>180</v>
      </c>
      <c r="BX136" s="134" t="s">
        <v>17</v>
      </c>
    </row>
    <row r="137" spans="67:76">
      <c r="BT137" s="115" t="s">
        <v>199</v>
      </c>
      <c r="BU137" s="118" t="s">
        <v>202</v>
      </c>
      <c r="BV137" s="129">
        <v>600000000</v>
      </c>
      <c r="BW137" s="132">
        <v>200000000</v>
      </c>
      <c r="BX137" s="133" t="s">
        <v>207</v>
      </c>
    </row>
    <row r="138" spans="67:76">
      <c r="BT138" s="115"/>
      <c r="BU138" s="118"/>
      <c r="BV138" s="115"/>
      <c r="BW138" s="116"/>
      <c r="BX138" s="116"/>
    </row>
    <row r="139" spans="67:76">
      <c r="BT139" s="115" t="s">
        <v>200</v>
      </c>
      <c r="BU139" s="118" t="s">
        <v>205</v>
      </c>
      <c r="BV139" s="129">
        <v>125000000</v>
      </c>
      <c r="BW139" s="130">
        <v>0</v>
      </c>
      <c r="BX139" s="116" t="s">
        <v>208</v>
      </c>
    </row>
    <row r="140" spans="67:76">
      <c r="BT140" s="115"/>
      <c r="BU140" s="131" t="s">
        <v>206</v>
      </c>
      <c r="BV140" s="129">
        <v>5347110500</v>
      </c>
      <c r="BW140" s="130">
        <v>300000000</v>
      </c>
      <c r="BX140" s="116" t="s">
        <v>209</v>
      </c>
    </row>
    <row r="141" spans="67:76">
      <c r="BT141" s="115" t="s">
        <v>201</v>
      </c>
      <c r="BU141" s="118" t="s">
        <v>210</v>
      </c>
      <c r="BV141" s="129">
        <v>200000000</v>
      </c>
      <c r="BW141" s="116"/>
      <c r="BX141" s="135"/>
    </row>
    <row r="142" spans="67:76">
      <c r="BT142" s="115"/>
      <c r="BU142" s="118" t="s">
        <v>211</v>
      </c>
      <c r="BV142" s="129">
        <v>75000000</v>
      </c>
      <c r="BW142" s="116"/>
      <c r="BX142" s="135"/>
    </row>
  </sheetData>
  <mergeCells count="65">
    <mergeCell ref="BT135:BT136"/>
    <mergeCell ref="BU135:BU136"/>
    <mergeCell ref="BV135:BV136"/>
    <mergeCell ref="BW135:BX135"/>
    <mergeCell ref="AU110:AU111"/>
    <mergeCell ref="BH121:BJ121"/>
    <mergeCell ref="BF121:BF122"/>
    <mergeCell ref="BO127:BO128"/>
    <mergeCell ref="BP127:BP128"/>
    <mergeCell ref="BQ127:BQ128"/>
    <mergeCell ref="BR127:BR128"/>
    <mergeCell ref="BG121:BG122"/>
    <mergeCell ref="BK121:BK122"/>
    <mergeCell ref="BL121:BL122"/>
    <mergeCell ref="BM121:BM122"/>
    <mergeCell ref="AO94:AO95"/>
    <mergeCell ref="AP94:AP95"/>
    <mergeCell ref="AS94:AS95"/>
    <mergeCell ref="AT94:AT95"/>
    <mergeCell ref="AO110:AO111"/>
    <mergeCell ref="AP110:AP111"/>
    <mergeCell ref="AS110:AS111"/>
    <mergeCell ref="AT110:AT111"/>
    <mergeCell ref="AV98:AV99"/>
    <mergeCell ref="AV100:AV101"/>
    <mergeCell ref="AV102:AV103"/>
    <mergeCell ref="AV105:AV106"/>
    <mergeCell ref="BC89:BE89"/>
    <mergeCell ref="AV89:AV90"/>
    <mergeCell ref="AW89:AW90"/>
    <mergeCell ref="AV91:AV92"/>
    <mergeCell ref="AV93:AV94"/>
    <mergeCell ref="AV95:AV96"/>
    <mergeCell ref="C3:C4"/>
    <mergeCell ref="D3:D4"/>
    <mergeCell ref="L3:N3"/>
    <mergeCell ref="O3:P3"/>
    <mergeCell ref="C23:P23"/>
    <mergeCell ref="X26:Z26"/>
    <mergeCell ref="AC72:AC73"/>
    <mergeCell ref="AD72:AD73"/>
    <mergeCell ref="AE72:AE73"/>
    <mergeCell ref="C63:D63"/>
    <mergeCell ref="Q26:R27"/>
    <mergeCell ref="Q58:R58"/>
    <mergeCell ref="Q62:R62"/>
    <mergeCell ref="C59:D59"/>
    <mergeCell ref="C28:D28"/>
    <mergeCell ref="AV79:AV80"/>
    <mergeCell ref="AF72:AF73"/>
    <mergeCell ref="AH72:AH73"/>
    <mergeCell ref="AI72:AI73"/>
    <mergeCell ref="AJ72:AJ73"/>
    <mergeCell ref="AK72:AK73"/>
    <mergeCell ref="AL72:AL73"/>
    <mergeCell ref="AM72:AM73"/>
    <mergeCell ref="AO79:AO80"/>
    <mergeCell ref="AP79:AP80"/>
    <mergeCell ref="AS79:AS80"/>
    <mergeCell ref="AQ79:AR79"/>
    <mergeCell ref="AW79:AW80"/>
    <mergeCell ref="AX79:AX80"/>
    <mergeCell ref="AY79:AY80"/>
    <mergeCell ref="AZ79:AZ80"/>
    <mergeCell ref="BA79:BA80"/>
  </mergeCells>
  <conditionalFormatting sqref="L5:N5">
    <cfRule type="cellIs" dxfId="25" priority="5" operator="lessThan">
      <formula>1</formula>
    </cfRule>
  </conditionalFormatting>
  <conditionalFormatting sqref="L6:N6">
    <cfRule type="cellIs" dxfId="24" priority="24" operator="greaterThan">
      <formula>0</formula>
    </cfRule>
  </conditionalFormatting>
  <conditionalFormatting sqref="L7:N9">
    <cfRule type="cellIs" dxfId="23" priority="4" operator="lessThan">
      <formula>1</formula>
    </cfRule>
  </conditionalFormatting>
  <conditionalFormatting sqref="L17:N20">
    <cfRule type="cellIs" dxfId="22" priority="19" operator="greaterThan">
      <formula>0</formula>
    </cfRule>
  </conditionalFormatting>
  <conditionalFormatting sqref="X64:X67">
    <cfRule type="cellIs" dxfId="21" priority="9" operator="greaterThan">
      <formula>1</formula>
    </cfRule>
  </conditionalFormatting>
  <conditionalFormatting sqref="X29:Z43">
    <cfRule type="cellIs" dxfId="20" priority="13" operator="lessThan">
      <formula>1</formula>
    </cfRule>
  </conditionalFormatting>
  <conditionalFormatting sqref="X47:Z56">
    <cfRule type="cellIs" dxfId="19" priority="12" operator="greaterThan">
      <formula>1</formula>
    </cfRule>
  </conditionalFormatting>
  <conditionalFormatting sqref="X60:Z60">
    <cfRule type="cellIs" dxfId="18" priority="11" operator="lessThan">
      <formula>1</formula>
    </cfRule>
  </conditionalFormatting>
  <conditionalFormatting sqref="X61:Z61">
    <cfRule type="cellIs" dxfId="17" priority="10" operator="greaterThan">
      <formula>1</formula>
    </cfRule>
  </conditionalFormatting>
  <conditionalFormatting sqref="Y64:Z66">
    <cfRule type="cellIs" dxfId="16" priority="14" operator="greaterThan">
      <formula>1</formula>
    </cfRule>
  </conditionalFormatting>
  <conditionalFormatting sqref="BC91:BE94 BC97:BE101 BC104:BE104">
    <cfRule type="cellIs" dxfId="15" priority="3" operator="lessThan">
      <formula>1</formula>
    </cfRule>
  </conditionalFormatting>
  <conditionalFormatting sqref="L12:N16">
    <cfRule type="cellIs" dxfId="14" priority="2" operator="greaterThan">
      <formula>0</formula>
    </cfRule>
  </conditionalFormatting>
  <conditionalFormatting sqref="L10:N11">
    <cfRule type="cellIs" dxfId="13" priority="1" operator="greaterThan">
      <formula>0</formula>
    </cfRule>
  </conditionalFormatting>
  <dataValidations count="2">
    <dataValidation type="list" allowBlank="1" showInputMessage="1" showErrorMessage="1" sqref="AS96:AS99 AS112:AS115" xr:uid="{10C32183-A1FC-B84E-A51A-62041FCE18FD}">
      <formula1>"In,Out"</formula1>
    </dataValidation>
    <dataValidation type="list" allowBlank="1" showInputMessage="1" showErrorMessage="1" sqref="BQ129:BQ132" xr:uid="{24D4D05D-9178-F94D-9EDA-A46CD8FECD76}">
      <formula1>"Ya,Tidak"</formula1>
    </dataValidation>
  </dataValidations>
  <pageMargins left="0.7" right="0.7" top="0.75" bottom="0.75" header="0.3" footer="0.3"/>
  <customProperties>
    <customPr name="EpmWorksheetKeyString_GU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B8BD1-F168-0A4E-B078-CFD4796E75CC}">
  <dimension ref="C3:I21"/>
  <sheetViews>
    <sheetView topLeftCell="B6" zoomScale="140" workbookViewId="0">
      <selection activeCell="G12" sqref="G12"/>
    </sheetView>
  </sheetViews>
  <sheetFormatPr defaultColWidth="11.54296875" defaultRowHeight="15"/>
  <cols>
    <col min="3" max="3" width="26.90625" customWidth="1"/>
    <col min="5" max="6" width="13.6328125" customWidth="1"/>
    <col min="7" max="7" width="12.26953125" bestFit="1" customWidth="1"/>
    <col min="8" max="9" width="13.1796875" bestFit="1" customWidth="1"/>
  </cols>
  <sheetData>
    <row r="3" spans="3:9" ht="15.9" customHeight="1">
      <c r="C3" s="215" t="s">
        <v>25</v>
      </c>
      <c r="D3" s="215" t="s">
        <v>118</v>
      </c>
      <c r="E3" s="75" t="s">
        <v>119</v>
      </c>
      <c r="F3" s="75" t="s">
        <v>8</v>
      </c>
      <c r="G3" s="72" t="s">
        <v>235</v>
      </c>
      <c r="H3" s="74" t="s">
        <v>120</v>
      </c>
      <c r="I3" s="73" t="s">
        <v>121</v>
      </c>
    </row>
    <row r="4" spans="3:9">
      <c r="C4" s="216"/>
      <c r="D4" s="216"/>
      <c r="E4" s="68" t="s">
        <v>131</v>
      </c>
      <c r="F4" s="68" t="s">
        <v>131</v>
      </c>
      <c r="G4" s="68" t="s">
        <v>131</v>
      </c>
      <c r="H4" s="68" t="s">
        <v>131</v>
      </c>
      <c r="I4" s="68" t="s">
        <v>131</v>
      </c>
    </row>
    <row r="5" spans="3:9">
      <c r="C5" s="223" t="s">
        <v>122</v>
      </c>
      <c r="D5" s="76" t="s">
        <v>123</v>
      </c>
      <c r="E5" s="161">
        <f>'Trafik vs Pend'!E5</f>
        <v>806</v>
      </c>
      <c r="F5" s="161">
        <f>'Trafik vs Pend'!F5</f>
        <v>674</v>
      </c>
      <c r="G5" s="161">
        <f>'Trafik vs Pend'!G5</f>
        <v>634</v>
      </c>
      <c r="H5" s="161">
        <f>'Trafik vs Pend'!H5</f>
        <v>1421</v>
      </c>
      <c r="I5" s="161">
        <f>'Trafik vs Pend'!I5</f>
        <v>1449.42</v>
      </c>
    </row>
    <row r="6" spans="3:9">
      <c r="C6" s="224"/>
      <c r="D6" s="76" t="s">
        <v>124</v>
      </c>
      <c r="E6" s="161">
        <f>'Trafik vs Pend'!E6</f>
        <v>2619161</v>
      </c>
      <c r="F6" s="161">
        <f>'Trafik vs Pend'!F6</f>
        <v>2508863.2307692301</v>
      </c>
      <c r="G6" s="161">
        <f>'Trafik vs Pend'!G6</f>
        <v>1338067</v>
      </c>
      <c r="H6" s="161">
        <f>'Trafik vs Pend'!H6</f>
        <v>3111361</v>
      </c>
      <c r="I6" s="161">
        <f>'Trafik vs Pend'!I6</f>
        <v>3173588.22</v>
      </c>
    </row>
    <row r="7" spans="3:9">
      <c r="C7" s="217" t="s">
        <v>125</v>
      </c>
      <c r="D7" s="76" t="s">
        <v>123</v>
      </c>
      <c r="E7" s="161">
        <f>'Trafik vs Pend'!E7</f>
        <v>184</v>
      </c>
      <c r="F7" s="161">
        <f>'Trafik vs Pend'!F7</f>
        <v>180</v>
      </c>
      <c r="G7" s="161">
        <f>'Trafik vs Pend'!G7</f>
        <v>98</v>
      </c>
      <c r="H7" s="161">
        <f>'Trafik vs Pend'!H7</f>
        <v>225</v>
      </c>
      <c r="I7" s="161">
        <f>'Trafik vs Pend'!I7</f>
        <v>229.5</v>
      </c>
    </row>
    <row r="8" spans="3:9" ht="15" customHeight="1">
      <c r="C8" s="218"/>
      <c r="D8" s="76" t="s">
        <v>124</v>
      </c>
      <c r="E8" s="161">
        <f>'Trafik vs Pend'!E8</f>
        <v>3691444</v>
      </c>
      <c r="F8" s="161">
        <f>'Trafik vs Pend'!F8</f>
        <v>3556185.7733333302</v>
      </c>
      <c r="G8" s="161">
        <f>'Trafik vs Pend'!G8</f>
        <v>1964950</v>
      </c>
      <c r="H8" s="161">
        <f>'Trafik vs Pend'!H8</f>
        <v>4615880</v>
      </c>
      <c r="I8" s="161">
        <f>'Trafik vs Pend'!I8</f>
        <v>4708197.5999999996</v>
      </c>
    </row>
    <row r="9" spans="3:9">
      <c r="C9" s="219" t="s">
        <v>128</v>
      </c>
      <c r="D9" s="69" t="s">
        <v>123</v>
      </c>
      <c r="E9" s="162">
        <f>SUM(E5,E7)</f>
        <v>990</v>
      </c>
      <c r="F9" s="162">
        <f t="shared" ref="F9:I10" si="0">SUM(F5,F7)</f>
        <v>854</v>
      </c>
      <c r="G9" s="162">
        <f t="shared" si="0"/>
        <v>732</v>
      </c>
      <c r="H9" s="162">
        <f t="shared" si="0"/>
        <v>1646</v>
      </c>
      <c r="I9" s="162">
        <f t="shared" si="0"/>
        <v>1678.92</v>
      </c>
    </row>
    <row r="10" spans="3:9">
      <c r="C10" s="220"/>
      <c r="D10" s="69" t="s">
        <v>124</v>
      </c>
      <c r="E10" s="162">
        <f>SUM(E6,E8)</f>
        <v>6310605</v>
      </c>
      <c r="F10" s="162">
        <f t="shared" si="0"/>
        <v>6065049.0041025598</v>
      </c>
      <c r="G10" s="162">
        <f t="shared" si="0"/>
        <v>3303017</v>
      </c>
      <c r="H10" s="162">
        <f t="shared" si="0"/>
        <v>7727241</v>
      </c>
      <c r="I10" s="162">
        <f t="shared" si="0"/>
        <v>7881785.8200000003</v>
      </c>
    </row>
    <row r="11" spans="3:9" ht="27.9" customHeight="1">
      <c r="C11" s="158" t="s">
        <v>132</v>
      </c>
      <c r="D11" s="159" t="s">
        <v>4</v>
      </c>
      <c r="E11" s="163">
        <f>'Trafik vs Pend'!E11</f>
        <v>95048178375</v>
      </c>
      <c r="F11" s="163">
        <f>'Trafik vs Pend'!F11</f>
        <v>98940555039</v>
      </c>
      <c r="G11" s="163">
        <f>'Trafik vs Pend'!G11</f>
        <v>29181123591</v>
      </c>
      <c r="H11" s="163">
        <f>'Trafik vs Pend'!H11</f>
        <v>128801886656</v>
      </c>
      <c r="I11" s="163">
        <f>'Trafik vs Pend'!I11</f>
        <v>136240622822.96107</v>
      </c>
    </row>
    <row r="12" spans="3:9">
      <c r="C12" s="217" t="s">
        <v>127</v>
      </c>
      <c r="D12" s="77" t="s">
        <v>123</v>
      </c>
      <c r="E12" s="161">
        <f>'Trafik vs Pend'!E12</f>
        <v>3639</v>
      </c>
      <c r="F12" s="161">
        <f>'Trafik vs Pend'!F12</f>
        <v>4308</v>
      </c>
      <c r="G12" s="161">
        <f>'Trafik vs Pend'!G12</f>
        <v>1218</v>
      </c>
      <c r="H12" s="161">
        <f>'Trafik vs Pend'!H12</f>
        <v>3343</v>
      </c>
      <c r="I12" s="161">
        <f>'Trafik vs Pend'!I12</f>
        <v>3409.86</v>
      </c>
    </row>
    <row r="13" spans="3:9">
      <c r="C13" s="218"/>
      <c r="D13" s="77" t="s">
        <v>124</v>
      </c>
      <c r="E13" s="161">
        <f>'Trafik vs Pend'!E13</f>
        <v>22673573</v>
      </c>
      <c r="F13" s="161">
        <f>'Trafik vs Pend'!F13</f>
        <v>26778183</v>
      </c>
      <c r="G13" s="161">
        <f>'Trafik vs Pend'!G13</f>
        <v>9771942</v>
      </c>
      <c r="H13" s="161">
        <f>'Trafik vs Pend'!H13</f>
        <v>23452661</v>
      </c>
      <c r="I13" s="161">
        <f>'Trafik vs Pend'!I13</f>
        <v>23921714.219999999</v>
      </c>
    </row>
    <row r="14" spans="3:9">
      <c r="C14" s="217" t="s">
        <v>126</v>
      </c>
      <c r="D14" s="77" t="s">
        <v>123</v>
      </c>
      <c r="E14" s="161">
        <f>'Trafik vs Pend'!E14</f>
        <v>543</v>
      </c>
      <c r="F14" s="161">
        <f>'Trafik vs Pend'!F14</f>
        <v>510</v>
      </c>
      <c r="G14" s="161">
        <f>'Trafik vs Pend'!G14</f>
        <v>247</v>
      </c>
      <c r="H14" s="161">
        <f>'Trafik vs Pend'!H14</f>
        <v>582</v>
      </c>
      <c r="I14" s="161">
        <f>'Trafik vs Pend'!I14</f>
        <v>593.64</v>
      </c>
    </row>
    <row r="15" spans="3:9">
      <c r="C15" s="218"/>
      <c r="D15" s="77" t="s">
        <v>124</v>
      </c>
      <c r="E15" s="161">
        <f>'Trafik vs Pend'!E15</f>
        <v>9889101</v>
      </c>
      <c r="F15" s="161">
        <f>'Trafik vs Pend'!F15</f>
        <v>9644471</v>
      </c>
      <c r="G15" s="161">
        <f>'Trafik vs Pend'!G15</f>
        <v>4308561</v>
      </c>
      <c r="H15" s="161">
        <f>'Trafik vs Pend'!H15</f>
        <v>10240546</v>
      </c>
      <c r="I15" s="161">
        <f>'Trafik vs Pend'!I15</f>
        <v>10445356.92</v>
      </c>
    </row>
    <row r="16" spans="3:9">
      <c r="C16" s="219" t="s">
        <v>129</v>
      </c>
      <c r="D16" s="69" t="s">
        <v>123</v>
      </c>
      <c r="E16" s="162">
        <f>SUM(E12,E14)</f>
        <v>4182</v>
      </c>
      <c r="F16" s="162">
        <f t="shared" ref="F16:I17" si="1">SUM(F12,F14)</f>
        <v>4818</v>
      </c>
      <c r="G16" s="162">
        <f t="shared" si="1"/>
        <v>1465</v>
      </c>
      <c r="H16" s="162">
        <f t="shared" si="1"/>
        <v>3925</v>
      </c>
      <c r="I16" s="162">
        <f t="shared" si="1"/>
        <v>4003.5</v>
      </c>
    </row>
    <row r="17" spans="3:9">
      <c r="C17" s="220"/>
      <c r="D17" s="69" t="s">
        <v>124</v>
      </c>
      <c r="E17" s="162">
        <f>SUM(E13,E15)</f>
        <v>32562674</v>
      </c>
      <c r="F17" s="162">
        <f t="shared" si="1"/>
        <v>36422654</v>
      </c>
      <c r="G17" s="162">
        <f t="shared" si="1"/>
        <v>14080503</v>
      </c>
      <c r="H17" s="162">
        <f t="shared" si="1"/>
        <v>33693207</v>
      </c>
      <c r="I17" s="162">
        <f t="shared" si="1"/>
        <v>34367071.140000001</v>
      </c>
    </row>
    <row r="18" spans="3:9" ht="27.9" customHeight="1">
      <c r="C18" s="158" t="s">
        <v>133</v>
      </c>
      <c r="D18" s="159" t="s">
        <v>4</v>
      </c>
      <c r="E18" s="163">
        <f>'Trafik vs Pend'!E18</f>
        <v>224964602823</v>
      </c>
      <c r="F18" s="163">
        <f>'Trafik vs Pend'!F18</f>
        <v>247293103165.27103</v>
      </c>
      <c r="G18" s="163">
        <f>'Trafik vs Pend'!G18</f>
        <v>72792039360</v>
      </c>
      <c r="H18" s="163">
        <f>'Trafik vs Pend'!H18</f>
        <v>206339039425</v>
      </c>
      <c r="I18" s="163">
        <v>5583.0995849216788</v>
      </c>
    </row>
    <row r="19" spans="3:9">
      <c r="C19" s="221" t="s">
        <v>130</v>
      </c>
      <c r="D19" s="71" t="s">
        <v>123</v>
      </c>
      <c r="E19" s="164">
        <f t="shared" ref="E19:I20" si="2">SUM(E9,E16)</f>
        <v>5172</v>
      </c>
      <c r="F19" s="164">
        <f t="shared" si="2"/>
        <v>5672</v>
      </c>
      <c r="G19" s="164">
        <f t="shared" si="2"/>
        <v>2197</v>
      </c>
      <c r="H19" s="164">
        <f t="shared" si="2"/>
        <v>5571</v>
      </c>
      <c r="I19" s="164">
        <f t="shared" si="2"/>
        <v>5682.42</v>
      </c>
    </row>
    <row r="20" spans="3:9">
      <c r="C20" s="222"/>
      <c r="D20" s="71" t="s">
        <v>124</v>
      </c>
      <c r="E20" s="164">
        <f t="shared" si="2"/>
        <v>38873279</v>
      </c>
      <c r="F20" s="164">
        <f t="shared" si="2"/>
        <v>42487703.004102558</v>
      </c>
      <c r="G20" s="164">
        <f t="shared" si="2"/>
        <v>17383520</v>
      </c>
      <c r="H20" s="164">
        <f t="shared" si="2"/>
        <v>41420448</v>
      </c>
      <c r="I20" s="164">
        <f t="shared" si="2"/>
        <v>42248856.960000001</v>
      </c>
    </row>
    <row r="21" spans="3:9" ht="19.95" customHeight="1">
      <c r="C21" s="78" t="s">
        <v>39</v>
      </c>
      <c r="D21" s="70" t="s">
        <v>4</v>
      </c>
      <c r="E21" s="160">
        <f>E11+E18</f>
        <v>320012781198</v>
      </c>
      <c r="F21" s="160">
        <f t="shared" ref="F21:I21" si="3">F11+F18</f>
        <v>346233658204.271</v>
      </c>
      <c r="G21" s="160">
        <f t="shared" si="3"/>
        <v>101973162951</v>
      </c>
      <c r="H21" s="160">
        <f t="shared" si="3"/>
        <v>335140926081</v>
      </c>
      <c r="I21" s="160">
        <f t="shared" si="3"/>
        <v>136240628406.06065</v>
      </c>
    </row>
  </sheetData>
  <mergeCells count="9">
    <mergeCell ref="C3:C4"/>
    <mergeCell ref="D3:D4"/>
    <mergeCell ref="C14:C15"/>
    <mergeCell ref="C16:C17"/>
    <mergeCell ref="C19:C20"/>
    <mergeCell ref="C5:C6"/>
    <mergeCell ref="C7:C8"/>
    <mergeCell ref="C9:C10"/>
    <mergeCell ref="C12:C13"/>
  </mergeCells>
  <pageMargins left="0.7" right="0.7" top="0.75" bottom="0.75" header="0.3" footer="0.3"/>
  <pageSetup orientation="portrait" r:id="rId1"/>
  <customProperties>
    <customPr name="EpmWorksheetKeyString_GU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92881-A837-1345-8DDF-BDE8A140D7C8}">
  <dimension ref="C2:P132"/>
  <sheetViews>
    <sheetView zoomScale="75" workbookViewId="0">
      <selection activeCell="J5" sqref="J5"/>
    </sheetView>
  </sheetViews>
  <sheetFormatPr defaultColWidth="11.54296875" defaultRowHeight="15"/>
  <cols>
    <col min="3" max="3" width="32.6328125" customWidth="1"/>
    <col min="5" max="11" width="13.81640625" customWidth="1"/>
  </cols>
  <sheetData>
    <row r="2" spans="3:16">
      <c r="C2" s="1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3:16" ht="54" customHeight="1">
      <c r="C3" s="187" t="s">
        <v>17</v>
      </c>
      <c r="D3" s="187" t="s">
        <v>18</v>
      </c>
      <c r="E3" s="63" t="s">
        <v>6</v>
      </c>
      <c r="F3" s="63" t="s">
        <v>7</v>
      </c>
      <c r="G3" s="63" t="s">
        <v>8</v>
      </c>
      <c r="H3" s="63" t="s">
        <v>112</v>
      </c>
      <c r="I3" s="63" t="s">
        <v>113</v>
      </c>
      <c r="J3" s="63" t="s">
        <v>9</v>
      </c>
      <c r="K3" s="63" t="s">
        <v>10</v>
      </c>
      <c r="L3" s="188" t="s">
        <v>19</v>
      </c>
      <c r="M3" s="188"/>
      <c r="N3" s="188"/>
      <c r="O3" s="189" t="s">
        <v>114</v>
      </c>
      <c r="P3" s="190"/>
    </row>
    <row r="4" spans="3:16" ht="21" customHeight="1">
      <c r="C4" s="187"/>
      <c r="D4" s="187"/>
      <c r="E4" s="4">
        <v>1</v>
      </c>
      <c r="F4" s="4">
        <v>2</v>
      </c>
      <c r="G4" s="4">
        <v>3</v>
      </c>
      <c r="H4" s="4"/>
      <c r="I4" s="4"/>
      <c r="J4" s="4">
        <v>4</v>
      </c>
      <c r="K4" s="4">
        <v>5</v>
      </c>
      <c r="L4" s="4" t="s">
        <v>115</v>
      </c>
      <c r="M4" s="4" t="s">
        <v>116</v>
      </c>
      <c r="N4" s="4" t="s">
        <v>117</v>
      </c>
      <c r="O4" s="67" t="s">
        <v>117</v>
      </c>
      <c r="P4" s="67" t="s">
        <v>117</v>
      </c>
    </row>
    <row r="5" spans="3:16">
      <c r="C5" s="3" t="s">
        <v>2</v>
      </c>
      <c r="D5" s="3" t="s">
        <v>4</v>
      </c>
      <c r="E5" s="9">
        <v>1000000</v>
      </c>
      <c r="F5" s="9">
        <v>550000</v>
      </c>
      <c r="G5" s="9">
        <v>1100000</v>
      </c>
      <c r="H5" s="9">
        <v>1149000</v>
      </c>
      <c r="I5" s="9">
        <v>1195000</v>
      </c>
      <c r="J5" s="9">
        <v>1150000</v>
      </c>
      <c r="K5" s="9">
        <v>1200000</v>
      </c>
      <c r="L5" s="5">
        <f>J5/E5</f>
        <v>1.1499999999999999</v>
      </c>
      <c r="M5" s="5">
        <f>K5/E5</f>
        <v>1.2</v>
      </c>
      <c r="N5" s="5">
        <f>K5/J5</f>
        <v>1.0434782608695652</v>
      </c>
      <c r="O5" s="2" t="str">
        <f>IF(J5&gt;=H5,"Sesuai","Belum")</f>
        <v>Sesuai</v>
      </c>
      <c r="P5" s="2" t="str">
        <f>IF(K5&gt;=I5,"Sesuai","Belum")</f>
        <v>Sesuai</v>
      </c>
    </row>
    <row r="6" spans="3:16">
      <c r="C6" s="2" t="s">
        <v>1</v>
      </c>
      <c r="D6" s="2" t="s">
        <v>3</v>
      </c>
      <c r="E6" s="8">
        <v>0.54700000000000004</v>
      </c>
      <c r="F6" s="8">
        <v>53.5</v>
      </c>
      <c r="G6" s="8">
        <v>0.54</v>
      </c>
      <c r="H6" s="8">
        <v>0.54149999999999998</v>
      </c>
      <c r="I6" s="8">
        <v>0.53100000000000003</v>
      </c>
      <c r="J6" s="8">
        <v>0.54100000000000004</v>
      </c>
      <c r="K6" s="8">
        <v>0.53200000000000003</v>
      </c>
      <c r="L6" s="6">
        <f>J6-E6</f>
        <v>-6.0000000000000053E-3</v>
      </c>
      <c r="M6" s="6">
        <f>K6-E6</f>
        <v>-1.5000000000000013E-2</v>
      </c>
      <c r="N6" s="6">
        <f>K6-J6</f>
        <v>-9.000000000000008E-3</v>
      </c>
      <c r="O6" s="2" t="str">
        <f>IF(J6&lt;=H6,"Sesuai","Belum")</f>
        <v>Sesuai</v>
      </c>
      <c r="P6" s="2" t="str">
        <f>IF(K6&lt;=I6,"Sesuai","Belum")</f>
        <v>Belum</v>
      </c>
    </row>
    <row r="7" spans="3:16">
      <c r="C7" s="2" t="s">
        <v>108</v>
      </c>
      <c r="D7" s="3" t="s">
        <v>4</v>
      </c>
      <c r="E7" s="7">
        <v>551230</v>
      </c>
      <c r="F7" s="7">
        <v>267500</v>
      </c>
      <c r="G7" s="7">
        <v>570000</v>
      </c>
      <c r="H7" s="64"/>
      <c r="I7" s="64"/>
      <c r="J7" s="7">
        <v>566845</v>
      </c>
      <c r="K7" s="7">
        <v>577231</v>
      </c>
      <c r="L7" s="5">
        <f>J7/E7</f>
        <v>1.0283275583694647</v>
      </c>
      <c r="M7" s="5">
        <f>K7/E7</f>
        <v>1.047169058287829</v>
      </c>
      <c r="N7" s="5">
        <f>K7/J7</f>
        <v>1.018322469105311</v>
      </c>
      <c r="O7" s="64"/>
      <c r="P7" s="64"/>
    </row>
    <row r="8" spans="3:16">
      <c r="C8" s="2" t="s">
        <v>109</v>
      </c>
      <c r="D8" s="2" t="s">
        <v>5</v>
      </c>
      <c r="E8" s="2">
        <v>153</v>
      </c>
      <c r="F8" s="2">
        <v>62</v>
      </c>
      <c r="G8" s="2">
        <v>155</v>
      </c>
      <c r="H8" s="65"/>
      <c r="I8" s="65"/>
      <c r="J8" s="2">
        <v>150</v>
      </c>
      <c r="K8" s="2">
        <v>165</v>
      </c>
      <c r="L8" s="6">
        <f t="shared" ref="L8:L9" si="0">J8/E8</f>
        <v>0.98039215686274506</v>
      </c>
      <c r="M8" s="6">
        <f t="shared" ref="M8:M9" si="1">K8/E8</f>
        <v>1.0784313725490196</v>
      </c>
      <c r="N8" s="6">
        <f t="shared" ref="N8:N9" si="2">K8/J8</f>
        <v>1.1000000000000001</v>
      </c>
      <c r="O8" s="65"/>
      <c r="P8" s="65"/>
    </row>
    <row r="9" spans="3:16">
      <c r="C9" s="2" t="s">
        <v>110</v>
      </c>
      <c r="D9" s="2" t="s">
        <v>5</v>
      </c>
      <c r="E9" s="2">
        <v>110</v>
      </c>
      <c r="F9" s="2">
        <v>45</v>
      </c>
      <c r="G9" s="2">
        <v>112</v>
      </c>
      <c r="H9" s="65"/>
      <c r="I9" s="65"/>
      <c r="J9" s="2">
        <v>108</v>
      </c>
      <c r="K9" s="2">
        <v>115</v>
      </c>
      <c r="L9" s="6">
        <f t="shared" si="0"/>
        <v>0.98181818181818181</v>
      </c>
      <c r="M9" s="6">
        <f t="shared" si="1"/>
        <v>1.0454545454545454</v>
      </c>
      <c r="N9" s="6">
        <f t="shared" si="2"/>
        <v>1.0648148148148149</v>
      </c>
      <c r="O9" s="65"/>
      <c r="P9" s="65"/>
    </row>
    <row r="10" spans="3:16">
      <c r="C10" s="2" t="s">
        <v>223</v>
      </c>
      <c r="D10" s="2" t="s">
        <v>111</v>
      </c>
      <c r="E10" s="2">
        <v>5300</v>
      </c>
      <c r="F10" s="2">
        <v>5300</v>
      </c>
      <c r="G10" s="65"/>
      <c r="H10" s="65"/>
      <c r="I10" s="65"/>
      <c r="J10" s="2">
        <f>F10+300</f>
        <v>5600</v>
      </c>
      <c r="K10" s="2">
        <v>5600</v>
      </c>
      <c r="L10" s="7">
        <f t="shared" ref="L10:L20" si="3">J10-E10</f>
        <v>300</v>
      </c>
      <c r="M10" s="7">
        <f t="shared" ref="M10:M20" si="4">K10-E10</f>
        <v>300</v>
      </c>
      <c r="N10" s="7">
        <f t="shared" ref="N10:N20" si="5">K10-J10</f>
        <v>0</v>
      </c>
      <c r="O10" s="65"/>
      <c r="P10" s="65"/>
    </row>
    <row r="11" spans="3:16">
      <c r="C11" s="2" t="s">
        <v>222</v>
      </c>
      <c r="D11" s="2" t="s">
        <v>111</v>
      </c>
      <c r="E11" s="2">
        <v>20</v>
      </c>
      <c r="F11" s="2">
        <v>20</v>
      </c>
      <c r="G11" s="65"/>
      <c r="H11" s="65"/>
      <c r="I11" s="65"/>
      <c r="J11" s="2">
        <v>20</v>
      </c>
      <c r="K11" s="2">
        <v>0</v>
      </c>
      <c r="L11" s="7">
        <f t="shared" si="3"/>
        <v>0</v>
      </c>
      <c r="M11" s="7">
        <f t="shared" si="4"/>
        <v>-20</v>
      </c>
      <c r="N11" s="7">
        <f t="shared" si="5"/>
        <v>-20</v>
      </c>
      <c r="O11" s="65"/>
      <c r="P11" s="65"/>
    </row>
    <row r="12" spans="3:16">
      <c r="C12" s="2" t="s">
        <v>218</v>
      </c>
      <c r="D12" s="2" t="s">
        <v>111</v>
      </c>
      <c r="E12" s="2">
        <v>300</v>
      </c>
      <c r="F12" s="2">
        <v>300</v>
      </c>
      <c r="G12" s="65"/>
      <c r="H12" s="65"/>
      <c r="I12" s="65"/>
      <c r="J12" s="2">
        <v>250</v>
      </c>
      <c r="K12" s="2">
        <v>220</v>
      </c>
      <c r="L12" s="7">
        <f t="shared" si="3"/>
        <v>-50</v>
      </c>
      <c r="M12" s="7">
        <f t="shared" si="4"/>
        <v>-80</v>
      </c>
      <c r="N12" s="7">
        <f t="shared" si="5"/>
        <v>-30</v>
      </c>
      <c r="O12" s="65"/>
      <c r="P12" s="65"/>
    </row>
    <row r="13" spans="3:16">
      <c r="C13" s="2" t="s">
        <v>217</v>
      </c>
      <c r="D13" s="2" t="s">
        <v>111</v>
      </c>
      <c r="E13" s="2">
        <v>950</v>
      </c>
      <c r="F13" s="2">
        <v>950</v>
      </c>
      <c r="G13" s="65"/>
      <c r="H13" s="65"/>
      <c r="I13" s="65"/>
      <c r="J13" s="2">
        <v>700</v>
      </c>
      <c r="K13" s="2">
        <v>730</v>
      </c>
      <c r="L13" s="7">
        <f t="shared" si="3"/>
        <v>-250</v>
      </c>
      <c r="M13" s="7">
        <f t="shared" si="4"/>
        <v>-220</v>
      </c>
      <c r="N13" s="7">
        <f t="shared" si="5"/>
        <v>30</v>
      </c>
      <c r="O13" s="65"/>
      <c r="P13" s="65"/>
    </row>
    <row r="14" spans="3:16">
      <c r="C14" s="2" t="s">
        <v>219</v>
      </c>
      <c r="D14" s="2" t="s">
        <v>111</v>
      </c>
      <c r="E14" s="2">
        <v>45</v>
      </c>
      <c r="F14" s="2">
        <v>45</v>
      </c>
      <c r="G14" s="65"/>
      <c r="H14" s="65"/>
      <c r="I14" s="65"/>
      <c r="J14" s="2">
        <v>45</v>
      </c>
      <c r="K14" s="2">
        <v>45</v>
      </c>
      <c r="L14" s="7">
        <f t="shared" si="3"/>
        <v>0</v>
      </c>
      <c r="M14" s="7">
        <f t="shared" si="4"/>
        <v>0</v>
      </c>
      <c r="N14" s="7">
        <f t="shared" si="5"/>
        <v>0</v>
      </c>
      <c r="O14" s="65"/>
      <c r="P14" s="65"/>
    </row>
    <row r="15" spans="3:16">
      <c r="C15" s="2" t="s">
        <v>221</v>
      </c>
      <c r="D15" s="2" t="s">
        <v>111</v>
      </c>
      <c r="E15" s="2">
        <v>40</v>
      </c>
      <c r="F15" s="2">
        <v>40</v>
      </c>
      <c r="G15" s="65"/>
      <c r="H15" s="65"/>
      <c r="I15" s="65"/>
      <c r="J15" s="2">
        <v>40</v>
      </c>
      <c r="K15" s="2">
        <v>40</v>
      </c>
      <c r="L15" s="7"/>
      <c r="M15" s="7"/>
      <c r="N15" s="7"/>
      <c r="O15" s="65"/>
      <c r="P15" s="65"/>
    </row>
    <row r="16" spans="3:16" ht="15.6">
      <c r="C16" s="136" t="s">
        <v>220</v>
      </c>
      <c r="D16" s="136" t="s">
        <v>111</v>
      </c>
      <c r="E16" s="136">
        <f>SUM(E10:E15)</f>
        <v>6655</v>
      </c>
      <c r="F16" s="136">
        <f>SUM(F10:F15)</f>
        <v>6655</v>
      </c>
      <c r="G16" s="137"/>
      <c r="H16" s="137"/>
      <c r="I16" s="137"/>
      <c r="J16" s="136">
        <f>SUM(J10:J15)</f>
        <v>6655</v>
      </c>
      <c r="K16" s="136">
        <f>SUM(K10:K15)</f>
        <v>6635</v>
      </c>
      <c r="L16" s="138">
        <f t="shared" si="3"/>
        <v>0</v>
      </c>
      <c r="M16" s="138">
        <f t="shared" si="4"/>
        <v>-20</v>
      </c>
      <c r="N16" s="138">
        <f t="shared" si="5"/>
        <v>-20</v>
      </c>
      <c r="O16" s="65"/>
      <c r="P16" s="65"/>
    </row>
    <row r="17" spans="3:16">
      <c r="C17" s="2" t="s">
        <v>13</v>
      </c>
      <c r="D17" s="2" t="s">
        <v>14</v>
      </c>
      <c r="E17" s="2">
        <v>134</v>
      </c>
      <c r="F17" s="2">
        <v>133</v>
      </c>
      <c r="G17" s="2">
        <v>135</v>
      </c>
      <c r="H17" s="65"/>
      <c r="I17" s="65"/>
      <c r="J17" s="2">
        <v>133</v>
      </c>
      <c r="K17" s="2">
        <v>136</v>
      </c>
      <c r="L17" s="7">
        <f t="shared" si="3"/>
        <v>-1</v>
      </c>
      <c r="M17" s="7">
        <f t="shared" si="4"/>
        <v>2</v>
      </c>
      <c r="N17" s="7">
        <f t="shared" si="5"/>
        <v>3</v>
      </c>
      <c r="O17" s="65"/>
      <c r="P17" s="65"/>
    </row>
    <row r="18" spans="3:16">
      <c r="C18" s="2" t="s">
        <v>11</v>
      </c>
      <c r="D18" s="2" t="s">
        <v>14</v>
      </c>
      <c r="E18" s="2">
        <v>50</v>
      </c>
      <c r="F18" s="2">
        <v>50</v>
      </c>
      <c r="G18" s="2">
        <v>51</v>
      </c>
      <c r="H18" s="65"/>
      <c r="I18" s="65"/>
      <c r="J18" s="2">
        <v>49</v>
      </c>
      <c r="K18" s="2">
        <v>48</v>
      </c>
      <c r="L18" s="7">
        <f t="shared" si="3"/>
        <v>-1</v>
      </c>
      <c r="M18" s="7">
        <f t="shared" si="4"/>
        <v>-2</v>
      </c>
      <c r="N18" s="7">
        <f t="shared" si="5"/>
        <v>-1</v>
      </c>
      <c r="O18" s="65"/>
      <c r="P18" s="65"/>
    </row>
    <row r="19" spans="3:16">
      <c r="C19" s="2" t="s">
        <v>12</v>
      </c>
      <c r="D19" s="2" t="s">
        <v>14</v>
      </c>
      <c r="E19" s="2">
        <v>33</v>
      </c>
      <c r="F19" s="2">
        <v>32</v>
      </c>
      <c r="G19" s="2">
        <v>34</v>
      </c>
      <c r="H19" s="65"/>
      <c r="I19" s="65"/>
      <c r="J19" s="2">
        <v>34</v>
      </c>
      <c r="K19" s="2">
        <v>38</v>
      </c>
      <c r="L19" s="7">
        <f t="shared" si="3"/>
        <v>1</v>
      </c>
      <c r="M19" s="7">
        <f t="shared" si="4"/>
        <v>5</v>
      </c>
      <c r="N19" s="7">
        <f t="shared" si="5"/>
        <v>4</v>
      </c>
      <c r="O19" s="65"/>
      <c r="P19" s="65"/>
    </row>
    <row r="20" spans="3:16">
      <c r="C20" s="2" t="s">
        <v>15</v>
      </c>
      <c r="D20" s="2" t="s">
        <v>16</v>
      </c>
      <c r="E20" s="2">
        <v>3</v>
      </c>
      <c r="F20" s="2">
        <v>0</v>
      </c>
      <c r="G20" s="65"/>
      <c r="H20" s="65"/>
      <c r="I20" s="65"/>
      <c r="J20" s="2">
        <v>2</v>
      </c>
      <c r="K20" s="2">
        <v>3</v>
      </c>
      <c r="L20" s="7">
        <f t="shared" si="3"/>
        <v>-1</v>
      </c>
      <c r="M20" s="7">
        <f t="shared" si="4"/>
        <v>0</v>
      </c>
      <c r="N20" s="7">
        <f t="shared" si="5"/>
        <v>1</v>
      </c>
      <c r="O20" s="65"/>
      <c r="P20" s="65"/>
    </row>
    <row r="22" spans="3:16">
      <c r="C22" s="1" t="s">
        <v>22</v>
      </c>
    </row>
    <row r="23" spans="3:16" ht="30.9" customHeight="1">
      <c r="C23" s="191" t="s">
        <v>23</v>
      </c>
      <c r="D23" s="191"/>
      <c r="E23" s="191"/>
      <c r="F23" s="191"/>
      <c r="G23" s="191"/>
      <c r="H23" s="191"/>
      <c r="I23" s="191"/>
      <c r="J23" s="191"/>
      <c r="K23" s="191"/>
      <c r="L23" s="191"/>
      <c r="M23" s="191"/>
      <c r="N23" s="191"/>
      <c r="O23" s="191"/>
      <c r="P23" s="191"/>
    </row>
    <row r="24" spans="3:16">
      <c r="C24" s="1"/>
    </row>
    <row r="25" spans="3:16">
      <c r="C25" s="1"/>
    </row>
    <row r="26" spans="3:16" ht="39.9" customHeight="1"/>
    <row r="27" spans="3:16">
      <c r="C27" s="40"/>
      <c r="D27" s="40"/>
      <c r="E27" s="40"/>
      <c r="F27" s="40"/>
      <c r="G27" s="40"/>
      <c r="H27" s="40"/>
      <c r="I27" s="40"/>
      <c r="J27" s="40"/>
    </row>
    <row r="28" spans="3:16" ht="17.399999999999999">
      <c r="C28" s="186"/>
      <c r="D28" s="186"/>
      <c r="E28" s="42"/>
      <c r="F28" s="42"/>
      <c r="G28" s="42"/>
      <c r="H28" s="42"/>
      <c r="I28" s="42"/>
      <c r="J28" s="42"/>
    </row>
    <row r="29" spans="3:16" ht="17.399999999999999">
      <c r="C29" s="41"/>
      <c r="D29" s="41"/>
      <c r="E29" s="43"/>
      <c r="F29" s="43"/>
      <c r="G29" s="43"/>
      <c r="H29" s="43"/>
      <c r="I29" s="43"/>
      <c r="J29" s="43"/>
    </row>
    <row r="30" spans="3:16" ht="17.399999999999999">
      <c r="C30" s="37"/>
      <c r="D30" s="36"/>
      <c r="E30" s="44"/>
      <c r="F30" s="44"/>
      <c r="G30" s="44"/>
      <c r="H30" s="44"/>
      <c r="I30" s="44"/>
      <c r="J30" s="44"/>
    </row>
    <row r="31" spans="3:16" ht="17.399999999999999">
      <c r="C31" s="45"/>
      <c r="D31" s="37"/>
      <c r="E31" s="46"/>
      <c r="F31" s="46"/>
      <c r="G31" s="46"/>
      <c r="H31" s="46"/>
      <c r="I31" s="46"/>
      <c r="J31" s="46"/>
    </row>
    <row r="32" spans="3:16" ht="17.399999999999999">
      <c r="C32" s="45"/>
      <c r="D32" s="37"/>
      <c r="E32" s="46"/>
      <c r="F32" s="46"/>
      <c r="G32" s="46"/>
      <c r="H32" s="46"/>
      <c r="I32" s="46"/>
      <c r="J32" s="46"/>
    </row>
    <row r="33" spans="3:10" ht="17.399999999999999">
      <c r="C33" s="45"/>
      <c r="D33" s="37"/>
      <c r="E33" s="46"/>
      <c r="F33" s="46"/>
      <c r="G33" s="46"/>
      <c r="H33" s="46"/>
      <c r="I33" s="46"/>
      <c r="J33" s="46"/>
    </row>
    <row r="34" spans="3:10" ht="17.399999999999999">
      <c r="C34" s="45"/>
      <c r="D34" s="37"/>
      <c r="E34" s="46"/>
      <c r="F34" s="46"/>
      <c r="G34" s="46"/>
      <c r="H34" s="46"/>
      <c r="I34" s="46"/>
      <c r="J34" s="46"/>
    </row>
    <row r="35" spans="3:10" ht="17.399999999999999">
      <c r="C35" s="45"/>
      <c r="D35" s="37"/>
      <c r="E35" s="46"/>
      <c r="F35" s="46"/>
      <c r="G35" s="46"/>
      <c r="H35" s="46"/>
      <c r="I35" s="46"/>
      <c r="J35" s="46"/>
    </row>
    <row r="36" spans="3:10" ht="17.399999999999999">
      <c r="C36" s="45"/>
      <c r="D36" s="36"/>
      <c r="E36" s="47"/>
      <c r="F36" s="47"/>
      <c r="G36" s="47"/>
      <c r="H36" s="47"/>
      <c r="I36" s="47"/>
      <c r="J36" s="47"/>
    </row>
    <row r="37" spans="3:10" ht="17.399999999999999">
      <c r="C37" s="45"/>
      <c r="D37" s="37"/>
      <c r="E37" s="46"/>
      <c r="F37" s="46"/>
      <c r="G37" s="46"/>
      <c r="H37" s="46"/>
      <c r="I37" s="46"/>
      <c r="J37" s="46"/>
    </row>
    <row r="38" spans="3:10" ht="17.399999999999999">
      <c r="C38" s="45"/>
      <c r="D38" s="37"/>
      <c r="E38" s="46"/>
      <c r="F38" s="46"/>
      <c r="G38" s="46"/>
      <c r="H38" s="46"/>
      <c r="I38" s="46"/>
      <c r="J38" s="46"/>
    </row>
    <row r="39" spans="3:10" ht="17.399999999999999">
      <c r="C39" s="45"/>
      <c r="D39" s="37"/>
      <c r="E39" s="46"/>
      <c r="F39" s="46"/>
      <c r="G39" s="46"/>
      <c r="H39" s="46"/>
      <c r="I39" s="46"/>
      <c r="J39" s="46"/>
    </row>
    <row r="40" spans="3:10" ht="17.399999999999999">
      <c r="C40" s="48"/>
      <c r="D40" s="37"/>
      <c r="E40" s="46"/>
      <c r="F40" s="46"/>
      <c r="G40" s="46"/>
      <c r="H40" s="46"/>
      <c r="I40" s="46"/>
      <c r="J40" s="46"/>
    </row>
    <row r="41" spans="3:10" ht="17.399999999999999">
      <c r="C41" s="45"/>
      <c r="D41" s="37"/>
      <c r="E41" s="46"/>
      <c r="F41" s="46"/>
      <c r="G41" s="46"/>
      <c r="H41" s="46"/>
      <c r="I41" s="46"/>
      <c r="J41" s="46"/>
    </row>
    <row r="42" spans="3:10" ht="17.399999999999999">
      <c r="C42" s="45"/>
      <c r="D42" s="37"/>
      <c r="E42" s="46"/>
      <c r="F42" s="46"/>
      <c r="G42" s="46"/>
      <c r="H42" s="46"/>
      <c r="I42" s="46"/>
      <c r="J42" s="46"/>
    </row>
    <row r="43" spans="3:10" ht="17.399999999999999">
      <c r="C43" s="45"/>
      <c r="D43" s="37"/>
      <c r="E43" s="46"/>
      <c r="F43" s="46"/>
      <c r="G43" s="46"/>
      <c r="H43" s="46"/>
      <c r="I43" s="46"/>
      <c r="J43" s="46"/>
    </row>
    <row r="44" spans="3:10" ht="17.399999999999999">
      <c r="C44" s="45"/>
      <c r="D44" s="37"/>
      <c r="E44" s="46"/>
      <c r="F44" s="46"/>
      <c r="G44" s="46"/>
      <c r="H44" s="46"/>
      <c r="I44" s="46"/>
      <c r="J44" s="46"/>
    </row>
    <row r="45" spans="3:10" ht="17.399999999999999">
      <c r="C45" s="45"/>
      <c r="D45" s="37"/>
      <c r="E45" s="46"/>
      <c r="F45" s="46"/>
      <c r="G45" s="46"/>
      <c r="H45" s="46"/>
      <c r="I45" s="46"/>
      <c r="J45" s="46"/>
    </row>
    <row r="46" spans="3:10" ht="17.399999999999999">
      <c r="C46" s="36"/>
      <c r="D46" s="36"/>
      <c r="E46" s="49"/>
      <c r="F46" s="49"/>
      <c r="G46" s="49"/>
      <c r="H46" s="49"/>
      <c r="I46" s="49"/>
      <c r="J46" s="49"/>
    </row>
    <row r="47" spans="3:10" ht="17.399999999999999">
      <c r="C47" s="45"/>
      <c r="D47" s="37"/>
      <c r="E47" s="46"/>
      <c r="F47" s="46"/>
      <c r="G47" s="46"/>
      <c r="H47" s="46"/>
      <c r="I47" s="46"/>
      <c r="J47" s="46"/>
    </row>
    <row r="48" spans="3:10" ht="17.399999999999999">
      <c r="C48" s="37"/>
      <c r="D48" s="36"/>
      <c r="E48" s="46"/>
      <c r="F48" s="46"/>
      <c r="G48" s="46"/>
      <c r="H48" s="46"/>
      <c r="I48" s="46"/>
      <c r="J48" s="46"/>
    </row>
    <row r="49" spans="3:10" ht="17.399999999999999">
      <c r="C49" s="45"/>
      <c r="D49" s="37"/>
      <c r="E49" s="50"/>
      <c r="F49" s="50"/>
      <c r="G49" s="50"/>
      <c r="H49" s="50"/>
      <c r="I49" s="50"/>
      <c r="J49" s="50"/>
    </row>
    <row r="50" spans="3:10" ht="17.399999999999999">
      <c r="C50" s="45"/>
      <c r="D50" s="37"/>
      <c r="E50" s="50"/>
      <c r="F50" s="50"/>
      <c r="G50" s="50"/>
      <c r="H50" s="50"/>
      <c r="I50" s="50"/>
      <c r="J50" s="50"/>
    </row>
    <row r="51" spans="3:10" ht="17.399999999999999">
      <c r="C51" s="45"/>
      <c r="D51" s="37"/>
      <c r="E51" s="50"/>
      <c r="F51" s="50"/>
      <c r="G51" s="50"/>
      <c r="H51" s="50"/>
      <c r="I51" s="50"/>
      <c r="J51" s="50"/>
    </row>
    <row r="52" spans="3:10" ht="17.399999999999999">
      <c r="C52" s="45"/>
      <c r="D52" s="37"/>
      <c r="E52" s="50"/>
      <c r="F52" s="50"/>
      <c r="G52" s="50"/>
      <c r="H52" s="50"/>
      <c r="I52" s="50"/>
      <c r="J52" s="50"/>
    </row>
    <row r="53" spans="3:10" ht="17.399999999999999">
      <c r="C53" s="45"/>
      <c r="D53" s="37"/>
      <c r="E53" s="50"/>
      <c r="F53" s="50"/>
      <c r="G53" s="50"/>
      <c r="H53" s="50"/>
      <c r="I53" s="50"/>
      <c r="J53" s="50"/>
    </row>
    <row r="54" spans="3:10" ht="17.399999999999999">
      <c r="C54" s="45"/>
      <c r="D54" s="37"/>
      <c r="E54" s="50"/>
      <c r="F54" s="50"/>
      <c r="G54" s="50"/>
      <c r="H54" s="50"/>
      <c r="I54" s="50"/>
      <c r="J54" s="50"/>
    </row>
    <row r="55" spans="3:10" ht="17.399999999999999">
      <c r="C55" s="38"/>
      <c r="D55" s="39"/>
      <c r="E55" s="50"/>
      <c r="F55" s="50"/>
      <c r="G55" s="50"/>
      <c r="H55" s="50"/>
      <c r="I55" s="50"/>
      <c r="J55" s="50"/>
    </row>
    <row r="56" spans="3:10" ht="17.399999999999999">
      <c r="C56" s="38"/>
      <c r="D56" s="39"/>
      <c r="E56" s="50"/>
      <c r="F56" s="50"/>
      <c r="G56" s="50"/>
      <c r="H56" s="50"/>
      <c r="I56" s="50"/>
      <c r="J56" s="50"/>
    </row>
    <row r="57" spans="3:10" ht="17.399999999999999">
      <c r="C57" s="45"/>
      <c r="D57" s="39"/>
      <c r="E57" s="50"/>
      <c r="F57" s="50"/>
      <c r="G57" s="50"/>
      <c r="H57" s="50"/>
      <c r="I57" s="50"/>
      <c r="J57" s="50"/>
    </row>
    <row r="58" spans="3:10" ht="17.399999999999999">
      <c r="C58" s="52"/>
      <c r="D58" s="52"/>
      <c r="E58" s="53"/>
      <c r="F58" s="53"/>
      <c r="G58" s="53"/>
      <c r="H58" s="53"/>
      <c r="I58" s="53"/>
      <c r="J58" s="53"/>
    </row>
    <row r="59" spans="3:10" ht="17.399999999999999">
      <c r="C59" s="179"/>
      <c r="D59" s="179"/>
      <c r="E59" s="49"/>
      <c r="F59" s="49"/>
      <c r="G59" s="49"/>
      <c r="H59" s="49"/>
      <c r="I59" s="49"/>
      <c r="J59" s="49"/>
    </row>
    <row r="60" spans="3:10" ht="17.399999999999999">
      <c r="C60" s="37"/>
      <c r="D60" s="37"/>
      <c r="E60" s="51"/>
      <c r="F60" s="51"/>
      <c r="G60" s="51"/>
      <c r="H60" s="51"/>
      <c r="I60" s="51"/>
      <c r="J60" s="51"/>
    </row>
    <row r="61" spans="3:10" ht="17.399999999999999">
      <c r="C61" s="37"/>
      <c r="D61" s="37"/>
      <c r="E61" s="51"/>
      <c r="F61" s="51"/>
      <c r="G61" s="51"/>
      <c r="H61" s="51"/>
      <c r="I61" s="51"/>
      <c r="J61" s="51"/>
    </row>
    <row r="62" spans="3:10" ht="17.399999999999999">
      <c r="C62" s="45"/>
      <c r="D62" s="37"/>
      <c r="E62" s="50"/>
      <c r="F62" s="50"/>
      <c r="G62" s="50"/>
      <c r="H62" s="50"/>
      <c r="I62" s="50"/>
      <c r="J62" s="50"/>
    </row>
    <row r="63" spans="3:10" ht="17.399999999999999">
      <c r="C63" s="179"/>
      <c r="D63" s="179"/>
      <c r="E63" s="49"/>
      <c r="F63" s="49"/>
      <c r="G63" s="49"/>
      <c r="H63" s="49"/>
      <c r="I63" s="49"/>
      <c r="J63" s="49"/>
    </row>
    <row r="64" spans="3:10" ht="17.399999999999999">
      <c r="C64" s="36"/>
      <c r="D64" s="36"/>
      <c r="E64" s="53"/>
      <c r="F64" s="53"/>
      <c r="G64" s="53"/>
      <c r="H64" s="53"/>
      <c r="I64" s="53"/>
      <c r="J64" s="53"/>
    </row>
    <row r="65" spans="3:10" ht="17.399999999999999">
      <c r="C65" s="37"/>
      <c r="D65" s="37"/>
      <c r="E65" s="51"/>
      <c r="F65" s="51"/>
      <c r="G65" s="51"/>
      <c r="H65" s="51"/>
      <c r="I65" s="51"/>
      <c r="J65" s="51"/>
    </row>
    <row r="66" spans="3:10" ht="17.399999999999999">
      <c r="C66" s="37"/>
      <c r="D66" s="37"/>
      <c r="E66" s="50"/>
      <c r="F66" s="50"/>
      <c r="G66" s="50"/>
      <c r="H66" s="50"/>
      <c r="I66" s="50"/>
      <c r="J66" s="50"/>
    </row>
    <row r="67" spans="3:10" ht="17.399999999999999">
      <c r="C67" s="37"/>
      <c r="D67" s="37"/>
      <c r="E67" s="50"/>
      <c r="F67" s="50"/>
      <c r="G67" s="50"/>
      <c r="H67" s="50"/>
      <c r="I67" s="50"/>
      <c r="J67" s="50"/>
    </row>
    <row r="68" spans="3:10" ht="17.399999999999999">
      <c r="C68" s="37"/>
      <c r="D68" s="37"/>
      <c r="E68" s="50"/>
      <c r="F68" s="50"/>
      <c r="G68" s="50"/>
      <c r="H68" s="50"/>
      <c r="I68" s="50"/>
      <c r="J68" s="50"/>
    </row>
    <row r="69" spans="3:10" ht="17.399999999999999">
      <c r="C69" s="37"/>
      <c r="D69" s="37"/>
      <c r="E69" s="51"/>
      <c r="F69" s="51"/>
      <c r="G69" s="51"/>
      <c r="H69" s="51"/>
      <c r="I69" s="51"/>
      <c r="J69" s="51"/>
    </row>
    <row r="70" spans="3:10" ht="17.399999999999999">
      <c r="C70" s="36"/>
      <c r="D70" s="36"/>
      <c r="E70" s="53"/>
      <c r="F70" s="53"/>
      <c r="G70" s="53"/>
      <c r="H70" s="53"/>
      <c r="I70" s="53"/>
      <c r="J70" s="53"/>
    </row>
    <row r="71" spans="3:10" ht="17.399999999999999">
      <c r="C71" s="36"/>
      <c r="D71" s="36"/>
      <c r="E71" s="53"/>
      <c r="F71" s="53"/>
      <c r="G71" s="53"/>
      <c r="H71" s="53"/>
      <c r="I71" s="53"/>
      <c r="J71" s="53"/>
    </row>
    <row r="72" spans="3:10" ht="44.1" customHeight="1"/>
    <row r="91" ht="17.100000000000001" customHeight="1"/>
    <row r="92" ht="17.100000000000001" customHeight="1"/>
    <row r="93" ht="17.100000000000001" customHeight="1"/>
    <row r="94" ht="17.100000000000001" customHeight="1"/>
    <row r="95" ht="17.100000000000001" customHeight="1"/>
    <row r="96" ht="17.100000000000001" customHeight="1"/>
    <row r="97" ht="30" customHeight="1"/>
    <row r="98" ht="17.100000000000001" customHeight="1"/>
    <row r="99" ht="17.100000000000001" customHeight="1"/>
    <row r="100" ht="17.100000000000001" customHeight="1"/>
    <row r="101" ht="17.100000000000001" customHeight="1"/>
    <row r="102" ht="17.100000000000001" customHeight="1"/>
    <row r="103" ht="17.100000000000001" customHeight="1"/>
    <row r="104" ht="30" customHeight="1"/>
    <row r="105" ht="17.100000000000001" customHeight="1"/>
    <row r="106" ht="17.100000000000001" customHeight="1"/>
    <row r="107" ht="17.100000000000001" customHeight="1"/>
    <row r="122" ht="15.9" customHeight="1"/>
    <row r="128" ht="15.9" customHeight="1"/>
    <row r="129" ht="30.9" customHeight="1"/>
    <row r="130" ht="30.9" customHeight="1"/>
    <row r="131" ht="30.9" customHeight="1"/>
    <row r="132" ht="30.9" customHeight="1"/>
  </sheetData>
  <mergeCells count="8">
    <mergeCell ref="C63:D63"/>
    <mergeCell ref="C3:C4"/>
    <mergeCell ref="D3:D4"/>
    <mergeCell ref="L3:N3"/>
    <mergeCell ref="O3:P3"/>
    <mergeCell ref="C23:P23"/>
    <mergeCell ref="C28:D28"/>
    <mergeCell ref="C59:D59"/>
  </mergeCells>
  <conditionalFormatting sqref="L5:N5">
    <cfRule type="cellIs" dxfId="12" priority="5" operator="lessThan">
      <formula>1</formula>
    </cfRule>
  </conditionalFormatting>
  <conditionalFormatting sqref="L6:N6">
    <cfRule type="cellIs" dxfId="11" priority="13" operator="greaterThan">
      <formula>0</formula>
    </cfRule>
  </conditionalFormatting>
  <conditionalFormatting sqref="L7:N9">
    <cfRule type="cellIs" dxfId="10" priority="4" operator="lessThan">
      <formula>1</formula>
    </cfRule>
  </conditionalFormatting>
  <conditionalFormatting sqref="L17:N20">
    <cfRule type="cellIs" dxfId="9" priority="12" operator="greaterThan">
      <formula>0</formula>
    </cfRule>
  </conditionalFormatting>
  <conditionalFormatting sqref="L12:N16">
    <cfRule type="cellIs" dxfId="8" priority="2" operator="greaterThan">
      <formula>0</formula>
    </cfRule>
  </conditionalFormatting>
  <conditionalFormatting sqref="L10:N11">
    <cfRule type="cellIs" dxfId="7" priority="1" operator="greaterThan">
      <formula>0</formula>
    </cfRule>
  </conditionalFormatting>
  <pageMargins left="0.7" right="0.7" top="0.75" bottom="0.75" header="0.3" footer="0.3"/>
  <customProperties>
    <customPr name="EpmWorksheetKeyString_GU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54431-40DC-B349-B24E-E5030A078034}">
  <dimension ref="B2:K109"/>
  <sheetViews>
    <sheetView zoomScale="68" workbookViewId="0">
      <selection activeCell="G14" sqref="G14"/>
    </sheetView>
  </sheetViews>
  <sheetFormatPr defaultColWidth="11.54296875" defaultRowHeight="15"/>
  <cols>
    <col min="3" max="3" width="46.6328125" customWidth="1"/>
    <col min="4" max="9" width="19.6328125" customWidth="1"/>
  </cols>
  <sheetData>
    <row r="2" spans="2:11">
      <c r="B2" s="1" t="s">
        <v>24</v>
      </c>
    </row>
    <row r="3" spans="2:11" ht="39.9" customHeight="1">
      <c r="B3" s="180" t="s">
        <v>25</v>
      </c>
      <c r="C3" s="181"/>
      <c r="D3" s="10" t="s">
        <v>26</v>
      </c>
      <c r="E3" s="10" t="s">
        <v>8</v>
      </c>
      <c r="F3" s="10" t="s">
        <v>236</v>
      </c>
      <c r="G3" s="10" t="s">
        <v>9</v>
      </c>
      <c r="H3" s="10" t="s">
        <v>10</v>
      </c>
      <c r="I3" s="176" t="s">
        <v>19</v>
      </c>
      <c r="J3" s="177"/>
      <c r="K3" s="178"/>
    </row>
    <row r="4" spans="2:11" ht="17.399999999999999">
      <c r="B4" s="182"/>
      <c r="C4" s="183"/>
      <c r="D4" s="54" t="s">
        <v>27</v>
      </c>
      <c r="E4" s="54" t="s">
        <v>28</v>
      </c>
      <c r="F4" s="54">
        <v>3</v>
      </c>
      <c r="G4" s="54">
        <v>4</v>
      </c>
      <c r="H4" s="54">
        <v>5</v>
      </c>
      <c r="I4" s="54" t="s">
        <v>81</v>
      </c>
      <c r="J4" s="54" t="s">
        <v>80</v>
      </c>
      <c r="K4" s="54" t="s">
        <v>21</v>
      </c>
    </row>
    <row r="5" spans="2:11" ht="17.399999999999999">
      <c r="B5" s="11" t="s">
        <v>29</v>
      </c>
      <c r="C5" s="12"/>
      <c r="D5" s="13"/>
      <c r="E5" s="13"/>
      <c r="F5" s="13"/>
      <c r="G5" s="13"/>
      <c r="H5" s="13"/>
      <c r="I5" s="13"/>
      <c r="J5" s="13"/>
      <c r="K5" s="13"/>
    </row>
    <row r="6" spans="2:11" ht="17.399999999999999">
      <c r="B6" s="14" t="s">
        <v>30</v>
      </c>
      <c r="C6" s="15" t="s">
        <v>31</v>
      </c>
      <c r="D6" s="153">
        <f>'Trafik vs Pend'!E11</f>
        <v>95048178375</v>
      </c>
      <c r="E6" s="153">
        <f>'Trafik vs Pend'!F11</f>
        <v>98940555039</v>
      </c>
      <c r="F6" s="153">
        <f>'Trafik vs Pend'!G11</f>
        <v>29181123591</v>
      </c>
      <c r="G6" s="153">
        <f>'Trafik vs Pend'!H11</f>
        <v>128801886656</v>
      </c>
      <c r="H6" s="153">
        <f>'Trafik vs Pend'!I11</f>
        <v>136240622822.96107</v>
      </c>
      <c r="I6" s="154">
        <f>IF(ISERROR(H6/D6),0,H6/D6)</f>
        <v>1.4333848912436991</v>
      </c>
      <c r="J6" s="154">
        <f t="shared" ref="J6" si="0">IF(ISERROR(G6/D6),0,G6/D6)</f>
        <v>1.3551220955316914</v>
      </c>
      <c r="K6" s="154">
        <f t="shared" ref="K6" si="1">IF(ISERROR(H6/G6),0,H6/G6)</f>
        <v>1.0577533168192499</v>
      </c>
    </row>
    <row r="7" spans="2:11" ht="17.399999999999999">
      <c r="B7" s="14" t="s">
        <v>32</v>
      </c>
      <c r="C7" s="15" t="s">
        <v>33</v>
      </c>
      <c r="D7" s="153">
        <f>'Trafik vs Pend'!E18</f>
        <v>224964602823</v>
      </c>
      <c r="E7" s="153">
        <f>'Trafik vs Pend'!F18</f>
        <v>247293103165.27103</v>
      </c>
      <c r="F7" s="153">
        <f>'Trafik vs Pend'!G18</f>
        <v>72792039360</v>
      </c>
      <c r="G7" s="153">
        <f>'Trafik vs Pend'!H18</f>
        <v>206339039425</v>
      </c>
      <c r="H7" s="153">
        <f>'Trafik vs Pend'!I18</f>
        <v>211481390656.56</v>
      </c>
      <c r="I7" s="154">
        <f t="shared" ref="I7:I23" si="2">IF(ISERROR(H7/D7),0,H7/D7)</f>
        <v>0.94006518360113545</v>
      </c>
      <c r="J7" s="154">
        <f>IF(ISERROR(G7/D7),0,G7/D7)</f>
        <v>0.91720669312294245</v>
      </c>
      <c r="K7" s="154">
        <f>IF(ISERROR(H7/G7),0,H7/G7)</f>
        <v>1.0249218531107349</v>
      </c>
    </row>
    <row r="8" spans="2:11" ht="17.399999999999999">
      <c r="B8" s="14" t="s">
        <v>34</v>
      </c>
      <c r="C8" s="15" t="s">
        <v>35</v>
      </c>
      <c r="D8" s="16">
        <v>0</v>
      </c>
      <c r="E8" s="16">
        <v>0</v>
      </c>
      <c r="F8" s="16">
        <f t="shared" ref="F8:F10" si="3">E8/12*5</f>
        <v>0</v>
      </c>
      <c r="G8" s="16">
        <v>0</v>
      </c>
      <c r="H8" s="16">
        <v>0</v>
      </c>
      <c r="I8" s="17">
        <f t="shared" si="2"/>
        <v>0</v>
      </c>
      <c r="J8" s="17">
        <f>IF(ISERROR(G8/D8),0,G8/D8)</f>
        <v>0</v>
      </c>
      <c r="K8" s="17">
        <f>IF(ISERROR(H8/G8),0,H8/G8)</f>
        <v>0</v>
      </c>
    </row>
    <row r="9" spans="2:11" ht="17.399999999999999">
      <c r="B9" s="14" t="s">
        <v>36</v>
      </c>
      <c r="C9" s="15" t="s">
        <v>37</v>
      </c>
      <c r="D9" s="16">
        <v>0</v>
      </c>
      <c r="E9" s="16">
        <v>0</v>
      </c>
      <c r="F9" s="16">
        <f t="shared" si="3"/>
        <v>0</v>
      </c>
      <c r="G9" s="16">
        <v>0</v>
      </c>
      <c r="H9" s="16">
        <v>0</v>
      </c>
      <c r="I9" s="17">
        <f t="shared" si="2"/>
        <v>0</v>
      </c>
      <c r="J9" s="17">
        <f>IF(ISERROR(G9/D9),0,G9/D9)</f>
        <v>0</v>
      </c>
      <c r="K9" s="17">
        <f>IF(ISERROR(H9/G9),0,H9/G9)</f>
        <v>0</v>
      </c>
    </row>
    <row r="10" spans="2:11" ht="17.399999999999999">
      <c r="B10" s="14"/>
      <c r="C10" s="15" t="s">
        <v>38</v>
      </c>
      <c r="D10" s="16">
        <v>0</v>
      </c>
      <c r="E10" s="16">
        <v>0</v>
      </c>
      <c r="F10" s="16">
        <f t="shared" si="3"/>
        <v>0</v>
      </c>
      <c r="G10" s="16">
        <v>0</v>
      </c>
      <c r="H10" s="16">
        <v>0</v>
      </c>
      <c r="I10" s="17">
        <f t="shared" si="2"/>
        <v>0</v>
      </c>
      <c r="J10" s="17">
        <f>IF(ISERROR(G10/D10),0,G10/D10)</f>
        <v>0</v>
      </c>
      <c r="K10" s="17">
        <f>IF(ISERROR(H10/G10),0,H10/G10)</f>
        <v>0</v>
      </c>
    </row>
    <row r="11" spans="2:11" ht="17.399999999999999">
      <c r="B11" s="18"/>
      <c r="C11" s="19" t="s">
        <v>39</v>
      </c>
      <c r="D11" s="20">
        <f>SUM(D6:D10)</f>
        <v>320012781198</v>
      </c>
      <c r="E11" s="20">
        <f t="shared" ref="E11:H11" si="4">SUM(E6:E10)</f>
        <v>346233658204.271</v>
      </c>
      <c r="F11" s="20">
        <f t="shared" si="4"/>
        <v>101973162951</v>
      </c>
      <c r="G11" s="20">
        <f t="shared" si="4"/>
        <v>335140926081</v>
      </c>
      <c r="H11" s="20">
        <f t="shared" si="4"/>
        <v>347722013479.52106</v>
      </c>
      <c r="I11" s="17">
        <f t="shared" si="2"/>
        <v>1.086587892451635</v>
      </c>
      <c r="J11" s="17">
        <f t="shared" ref="J11:J38" si="5">IF(ISERROR(G11/D11),0,G11/D11)</f>
        <v>1.0472735645944087</v>
      </c>
      <c r="K11" s="17">
        <f t="shared" ref="K11:K38" si="6">IF(ISERROR(H11/G11),0,H11/G11)</f>
        <v>1.0375396927663807</v>
      </c>
    </row>
    <row r="12" spans="2:11" ht="17.399999999999999">
      <c r="B12" s="14" t="s">
        <v>40</v>
      </c>
      <c r="C12" s="15" t="s">
        <v>41</v>
      </c>
      <c r="D12" s="16">
        <v>45048696500</v>
      </c>
      <c r="E12" s="16">
        <v>51360511500</v>
      </c>
      <c r="F12" s="16">
        <f t="shared" ref="F12:F18" si="7">E12/12*5</f>
        <v>21400213125</v>
      </c>
      <c r="G12" s="16">
        <v>100900291000</v>
      </c>
      <c r="H12" s="16">
        <v>106575455760.28873</v>
      </c>
      <c r="I12" s="17">
        <f t="shared" si="2"/>
        <v>2.3657833420394025</v>
      </c>
      <c r="J12" s="17">
        <f t="shared" si="5"/>
        <v>2.2398048964635415</v>
      </c>
      <c r="K12" s="17">
        <f t="shared" si="6"/>
        <v>1.0562452764411623</v>
      </c>
    </row>
    <row r="13" spans="2:11" ht="17.399999999999999">
      <c r="B13" s="14" t="s">
        <v>42</v>
      </c>
      <c r="C13" s="15" t="s">
        <v>43</v>
      </c>
      <c r="D13" s="16">
        <v>86072813121</v>
      </c>
      <c r="E13" s="16">
        <v>75799168087</v>
      </c>
      <c r="F13" s="16">
        <f t="shared" si="7"/>
        <v>31582986702.916664</v>
      </c>
      <c r="G13" s="16">
        <v>75678681014</v>
      </c>
      <c r="H13" s="16">
        <v>55659740875.007019</v>
      </c>
      <c r="I13" s="17">
        <f t="shared" si="2"/>
        <v>0.64665878640170971</v>
      </c>
      <c r="J13" s="17">
        <f t="shared" si="5"/>
        <v>0.87924024171966975</v>
      </c>
      <c r="K13" s="17">
        <f t="shared" si="6"/>
        <v>0.73547451051254942</v>
      </c>
    </row>
    <row r="14" spans="2:11" ht="17.399999999999999">
      <c r="B14" s="14" t="s">
        <v>44</v>
      </c>
      <c r="C14" s="15" t="s">
        <v>45</v>
      </c>
      <c r="D14" s="16">
        <v>0</v>
      </c>
      <c r="E14" s="16">
        <v>0</v>
      </c>
      <c r="F14" s="16">
        <f t="shared" si="7"/>
        <v>0</v>
      </c>
      <c r="G14" s="16">
        <v>0</v>
      </c>
      <c r="H14" s="16">
        <v>0</v>
      </c>
      <c r="I14" s="17">
        <f t="shared" si="2"/>
        <v>0</v>
      </c>
      <c r="J14" s="17">
        <f t="shared" si="5"/>
        <v>0</v>
      </c>
      <c r="K14" s="17">
        <f t="shared" si="6"/>
        <v>0</v>
      </c>
    </row>
    <row r="15" spans="2:11" ht="17.399999999999999">
      <c r="B15" s="21" t="s">
        <v>46</v>
      </c>
      <c r="C15" s="15" t="s">
        <v>47</v>
      </c>
      <c r="D15" s="16">
        <v>0</v>
      </c>
      <c r="E15" s="16">
        <v>0</v>
      </c>
      <c r="F15" s="16">
        <f t="shared" si="7"/>
        <v>0</v>
      </c>
      <c r="G15" s="16">
        <v>0</v>
      </c>
      <c r="H15" s="16">
        <v>0</v>
      </c>
      <c r="I15" s="17">
        <f t="shared" si="2"/>
        <v>0</v>
      </c>
      <c r="J15" s="17">
        <f t="shared" si="5"/>
        <v>0</v>
      </c>
      <c r="K15" s="17">
        <f t="shared" si="6"/>
        <v>0</v>
      </c>
    </row>
    <row r="16" spans="2:11" ht="17.399999999999999">
      <c r="B16" s="14" t="s">
        <v>48</v>
      </c>
      <c r="C16" s="15" t="s">
        <v>49</v>
      </c>
      <c r="D16" s="16">
        <v>431942664108</v>
      </c>
      <c r="E16" s="16">
        <v>459329580716</v>
      </c>
      <c r="F16" s="16">
        <f t="shared" si="7"/>
        <v>191387325298.33331</v>
      </c>
      <c r="G16" s="16">
        <v>480400759634</v>
      </c>
      <c r="H16" s="16">
        <v>455219400906.38013</v>
      </c>
      <c r="I16" s="17">
        <f t="shared" si="2"/>
        <v>1.053888487367759</v>
      </c>
      <c r="J16" s="17">
        <f t="shared" si="5"/>
        <v>1.1121864070224929</v>
      </c>
      <c r="K16" s="17">
        <f t="shared" si="6"/>
        <v>0.94758260010495265</v>
      </c>
    </row>
    <row r="17" spans="2:11" ht="17.399999999999999">
      <c r="B17" s="14" t="s">
        <v>50</v>
      </c>
      <c r="C17" s="15" t="s">
        <v>51</v>
      </c>
      <c r="D17" s="16">
        <v>22363776</v>
      </c>
      <c r="E17" s="16">
        <v>103046784</v>
      </c>
      <c r="F17" s="16">
        <f t="shared" si="7"/>
        <v>42936160</v>
      </c>
      <c r="G17" s="16">
        <v>228079275</v>
      </c>
      <c r="H17" s="16">
        <v>0</v>
      </c>
      <c r="I17" s="17">
        <f t="shared" si="2"/>
        <v>0</v>
      </c>
      <c r="J17" s="17">
        <f t="shared" si="5"/>
        <v>10.19860308920998</v>
      </c>
      <c r="K17" s="17">
        <f t="shared" si="6"/>
        <v>0</v>
      </c>
    </row>
    <row r="18" spans="2:11" ht="17.399999999999999">
      <c r="B18" s="14" t="s">
        <v>52</v>
      </c>
      <c r="C18" s="15" t="s">
        <v>53</v>
      </c>
      <c r="D18" s="16">
        <v>639015023272</v>
      </c>
      <c r="E18" s="16">
        <v>652634177971</v>
      </c>
      <c r="F18" s="16">
        <f t="shared" si="7"/>
        <v>271930907487.91669</v>
      </c>
      <c r="G18" s="16">
        <v>859478218593</v>
      </c>
      <c r="H18" s="16">
        <v>731089510097.20251</v>
      </c>
      <c r="I18" s="17">
        <f t="shared" si="2"/>
        <v>1.1440881410796042</v>
      </c>
      <c r="J18" s="17">
        <f t="shared" si="5"/>
        <v>1.3450047139614099</v>
      </c>
      <c r="K18" s="17">
        <f t="shared" si="6"/>
        <v>0.85062017196203654</v>
      </c>
    </row>
    <row r="19" spans="2:11" ht="17.399999999999999">
      <c r="B19" s="14"/>
      <c r="C19" s="113" t="s">
        <v>170</v>
      </c>
      <c r="D19" s="16">
        <v>301015023272</v>
      </c>
      <c r="E19" s="16">
        <v>332634177971</v>
      </c>
      <c r="F19" s="16">
        <v>141200177811</v>
      </c>
      <c r="G19" s="114">
        <v>338880426746.40002</v>
      </c>
      <c r="H19" s="114">
        <v>288258526873.59113</v>
      </c>
      <c r="I19" s="17">
        <f t="shared" si="2"/>
        <v>0.95762172844482252</v>
      </c>
      <c r="J19" s="17">
        <f t="shared" si="5"/>
        <v>1.1257924041890244</v>
      </c>
      <c r="K19" s="17">
        <f t="shared" si="6"/>
        <v>0.85062017196203654</v>
      </c>
    </row>
    <row r="20" spans="2:11" ht="17.399999999999999">
      <c r="B20" s="14"/>
      <c r="C20" s="113" t="s">
        <v>169</v>
      </c>
      <c r="D20" s="114">
        <f>D18-D19</f>
        <v>338000000000</v>
      </c>
      <c r="E20" s="114">
        <f t="shared" ref="E20:H20" si="8">E18-E19</f>
        <v>320000000000</v>
      </c>
      <c r="F20" s="114">
        <f t="shared" si="8"/>
        <v>130730729676.91669</v>
      </c>
      <c r="G20" s="114">
        <f t="shared" si="8"/>
        <v>520597791846.59998</v>
      </c>
      <c r="H20" s="114">
        <f t="shared" si="8"/>
        <v>442830983223.61139</v>
      </c>
      <c r="I20" s="17">
        <f t="shared" si="2"/>
        <v>1.3101508379396787</v>
      </c>
      <c r="J20" s="17">
        <f t="shared" si="5"/>
        <v>1.5402301533923075</v>
      </c>
      <c r="K20" s="17">
        <f t="shared" si="6"/>
        <v>0.85062017196203654</v>
      </c>
    </row>
    <row r="21" spans="2:11" ht="17.399999999999999">
      <c r="B21" s="22"/>
      <c r="C21" s="23" t="s">
        <v>55</v>
      </c>
      <c r="D21" s="24">
        <f>SUM(D11:D18)</f>
        <v>1522114341975</v>
      </c>
      <c r="E21" s="24">
        <f t="shared" ref="E21:H21" si="9">SUM(E11:E18)</f>
        <v>1585460143262.271</v>
      </c>
      <c r="F21" s="24">
        <f t="shared" si="9"/>
        <v>618317531725.16675</v>
      </c>
      <c r="G21" s="24">
        <f t="shared" si="9"/>
        <v>1851826955597</v>
      </c>
      <c r="H21" s="24">
        <f t="shared" si="9"/>
        <v>1696266121118.3994</v>
      </c>
      <c r="I21" s="25">
        <f t="shared" si="2"/>
        <v>1.1144143868439154</v>
      </c>
      <c r="J21" s="25">
        <f t="shared" si="5"/>
        <v>1.2166148787443825</v>
      </c>
      <c r="K21" s="25">
        <f t="shared" si="6"/>
        <v>0.91599602003392899</v>
      </c>
    </row>
    <row r="22" spans="2:11" ht="17.399999999999999">
      <c r="B22" s="26" t="s">
        <v>54</v>
      </c>
      <c r="C22" s="27" t="s">
        <v>56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f t="shared" si="2"/>
        <v>0</v>
      </c>
      <c r="J22" s="17">
        <f t="shared" si="5"/>
        <v>0</v>
      </c>
      <c r="K22" s="17">
        <f t="shared" si="6"/>
        <v>0</v>
      </c>
    </row>
    <row r="23" spans="2:11" ht="17.399999999999999">
      <c r="B23" s="28"/>
      <c r="C23" s="23" t="s">
        <v>55</v>
      </c>
      <c r="D23" s="29">
        <f>D21+D22</f>
        <v>1522114341975</v>
      </c>
      <c r="E23" s="29">
        <f t="shared" ref="E23:H23" si="10">E21+E22</f>
        <v>1585460143262.271</v>
      </c>
      <c r="F23" s="29">
        <f t="shared" si="10"/>
        <v>618317531725.16675</v>
      </c>
      <c r="G23" s="29">
        <f t="shared" si="10"/>
        <v>1851826955597</v>
      </c>
      <c r="H23" s="29">
        <f t="shared" si="10"/>
        <v>1696266121118.3994</v>
      </c>
      <c r="I23" s="30">
        <f t="shared" si="2"/>
        <v>1.1144143868439154</v>
      </c>
      <c r="J23" s="30">
        <f t="shared" si="5"/>
        <v>1.2166148787443825</v>
      </c>
      <c r="K23" s="30">
        <f t="shared" si="6"/>
        <v>0.91599602003392899</v>
      </c>
    </row>
    <row r="24" spans="2:11" ht="17.399999999999999">
      <c r="B24" s="107" t="s">
        <v>57</v>
      </c>
      <c r="C24" s="31" t="s">
        <v>57</v>
      </c>
      <c r="D24" s="108">
        <v>-153440115859</v>
      </c>
      <c r="E24" s="108">
        <v>-121727456532</v>
      </c>
      <c r="F24" s="108">
        <f>E24/12*5</f>
        <v>-50719773555</v>
      </c>
      <c r="G24" s="108">
        <v>-83279941263</v>
      </c>
      <c r="H24" s="108">
        <v>-87562175557.373993</v>
      </c>
      <c r="I24" s="17">
        <f>IF(ISERROR(H24/D24),0,H24/D24)</f>
        <v>0.57066025443983037</v>
      </c>
      <c r="J24" s="17">
        <f t="shared" si="5"/>
        <v>0.5427520749497351</v>
      </c>
      <c r="K24" s="17">
        <f t="shared" si="6"/>
        <v>1.0514197564195031</v>
      </c>
    </row>
    <row r="25" spans="2:11" ht="17.399999999999999">
      <c r="B25" s="109" t="s">
        <v>58</v>
      </c>
      <c r="C25" s="110" t="s">
        <v>58</v>
      </c>
      <c r="D25" s="108">
        <v>-33763489129</v>
      </c>
      <c r="E25" s="108">
        <v>-24751929788</v>
      </c>
      <c r="F25" s="108">
        <f t="shared" ref="F25:F33" si="11">E25/12*5</f>
        <v>-10313304078.333334</v>
      </c>
      <c r="G25" s="108">
        <v>-23118604907</v>
      </c>
      <c r="H25" s="108">
        <v>-27409207878.750004</v>
      </c>
      <c r="I25" s="17">
        <f t="shared" ref="I25:I35" si="12">IF(ISERROR(H25/D25),0,H25/D25)</f>
        <v>0.81180021928503232</v>
      </c>
      <c r="J25" s="17">
        <f t="shared" si="5"/>
        <v>0.68472203268657628</v>
      </c>
      <c r="K25" s="17">
        <f t="shared" si="6"/>
        <v>1.1855909121251027</v>
      </c>
    </row>
    <row r="26" spans="2:11" ht="17.399999999999999">
      <c r="B26" s="109" t="s">
        <v>59</v>
      </c>
      <c r="C26" s="110" t="s">
        <v>59</v>
      </c>
      <c r="D26" s="108">
        <v>-50150142315</v>
      </c>
      <c r="E26" s="108">
        <v>-47854171477</v>
      </c>
      <c r="F26" s="108">
        <f t="shared" si="11"/>
        <v>-19939238115.416668</v>
      </c>
      <c r="G26" s="108">
        <v>-55072743729</v>
      </c>
      <c r="H26" s="108">
        <v>-56038699610.469994</v>
      </c>
      <c r="I26" s="17">
        <f t="shared" si="12"/>
        <v>1.1174185560328653</v>
      </c>
      <c r="J26" s="17">
        <f t="shared" si="5"/>
        <v>1.0981572770637511</v>
      </c>
      <c r="K26" s="17">
        <f t="shared" si="6"/>
        <v>1.0175396360534212</v>
      </c>
    </row>
    <row r="27" spans="2:11" ht="17.399999999999999">
      <c r="B27" s="109" t="s">
        <v>60</v>
      </c>
      <c r="C27" s="110" t="s">
        <v>60</v>
      </c>
      <c r="D27" s="108">
        <v>-222368917608</v>
      </c>
      <c r="E27" s="108">
        <v>-223804037186</v>
      </c>
      <c r="F27" s="108">
        <f t="shared" si="11"/>
        <v>-93251682160.833344</v>
      </c>
      <c r="G27" s="108">
        <v>-150060315846</v>
      </c>
      <c r="H27" s="108">
        <v>-123155492774.92807</v>
      </c>
      <c r="I27" s="17">
        <f t="shared" si="12"/>
        <v>0.55383411539570937</v>
      </c>
      <c r="J27" s="17">
        <f t="shared" si="5"/>
        <v>0.67482594896887416</v>
      </c>
      <c r="K27" s="17">
        <f t="shared" si="6"/>
        <v>0.82070660774376147</v>
      </c>
    </row>
    <row r="28" spans="2:11" ht="17.399999999999999">
      <c r="B28" s="109" t="s">
        <v>61</v>
      </c>
      <c r="C28" s="110" t="s">
        <v>61</v>
      </c>
      <c r="D28" s="108">
        <v>-10515268361</v>
      </c>
      <c r="E28" s="108">
        <v>-12915967029</v>
      </c>
      <c r="F28" s="108">
        <f t="shared" si="11"/>
        <v>-5381652928.75</v>
      </c>
      <c r="G28" s="108">
        <v>-16814155205</v>
      </c>
      <c r="H28" s="108">
        <v>-15926180309.435061</v>
      </c>
      <c r="I28" s="17">
        <f t="shared" si="12"/>
        <v>1.5145766862692303</v>
      </c>
      <c r="J28" s="17">
        <f t="shared" si="5"/>
        <v>1.5990229281605304</v>
      </c>
      <c r="K28" s="17">
        <f t="shared" si="6"/>
        <v>0.94718884863743358</v>
      </c>
    </row>
    <row r="29" spans="2:11" ht="17.399999999999999">
      <c r="B29" s="109" t="s">
        <v>62</v>
      </c>
      <c r="C29" s="110" t="s">
        <v>62</v>
      </c>
      <c r="D29" s="108">
        <v>-588267592868</v>
      </c>
      <c r="E29" s="108">
        <v>-646716043685</v>
      </c>
      <c r="F29" s="108">
        <f t="shared" si="11"/>
        <v>-269465018202.08331</v>
      </c>
      <c r="G29" s="108">
        <v>-775333229806</v>
      </c>
      <c r="H29" s="108">
        <v>-833588050341.77991</v>
      </c>
      <c r="I29" s="17">
        <f t="shared" si="12"/>
        <v>1.4170218799199208</v>
      </c>
      <c r="J29" s="17">
        <f t="shared" si="5"/>
        <v>1.317994122412885</v>
      </c>
      <c r="K29" s="17">
        <f t="shared" si="6"/>
        <v>1.0751352041887281</v>
      </c>
    </row>
    <row r="30" spans="2:11" ht="17.399999999999999">
      <c r="B30" s="109"/>
      <c r="C30" s="113" t="s">
        <v>171</v>
      </c>
      <c r="D30" s="108">
        <v>-324345055730.40002</v>
      </c>
      <c r="E30" s="108">
        <v>-346382158108</v>
      </c>
      <c r="F30" s="108">
        <v>-144325899211.66666</v>
      </c>
      <c r="G30" s="108">
        <v>-384598801694</v>
      </c>
      <c r="H30" s="108">
        <v>-436547998416.16089</v>
      </c>
      <c r="I30" s="17">
        <f t="shared" si="12"/>
        <v>1.3459369603556572</v>
      </c>
      <c r="J30" s="17">
        <f t="shared" si="5"/>
        <v>1.1857705085958938</v>
      </c>
      <c r="K30" s="17">
        <f t="shared" si="6"/>
        <v>1.135073735262164</v>
      </c>
    </row>
    <row r="31" spans="2:11" ht="17.399999999999999">
      <c r="B31" s="109"/>
      <c r="C31" s="113" t="s">
        <v>172</v>
      </c>
      <c r="D31" s="108">
        <f>D29-D30</f>
        <v>-263922537137.59998</v>
      </c>
      <c r="E31" s="108">
        <f t="shared" ref="E31:H31" si="13">E29-E30</f>
        <v>-300333885577</v>
      </c>
      <c r="F31" s="108">
        <f t="shared" si="13"/>
        <v>-125139118990.41666</v>
      </c>
      <c r="G31" s="108">
        <f t="shared" si="13"/>
        <v>-390734428112</v>
      </c>
      <c r="H31" s="108">
        <f t="shared" si="13"/>
        <v>-397040051925.61902</v>
      </c>
      <c r="I31" s="17">
        <f t="shared" si="12"/>
        <v>1.5043810060018339</v>
      </c>
      <c r="J31" s="17">
        <f t="shared" si="5"/>
        <v>1.4804890569397822</v>
      </c>
      <c r="K31" s="17">
        <f t="shared" si="6"/>
        <v>1.0161378761633248</v>
      </c>
    </row>
    <row r="32" spans="2:11" ht="17.399999999999999">
      <c r="B32" s="109" t="s">
        <v>63</v>
      </c>
      <c r="C32" s="110" t="s">
        <v>63</v>
      </c>
      <c r="D32" s="108">
        <v>-952922291</v>
      </c>
      <c r="E32" s="108">
        <v>-1144182711</v>
      </c>
      <c r="F32" s="108">
        <f t="shared" si="11"/>
        <v>-476742796.25</v>
      </c>
      <c r="G32" s="108">
        <v>-930898801</v>
      </c>
      <c r="H32" s="108">
        <v>-1103860000</v>
      </c>
      <c r="I32" s="17">
        <f t="shared" si="12"/>
        <v>1.1583945621018115</v>
      </c>
      <c r="J32" s="17">
        <f t="shared" si="5"/>
        <v>0.97688847222065878</v>
      </c>
      <c r="K32" s="17">
        <f t="shared" si="6"/>
        <v>1.1858002167520247</v>
      </c>
    </row>
    <row r="33" spans="2:11" ht="17.399999999999999">
      <c r="B33" s="109" t="s">
        <v>64</v>
      </c>
      <c r="C33" s="110" t="s">
        <v>64</v>
      </c>
      <c r="D33" s="108">
        <v>-66407485742</v>
      </c>
      <c r="E33" s="108">
        <v>-82959626626</v>
      </c>
      <c r="F33" s="108">
        <f t="shared" si="11"/>
        <v>-34566511094.166664</v>
      </c>
      <c r="G33" s="108">
        <v>-106088833995</v>
      </c>
      <c r="H33" s="108">
        <v>-104882492906.08617</v>
      </c>
      <c r="I33" s="17">
        <f t="shared" si="12"/>
        <v>1.5793775616436614</v>
      </c>
      <c r="J33" s="17">
        <f t="shared" si="5"/>
        <v>1.5975433011749032</v>
      </c>
      <c r="K33" s="17">
        <f t="shared" si="6"/>
        <v>0.98862895326975986</v>
      </c>
    </row>
    <row r="34" spans="2:11" ht="17.399999999999999">
      <c r="B34" s="33"/>
      <c r="C34" s="34" t="s">
        <v>65</v>
      </c>
      <c r="D34" s="35">
        <f>SUM(D24:D33)</f>
        <v>-1714133527041</v>
      </c>
      <c r="E34" s="35">
        <f>SUM(E24:E33)</f>
        <v>-1808589458719</v>
      </c>
      <c r="F34" s="35">
        <f>SUM(F24:F33)</f>
        <v>-753578941132.9165</v>
      </c>
      <c r="G34" s="35">
        <f>SUM(G24:G33)</f>
        <v>-1986031953358</v>
      </c>
      <c r="H34" s="35">
        <f>SUM(H24:H33)</f>
        <v>-2083254209720.6033</v>
      </c>
      <c r="I34" s="25">
        <f t="shared" si="12"/>
        <v>1.2153395151874737</v>
      </c>
      <c r="J34" s="25">
        <f t="shared" si="5"/>
        <v>1.1586214971165991</v>
      </c>
      <c r="K34" s="25">
        <f t="shared" si="6"/>
        <v>1.048953017195025</v>
      </c>
    </row>
    <row r="35" spans="2:11" ht="17.399999999999999">
      <c r="B35" s="184" t="s">
        <v>66</v>
      </c>
      <c r="C35" s="185"/>
      <c r="D35" s="24">
        <f>D23+D34</f>
        <v>-192019185066</v>
      </c>
      <c r="E35" s="24">
        <f>E23+E34</f>
        <v>-223129315456.729</v>
      </c>
      <c r="F35" s="24">
        <f>F23+F34</f>
        <v>-135261409407.74976</v>
      </c>
      <c r="G35" s="24">
        <f>G23+G34</f>
        <v>-134204997761</v>
      </c>
      <c r="H35" s="24">
        <f>H23+H34</f>
        <v>-386988088602.20386</v>
      </c>
      <c r="I35" s="25">
        <f t="shared" si="12"/>
        <v>2.0153615820689481</v>
      </c>
      <c r="J35" s="25">
        <f t="shared" si="5"/>
        <v>0.69891452624836237</v>
      </c>
      <c r="K35" s="25">
        <f t="shared" si="6"/>
        <v>2.8835594430795681</v>
      </c>
    </row>
    <row r="36" spans="2:11" ht="17.399999999999999">
      <c r="B36" s="111" t="s">
        <v>67</v>
      </c>
      <c r="C36" s="110"/>
      <c r="D36" s="112"/>
      <c r="E36" s="112"/>
      <c r="F36" s="108"/>
      <c r="G36" s="112"/>
      <c r="H36" s="112"/>
      <c r="I36" s="32"/>
      <c r="J36" s="17">
        <f t="shared" si="5"/>
        <v>0</v>
      </c>
      <c r="K36" s="17">
        <f t="shared" si="6"/>
        <v>0</v>
      </c>
    </row>
    <row r="37" spans="2:11" ht="17.399999999999999">
      <c r="B37" s="109" t="s">
        <v>68</v>
      </c>
      <c r="C37" s="110" t="s">
        <v>69</v>
      </c>
      <c r="D37" s="108">
        <v>6225447076</v>
      </c>
      <c r="E37" s="108">
        <v>92285845887</v>
      </c>
      <c r="F37" s="108">
        <f t="shared" ref="F37:F38" si="14">E37/12*5</f>
        <v>38452435786.25</v>
      </c>
      <c r="G37" s="108">
        <v>4628212157</v>
      </c>
      <c r="H37" s="108">
        <v>0</v>
      </c>
      <c r="I37" s="17">
        <f t="shared" ref="I37" si="15">IF(ISERROR(H37/D37),0,H37/D37)</f>
        <v>0</v>
      </c>
      <c r="J37" s="17">
        <f t="shared" si="5"/>
        <v>0.74343450365876984</v>
      </c>
      <c r="K37" s="17">
        <f t="shared" si="6"/>
        <v>0</v>
      </c>
    </row>
    <row r="38" spans="2:11" ht="17.399999999999999">
      <c r="B38" s="109" t="s">
        <v>70</v>
      </c>
      <c r="C38" s="110" t="s">
        <v>71</v>
      </c>
      <c r="D38" s="108">
        <v>-10801911954</v>
      </c>
      <c r="E38" s="108">
        <v>-7259949782</v>
      </c>
      <c r="F38" s="108">
        <f t="shared" si="14"/>
        <v>-3024979075.833333</v>
      </c>
      <c r="G38" s="108">
        <v>-2574872887</v>
      </c>
      <c r="H38" s="108">
        <v>0</v>
      </c>
      <c r="I38" s="17">
        <f>IF(ISERROR(H38/D38),0,H38/D38)</f>
        <v>0</v>
      </c>
      <c r="J38" s="17">
        <f t="shared" si="5"/>
        <v>0.2383719565540906</v>
      </c>
      <c r="K38" s="17">
        <f t="shared" si="6"/>
        <v>0</v>
      </c>
    </row>
    <row r="39" spans="2:11" ht="17.399999999999999">
      <c r="B39" s="184" t="s">
        <v>72</v>
      </c>
      <c r="C39" s="185"/>
      <c r="D39" s="24">
        <f>D37+D38</f>
        <v>-4576464878</v>
      </c>
      <c r="E39" s="24">
        <f t="shared" ref="E39:H39" si="16">E37+E38</f>
        <v>85025896105</v>
      </c>
      <c r="F39" s="24">
        <f t="shared" si="16"/>
        <v>35427456710.416664</v>
      </c>
      <c r="G39" s="24">
        <f t="shared" si="16"/>
        <v>2053339270</v>
      </c>
      <c r="H39" s="24">
        <f t="shared" si="16"/>
        <v>0</v>
      </c>
      <c r="I39" s="25">
        <f t="shared" ref="I39:I45" si="17">IF(ISERROR(H39/D39),0,H39/D39)</f>
        <v>0</v>
      </c>
      <c r="J39" s="25">
        <f>IF(ISERROR(G39/D39),0,G39/D39)</f>
        <v>-0.44867366509700984</v>
      </c>
      <c r="K39" s="25">
        <f>IF(ISERROR(H39/G39),0,H39/G39)</f>
        <v>0</v>
      </c>
    </row>
    <row r="40" spans="2:11" ht="17.399999999999999">
      <c r="B40" s="22" t="s">
        <v>73</v>
      </c>
      <c r="C40" s="23"/>
      <c r="D40" s="35">
        <f>D35+D39</f>
        <v>-196595649944</v>
      </c>
      <c r="E40" s="35">
        <f>E35+E39</f>
        <v>-138103419351.729</v>
      </c>
      <c r="F40" s="35">
        <f>F35+F39</f>
        <v>-99833952697.333099</v>
      </c>
      <c r="G40" s="35">
        <f>G35+G39</f>
        <v>-132151658491</v>
      </c>
      <c r="H40" s="35">
        <f>H35+H39</f>
        <v>-386988088602.20386</v>
      </c>
      <c r="I40" s="25">
        <f t="shared" si="17"/>
        <v>1.9684468537957829</v>
      </c>
      <c r="J40" s="25">
        <f>IF(ISERROR(G40/D40),0,G40/D40)</f>
        <v>0.67220031841316541</v>
      </c>
      <c r="K40" s="25">
        <f>IF(ISERROR(H40/G40),0,H40/G40)</f>
        <v>2.9283634652875667</v>
      </c>
    </row>
    <row r="41" spans="2:11" ht="17.399999999999999">
      <c r="B41" s="139"/>
      <c r="C41" s="110" t="s">
        <v>74</v>
      </c>
      <c r="D41" s="108">
        <v>0</v>
      </c>
      <c r="E41" s="108">
        <v>0</v>
      </c>
      <c r="F41" s="108">
        <f t="shared" ref="F41:F44" si="18">E41/12*5</f>
        <v>0</v>
      </c>
      <c r="G41" s="108">
        <v>0</v>
      </c>
      <c r="H41" s="108">
        <v>0</v>
      </c>
      <c r="I41" s="17">
        <f t="shared" si="17"/>
        <v>0</v>
      </c>
      <c r="J41" s="17">
        <f t="shared" ref="J41:J43" si="19">IF(ISERROR(G41/D41),0,G41/D41)</f>
        <v>0</v>
      </c>
      <c r="K41" s="17">
        <f t="shared" ref="K41:K43" si="20">IF(ISERROR(H41/G41),0,H41/G41)</f>
        <v>0</v>
      </c>
    </row>
    <row r="42" spans="2:11" ht="17.399999999999999">
      <c r="B42" s="139"/>
      <c r="C42" s="110" t="s">
        <v>75</v>
      </c>
      <c r="D42" s="108">
        <v>-8199790</v>
      </c>
      <c r="E42" s="108">
        <v>0</v>
      </c>
      <c r="F42" s="108">
        <f t="shared" si="18"/>
        <v>0</v>
      </c>
      <c r="G42" s="108">
        <v>0</v>
      </c>
      <c r="H42" s="108">
        <v>0</v>
      </c>
      <c r="I42" s="17">
        <f t="shared" si="17"/>
        <v>0</v>
      </c>
      <c r="J42" s="17">
        <f t="shared" si="19"/>
        <v>0</v>
      </c>
      <c r="K42" s="17">
        <f t="shared" si="20"/>
        <v>0</v>
      </c>
    </row>
    <row r="43" spans="2:11" ht="17.399999999999999">
      <c r="B43" s="139"/>
      <c r="C43" s="110" t="s">
        <v>76</v>
      </c>
      <c r="D43" s="108">
        <v>-45944172954</v>
      </c>
      <c r="E43" s="108">
        <v>-53271658071</v>
      </c>
      <c r="F43" s="108">
        <f t="shared" si="18"/>
        <v>-22196524196.25</v>
      </c>
      <c r="G43" s="108">
        <v>-48820675999</v>
      </c>
      <c r="H43" s="108">
        <v>-45521940090.659988</v>
      </c>
      <c r="I43" s="17">
        <f t="shared" si="17"/>
        <v>0.99080987128089659</v>
      </c>
      <c r="J43" s="17">
        <f t="shared" si="19"/>
        <v>1.0626086587276258</v>
      </c>
      <c r="K43" s="17">
        <f t="shared" si="20"/>
        <v>0.93243158066046483</v>
      </c>
    </row>
    <row r="44" spans="2:11" ht="17.399999999999999">
      <c r="B44" s="139"/>
      <c r="C44" s="110" t="s">
        <v>77</v>
      </c>
      <c r="D44" s="108">
        <v>0</v>
      </c>
      <c r="E44" s="108">
        <v>0</v>
      </c>
      <c r="F44" s="108">
        <f t="shared" si="18"/>
        <v>0</v>
      </c>
      <c r="G44" s="108">
        <v>0</v>
      </c>
      <c r="H44" s="108">
        <v>0</v>
      </c>
      <c r="I44" s="17">
        <f t="shared" si="17"/>
        <v>0</v>
      </c>
      <c r="J44" s="17">
        <f>IF(ISERROR(G44/D44),0,G44/D44)</f>
        <v>0</v>
      </c>
      <c r="K44" s="17">
        <f>IF(ISERROR(H44/G44),0,H44/G44)</f>
        <v>0</v>
      </c>
    </row>
    <row r="45" spans="2:11" ht="17.399999999999999">
      <c r="B45" s="22" t="s">
        <v>78</v>
      </c>
      <c r="C45" s="23"/>
      <c r="D45" s="35">
        <f>D40+SUM(D41:D44)</f>
        <v>-242548022688</v>
      </c>
      <c r="E45" s="35">
        <f>E40+SUM(E41:E44)</f>
        <v>-191375077422.729</v>
      </c>
      <c r="F45" s="35">
        <f>F40+SUM(F41:F44)</f>
        <v>-122030476893.5831</v>
      </c>
      <c r="G45" s="35">
        <f>G40+SUM(G41:G44)</f>
        <v>-180972334490</v>
      </c>
      <c r="H45" s="35">
        <f>H40+SUM(H41:H44)</f>
        <v>-432510028692.86383</v>
      </c>
      <c r="I45" s="25">
        <f t="shared" si="17"/>
        <v>1.7831933812514322</v>
      </c>
      <c r="J45" s="25">
        <f>IF(ISERROR(G45/D45),0,G45/D45)</f>
        <v>0.74612991062307088</v>
      </c>
      <c r="K45" s="25">
        <f>IF(ISERROR(H45/G45),0,H45/G45)</f>
        <v>2.3899234648860821</v>
      </c>
    </row>
    <row r="47" spans="2:11" ht="15.6">
      <c r="B47" s="55" t="s">
        <v>174</v>
      </c>
      <c r="C47" s="55"/>
    </row>
    <row r="48" spans="2:11" ht="15.6">
      <c r="B48" s="55"/>
      <c r="C48" s="55"/>
    </row>
    <row r="49" ht="44.1" customHeight="1"/>
    <row r="68" ht="17.100000000000001" customHeight="1"/>
    <row r="69" ht="17.100000000000001" customHeight="1"/>
    <row r="70" ht="17.100000000000001" customHeight="1"/>
    <row r="71" ht="17.100000000000001" customHeight="1"/>
    <row r="72" ht="17.100000000000001" customHeight="1"/>
    <row r="73" ht="17.100000000000001" customHeight="1"/>
    <row r="74" ht="30" customHeight="1"/>
    <row r="75" ht="17.100000000000001" customHeight="1"/>
    <row r="76" ht="17.100000000000001" customHeight="1"/>
    <row r="77" ht="17.100000000000001" customHeight="1"/>
    <row r="78" ht="17.100000000000001" customHeight="1"/>
    <row r="79" ht="17.100000000000001" customHeight="1"/>
    <row r="80" ht="17.100000000000001" customHeight="1"/>
    <row r="81" ht="30" customHeight="1"/>
    <row r="82" ht="17.100000000000001" customHeight="1"/>
    <row r="83" ht="17.100000000000001" customHeight="1"/>
    <row r="84" ht="17.100000000000001" customHeight="1"/>
    <row r="99" ht="15.9" customHeight="1"/>
    <row r="105" ht="15.9" customHeight="1"/>
    <row r="106" ht="30.9" customHeight="1"/>
    <row r="107" ht="30.9" customHeight="1"/>
    <row r="108" ht="30.9" customHeight="1"/>
    <row r="109" ht="30.9" customHeight="1"/>
  </sheetData>
  <mergeCells count="4">
    <mergeCell ref="I3:K3"/>
    <mergeCell ref="B35:C35"/>
    <mergeCell ref="B39:C39"/>
    <mergeCell ref="B3:C4"/>
  </mergeCells>
  <conditionalFormatting sqref="I41:I44">
    <cfRule type="cellIs" dxfId="6" priority="6" operator="greaterThan">
      <formula>1</formula>
    </cfRule>
  </conditionalFormatting>
  <conditionalFormatting sqref="I6:K20">
    <cfRule type="cellIs" dxfId="5" priority="10" operator="lessThan">
      <formula>1</formula>
    </cfRule>
  </conditionalFormatting>
  <conditionalFormatting sqref="I24:K33">
    <cfRule type="cellIs" dxfId="4" priority="9" operator="greaterThan">
      <formula>1</formula>
    </cfRule>
  </conditionalFormatting>
  <conditionalFormatting sqref="I37:K37">
    <cfRule type="cellIs" dxfId="3" priority="8" operator="lessThan">
      <formula>1</formula>
    </cfRule>
  </conditionalFormatting>
  <conditionalFormatting sqref="I38:K38">
    <cfRule type="cellIs" dxfId="2" priority="7" operator="greaterThan">
      <formula>1</formula>
    </cfRule>
  </conditionalFormatting>
  <conditionalFormatting sqref="J41:K43">
    <cfRule type="cellIs" dxfId="1" priority="11" operator="greaterThan">
      <formula>1</formula>
    </cfRule>
  </conditionalFormatting>
  <pageMargins left="0.7" right="0.7" top="0.75" bottom="0.75" header="0.3" footer="0.3"/>
  <customProperties>
    <customPr name="EpmWorksheetKeyString_GUID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1A64A-46CE-4043-897C-A3621F19376D}">
  <dimension ref="C3:L22"/>
  <sheetViews>
    <sheetView tabSelected="1" workbookViewId="0">
      <selection activeCell="C3" sqref="C3:L21"/>
    </sheetView>
  </sheetViews>
  <sheetFormatPr defaultColWidth="11.54296875" defaultRowHeight="15"/>
  <cols>
    <col min="3" max="3" width="27.08984375" bestFit="1" customWidth="1"/>
    <col min="4" max="4" width="7.6328125" bestFit="1" customWidth="1"/>
    <col min="5" max="9" width="13.1796875" bestFit="1" customWidth="1"/>
    <col min="10" max="12" width="12.36328125" customWidth="1"/>
  </cols>
  <sheetData>
    <row r="3" spans="3:12" ht="26.4">
      <c r="C3" s="200" t="s">
        <v>25</v>
      </c>
      <c r="D3" s="200" t="s">
        <v>118</v>
      </c>
      <c r="E3" s="83" t="s">
        <v>119</v>
      </c>
      <c r="F3" s="83" t="s">
        <v>8</v>
      </c>
      <c r="G3" s="84" t="s">
        <v>7</v>
      </c>
      <c r="H3" s="85" t="s">
        <v>120</v>
      </c>
      <c r="I3" s="86" t="s">
        <v>121</v>
      </c>
      <c r="J3" s="198" t="s">
        <v>19</v>
      </c>
      <c r="K3" s="199"/>
      <c r="L3" s="199"/>
    </row>
    <row r="4" spans="3:12">
      <c r="C4" s="201"/>
      <c r="D4" s="201"/>
      <c r="E4" s="87">
        <v>1</v>
      </c>
      <c r="F4" s="87">
        <v>2</v>
      </c>
      <c r="G4" s="87">
        <v>3</v>
      </c>
      <c r="H4" s="87">
        <v>4</v>
      </c>
      <c r="I4" s="87">
        <v>5</v>
      </c>
      <c r="J4" s="87" t="s">
        <v>20</v>
      </c>
      <c r="K4" s="87" t="s">
        <v>134</v>
      </c>
      <c r="L4" s="87" t="s">
        <v>135</v>
      </c>
    </row>
    <row r="5" spans="3:12">
      <c r="C5" s="202" t="s">
        <v>122</v>
      </c>
      <c r="D5" s="88" t="s">
        <v>123</v>
      </c>
      <c r="E5" s="155">
        <f>'[1]Regional 2'!$P$16</f>
        <v>806</v>
      </c>
      <c r="F5" s="155">
        <f>'[1]Regional 2'!$Q$16</f>
        <v>674</v>
      </c>
      <c r="G5" s="155">
        <f>'[2]Regional 2'!$S$16</f>
        <v>634</v>
      </c>
      <c r="H5" s="155">
        <f>'[2]Regional 2'!$T$16</f>
        <v>1421</v>
      </c>
      <c r="I5" s="155">
        <f>'[2]Regional 2'!$U$16</f>
        <v>1449.42</v>
      </c>
      <c r="J5" s="96">
        <f>H5/E5</f>
        <v>1.7630272952853598</v>
      </c>
      <c r="K5" s="96">
        <f>I5/H5</f>
        <v>1.02</v>
      </c>
      <c r="L5" s="96">
        <f>I5/E5</f>
        <v>1.798287841191067</v>
      </c>
    </row>
    <row r="6" spans="3:12">
      <c r="C6" s="203"/>
      <c r="D6" s="88" t="s">
        <v>124</v>
      </c>
      <c r="E6" s="155">
        <f>'[1]Regional 2'!$P$17</f>
        <v>2619161</v>
      </c>
      <c r="F6" s="155">
        <f>'[1]Regional 2'!$Q$17</f>
        <v>2508863.2307692301</v>
      </c>
      <c r="G6" s="155">
        <f>'[2]Regional 2'!$S$17</f>
        <v>1338067</v>
      </c>
      <c r="H6" s="155">
        <f>'[2]Regional 2'!$T$17</f>
        <v>3111361</v>
      </c>
      <c r="I6" s="155">
        <f>'[2]Regional 2'!$U$17</f>
        <v>3173588.22</v>
      </c>
      <c r="J6" s="96">
        <f t="shared" ref="J6:J22" si="0">H6/E6</f>
        <v>1.1879227737431948</v>
      </c>
      <c r="K6" s="96">
        <f t="shared" ref="K6:K22" si="1">I6/H6</f>
        <v>1.02</v>
      </c>
      <c r="L6" s="96">
        <f t="shared" ref="L6:L22" si="2">I6/E6</f>
        <v>1.2116812292180588</v>
      </c>
    </row>
    <row r="7" spans="3:12">
      <c r="C7" s="192" t="s">
        <v>125</v>
      </c>
      <c r="D7" s="88" t="s">
        <v>123</v>
      </c>
      <c r="E7" s="155">
        <f>'[1]Regional 2'!$P$14</f>
        <v>184</v>
      </c>
      <c r="F7" s="155">
        <f>'[1]Regional 2'!$Q$14</f>
        <v>180</v>
      </c>
      <c r="G7" s="155">
        <f>'[2]Regional 2'!$S$14</f>
        <v>98</v>
      </c>
      <c r="H7" s="155">
        <f>'[2]Regional 2'!$T$14</f>
        <v>225</v>
      </c>
      <c r="I7" s="155">
        <f>'[2]Regional 2'!$U$14</f>
        <v>229.5</v>
      </c>
      <c r="J7" s="96">
        <f t="shared" si="0"/>
        <v>1.2228260869565217</v>
      </c>
      <c r="K7" s="96">
        <f t="shared" si="1"/>
        <v>1.02</v>
      </c>
      <c r="L7" s="96">
        <f t="shared" si="2"/>
        <v>1.2472826086956521</v>
      </c>
    </row>
    <row r="8" spans="3:12">
      <c r="C8" s="193"/>
      <c r="D8" s="88" t="s">
        <v>124</v>
      </c>
      <c r="E8" s="155">
        <f>'[1]Regional 2'!$P$15</f>
        <v>3691444</v>
      </c>
      <c r="F8" s="155">
        <f>'[1]Regional 2'!$Q$15</f>
        <v>3556185.7733333302</v>
      </c>
      <c r="G8" s="155">
        <f>'[2]Regional 2'!$S$15</f>
        <v>1964950</v>
      </c>
      <c r="H8" s="155">
        <f>'[2]Regional 2'!$T$15</f>
        <v>4615880</v>
      </c>
      <c r="I8" s="155">
        <f>'[2]Regional 2'!$U$15</f>
        <v>4708197.5999999996</v>
      </c>
      <c r="J8" s="96">
        <f t="shared" si="0"/>
        <v>1.2504266623034239</v>
      </c>
      <c r="K8" s="96">
        <f t="shared" si="1"/>
        <v>1.02</v>
      </c>
      <c r="L8" s="96">
        <f t="shared" si="2"/>
        <v>1.2754351955494923</v>
      </c>
    </row>
    <row r="9" spans="3:12">
      <c r="C9" s="194" t="s">
        <v>128</v>
      </c>
      <c r="D9" s="89" t="s">
        <v>123</v>
      </c>
      <c r="E9" s="80">
        <f>SUM(E5,E7)</f>
        <v>990</v>
      </c>
      <c r="F9" s="80">
        <f t="shared" ref="F9:I10" si="3">SUM(F5,F7)</f>
        <v>854</v>
      </c>
      <c r="G9" s="80">
        <f t="shared" si="3"/>
        <v>732</v>
      </c>
      <c r="H9" s="80">
        <f t="shared" si="3"/>
        <v>1646</v>
      </c>
      <c r="I9" s="80">
        <f t="shared" si="3"/>
        <v>1678.92</v>
      </c>
      <c r="J9" s="97">
        <f t="shared" si="0"/>
        <v>1.6626262626262627</v>
      </c>
      <c r="K9" s="97">
        <f t="shared" si="1"/>
        <v>1.02</v>
      </c>
      <c r="L9" s="97">
        <f t="shared" si="2"/>
        <v>1.695878787878788</v>
      </c>
    </row>
    <row r="10" spans="3:12">
      <c r="C10" s="195"/>
      <c r="D10" s="89" t="s">
        <v>124</v>
      </c>
      <c r="E10" s="80">
        <f>SUM(E6,E8)</f>
        <v>6310605</v>
      </c>
      <c r="F10" s="80">
        <f t="shared" si="3"/>
        <v>6065049.0041025598</v>
      </c>
      <c r="G10" s="80">
        <f t="shared" si="3"/>
        <v>3303017</v>
      </c>
      <c r="H10" s="80">
        <f t="shared" si="3"/>
        <v>7727241</v>
      </c>
      <c r="I10" s="80">
        <f t="shared" si="3"/>
        <v>7881785.8200000003</v>
      </c>
      <c r="J10" s="97">
        <f t="shared" si="0"/>
        <v>1.224484974103117</v>
      </c>
      <c r="K10" s="97">
        <f t="shared" si="1"/>
        <v>1.02</v>
      </c>
      <c r="L10" s="97">
        <f t="shared" si="2"/>
        <v>1.2489746735851792</v>
      </c>
    </row>
    <row r="11" spans="3:12" ht="26.4">
      <c r="C11" s="156" t="s">
        <v>132</v>
      </c>
      <c r="D11" s="157" t="s">
        <v>4</v>
      </c>
      <c r="E11" s="165">
        <f>[3]Sheet1!$F$12</f>
        <v>95048178375</v>
      </c>
      <c r="F11" s="165">
        <f>[3]Sheet1!$G$12</f>
        <v>98940555039</v>
      </c>
      <c r="G11" s="165">
        <f>[3]Sheet1!$H$12</f>
        <v>29181123591</v>
      </c>
      <c r="H11" s="165">
        <f>[3]Sheet1!$S$12</f>
        <v>128801886656</v>
      </c>
      <c r="I11" s="165">
        <f>[3]Sheet1!$AF$12</f>
        <v>136240622822.96107</v>
      </c>
      <c r="J11" s="166">
        <f t="shared" si="0"/>
        <v>1.3551220955316914</v>
      </c>
      <c r="K11" s="166">
        <f t="shared" si="1"/>
        <v>1.0577533168192499</v>
      </c>
      <c r="L11" s="166">
        <f t="shared" si="2"/>
        <v>1.4333848912436991</v>
      </c>
    </row>
    <row r="12" spans="3:12">
      <c r="C12" s="192" t="s">
        <v>127</v>
      </c>
      <c r="D12" s="91" t="s">
        <v>123</v>
      </c>
      <c r="E12" s="155">
        <f>'[1]Regional 2'!$P$22</f>
        <v>3639</v>
      </c>
      <c r="F12" s="155">
        <f>'[1]Regional 2'!$Q$22</f>
        <v>4308</v>
      </c>
      <c r="G12" s="155">
        <f>'[2]Regional 2'!$S$22</f>
        <v>1218</v>
      </c>
      <c r="H12" s="155">
        <f>'[2]Regional 2'!$T$22</f>
        <v>3343</v>
      </c>
      <c r="I12" s="155">
        <f>'[2]Regional 2'!$U$22</f>
        <v>3409.86</v>
      </c>
      <c r="J12" s="96">
        <f t="shared" si="0"/>
        <v>0.91865897224512227</v>
      </c>
      <c r="K12" s="96">
        <f t="shared" si="1"/>
        <v>1.02</v>
      </c>
      <c r="L12" s="96">
        <f t="shared" si="2"/>
        <v>0.93703215169002474</v>
      </c>
    </row>
    <row r="13" spans="3:12">
      <c r="C13" s="193"/>
      <c r="D13" s="91" t="s">
        <v>124</v>
      </c>
      <c r="E13" s="155">
        <f>'[1]Regional 2'!$P$23</f>
        <v>22673573</v>
      </c>
      <c r="F13" s="155">
        <f>'[1]Regional 2'!$Q$23</f>
        <v>26778183</v>
      </c>
      <c r="G13" s="155">
        <f>'[2]Regional 2'!$S$23</f>
        <v>9771942</v>
      </c>
      <c r="H13" s="155">
        <f>'[2]Regional 2'!$T$23</f>
        <v>23452661</v>
      </c>
      <c r="I13" s="155">
        <f>'[2]Regional 2'!$U$23</f>
        <v>23921714.219999999</v>
      </c>
      <c r="J13" s="96">
        <f t="shared" si="0"/>
        <v>1.034361059899999</v>
      </c>
      <c r="K13" s="96">
        <f t="shared" si="1"/>
        <v>1.02</v>
      </c>
      <c r="L13" s="96">
        <f t="shared" si="2"/>
        <v>1.0550482810979989</v>
      </c>
    </row>
    <row r="14" spans="3:12">
      <c r="C14" s="192" t="s">
        <v>126</v>
      </c>
      <c r="D14" s="91" t="s">
        <v>123</v>
      </c>
      <c r="E14" s="155">
        <f>'[1]Regional 2'!$P$20</f>
        <v>543</v>
      </c>
      <c r="F14" s="155">
        <f>'[1]Regional 2'!$Q$20</f>
        <v>510</v>
      </c>
      <c r="G14" s="155">
        <f>'[2]Regional 2'!$S$20</f>
        <v>247</v>
      </c>
      <c r="H14" s="155">
        <f>'[2]Regional 2'!$T$20</f>
        <v>582</v>
      </c>
      <c r="I14" s="155">
        <f>'[2]Regional 2'!$U$20</f>
        <v>593.64</v>
      </c>
      <c r="J14" s="96">
        <f t="shared" ref="J14:J15" si="4">H14/E14</f>
        <v>1.0718232044198894</v>
      </c>
      <c r="K14" s="96">
        <f t="shared" ref="K14:K15" si="5">I14/H14</f>
        <v>1.02</v>
      </c>
      <c r="L14" s="96">
        <f t="shared" ref="L14:L15" si="6">I14/E14</f>
        <v>1.0932596685082874</v>
      </c>
    </row>
    <row r="15" spans="3:12">
      <c r="C15" s="193"/>
      <c r="D15" s="91" t="s">
        <v>124</v>
      </c>
      <c r="E15" s="155">
        <f>'[1]Regional 2'!$P$21</f>
        <v>9889101</v>
      </c>
      <c r="F15" s="155">
        <f>'[1]Regional 2'!$Q$21</f>
        <v>9644471</v>
      </c>
      <c r="G15" s="155">
        <f>'[2]Regional 2'!$S$21</f>
        <v>4308561</v>
      </c>
      <c r="H15" s="155">
        <f>'[2]Regional 2'!$T$21</f>
        <v>10240546</v>
      </c>
      <c r="I15" s="155">
        <f>'[2]Regional 2'!$U$21</f>
        <v>10445356.92</v>
      </c>
      <c r="J15" s="96">
        <f t="shared" si="4"/>
        <v>1.0355386197390439</v>
      </c>
      <c r="K15" s="96">
        <f t="shared" si="5"/>
        <v>1.02</v>
      </c>
      <c r="L15" s="96">
        <f t="shared" si="6"/>
        <v>1.056249392133825</v>
      </c>
    </row>
    <row r="16" spans="3:12">
      <c r="C16" s="194" t="s">
        <v>129</v>
      </c>
      <c r="D16" s="89" t="s">
        <v>123</v>
      </c>
      <c r="E16" s="80">
        <f>SUM(E12,E14)</f>
        <v>4182</v>
      </c>
      <c r="F16" s="80">
        <f t="shared" ref="F16:I17" si="7">SUM(F12,F14)</f>
        <v>4818</v>
      </c>
      <c r="G16" s="80">
        <f t="shared" si="7"/>
        <v>1465</v>
      </c>
      <c r="H16" s="80">
        <f t="shared" si="7"/>
        <v>3925</v>
      </c>
      <c r="I16" s="80">
        <f t="shared" si="7"/>
        <v>4003.5</v>
      </c>
      <c r="J16" s="97">
        <f t="shared" si="0"/>
        <v>0.93854615016738407</v>
      </c>
      <c r="K16" s="97">
        <f t="shared" si="1"/>
        <v>1.02</v>
      </c>
      <c r="L16" s="97">
        <f t="shared" si="2"/>
        <v>0.95731707317073167</v>
      </c>
    </row>
    <row r="17" spans="3:12">
      <c r="C17" s="195"/>
      <c r="D17" s="89" t="s">
        <v>124</v>
      </c>
      <c r="E17" s="80">
        <f>SUM(E13,E15)</f>
        <v>32562674</v>
      </c>
      <c r="F17" s="80">
        <f t="shared" si="7"/>
        <v>36422654</v>
      </c>
      <c r="G17" s="80">
        <f t="shared" si="7"/>
        <v>14080503</v>
      </c>
      <c r="H17" s="80">
        <f t="shared" si="7"/>
        <v>33693207</v>
      </c>
      <c r="I17" s="80">
        <f t="shared" si="7"/>
        <v>34367071.140000001</v>
      </c>
      <c r="J17" s="97">
        <f t="shared" si="0"/>
        <v>1.0347186782019191</v>
      </c>
      <c r="K17" s="97">
        <f t="shared" si="1"/>
        <v>1.02</v>
      </c>
      <c r="L17" s="97">
        <f t="shared" si="2"/>
        <v>1.0554130517659577</v>
      </c>
    </row>
    <row r="18" spans="3:12" ht="26.4">
      <c r="C18" s="90" t="s">
        <v>133</v>
      </c>
      <c r="D18" s="88" t="s">
        <v>4</v>
      </c>
      <c r="E18" s="168">
        <f>[3]Sheet1!$F$61</f>
        <v>224964602823</v>
      </c>
      <c r="F18" s="168">
        <f>[3]Sheet1!$G$61</f>
        <v>247293103165.27103</v>
      </c>
      <c r="G18" s="168">
        <v>72792039360</v>
      </c>
      <c r="H18" s="168">
        <f>[4]Sheet1!$S$61</f>
        <v>206339039425</v>
      </c>
      <c r="I18" s="168">
        <f>[4]Sheet1!$AF$61</f>
        <v>211481390656.56</v>
      </c>
      <c r="J18" s="167">
        <f t="shared" si="0"/>
        <v>0.91720669312294245</v>
      </c>
      <c r="K18" s="167">
        <f t="shared" si="1"/>
        <v>1.0249218531107349</v>
      </c>
      <c r="L18" s="167">
        <f t="shared" si="2"/>
        <v>0.94006518360113545</v>
      </c>
    </row>
    <row r="19" spans="3:12">
      <c r="C19" s="196" t="s">
        <v>130</v>
      </c>
      <c r="D19" s="93" t="s">
        <v>123</v>
      </c>
      <c r="E19" s="82">
        <f t="shared" ref="E19:I20" si="8">SUM(E9,E16)</f>
        <v>5172</v>
      </c>
      <c r="F19" s="82">
        <f t="shared" si="8"/>
        <v>5672</v>
      </c>
      <c r="G19" s="82">
        <f t="shared" si="8"/>
        <v>2197</v>
      </c>
      <c r="H19" s="82">
        <f t="shared" si="8"/>
        <v>5571</v>
      </c>
      <c r="I19" s="82">
        <f t="shared" si="8"/>
        <v>5682.42</v>
      </c>
      <c r="J19" s="99">
        <f t="shared" si="0"/>
        <v>1.0771461716937354</v>
      </c>
      <c r="K19" s="99">
        <f t="shared" si="1"/>
        <v>1.02</v>
      </c>
      <c r="L19" s="99">
        <f t="shared" si="2"/>
        <v>1.0986890951276103</v>
      </c>
    </row>
    <row r="20" spans="3:12">
      <c r="C20" s="197"/>
      <c r="D20" s="93" t="s">
        <v>124</v>
      </c>
      <c r="E20" s="82">
        <f t="shared" si="8"/>
        <v>38873279</v>
      </c>
      <c r="F20" s="82">
        <f t="shared" si="8"/>
        <v>42487703.004102558</v>
      </c>
      <c r="G20" s="82">
        <f t="shared" si="8"/>
        <v>17383520</v>
      </c>
      <c r="H20" s="82">
        <f t="shared" si="8"/>
        <v>41420448</v>
      </c>
      <c r="I20" s="82">
        <f t="shared" si="8"/>
        <v>42248856.960000001</v>
      </c>
      <c r="J20" s="99">
        <f t="shared" si="0"/>
        <v>1.0655249329494432</v>
      </c>
      <c r="K20" s="99">
        <f t="shared" si="1"/>
        <v>1.02</v>
      </c>
      <c r="L20" s="99">
        <f t="shared" si="2"/>
        <v>1.0868354316084321</v>
      </c>
    </row>
    <row r="21" spans="3:12">
      <c r="C21" s="94" t="s">
        <v>39</v>
      </c>
      <c r="D21" s="92" t="s">
        <v>4</v>
      </c>
      <c r="E21" s="95">
        <f>E11+E18</f>
        <v>320012781198</v>
      </c>
      <c r="F21" s="95">
        <f>F11+F18</f>
        <v>346233658204.271</v>
      </c>
      <c r="G21" s="95">
        <f>G11+G18</f>
        <v>101973162951</v>
      </c>
      <c r="H21" s="95">
        <f>H11+H18</f>
        <v>335140926081</v>
      </c>
      <c r="I21" s="95">
        <f>I11+I18</f>
        <v>347722013479.52106</v>
      </c>
      <c r="J21" s="100">
        <f t="shared" si="0"/>
        <v>1.0472735645944087</v>
      </c>
      <c r="K21" s="100">
        <f t="shared" si="1"/>
        <v>1.0375396927663807</v>
      </c>
      <c r="L21" s="100">
        <f t="shared" si="2"/>
        <v>1.086587892451635</v>
      </c>
    </row>
    <row r="22" spans="3:12">
      <c r="C22" s="119" t="s">
        <v>173</v>
      </c>
      <c r="D22" s="91" t="s">
        <v>4</v>
      </c>
      <c r="E22" s="81"/>
      <c r="F22" s="81"/>
      <c r="G22" s="81"/>
      <c r="H22" s="81"/>
      <c r="I22" s="81"/>
      <c r="J22" s="120" t="e">
        <f t="shared" si="0"/>
        <v>#DIV/0!</v>
      </c>
      <c r="K22" s="120" t="e">
        <f t="shared" si="1"/>
        <v>#DIV/0!</v>
      </c>
      <c r="L22" s="120" t="e">
        <f t="shared" si="2"/>
        <v>#DIV/0!</v>
      </c>
    </row>
  </sheetData>
  <mergeCells count="10">
    <mergeCell ref="C12:C13"/>
    <mergeCell ref="C14:C15"/>
    <mergeCell ref="C16:C17"/>
    <mergeCell ref="C19:C20"/>
    <mergeCell ref="C3:C4"/>
    <mergeCell ref="D3:D4"/>
    <mergeCell ref="J3:L3"/>
    <mergeCell ref="C5:C6"/>
    <mergeCell ref="C7:C8"/>
    <mergeCell ref="C9:C10"/>
  </mergeCells>
  <conditionalFormatting sqref="J5:L8 J18:L18 J11:L15">
    <cfRule type="cellIs" dxfId="0" priority="1" operator="lessThan">
      <formula>1</formula>
    </cfRule>
  </conditionalFormatting>
  <pageMargins left="0.7" right="0.7" top="0.75" bottom="0.75" header="0.3" footer="0.3"/>
  <customProperties>
    <customPr name="EpmWorksheetKeyString_GUID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53880-0722-1940-8BCD-1AA5E3DDC173}">
  <dimension ref="B3:I13"/>
  <sheetViews>
    <sheetView workbookViewId="0">
      <selection activeCell="E14" sqref="E14"/>
    </sheetView>
  </sheetViews>
  <sheetFormatPr defaultColWidth="11.54296875" defaultRowHeight="15"/>
  <cols>
    <col min="2" max="2" width="3.453125" bestFit="1" customWidth="1"/>
    <col min="3" max="3" width="21.81640625" bestFit="1" customWidth="1"/>
    <col min="4" max="4" width="19.6328125" bestFit="1" customWidth="1"/>
    <col min="5" max="5" width="14" bestFit="1" customWidth="1"/>
    <col min="6" max="6" width="9.08984375" bestFit="1" customWidth="1"/>
    <col min="7" max="7" width="32.6328125" bestFit="1" customWidth="1"/>
    <col min="8" max="8" width="26.81640625" bestFit="1" customWidth="1"/>
    <col min="9" max="9" width="32.6328125" bestFit="1" customWidth="1"/>
  </cols>
  <sheetData>
    <row r="3" spans="2:9">
      <c r="B3" s="141"/>
      <c r="C3" s="141" t="s">
        <v>150</v>
      </c>
      <c r="D3" s="141"/>
      <c r="E3" s="141"/>
      <c r="F3" s="141"/>
      <c r="G3" s="141"/>
      <c r="H3" s="141"/>
      <c r="I3" s="141"/>
    </row>
    <row r="4" spans="2:9">
      <c r="B4" s="141"/>
      <c r="C4" s="141"/>
      <c r="D4" s="141"/>
      <c r="E4" s="141"/>
      <c r="F4" s="141"/>
      <c r="G4" s="141"/>
      <c r="H4" s="141"/>
      <c r="I4" s="141"/>
    </row>
    <row r="5" spans="2:9" ht="29.1" customHeight="1">
      <c r="B5" s="227" t="s">
        <v>157</v>
      </c>
      <c r="C5" s="227" t="s">
        <v>150</v>
      </c>
      <c r="D5" s="229" t="s">
        <v>184</v>
      </c>
      <c r="E5" s="230"/>
      <c r="F5" s="231"/>
      <c r="G5" s="227" t="s">
        <v>152</v>
      </c>
      <c r="H5" s="227" t="s">
        <v>153</v>
      </c>
      <c r="I5" s="225" t="s">
        <v>151</v>
      </c>
    </row>
    <row r="6" spans="2:9">
      <c r="B6" s="228"/>
      <c r="C6" s="228"/>
      <c r="D6" s="142" t="s">
        <v>181</v>
      </c>
      <c r="E6" s="142" t="s">
        <v>180</v>
      </c>
      <c r="F6" s="142" t="s">
        <v>186</v>
      </c>
      <c r="G6" s="228"/>
      <c r="H6" s="228"/>
      <c r="I6" s="226"/>
    </row>
    <row r="7" spans="2:9" ht="45">
      <c r="B7" s="123">
        <v>1</v>
      </c>
      <c r="C7" s="143" t="s">
        <v>179</v>
      </c>
      <c r="D7" s="144" t="s">
        <v>182</v>
      </c>
      <c r="E7" s="145">
        <v>1500000000</v>
      </c>
      <c r="F7" s="145" t="s">
        <v>234</v>
      </c>
      <c r="G7" s="143" t="s">
        <v>154</v>
      </c>
      <c r="H7" s="145">
        <v>500000000</v>
      </c>
      <c r="I7" s="146" t="s">
        <v>155</v>
      </c>
    </row>
    <row r="8" spans="2:9" ht="45">
      <c r="B8" s="147">
        <v>2</v>
      </c>
      <c r="C8" s="148" t="s">
        <v>183</v>
      </c>
      <c r="D8" s="148" t="s">
        <v>185</v>
      </c>
      <c r="E8" s="149">
        <v>-500000000</v>
      </c>
      <c r="F8" s="150" t="s">
        <v>188</v>
      </c>
      <c r="G8" s="150" t="s">
        <v>191</v>
      </c>
      <c r="H8" s="149">
        <v>1500000000</v>
      </c>
      <c r="I8" s="150" t="s">
        <v>193</v>
      </c>
    </row>
    <row r="9" spans="2:9">
      <c r="B9" s="3"/>
      <c r="C9" s="150"/>
      <c r="D9" s="150" t="s">
        <v>189</v>
      </c>
      <c r="E9" s="149">
        <v>50000000</v>
      </c>
      <c r="F9" s="150" t="s">
        <v>188</v>
      </c>
      <c r="G9" s="150" t="s">
        <v>192</v>
      </c>
      <c r="H9" s="149">
        <v>240000000</v>
      </c>
      <c r="I9" s="150" t="s">
        <v>194</v>
      </c>
    </row>
    <row r="10" spans="2:9">
      <c r="B10" s="3"/>
      <c r="C10" s="150"/>
      <c r="D10" s="150" t="s">
        <v>190</v>
      </c>
      <c r="E10" s="149">
        <v>15000000</v>
      </c>
      <c r="F10" s="150" t="s">
        <v>188</v>
      </c>
      <c r="G10" s="150" t="s">
        <v>195</v>
      </c>
      <c r="H10" s="149">
        <v>5000000000</v>
      </c>
      <c r="I10" s="150" t="s">
        <v>196</v>
      </c>
    </row>
    <row r="11" spans="2:9">
      <c r="B11" s="151"/>
      <c r="C11" s="152"/>
      <c r="D11" s="152"/>
      <c r="E11" s="152"/>
      <c r="F11" s="152"/>
      <c r="G11" s="152"/>
      <c r="H11" s="152"/>
      <c r="I11" s="152"/>
    </row>
    <row r="12" spans="2:9">
      <c r="B12" s="141"/>
      <c r="C12" s="141"/>
      <c r="D12" s="141"/>
      <c r="E12" s="141"/>
      <c r="F12" s="141"/>
      <c r="G12" s="141"/>
      <c r="H12" s="141"/>
      <c r="I12" s="141"/>
    </row>
    <row r="13" spans="2:9">
      <c r="B13" s="141"/>
      <c r="C13" s="141"/>
      <c r="D13" s="141"/>
      <c r="E13" s="141"/>
      <c r="F13" s="141"/>
      <c r="G13" s="141"/>
      <c r="H13" s="141"/>
      <c r="I13" s="141"/>
    </row>
  </sheetData>
  <mergeCells count="6">
    <mergeCell ref="I5:I6"/>
    <mergeCell ref="B5:B6"/>
    <mergeCell ref="C5:C6"/>
    <mergeCell ref="D5:F5"/>
    <mergeCell ref="G5:G6"/>
    <mergeCell ref="H5:H6"/>
  </mergeCells>
  <pageMargins left="0.7" right="0.7" top="0.75" bottom="0.75" header="0.3" footer="0.3"/>
  <customProperties>
    <customPr name="EpmWorksheetKeyString_GUID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DACFF-A0AF-2E4F-8969-957EDB34E7BA}">
  <dimension ref="B3:L64"/>
  <sheetViews>
    <sheetView workbookViewId="0">
      <selection activeCell="I20" sqref="I20"/>
    </sheetView>
  </sheetViews>
  <sheetFormatPr defaultColWidth="11.54296875" defaultRowHeight="15"/>
  <cols>
    <col min="2" max="2" width="9.36328125" bestFit="1" customWidth="1"/>
    <col min="3" max="3" width="13.36328125" bestFit="1" customWidth="1"/>
    <col min="4" max="4" width="9.6328125" bestFit="1" customWidth="1"/>
    <col min="5" max="5" width="12.08984375" bestFit="1" customWidth="1"/>
    <col min="6" max="6" width="10" bestFit="1" customWidth="1"/>
    <col min="7" max="7" width="18.81640625" bestFit="1" customWidth="1"/>
    <col min="8" max="8" width="11" bestFit="1" customWidth="1"/>
    <col min="9" max="9" width="10.36328125" bestFit="1" customWidth="1"/>
    <col min="10" max="10" width="11.6328125" bestFit="1" customWidth="1"/>
    <col min="11" max="11" width="20.36328125" bestFit="1" customWidth="1"/>
    <col min="12" max="12" width="14.81640625" customWidth="1"/>
  </cols>
  <sheetData>
    <row r="3" spans="2:12" ht="15.6" thickBot="1">
      <c r="B3" t="s">
        <v>95</v>
      </c>
    </row>
    <row r="4" spans="2:12" ht="44.1" customHeight="1">
      <c r="B4" s="170" t="s">
        <v>82</v>
      </c>
      <c r="C4" s="170" t="s">
        <v>83</v>
      </c>
      <c r="D4" s="170" t="s">
        <v>84</v>
      </c>
      <c r="E4" s="170" t="s">
        <v>85</v>
      </c>
      <c r="F4" s="56" t="s">
        <v>86</v>
      </c>
      <c r="G4" s="170" t="s">
        <v>88</v>
      </c>
      <c r="H4" s="170" t="s">
        <v>89</v>
      </c>
      <c r="I4" s="170" t="s">
        <v>90</v>
      </c>
      <c r="J4" s="170" t="s">
        <v>91</v>
      </c>
      <c r="K4" s="170" t="s">
        <v>92</v>
      </c>
      <c r="L4" s="172" t="s">
        <v>98</v>
      </c>
    </row>
    <row r="5" spans="2:12">
      <c r="B5" s="171"/>
      <c r="C5" s="171"/>
      <c r="D5" s="171"/>
      <c r="E5" s="171"/>
      <c r="F5" s="57" t="s">
        <v>87</v>
      </c>
      <c r="G5" s="171"/>
      <c r="H5" s="171"/>
      <c r="I5" s="171"/>
      <c r="J5" s="171"/>
      <c r="K5" s="171"/>
      <c r="L5" s="173"/>
    </row>
    <row r="6" spans="2:12">
      <c r="B6" t="s">
        <v>93</v>
      </c>
      <c r="C6" t="s">
        <v>102</v>
      </c>
      <c r="D6" s="58" t="s">
        <v>97</v>
      </c>
      <c r="G6" s="58" t="s">
        <v>96</v>
      </c>
      <c r="K6" s="59">
        <v>3000000000</v>
      </c>
      <c r="L6" t="s">
        <v>99</v>
      </c>
    </row>
    <row r="7" spans="2:12">
      <c r="C7" t="s">
        <v>94</v>
      </c>
      <c r="K7" s="59">
        <v>400000000</v>
      </c>
      <c r="L7" t="s">
        <v>101</v>
      </c>
    </row>
    <row r="8" spans="2:12">
      <c r="C8" t="s">
        <v>100</v>
      </c>
    </row>
    <row r="23" ht="17.100000000000001" customHeight="1"/>
    <row r="24" ht="17.100000000000001" customHeight="1"/>
    <row r="25" ht="17.100000000000001" customHeight="1"/>
    <row r="26" ht="17.100000000000001" customHeight="1"/>
    <row r="27" ht="17.100000000000001" customHeight="1"/>
    <row r="28" ht="17.100000000000001" customHeight="1"/>
    <row r="29" ht="30" customHeight="1"/>
    <row r="30" ht="17.100000000000001" customHeight="1"/>
    <row r="31" ht="17.100000000000001" customHeight="1"/>
    <row r="32" ht="17.100000000000001" customHeight="1"/>
    <row r="33" ht="17.100000000000001" customHeight="1"/>
    <row r="34" ht="17.100000000000001" customHeight="1"/>
    <row r="35" ht="17.100000000000001" customHeight="1"/>
    <row r="36" ht="30" customHeight="1"/>
    <row r="37" ht="17.100000000000001" customHeight="1"/>
    <row r="38" ht="17.100000000000001" customHeight="1"/>
    <row r="39" ht="17.100000000000001" customHeight="1"/>
    <row r="54" ht="15.9" customHeight="1"/>
    <row r="60" ht="15.9" customHeight="1"/>
    <row r="61" ht="30.9" customHeight="1"/>
    <row r="62" ht="30.9" customHeight="1"/>
    <row r="63" ht="30.9" customHeight="1"/>
    <row r="64" ht="30.9" customHeight="1"/>
  </sheetData>
  <mergeCells count="10">
    <mergeCell ref="I4:I5"/>
    <mergeCell ref="J4:J5"/>
    <mergeCell ref="K4:K5"/>
    <mergeCell ref="L4:L5"/>
    <mergeCell ref="B4:B5"/>
    <mergeCell ref="C4:C5"/>
    <mergeCell ref="D4:D5"/>
    <mergeCell ref="E4:E5"/>
    <mergeCell ref="G4:G5"/>
    <mergeCell ref="H4:H5"/>
  </mergeCells>
  <pageMargins left="0.7" right="0.7" top="0.75" bottom="0.75" header="0.3" footer="0.3"/>
  <customProperties>
    <customPr name="EpmWorksheetKeyString_GUID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78B59-7075-C24A-93DA-421D5158BF49}">
  <dimension ref="B2:F10"/>
  <sheetViews>
    <sheetView workbookViewId="0">
      <selection activeCell="F30" sqref="F30"/>
    </sheetView>
  </sheetViews>
  <sheetFormatPr defaultColWidth="11.54296875" defaultRowHeight="15"/>
  <cols>
    <col min="2" max="2" width="31.453125" customWidth="1"/>
    <col min="3" max="3" width="40" bestFit="1" customWidth="1"/>
    <col min="4" max="6" width="31.453125" customWidth="1"/>
  </cols>
  <sheetData>
    <row r="2" spans="2:6">
      <c r="B2" s="1" t="s">
        <v>197</v>
      </c>
    </row>
    <row r="3" spans="2:6">
      <c r="B3" s="204" t="s">
        <v>198</v>
      </c>
      <c r="C3" s="204" t="s">
        <v>17</v>
      </c>
      <c r="D3" s="206" t="s">
        <v>203</v>
      </c>
      <c r="E3" s="210" t="s">
        <v>204</v>
      </c>
      <c r="F3" s="210"/>
    </row>
    <row r="4" spans="2:6">
      <c r="B4" s="208"/>
      <c r="C4" s="208"/>
      <c r="D4" s="209"/>
      <c r="E4" s="134" t="s">
        <v>180</v>
      </c>
      <c r="F4" s="134" t="s">
        <v>17</v>
      </c>
    </row>
    <row r="5" spans="2:6">
      <c r="B5" s="115" t="s">
        <v>199</v>
      </c>
      <c r="C5" s="118" t="s">
        <v>202</v>
      </c>
      <c r="D5" s="129">
        <v>600000000</v>
      </c>
      <c r="E5" s="132">
        <v>200000000</v>
      </c>
      <c r="F5" s="133" t="s">
        <v>207</v>
      </c>
    </row>
    <row r="6" spans="2:6">
      <c r="B6" s="115"/>
      <c r="C6" s="118"/>
      <c r="D6" s="115"/>
      <c r="E6" s="116"/>
      <c r="F6" s="116"/>
    </row>
    <row r="7" spans="2:6">
      <c r="B7" s="115" t="s">
        <v>200</v>
      </c>
      <c r="C7" s="118" t="s">
        <v>205</v>
      </c>
      <c r="D7" s="129">
        <v>125000000</v>
      </c>
      <c r="E7" s="130">
        <v>0</v>
      </c>
      <c r="F7" s="116" t="s">
        <v>208</v>
      </c>
    </row>
    <row r="8" spans="2:6" ht="30">
      <c r="B8" s="115"/>
      <c r="C8" s="131" t="s">
        <v>206</v>
      </c>
      <c r="D8" s="129">
        <v>5347110500</v>
      </c>
      <c r="E8" s="130">
        <v>300000000</v>
      </c>
      <c r="F8" s="116" t="s">
        <v>209</v>
      </c>
    </row>
    <row r="9" spans="2:6">
      <c r="B9" s="115" t="s">
        <v>201</v>
      </c>
      <c r="C9" s="118" t="s">
        <v>210</v>
      </c>
      <c r="D9" s="129">
        <v>200000000</v>
      </c>
      <c r="E9" s="116"/>
      <c r="F9" s="135"/>
    </row>
    <row r="10" spans="2:6">
      <c r="B10" s="115"/>
      <c r="C10" s="118" t="s">
        <v>211</v>
      </c>
      <c r="D10" s="129">
        <v>75000000</v>
      </c>
      <c r="E10" s="116"/>
      <c r="F10" s="135"/>
    </row>
  </sheetData>
  <mergeCells count="4">
    <mergeCell ref="B3:B4"/>
    <mergeCell ref="C3:C4"/>
    <mergeCell ref="D3:D4"/>
    <mergeCell ref="E3:F3"/>
  </mergeCells>
  <pageMargins left="0.7" right="0.7" top="0.75" bottom="0.75" header="0.3" footer="0.3"/>
  <customProperties>
    <customPr name="EpmWorksheetKeyString_GUID" r:id="rId1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75DFC-00B7-524D-8A9B-EB4684EAB7A0}">
  <dimension ref="B2:H29"/>
  <sheetViews>
    <sheetView topLeftCell="E1" workbookViewId="0">
      <selection activeCell="C37" sqref="C37"/>
    </sheetView>
  </sheetViews>
  <sheetFormatPr defaultColWidth="11.54296875" defaultRowHeight="15"/>
  <cols>
    <col min="2" max="2" width="13.81640625" customWidth="1"/>
    <col min="3" max="3" width="35.36328125" customWidth="1"/>
    <col min="4" max="5" width="19.81640625" customWidth="1"/>
    <col min="6" max="7" width="28.36328125" customWidth="1"/>
    <col min="8" max="8" width="18" customWidth="1"/>
  </cols>
  <sheetData>
    <row r="2" spans="2:8" ht="15.6" thickBot="1">
      <c r="B2" t="s">
        <v>103</v>
      </c>
    </row>
    <row r="3" spans="2:8" ht="27.6">
      <c r="B3" s="170" t="s">
        <v>82</v>
      </c>
      <c r="C3" s="170" t="s">
        <v>212</v>
      </c>
      <c r="D3" s="174" t="s">
        <v>228</v>
      </c>
      <c r="E3" s="175"/>
      <c r="F3" s="170" t="s">
        <v>83</v>
      </c>
      <c r="G3" s="56" t="s">
        <v>106</v>
      </c>
      <c r="H3" s="104" t="s">
        <v>107</v>
      </c>
    </row>
    <row r="4" spans="2:8">
      <c r="B4" s="171"/>
      <c r="C4" s="171"/>
      <c r="D4" s="57" t="s">
        <v>224</v>
      </c>
      <c r="E4" s="57" t="s">
        <v>225</v>
      </c>
      <c r="F4" s="171"/>
      <c r="G4" s="57"/>
      <c r="H4" s="105"/>
    </row>
    <row r="5" spans="2:8">
      <c r="B5" t="s">
        <v>104</v>
      </c>
      <c r="C5" t="s">
        <v>213</v>
      </c>
      <c r="D5" s="59" t="s">
        <v>226</v>
      </c>
      <c r="E5" s="59">
        <v>7500000000</v>
      </c>
      <c r="F5" t="s">
        <v>214</v>
      </c>
      <c r="G5" s="62">
        <v>7500000000</v>
      </c>
      <c r="H5" s="59">
        <v>80000000000</v>
      </c>
    </row>
    <row r="6" spans="2:8">
      <c r="D6" s="59" t="s">
        <v>227</v>
      </c>
      <c r="E6" s="59">
        <v>80000000000</v>
      </c>
      <c r="G6" s="59"/>
      <c r="H6" s="59"/>
    </row>
    <row r="7" spans="2:8">
      <c r="C7" t="s">
        <v>215</v>
      </c>
      <c r="D7" s="59" t="s">
        <v>226</v>
      </c>
      <c r="E7" s="59">
        <v>400000000</v>
      </c>
      <c r="F7" t="s">
        <v>216</v>
      </c>
      <c r="G7" s="59">
        <v>300000000</v>
      </c>
      <c r="H7" s="59">
        <v>700000000</v>
      </c>
    </row>
    <row r="8" spans="2:8">
      <c r="D8" s="59" t="s">
        <v>229</v>
      </c>
      <c r="E8" s="59">
        <v>30000000</v>
      </c>
    </row>
    <row r="9" spans="2:8">
      <c r="D9" s="59"/>
    </row>
    <row r="10" spans="2:8">
      <c r="B10" t="s">
        <v>230</v>
      </c>
      <c r="C10" s="140" t="s">
        <v>231</v>
      </c>
      <c r="D10" s="59" t="s">
        <v>226</v>
      </c>
      <c r="E10" s="59">
        <f>16000000000/20</f>
        <v>800000000</v>
      </c>
      <c r="F10" t="s">
        <v>232</v>
      </c>
      <c r="G10" s="59">
        <v>3000000000</v>
      </c>
      <c r="H10" s="59">
        <v>5000000000</v>
      </c>
    </row>
    <row r="11" spans="2:8">
      <c r="D11" s="59" t="s">
        <v>227</v>
      </c>
      <c r="E11" s="59">
        <v>400000000</v>
      </c>
      <c r="F11" t="s">
        <v>233</v>
      </c>
      <c r="G11" s="59">
        <v>450000000</v>
      </c>
      <c r="H11" s="59">
        <v>650000000</v>
      </c>
    </row>
    <row r="12" spans="2:8">
      <c r="D12" s="59"/>
    </row>
    <row r="15" spans="2:8" ht="17.100000000000001" customHeight="1">
      <c r="D15" s="59"/>
      <c r="E15" s="59"/>
      <c r="G15" s="59"/>
      <c r="H15" s="59"/>
    </row>
    <row r="16" spans="2:8" ht="17.100000000000001" customHeight="1"/>
    <row r="17" spans="2:7" ht="17.100000000000001" customHeight="1"/>
    <row r="18" spans="2:7" ht="17.100000000000001" customHeight="1">
      <c r="B18" s="169"/>
      <c r="C18" s="169"/>
      <c r="D18" s="60"/>
      <c r="E18" s="60"/>
      <c r="F18" s="169"/>
      <c r="G18" s="169"/>
    </row>
    <row r="19" spans="2:7" ht="17.100000000000001" customHeight="1">
      <c r="B19" s="169"/>
      <c r="C19" s="169"/>
      <c r="D19" s="60"/>
      <c r="E19" s="60"/>
      <c r="F19" s="169"/>
      <c r="G19" s="169"/>
    </row>
    <row r="20" spans="2:7" ht="17.100000000000001" customHeight="1">
      <c r="F20" s="101"/>
      <c r="G20" s="61"/>
    </row>
    <row r="21" spans="2:7" ht="30" customHeight="1">
      <c r="F21" s="101"/>
    </row>
    <row r="22" spans="2:7" ht="17.100000000000001" customHeight="1">
      <c r="F22" s="101"/>
    </row>
    <row r="23" spans="2:7" ht="17.100000000000001" customHeight="1">
      <c r="F23" s="101"/>
    </row>
    <row r="24" spans="2:7" ht="17.100000000000001" customHeight="1"/>
    <row r="25" spans="2:7" ht="17.100000000000001" customHeight="1"/>
    <row r="26" spans="2:7" ht="30.9" customHeight="1"/>
    <row r="27" spans="2:7" ht="30.9" customHeight="1"/>
    <row r="28" spans="2:7" ht="30.9" customHeight="1"/>
    <row r="29" spans="2:7" ht="30.9" customHeight="1"/>
  </sheetData>
  <mergeCells count="8">
    <mergeCell ref="B18:B19"/>
    <mergeCell ref="C18:C19"/>
    <mergeCell ref="F18:F19"/>
    <mergeCell ref="G18:G19"/>
    <mergeCell ref="D3:E3"/>
    <mergeCell ref="F3:F4"/>
    <mergeCell ref="B3:B4"/>
    <mergeCell ref="C3:C4"/>
  </mergeCells>
  <dataValidations count="1">
    <dataValidation type="list" allowBlank="1" showInputMessage="1" showErrorMessage="1" sqref="F20:F23" xr:uid="{A7A5C381-BA9C-1C41-A9DB-5FA12CC19A3E}">
      <formula1>"In,Out"</formula1>
    </dataValidation>
  </dataValidations>
  <pageMargins left="0.7" right="0.7" top="0.75" bottom="0.75" header="0.3" footer="0.3"/>
  <customProperties>
    <customPr name="EpmWorksheetKeyString_GUID" r:id="rId1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89458-B790-4648-9D96-0A2C27BCBC54}">
  <dimension ref="B3:H9"/>
  <sheetViews>
    <sheetView workbookViewId="0">
      <selection activeCell="H16" sqref="H16"/>
    </sheetView>
  </sheetViews>
  <sheetFormatPr defaultColWidth="11.54296875" defaultRowHeight="15"/>
  <cols>
    <col min="2" max="2" width="30.453125" bestFit="1" customWidth="1"/>
    <col min="3" max="3" width="15.36328125" bestFit="1" customWidth="1"/>
    <col min="6" max="6" width="21.81640625" bestFit="1" customWidth="1"/>
    <col min="7" max="7" width="11" bestFit="1" customWidth="1"/>
    <col min="8" max="8" width="13.81640625" bestFit="1" customWidth="1"/>
  </cols>
  <sheetData>
    <row r="3" spans="2:8">
      <c r="B3" t="s">
        <v>137</v>
      </c>
    </row>
    <row r="4" spans="2:8">
      <c r="B4" s="204" t="s">
        <v>82</v>
      </c>
      <c r="C4" s="204" t="s">
        <v>139</v>
      </c>
      <c r="D4" s="102"/>
      <c r="E4" s="102"/>
      <c r="F4" s="204" t="s">
        <v>141</v>
      </c>
      <c r="G4" s="206" t="s">
        <v>147</v>
      </c>
      <c r="H4" s="206" t="s">
        <v>175</v>
      </c>
    </row>
    <row r="5" spans="2:8">
      <c r="B5" s="205"/>
      <c r="C5" s="205"/>
      <c r="D5" s="103"/>
      <c r="E5" s="103"/>
      <c r="F5" s="205"/>
      <c r="G5" s="207"/>
      <c r="H5" s="207"/>
    </row>
    <row r="6" spans="2:8">
      <c r="B6" s="1" t="s">
        <v>138</v>
      </c>
      <c r="C6" s="1" t="s">
        <v>140</v>
      </c>
      <c r="D6" s="1"/>
      <c r="E6" s="1"/>
      <c r="F6" s="121" t="s">
        <v>142</v>
      </c>
      <c r="G6" s="122" t="s">
        <v>146</v>
      </c>
      <c r="H6" s="1" t="s">
        <v>176</v>
      </c>
    </row>
    <row r="7" spans="2:8">
      <c r="B7" s="1"/>
      <c r="C7" s="1" t="s">
        <v>144</v>
      </c>
      <c r="D7" s="1"/>
      <c r="E7" s="1"/>
      <c r="F7" s="121" t="s">
        <v>142</v>
      </c>
      <c r="G7" s="1" t="s">
        <v>148</v>
      </c>
      <c r="H7" s="1" t="s">
        <v>177</v>
      </c>
    </row>
    <row r="8" spans="2:8">
      <c r="B8" s="1"/>
      <c r="C8" s="1" t="s">
        <v>145</v>
      </c>
      <c r="D8" s="1"/>
      <c r="E8" s="1"/>
      <c r="F8" s="121" t="s">
        <v>143</v>
      </c>
      <c r="G8" s="1" t="s">
        <v>149</v>
      </c>
      <c r="H8" s="1" t="s">
        <v>178</v>
      </c>
    </row>
    <row r="9" spans="2:8">
      <c r="B9" s="1"/>
      <c r="C9" s="1" t="s">
        <v>105</v>
      </c>
      <c r="D9" s="1"/>
      <c r="E9" s="1"/>
      <c r="F9" s="121" t="s">
        <v>142</v>
      </c>
      <c r="G9" s="1"/>
      <c r="H9" s="1"/>
    </row>
  </sheetData>
  <mergeCells count="5">
    <mergeCell ref="B4:B5"/>
    <mergeCell ref="C4:C5"/>
    <mergeCell ref="F4:F5"/>
    <mergeCell ref="G4:G5"/>
    <mergeCell ref="H4:H5"/>
  </mergeCells>
  <dataValidations count="1">
    <dataValidation type="list" allowBlank="1" showInputMessage="1" showErrorMessage="1" sqref="F6:F9" xr:uid="{53581F5F-A8EC-394E-8378-28A8C1D89965}">
      <formula1>"In,Out"</formula1>
    </dataValidation>
  </dataValidations>
  <pageMargins left="0.7" right="0.7" top="0.75" bottom="0.75" header="0.3" footer="0.3"/>
  <customProperties>
    <customPr name="EpmWorksheetKeyString_GUID" r:id="rId1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7B7DC-CD90-F945-A8A5-B0C3525B2514}">
  <dimension ref="B3:E9"/>
  <sheetViews>
    <sheetView topLeftCell="C1" workbookViewId="0">
      <selection activeCell="B30" sqref="B30"/>
    </sheetView>
  </sheetViews>
  <sheetFormatPr defaultColWidth="11.54296875" defaultRowHeight="15"/>
  <cols>
    <col min="2" max="5" width="41.81640625" customWidth="1"/>
  </cols>
  <sheetData>
    <row r="3" spans="2:5">
      <c r="B3" s="1" t="s">
        <v>158</v>
      </c>
    </row>
    <row r="4" spans="2:5">
      <c r="B4" s="204" t="s">
        <v>157</v>
      </c>
      <c r="C4" s="204" t="s">
        <v>159</v>
      </c>
      <c r="D4" s="204" t="s">
        <v>160</v>
      </c>
      <c r="E4" s="204" t="s">
        <v>161</v>
      </c>
    </row>
    <row r="5" spans="2:5">
      <c r="B5" s="208"/>
      <c r="C5" s="208"/>
      <c r="D5" s="208"/>
      <c r="E5" s="208"/>
    </row>
    <row r="6" spans="2:5" ht="30">
      <c r="B6" s="115">
        <v>1</v>
      </c>
      <c r="C6" s="115" t="s">
        <v>164</v>
      </c>
      <c r="D6" s="115" t="s">
        <v>162</v>
      </c>
      <c r="E6" s="116" t="s">
        <v>165</v>
      </c>
    </row>
    <row r="7" spans="2:5" ht="30">
      <c r="B7" s="115">
        <v>2</v>
      </c>
      <c r="C7" s="115" t="s">
        <v>166</v>
      </c>
      <c r="D7" s="115" t="s">
        <v>162</v>
      </c>
      <c r="E7" s="116" t="s">
        <v>167</v>
      </c>
    </row>
    <row r="8" spans="2:5">
      <c r="B8" s="115">
        <v>3</v>
      </c>
      <c r="C8" s="115" t="s">
        <v>168</v>
      </c>
      <c r="D8" s="115" t="s">
        <v>163</v>
      </c>
      <c r="E8" s="117"/>
    </row>
    <row r="9" spans="2:5">
      <c r="B9" s="115">
        <v>4</v>
      </c>
      <c r="C9" s="115" t="s">
        <v>156</v>
      </c>
      <c r="D9" s="115" t="s">
        <v>163</v>
      </c>
      <c r="E9" s="118"/>
    </row>
  </sheetData>
  <mergeCells count="4">
    <mergeCell ref="B4:B5"/>
    <mergeCell ref="C4:C5"/>
    <mergeCell ref="D4:D5"/>
    <mergeCell ref="E4:E5"/>
  </mergeCells>
  <dataValidations count="1">
    <dataValidation type="list" allowBlank="1" showInputMessage="1" showErrorMessage="1" sqref="D6:D9" xr:uid="{DE2A5CCF-58EB-5740-AAC6-D98417E60E87}">
      <formula1>"Ya,Tidak"</formula1>
    </dataValidation>
  </dataValidations>
  <pageMargins left="0.7" right="0.7" top="0.75" bottom="0.75" header="0.3" footer="0.3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Operasi</vt:lpstr>
      <vt:lpstr>Executive Summary</vt:lpstr>
      <vt:lpstr>Laba Rugi</vt:lpstr>
      <vt:lpstr>Trafik vs Pend</vt:lpstr>
      <vt:lpstr>Permasalahan Strategis</vt:lpstr>
      <vt:lpstr>Rencana Kenaikan Tarif</vt:lpstr>
      <vt:lpstr>Optipi</vt:lpstr>
      <vt:lpstr>Investasi yang sudah menghasilk</vt:lpstr>
      <vt:lpstr>Rencana Relokasi</vt:lpstr>
      <vt:lpstr>Struktur Kosong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Galang Galang Riski</dc:creator>
  <cp:lastModifiedBy>JIMMY GREEI GANAP</cp:lastModifiedBy>
  <dcterms:created xsi:type="dcterms:W3CDTF">2026-06-02T09:53:51Z</dcterms:created>
  <dcterms:modified xsi:type="dcterms:W3CDTF">2026-06-15T08:02:08Z</dcterms:modified>
</cp:coreProperties>
</file>