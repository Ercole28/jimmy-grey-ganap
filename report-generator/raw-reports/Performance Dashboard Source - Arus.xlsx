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adl\Documents\Jimmy Greei Ganap\performance-dashboard\"/>
    </mc:Choice>
  </mc:AlternateContent>
  <xr:revisionPtr revIDLastSave="0" documentId="13_ncr:1_{465C97F4-EC5C-43C6-B921-9B89002994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RU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AGH2LjIqGRuvcy9VybfUzAfPC9dmn9E7oJMI4WJEW8="/>
    </ext>
  </extLst>
</workbook>
</file>

<file path=xl/calcChain.xml><?xml version="1.0" encoding="utf-8"?>
<calcChain xmlns="http://schemas.openxmlformats.org/spreadsheetml/2006/main">
  <c r="N661" i="2" l="1"/>
  <c r="N660" i="2"/>
  <c r="V606" i="2"/>
  <c r="T606" i="2"/>
  <c r="S606" i="2"/>
  <c r="R606" i="2"/>
  <c r="Q606" i="2"/>
  <c r="J606" i="2"/>
  <c r="V604" i="2"/>
  <c r="U604" i="2"/>
  <c r="U606" i="2" s="1"/>
  <c r="T604" i="2"/>
  <c r="S604" i="2"/>
  <c r="R604" i="2"/>
  <c r="Q604" i="2"/>
  <c r="P604" i="2"/>
  <c r="P606" i="2" s="1"/>
  <c r="O604" i="2"/>
  <c r="O606" i="2" s="1"/>
  <c r="N604" i="2"/>
  <c r="N606" i="2" s="1"/>
  <c r="M604" i="2"/>
  <c r="M606" i="2" s="1"/>
  <c r="L604" i="2"/>
  <c r="L606" i="2" s="1"/>
  <c r="K604" i="2"/>
  <c r="K606" i="2" s="1"/>
  <c r="J604" i="2"/>
  <c r="V602" i="2"/>
  <c r="V601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V596" i="2"/>
  <c r="V595" i="2"/>
  <c r="J589" i="2"/>
  <c r="V579" i="2"/>
  <c r="U579" i="2"/>
  <c r="T579" i="2"/>
  <c r="S579" i="2"/>
  <c r="R579" i="2"/>
  <c r="Q579" i="2"/>
  <c r="P579" i="2"/>
  <c r="O579" i="2"/>
  <c r="N579" i="2"/>
  <c r="K579" i="2"/>
  <c r="J579" i="2"/>
  <c r="U578" i="2"/>
  <c r="T578" i="2"/>
  <c r="S578" i="2"/>
  <c r="R578" i="2"/>
  <c r="Q578" i="2"/>
  <c r="P578" i="2"/>
  <c r="O578" i="2"/>
  <c r="N578" i="2"/>
  <c r="U577" i="2"/>
  <c r="U583" i="2" s="1"/>
  <c r="T577" i="2"/>
  <c r="S577" i="2"/>
  <c r="R577" i="2"/>
  <c r="Q577" i="2"/>
  <c r="P577" i="2"/>
  <c r="O577" i="2"/>
  <c r="N577" i="2"/>
  <c r="V576" i="2"/>
  <c r="U576" i="2"/>
  <c r="U582" i="2" s="1"/>
  <c r="T576" i="2"/>
  <c r="S576" i="2"/>
  <c r="R576" i="2"/>
  <c r="Q576" i="2"/>
  <c r="P576" i="2"/>
  <c r="O576" i="2"/>
  <c r="N576" i="2"/>
  <c r="U575" i="2"/>
  <c r="T575" i="2"/>
  <c r="T581" i="2" s="1"/>
  <c r="S575" i="2"/>
  <c r="S581" i="2" s="1"/>
  <c r="R575" i="2"/>
  <c r="R581" i="2" s="1"/>
  <c r="Q575" i="2"/>
  <c r="P575" i="2"/>
  <c r="O575" i="2"/>
  <c r="O581" i="2" s="1"/>
  <c r="N575" i="2"/>
  <c r="V573" i="2"/>
  <c r="V572" i="2"/>
  <c r="V571" i="2"/>
  <c r="V570" i="2"/>
  <c r="V569" i="2"/>
  <c r="V577" i="2" s="1"/>
  <c r="V568" i="2"/>
  <c r="V567" i="2"/>
  <c r="V566" i="2"/>
  <c r="V565" i="2"/>
  <c r="V564" i="2"/>
  <c r="V563" i="2"/>
  <c r="V560" i="2"/>
  <c r="K578" i="2" s="1"/>
  <c r="V559" i="2"/>
  <c r="V558" i="2"/>
  <c r="V578" i="2" s="1"/>
  <c r="V557" i="2"/>
  <c r="V556" i="2"/>
  <c r="V555" i="2"/>
  <c r="V554" i="2"/>
  <c r="V553" i="2"/>
  <c r="V552" i="2"/>
  <c r="V551" i="2"/>
  <c r="V550" i="2"/>
  <c r="K577" i="2" s="1"/>
  <c r="U546" i="2"/>
  <c r="U585" i="2" s="1"/>
  <c r="T546" i="2"/>
  <c r="T585" i="2" s="1"/>
  <c r="S546" i="2"/>
  <c r="S585" i="2" s="1"/>
  <c r="R546" i="2"/>
  <c r="R585" i="2" s="1"/>
  <c r="Q546" i="2"/>
  <c r="Q585" i="2" s="1"/>
  <c r="P546" i="2"/>
  <c r="O546" i="2"/>
  <c r="N546" i="2"/>
  <c r="U545" i="2"/>
  <c r="T545" i="2"/>
  <c r="S545" i="2"/>
  <c r="R545" i="2"/>
  <c r="Q545" i="2"/>
  <c r="P545" i="2"/>
  <c r="P584" i="2" s="1"/>
  <c r="O545" i="2"/>
  <c r="N545" i="2"/>
  <c r="U544" i="2"/>
  <c r="T544" i="2"/>
  <c r="S544" i="2"/>
  <c r="R544" i="2"/>
  <c r="Q544" i="2"/>
  <c r="P544" i="2"/>
  <c r="O544" i="2"/>
  <c r="N544" i="2"/>
  <c r="U543" i="2"/>
  <c r="T543" i="2"/>
  <c r="T582" i="2" s="1"/>
  <c r="S543" i="2"/>
  <c r="R543" i="2"/>
  <c r="Q543" i="2"/>
  <c r="P543" i="2"/>
  <c r="O543" i="2"/>
  <c r="N543" i="2"/>
  <c r="V542" i="2"/>
  <c r="U542" i="2"/>
  <c r="T542" i="2"/>
  <c r="S542" i="2"/>
  <c r="R542" i="2"/>
  <c r="Q542" i="2"/>
  <c r="Q581" i="2" s="1"/>
  <c r="P542" i="2"/>
  <c r="O542" i="2"/>
  <c r="N542" i="2"/>
  <c r="V540" i="2"/>
  <c r="V546" i="2" s="1"/>
  <c r="V585" i="2" s="1"/>
  <c r="V539" i="2"/>
  <c r="V538" i="2"/>
  <c r="V537" i="2"/>
  <c r="V536" i="2"/>
  <c r="V535" i="2"/>
  <c r="V534" i="2"/>
  <c r="V533" i="2"/>
  <c r="V532" i="2"/>
  <c r="V531" i="2"/>
  <c r="V530" i="2"/>
  <c r="V527" i="2"/>
  <c r="V526" i="2"/>
  <c r="V525" i="2"/>
  <c r="V545" i="2" s="1"/>
  <c r="V524" i="2"/>
  <c r="V523" i="2"/>
  <c r="V544" i="2" s="1"/>
  <c r="V522" i="2"/>
  <c r="V521" i="2"/>
  <c r="V520" i="2"/>
  <c r="V519" i="2"/>
  <c r="V518" i="2"/>
  <c r="L543" i="2" s="1"/>
  <c r="V517" i="2"/>
  <c r="M545" i="2" s="1"/>
  <c r="J510" i="2"/>
  <c r="T503" i="2"/>
  <c r="U500" i="2"/>
  <c r="T500" i="2"/>
  <c r="S500" i="2"/>
  <c r="R500" i="2"/>
  <c r="Q500" i="2"/>
  <c r="P500" i="2"/>
  <c r="O500" i="2"/>
  <c r="N500" i="2"/>
  <c r="J500" i="2"/>
  <c r="U499" i="2"/>
  <c r="T499" i="2"/>
  <c r="S499" i="2"/>
  <c r="R499" i="2"/>
  <c r="Q499" i="2"/>
  <c r="P499" i="2"/>
  <c r="O499" i="2"/>
  <c r="N499" i="2"/>
  <c r="V498" i="2"/>
  <c r="U498" i="2"/>
  <c r="U504" i="2" s="1"/>
  <c r="T498" i="2"/>
  <c r="T504" i="2" s="1"/>
  <c r="S498" i="2"/>
  <c r="R498" i="2"/>
  <c r="Q498" i="2"/>
  <c r="P498" i="2"/>
  <c r="O498" i="2"/>
  <c r="N498" i="2"/>
  <c r="V497" i="2"/>
  <c r="U497" i="2"/>
  <c r="T497" i="2"/>
  <c r="S497" i="2"/>
  <c r="S503" i="2" s="1"/>
  <c r="R497" i="2"/>
  <c r="R503" i="2" s="1"/>
  <c r="Q497" i="2"/>
  <c r="Q503" i="2" s="1"/>
  <c r="P497" i="2"/>
  <c r="O497" i="2"/>
  <c r="N497" i="2"/>
  <c r="U496" i="2"/>
  <c r="T496" i="2"/>
  <c r="T502" i="2" s="1"/>
  <c r="S496" i="2"/>
  <c r="S502" i="2" s="1"/>
  <c r="R496" i="2"/>
  <c r="R502" i="2" s="1"/>
  <c r="Q496" i="2"/>
  <c r="P496" i="2"/>
  <c r="P502" i="2" s="1"/>
  <c r="O496" i="2"/>
  <c r="O502" i="2" s="1"/>
  <c r="N496" i="2"/>
  <c r="V494" i="2"/>
  <c r="V493" i="2"/>
  <c r="V492" i="2"/>
  <c r="V491" i="2"/>
  <c r="V490" i="2"/>
  <c r="V489" i="2"/>
  <c r="V488" i="2"/>
  <c r="V487" i="2"/>
  <c r="V486" i="2"/>
  <c r="V485" i="2"/>
  <c r="V484" i="2"/>
  <c r="V481" i="2"/>
  <c r="K500" i="2" s="1"/>
  <c r="V480" i="2"/>
  <c r="V479" i="2"/>
  <c r="V499" i="2" s="1"/>
  <c r="V478" i="2"/>
  <c r="V477" i="2"/>
  <c r="V476" i="2"/>
  <c r="V475" i="2"/>
  <c r="V474" i="2"/>
  <c r="V473" i="2"/>
  <c r="V472" i="2"/>
  <c r="V471" i="2"/>
  <c r="K498" i="2" s="1"/>
  <c r="U467" i="2"/>
  <c r="U506" i="2" s="1"/>
  <c r="T467" i="2"/>
  <c r="T506" i="2" s="1"/>
  <c r="S467" i="2"/>
  <c r="S506" i="2" s="1"/>
  <c r="R467" i="2"/>
  <c r="R506" i="2" s="1"/>
  <c r="Q467" i="2"/>
  <c r="Q506" i="2" s="1"/>
  <c r="P467" i="2"/>
  <c r="O467" i="2"/>
  <c r="N467" i="2"/>
  <c r="U466" i="2"/>
  <c r="U505" i="2" s="1"/>
  <c r="T466" i="2"/>
  <c r="T505" i="2" s="1"/>
  <c r="S466" i="2"/>
  <c r="S505" i="2" s="1"/>
  <c r="R466" i="2"/>
  <c r="R505" i="2" s="1"/>
  <c r="Q466" i="2"/>
  <c r="Q505" i="2" s="1"/>
  <c r="P466" i="2"/>
  <c r="P505" i="2" s="1"/>
  <c r="O466" i="2"/>
  <c r="O505" i="2" s="1"/>
  <c r="N466" i="2"/>
  <c r="N505" i="2" s="1"/>
  <c r="U465" i="2"/>
  <c r="T465" i="2"/>
  <c r="S465" i="2"/>
  <c r="R465" i="2"/>
  <c r="Q465" i="2"/>
  <c r="P465" i="2"/>
  <c r="O465" i="2"/>
  <c r="N465" i="2"/>
  <c r="U464" i="2"/>
  <c r="T464" i="2"/>
  <c r="S464" i="2"/>
  <c r="R464" i="2"/>
  <c r="Q464" i="2"/>
  <c r="P464" i="2"/>
  <c r="O464" i="2"/>
  <c r="N464" i="2"/>
  <c r="V463" i="2"/>
  <c r="U463" i="2"/>
  <c r="T463" i="2"/>
  <c r="S463" i="2"/>
  <c r="R463" i="2"/>
  <c r="Q463" i="2"/>
  <c r="P463" i="2"/>
  <c r="O463" i="2"/>
  <c r="N463" i="2"/>
  <c r="V461" i="2"/>
  <c r="V467" i="2" s="1"/>
  <c r="V460" i="2"/>
  <c r="V459" i="2"/>
  <c r="V458" i="2"/>
  <c r="V457" i="2"/>
  <c r="V456" i="2"/>
  <c r="V455" i="2"/>
  <c r="V454" i="2"/>
  <c r="V453" i="2"/>
  <c r="V452" i="2"/>
  <c r="V451" i="2"/>
  <c r="V448" i="2"/>
  <c r="V447" i="2"/>
  <c r="V446" i="2"/>
  <c r="V466" i="2" s="1"/>
  <c r="V445" i="2"/>
  <c r="V444" i="2"/>
  <c r="V465" i="2" s="1"/>
  <c r="V504" i="2" s="1"/>
  <c r="V443" i="2"/>
  <c r="V442" i="2"/>
  <c r="V441" i="2"/>
  <c r="V440" i="2"/>
  <c r="V439" i="2"/>
  <c r="K464" i="2" s="1"/>
  <c r="V438" i="2"/>
  <c r="M466" i="2" s="1"/>
  <c r="J431" i="2"/>
  <c r="M427" i="2"/>
  <c r="U424" i="2"/>
  <c r="U427" i="2" s="1"/>
  <c r="T424" i="2"/>
  <c r="S424" i="2"/>
  <c r="S427" i="2" s="1"/>
  <c r="R424" i="2"/>
  <c r="Q424" i="2"/>
  <c r="P424" i="2"/>
  <c r="O424" i="2"/>
  <c r="N424" i="2"/>
  <c r="M424" i="2"/>
  <c r="L424" i="2"/>
  <c r="K424" i="2"/>
  <c r="J424" i="2"/>
  <c r="U423" i="2"/>
  <c r="T423" i="2"/>
  <c r="S423" i="2"/>
  <c r="R423" i="2"/>
  <c r="Q423" i="2"/>
  <c r="P423" i="2"/>
  <c r="O423" i="2"/>
  <c r="N423" i="2"/>
  <c r="V421" i="2"/>
  <c r="V420" i="2"/>
  <c r="V419" i="2"/>
  <c r="V416" i="2"/>
  <c r="V414" i="2"/>
  <c r="V413" i="2"/>
  <c r="V412" i="2"/>
  <c r="V409" i="2"/>
  <c r="V408" i="2"/>
  <c r="V407" i="2"/>
  <c r="V404" i="2"/>
  <c r="V403" i="2"/>
  <c r="V402" i="2"/>
  <c r="V401" i="2"/>
  <c r="V400" i="2"/>
  <c r="V395" i="2"/>
  <c r="V394" i="2"/>
  <c r="V393" i="2"/>
  <c r="V390" i="2"/>
  <c r="V388" i="2"/>
  <c r="V387" i="2"/>
  <c r="V386" i="2"/>
  <c r="V383" i="2"/>
  <c r="V382" i="2"/>
  <c r="V381" i="2"/>
  <c r="V378" i="2"/>
  <c r="V377" i="2"/>
  <c r="V376" i="2"/>
  <c r="V375" i="2"/>
  <c r="V374" i="2"/>
  <c r="V369" i="2"/>
  <c r="V368" i="2"/>
  <c r="V367" i="2"/>
  <c r="V364" i="2"/>
  <c r="V362" i="2"/>
  <c r="V361" i="2"/>
  <c r="V360" i="2"/>
  <c r="V357" i="2"/>
  <c r="V356" i="2"/>
  <c r="V355" i="2"/>
  <c r="V352" i="2"/>
  <c r="V351" i="2"/>
  <c r="V424" i="2" s="1"/>
  <c r="V350" i="2"/>
  <c r="V349" i="2"/>
  <c r="J423" i="2" s="1"/>
  <c r="V348" i="2"/>
  <c r="M423" i="2" s="1"/>
  <c r="U342" i="2"/>
  <c r="T342" i="2"/>
  <c r="T427" i="2" s="1"/>
  <c r="S342" i="2"/>
  <c r="R342" i="2"/>
  <c r="R427" i="2" s="1"/>
  <c r="Q342" i="2"/>
  <c r="Q427" i="2" s="1"/>
  <c r="P342" i="2"/>
  <c r="P427" i="2" s="1"/>
  <c r="O342" i="2"/>
  <c r="O427" i="2" s="1"/>
  <c r="N342" i="2"/>
  <c r="N427" i="2" s="1"/>
  <c r="M342" i="2"/>
  <c r="L342" i="2"/>
  <c r="L427" i="2" s="1"/>
  <c r="K342" i="2"/>
  <c r="K427" i="2" s="1"/>
  <c r="J342" i="2"/>
  <c r="J427" i="2" s="1"/>
  <c r="U341" i="2"/>
  <c r="T341" i="2"/>
  <c r="S341" i="2"/>
  <c r="R341" i="2"/>
  <c r="Q341" i="2"/>
  <c r="P341" i="2"/>
  <c r="O341" i="2"/>
  <c r="N341" i="2"/>
  <c r="N426" i="2" s="1"/>
  <c r="V339" i="2"/>
  <c r="V338" i="2"/>
  <c r="V337" i="2"/>
  <c r="V334" i="2"/>
  <c r="V332" i="2"/>
  <c r="V331" i="2"/>
  <c r="V330" i="2"/>
  <c r="V327" i="2"/>
  <c r="V326" i="2"/>
  <c r="V325" i="2"/>
  <c r="V322" i="2"/>
  <c r="V321" i="2"/>
  <c r="V320" i="2"/>
  <c r="V319" i="2"/>
  <c r="V318" i="2"/>
  <c r="V313" i="2"/>
  <c r="V312" i="2"/>
  <c r="V311" i="2"/>
  <c r="V308" i="2"/>
  <c r="V306" i="2"/>
  <c r="V305" i="2"/>
  <c r="V304" i="2"/>
  <c r="V301" i="2"/>
  <c r="V300" i="2"/>
  <c r="V299" i="2"/>
  <c r="V296" i="2"/>
  <c r="V295" i="2"/>
  <c r="V294" i="2"/>
  <c r="V293" i="2"/>
  <c r="V292" i="2"/>
  <c r="V287" i="2"/>
  <c r="V286" i="2"/>
  <c r="V285" i="2"/>
  <c r="V282" i="2"/>
  <c r="V280" i="2"/>
  <c r="K341" i="2" s="1"/>
  <c r="V279" i="2"/>
  <c r="V278" i="2"/>
  <c r="V275" i="2"/>
  <c r="V274" i="2"/>
  <c r="V273" i="2"/>
  <c r="V270" i="2"/>
  <c r="V269" i="2"/>
  <c r="V268" i="2"/>
  <c r="V267" i="2"/>
  <c r="V266" i="2"/>
  <c r="J341" i="2" s="1"/>
  <c r="J257" i="2"/>
  <c r="U250" i="2"/>
  <c r="T250" i="2"/>
  <c r="S250" i="2"/>
  <c r="R250" i="2"/>
  <c r="Q250" i="2"/>
  <c r="P250" i="2"/>
  <c r="O250" i="2"/>
  <c r="N250" i="2"/>
  <c r="L250" i="2"/>
  <c r="U249" i="2"/>
  <c r="T249" i="2"/>
  <c r="S249" i="2"/>
  <c r="R249" i="2"/>
  <c r="Q249" i="2"/>
  <c r="P249" i="2"/>
  <c r="O249" i="2"/>
  <c r="N249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L249" i="2" s="1"/>
  <c r="V212" i="2"/>
  <c r="V211" i="2"/>
  <c r="J250" i="2" s="1"/>
  <c r="V210" i="2"/>
  <c r="K250" i="2" s="1"/>
  <c r="U207" i="2"/>
  <c r="T207" i="2"/>
  <c r="S207" i="2"/>
  <c r="R207" i="2"/>
  <c r="P207" i="2"/>
  <c r="O207" i="2"/>
  <c r="N207" i="2"/>
  <c r="M207" i="2"/>
  <c r="L207" i="2"/>
  <c r="K207" i="2"/>
  <c r="J207" i="2"/>
  <c r="U206" i="2"/>
  <c r="T206" i="2"/>
  <c r="S206" i="2"/>
  <c r="R206" i="2"/>
  <c r="P206" i="2"/>
  <c r="O206" i="2"/>
  <c r="N206" i="2"/>
  <c r="M206" i="2"/>
  <c r="L206" i="2"/>
  <c r="K206" i="2"/>
  <c r="J206" i="2"/>
  <c r="S205" i="2"/>
  <c r="R205" i="2"/>
  <c r="S204" i="2"/>
  <c r="P204" i="2"/>
  <c r="O204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U184" i="2"/>
  <c r="T184" i="2"/>
  <c r="N184" i="2"/>
  <c r="M184" i="2"/>
  <c r="L184" i="2"/>
  <c r="K184" i="2"/>
  <c r="J184" i="2"/>
  <c r="T205" i="2" s="1"/>
  <c r="U183" i="2"/>
  <c r="T183" i="2"/>
  <c r="N183" i="2"/>
  <c r="M183" i="2"/>
  <c r="L183" i="2"/>
  <c r="K183" i="2"/>
  <c r="U205" i="2" s="1"/>
  <c r="J183" i="2"/>
  <c r="Q205" i="2" s="1"/>
  <c r="Q207" i="2" s="1"/>
  <c r="V182" i="2"/>
  <c r="V181" i="2"/>
  <c r="V180" i="2"/>
  <c r="V179" i="2"/>
  <c r="V178" i="2"/>
  <c r="V177" i="2"/>
  <c r="V176" i="2"/>
  <c r="V175" i="2"/>
  <c r="V174" i="2"/>
  <c r="V173" i="2"/>
  <c r="V204" i="2" s="1"/>
  <c r="V172" i="2"/>
  <c r="J205" i="2" s="1"/>
  <c r="V171" i="2"/>
  <c r="V170" i="2"/>
  <c r="V169" i="2"/>
  <c r="V168" i="2"/>
  <c r="K204" i="2" s="1"/>
  <c r="V167" i="2"/>
  <c r="V166" i="2"/>
  <c r="M204" i="2" s="1"/>
  <c r="V165" i="2"/>
  <c r="L204" i="2" s="1"/>
  <c r="U160" i="2"/>
  <c r="T160" i="2"/>
  <c r="S160" i="2"/>
  <c r="R160" i="2"/>
  <c r="Q160" i="2"/>
  <c r="P160" i="2"/>
  <c r="O160" i="2"/>
  <c r="N160" i="2"/>
  <c r="U159" i="2"/>
  <c r="T159" i="2"/>
  <c r="S159" i="2"/>
  <c r="R159" i="2"/>
  <c r="Q159" i="2"/>
  <c r="P159" i="2"/>
  <c r="O159" i="2"/>
  <c r="N159" i="2"/>
  <c r="K159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M159" i="2" s="1"/>
  <c r="V124" i="2"/>
  <c r="V123" i="2"/>
  <c r="V122" i="2"/>
  <c r="V121" i="2"/>
  <c r="M160" i="2" s="1"/>
  <c r="V120" i="2"/>
  <c r="V159" i="2" s="1"/>
  <c r="V112" i="2"/>
  <c r="V111" i="2"/>
  <c r="V110" i="2"/>
  <c r="V109" i="2"/>
  <c r="V108" i="2"/>
  <c r="V107" i="2"/>
  <c r="V106" i="2"/>
  <c r="V105" i="2"/>
  <c r="U104" i="2"/>
  <c r="T104" i="2"/>
  <c r="N104" i="2"/>
  <c r="M104" i="2"/>
  <c r="L104" i="2"/>
  <c r="K104" i="2"/>
  <c r="J104" i="2"/>
  <c r="U103" i="2"/>
  <c r="T103" i="2"/>
  <c r="N103" i="2"/>
  <c r="M103" i="2"/>
  <c r="L103" i="2"/>
  <c r="K103" i="2"/>
  <c r="J103" i="2"/>
  <c r="V102" i="2"/>
  <c r="V101" i="2"/>
  <c r="V99" i="2"/>
  <c r="V98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X21" i="2" s="1"/>
  <c r="V61" i="2"/>
  <c r="X20" i="2" s="1"/>
  <c r="U59" i="2"/>
  <c r="T59" i="2"/>
  <c r="N59" i="2"/>
  <c r="M59" i="2"/>
  <c r="N115" i="2" s="1"/>
  <c r="L59" i="2"/>
  <c r="K59" i="2"/>
  <c r="J59" i="2"/>
  <c r="U58" i="2"/>
  <c r="T58" i="2"/>
  <c r="N58" i="2"/>
  <c r="M58" i="2"/>
  <c r="L58" i="2"/>
  <c r="K58" i="2"/>
  <c r="J58" i="2"/>
  <c r="P114" i="2" s="1"/>
  <c r="P252" i="2" s="1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39" i="2"/>
  <c r="V38" i="2"/>
  <c r="V37" i="2"/>
  <c r="V36" i="2"/>
  <c r="V35" i="2"/>
  <c r="V34" i="2"/>
  <c r="V33" i="2"/>
  <c r="V32" i="2"/>
  <c r="V31" i="2"/>
  <c r="V30" i="2"/>
  <c r="V29" i="2"/>
  <c r="X29" i="2" s="1"/>
  <c r="V28" i="2"/>
  <c r="X28" i="2" s="1"/>
  <c r="V27" i="2"/>
  <c r="V26" i="2"/>
  <c r="V25" i="2"/>
  <c r="V24" i="2"/>
  <c r="V23" i="2"/>
  <c r="X22" i="2"/>
  <c r="V22" i="2"/>
  <c r="V21" i="2"/>
  <c r="V20" i="2"/>
  <c r="J12" i="2"/>
  <c r="B5" i="2"/>
  <c r="B4" i="2"/>
  <c r="Q502" i="2" l="1"/>
  <c r="S504" i="2"/>
  <c r="O582" i="2"/>
  <c r="O584" i="2"/>
  <c r="P582" i="2"/>
  <c r="R582" i="2"/>
  <c r="N584" i="2"/>
  <c r="Q582" i="2"/>
  <c r="P503" i="2"/>
  <c r="N504" i="2"/>
  <c r="O504" i="2"/>
  <c r="R584" i="2"/>
  <c r="O506" i="2"/>
  <c r="S584" i="2"/>
  <c r="P506" i="2"/>
  <c r="T584" i="2"/>
  <c r="R504" i="2"/>
  <c r="N581" i="2"/>
  <c r="P426" i="2"/>
  <c r="N583" i="2"/>
  <c r="S426" i="2"/>
  <c r="Q584" i="2"/>
  <c r="V505" i="2"/>
  <c r="N506" i="2"/>
  <c r="P504" i="2"/>
  <c r="S582" i="2"/>
  <c r="U584" i="2"/>
  <c r="U502" i="2"/>
  <c r="P581" i="2"/>
  <c r="T426" i="2"/>
  <c r="O503" i="2"/>
  <c r="U581" i="2"/>
  <c r="U503" i="2"/>
  <c r="N582" i="2"/>
  <c r="Q504" i="2"/>
  <c r="O426" i="2"/>
  <c r="Q426" i="2"/>
  <c r="O583" i="2"/>
  <c r="N585" i="2"/>
  <c r="R426" i="2"/>
  <c r="P583" i="2"/>
  <c r="O585" i="2"/>
  <c r="N503" i="2"/>
  <c r="Q583" i="2"/>
  <c r="P585" i="2"/>
  <c r="R583" i="2"/>
  <c r="U426" i="2"/>
  <c r="S583" i="2"/>
  <c r="T583" i="2"/>
  <c r="N502" i="2"/>
  <c r="J426" i="2"/>
  <c r="V584" i="2"/>
  <c r="K115" i="2"/>
  <c r="L114" i="2"/>
  <c r="V583" i="2"/>
  <c r="M250" i="2"/>
  <c r="L465" i="2"/>
  <c r="P115" i="2"/>
  <c r="M464" i="2"/>
  <c r="K463" i="2"/>
  <c r="L542" i="2"/>
  <c r="Q114" i="2"/>
  <c r="Q252" i="2" s="1"/>
  <c r="V160" i="2"/>
  <c r="M463" i="2"/>
  <c r="M542" i="2"/>
  <c r="V575" i="2"/>
  <c r="V581" i="2" s="1"/>
  <c r="L577" i="2"/>
  <c r="U115" i="2"/>
  <c r="U253" i="2" s="1"/>
  <c r="K205" i="2"/>
  <c r="J467" i="2"/>
  <c r="J506" i="2" s="1"/>
  <c r="J497" i="2"/>
  <c r="M498" i="2"/>
  <c r="J546" i="2"/>
  <c r="J585" i="2" s="1"/>
  <c r="J576" i="2"/>
  <c r="M577" i="2"/>
  <c r="L159" i="2"/>
  <c r="V59" i="2"/>
  <c r="V205" i="2"/>
  <c r="N114" i="2"/>
  <c r="J498" i="2"/>
  <c r="V496" i="2"/>
  <c r="V502" i="2" s="1"/>
  <c r="L498" i="2"/>
  <c r="R114" i="2"/>
  <c r="V250" i="2"/>
  <c r="K467" i="2"/>
  <c r="K506" i="2" s="1"/>
  <c r="K497" i="2"/>
  <c r="K503" i="2" s="1"/>
  <c r="K546" i="2"/>
  <c r="K585" i="2" s="1"/>
  <c r="K576" i="2"/>
  <c r="J463" i="2"/>
  <c r="L463" i="2"/>
  <c r="T115" i="2"/>
  <c r="T253" i="2" s="1"/>
  <c r="B6" i="2"/>
  <c r="S114" i="2"/>
  <c r="S252" i="2" s="1"/>
  <c r="V115" i="2"/>
  <c r="L205" i="2"/>
  <c r="T114" i="2"/>
  <c r="J204" i="2"/>
  <c r="M205" i="2"/>
  <c r="K423" i="2"/>
  <c r="K426" i="2" s="1"/>
  <c r="L467" i="2"/>
  <c r="L497" i="2"/>
  <c r="L546" i="2"/>
  <c r="L576" i="2"/>
  <c r="L582" i="2" s="1"/>
  <c r="K465" i="2"/>
  <c r="K504" i="2" s="1"/>
  <c r="J249" i="2"/>
  <c r="M249" i="2"/>
  <c r="L341" i="2"/>
  <c r="M543" i="2"/>
  <c r="M582" i="2" s="1"/>
  <c r="L578" i="2"/>
  <c r="U204" i="2"/>
  <c r="M578" i="2"/>
  <c r="M584" i="2" s="1"/>
  <c r="V58" i="2"/>
  <c r="L115" i="2" s="1"/>
  <c r="J160" i="2"/>
  <c r="V342" i="2"/>
  <c r="V427" i="2" s="1"/>
  <c r="M467" i="2"/>
  <c r="J496" i="2"/>
  <c r="V500" i="2"/>
  <c r="V506" i="2" s="1"/>
  <c r="J545" i="2"/>
  <c r="M546" i="2"/>
  <c r="M576" i="2"/>
  <c r="V114" i="2"/>
  <c r="K160" i="2"/>
  <c r="O205" i="2"/>
  <c r="V249" i="2"/>
  <c r="K466" i="2"/>
  <c r="K496" i="2"/>
  <c r="K545" i="2"/>
  <c r="K584" i="2" s="1"/>
  <c r="K575" i="2"/>
  <c r="K542" i="2"/>
  <c r="J466" i="2"/>
  <c r="M497" i="2"/>
  <c r="J115" i="2"/>
  <c r="J253" i="2" s="1"/>
  <c r="P205" i="2"/>
  <c r="V464" i="2"/>
  <c r="V503" i="2" s="1"/>
  <c r="L466" i="2"/>
  <c r="L496" i="2"/>
  <c r="V543" i="2"/>
  <c r="V582" i="2" s="1"/>
  <c r="L545" i="2"/>
  <c r="L575" i="2"/>
  <c r="L464" i="2"/>
  <c r="K499" i="2"/>
  <c r="Q115" i="2"/>
  <c r="Q253" i="2" s="1"/>
  <c r="T204" i="2"/>
  <c r="L499" i="2"/>
  <c r="J542" i="2"/>
  <c r="O114" i="2"/>
  <c r="O252" i="2" s="1"/>
  <c r="M341" i="2"/>
  <c r="M426" i="2" s="1"/>
  <c r="V423" i="2"/>
  <c r="J577" i="2"/>
  <c r="S115" i="2"/>
  <c r="S253" i="2" s="1"/>
  <c r="U114" i="2"/>
  <c r="N205" i="2"/>
  <c r="N253" i="2" s="1"/>
  <c r="L423" i="2"/>
  <c r="J575" i="2"/>
  <c r="L160" i="2"/>
  <c r="J159" i="2"/>
  <c r="N204" i="2"/>
  <c r="V341" i="2"/>
  <c r="J465" i="2"/>
  <c r="J504" i="2" s="1"/>
  <c r="M496" i="2"/>
  <c r="J544" i="2"/>
  <c r="M575" i="2"/>
  <c r="K544" i="2"/>
  <c r="K583" i="2" s="1"/>
  <c r="L544" i="2"/>
  <c r="X23" i="2"/>
  <c r="Q204" i="2"/>
  <c r="Q206" i="2" s="1"/>
  <c r="K249" i="2"/>
  <c r="J464" i="2"/>
  <c r="M465" i="2"/>
  <c r="L500" i="2"/>
  <c r="J543" i="2"/>
  <c r="J582" i="2" s="1"/>
  <c r="M544" i="2"/>
  <c r="M583" i="2" s="1"/>
  <c r="L579" i="2"/>
  <c r="O115" i="2"/>
  <c r="O253" i="2" s="1"/>
  <c r="R204" i="2"/>
  <c r="J499" i="2"/>
  <c r="M500" i="2"/>
  <c r="K543" i="2"/>
  <c r="J578" i="2"/>
  <c r="M579" i="2"/>
  <c r="R115" i="2"/>
  <c r="R253" i="2" s="1"/>
  <c r="M499" i="2"/>
  <c r="M505" i="2" s="1"/>
  <c r="L252" i="2" l="1"/>
  <c r="L585" i="2"/>
  <c r="L506" i="2"/>
  <c r="J581" i="2"/>
  <c r="K581" i="2"/>
  <c r="K253" i="2"/>
  <c r="V426" i="2"/>
  <c r="L253" i="2"/>
  <c r="J583" i="2"/>
  <c r="J505" i="2"/>
  <c r="V253" i="2"/>
  <c r="N252" i="2"/>
  <c r="L581" i="2"/>
  <c r="J503" i="2"/>
  <c r="L584" i="2"/>
  <c r="L426" i="2"/>
  <c r="V252" i="2"/>
  <c r="K502" i="2"/>
  <c r="M506" i="2"/>
  <c r="R252" i="2"/>
  <c r="M504" i="2"/>
  <c r="U252" i="2"/>
  <c r="L505" i="2"/>
  <c r="J114" i="2"/>
  <c r="J252" i="2" s="1"/>
  <c r="L502" i="2"/>
  <c r="M503" i="2"/>
  <c r="M115" i="2"/>
  <c r="M253" i="2" s="1"/>
  <c r="M581" i="2"/>
  <c r="L503" i="2"/>
  <c r="K114" i="2"/>
  <c r="K252" i="2" s="1"/>
  <c r="L583" i="2"/>
  <c r="M585" i="2"/>
  <c r="J502" i="2"/>
  <c r="P253" i="2"/>
  <c r="T252" i="2"/>
  <c r="K505" i="2"/>
  <c r="M502" i="2"/>
  <c r="K582" i="2"/>
  <c r="J584" i="2"/>
  <c r="M114" i="2"/>
  <c r="M252" i="2" s="1"/>
  <c r="L50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60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ID#AAABnMtyClY
rendal ops    (2025-07-09 11:48:11)
Angka seharusnya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N6i/uqHBN1Y3EdZbMrH3A1jhRQ=="/>
    </ext>
  </extLst>
</comments>
</file>

<file path=xl/sharedStrings.xml><?xml version="1.0" encoding="utf-8"?>
<sst xmlns="http://schemas.openxmlformats.org/spreadsheetml/2006/main" count="1153" uniqueCount="347">
  <si>
    <t>Regional.2</t>
  </si>
  <si>
    <t>Banten</t>
  </si>
  <si>
    <t>Version : 3.1</t>
  </si>
  <si>
    <t xml:space="preserve">TAHUN (YYYY) : </t>
  </si>
  <si>
    <t xml:space="preserve">REGIONAL : </t>
  </si>
  <si>
    <t xml:space="preserve">CABANG / TERMINAL : </t>
  </si>
  <si>
    <t>Kunjungan Kapal Berdasarkan Lokasi Sandar, Jenis Pelayaran dan Jenis Muatan Kapal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</si>
  <si>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</si>
  <si>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</si>
  <si>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</si>
  <si>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</si>
  <si>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</si>
  <si>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</si>
  <si>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</si>
  <si>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</si>
  <si>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</si>
  <si>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</si>
  <si>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</si>
  <si>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</si>
  <si>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</si>
  <si>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</si>
  <si>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</si>
  <si>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</si>
  <si>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</si>
  <si>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DERMAGA UMUM</t>
  </si>
  <si>
    <t>Pelayaran Luar Negeri</t>
  </si>
  <si>
    <t>Kapal</t>
  </si>
  <si>
    <t>A010101010000</t>
  </si>
  <si>
    <t>General Cargo</t>
  </si>
  <si>
    <t>Call</t>
  </si>
  <si>
    <t>GT</t>
  </si>
  <si>
    <t>A010101020000</t>
  </si>
  <si>
    <t>Curah Cair BBM</t>
  </si>
  <si>
    <t>A010101030000</t>
  </si>
  <si>
    <t>Gas</t>
  </si>
  <si>
    <t>A010101040000</t>
  </si>
  <si>
    <t>Curah Cair Non - BBM</t>
  </si>
  <si>
    <t>A010101050000</t>
  </si>
  <si>
    <t>Curah Kering</t>
  </si>
  <si>
    <t>A010101060000</t>
  </si>
  <si>
    <t>Petikemas</t>
  </si>
  <si>
    <t>A010101070000</t>
  </si>
  <si>
    <t>Ro - ro</t>
  </si>
  <si>
    <t>A010101080000</t>
  </si>
  <si>
    <t>Hewan</t>
  </si>
  <si>
    <t>A010101090000</t>
  </si>
  <si>
    <t>Cruise (Penumpang Wisata Asing)</t>
  </si>
  <si>
    <t>A010101100000</t>
  </si>
  <si>
    <t>Penumpang</t>
  </si>
  <si>
    <t>Tug Boat dan Tongkang</t>
  </si>
  <si>
    <t>A010102010000</t>
  </si>
  <si>
    <t>A010102020000</t>
  </si>
  <si>
    <t>A010102030000</t>
  </si>
  <si>
    <t>A010102040000</t>
  </si>
  <si>
    <t>A010102050000</t>
  </si>
  <si>
    <t>A010102060000</t>
  </si>
  <si>
    <t>A010102070000</t>
  </si>
  <si>
    <t>Tug Boat tanpa tongkang</t>
  </si>
  <si>
    <t>A010102080000</t>
  </si>
  <si>
    <t>Jumlah Tug Boat dan Tongkang</t>
  </si>
  <si>
    <t>(Jika data breakdown tidak tersedia)</t>
  </si>
  <si>
    <t>Pelayaran Dalam Negeri</t>
  </si>
  <si>
    <t>A010201010000</t>
  </si>
  <si>
    <t>A010201020000</t>
  </si>
  <si>
    <t>A010201030000</t>
  </si>
  <si>
    <t>A010201040000</t>
  </si>
  <si>
    <t>A010201050000</t>
  </si>
  <si>
    <t>A010201060000</t>
  </si>
  <si>
    <t>A010201070000</t>
  </si>
  <si>
    <t>A010201080000</t>
  </si>
  <si>
    <t>A010201090000</t>
  </si>
  <si>
    <t>A010202010000</t>
  </si>
  <si>
    <t>A010202020000</t>
  </si>
  <si>
    <t>A010202030000</t>
  </si>
  <si>
    <t>A010202040000</t>
  </si>
  <si>
    <t>A010202050000</t>
  </si>
  <si>
    <t>A010202060000</t>
  </si>
  <si>
    <t>A010202070000</t>
  </si>
  <si>
    <t>A010202080000</t>
  </si>
  <si>
    <t>A010300000000</t>
  </si>
  <si>
    <t>Pelayaran Perintis</t>
  </si>
  <si>
    <t>A010400000000</t>
  </si>
  <si>
    <t>Pelayaran Rakyat</t>
  </si>
  <si>
    <t>Pelayaran Lainnya</t>
  </si>
  <si>
    <t>A010501000000</t>
  </si>
  <si>
    <t>Kapal Negara</t>
  </si>
  <si>
    <t>A010502000000</t>
  </si>
  <si>
    <t>Kapal Survey</t>
  </si>
  <si>
    <t>A010503000000</t>
  </si>
  <si>
    <t>Kapal Utilitas / Suplai</t>
  </si>
  <si>
    <t>A010504000000</t>
  </si>
  <si>
    <t>Kapal Lainnya</t>
  </si>
  <si>
    <t>Jumlah kunjungan kapal di DERMAGA UMUM</t>
  </si>
  <si>
    <t>REDE TRANSPORT / LOADING POINT / DOLPHIN / PINGGIRAN</t>
  </si>
  <si>
    <t>A020101010000</t>
  </si>
  <si>
    <t>A020101020000</t>
  </si>
  <si>
    <t>A020101030000</t>
  </si>
  <si>
    <t>A020101040000</t>
  </si>
  <si>
    <t>A020101050000</t>
  </si>
  <si>
    <t>A020101060000</t>
  </si>
  <si>
    <t>A020101070000</t>
  </si>
  <si>
    <t>A020101080000</t>
  </si>
  <si>
    <t>Tug Boat dan atau Tongkang</t>
  </si>
  <si>
    <t>A020101090000</t>
  </si>
  <si>
    <t>A020201010000</t>
  </si>
  <si>
    <t>A020201020000</t>
  </si>
  <si>
    <t>A020201030000</t>
  </si>
  <si>
    <t>A020201040000</t>
  </si>
  <si>
    <t>A020201050000</t>
  </si>
  <si>
    <t>A020201060000</t>
  </si>
  <si>
    <t>A020201070000</t>
  </si>
  <si>
    <t>A020201080000</t>
  </si>
  <si>
    <t>A020201090000</t>
  </si>
  <si>
    <t>Jumlah kunjungan kapal di REDE TRANSPORT / LOADING POINT / DOLPHIN / PINGGIRAN</t>
  </si>
  <si>
    <t>TUKS / TERMINAL KHUSUS / UPP / BUP LAIN / PELABUHAN KHUSUS</t>
  </si>
  <si>
    <t>A030101010000</t>
  </si>
  <si>
    <t>A030101020000</t>
  </si>
  <si>
    <t>A030101030000</t>
  </si>
  <si>
    <t>A030101040000</t>
  </si>
  <si>
    <t>A030101050000</t>
  </si>
  <si>
    <t>A030101060000</t>
  </si>
  <si>
    <t>A030101070000</t>
  </si>
  <si>
    <t>A030101080000</t>
  </si>
  <si>
    <t>A030101090000</t>
  </si>
  <si>
    <t>A030201010000</t>
  </si>
  <si>
    <t>A030201020000</t>
  </si>
  <si>
    <t>A030201030000</t>
  </si>
  <si>
    <t>A030201040000</t>
  </si>
  <si>
    <t>A030201050000</t>
  </si>
  <si>
    <t>A030201060000</t>
  </si>
  <si>
    <t>A030201070000</t>
  </si>
  <si>
    <t>A030201080000</t>
  </si>
  <si>
    <t>A030201090000</t>
  </si>
  <si>
    <t>Jumlah kunjungan kapal di TUKS / TERMINAL KHUSUS / UPP / BUP LAIN / PELABUHAN KHUSUS</t>
  </si>
  <si>
    <t>LOADING POINT (DI LUAR DLKR)</t>
  </si>
  <si>
    <t>A050101010000</t>
  </si>
  <si>
    <t>A050101020000</t>
  </si>
  <si>
    <t>A050101030000</t>
  </si>
  <si>
    <t>A050101040000</t>
  </si>
  <si>
    <t>A050101050000</t>
  </si>
  <si>
    <t>A050101060000</t>
  </si>
  <si>
    <t>A050101070000</t>
  </si>
  <si>
    <t>A050101080000</t>
  </si>
  <si>
    <t>A050101090000</t>
  </si>
  <si>
    <t>A050201010000</t>
  </si>
  <si>
    <t>A050201020000</t>
  </si>
  <si>
    <t>A050201030000</t>
  </si>
  <si>
    <t>A050201040000</t>
  </si>
  <si>
    <t>A050201050000</t>
  </si>
  <si>
    <t>A050201060000</t>
  </si>
  <si>
    <t>A050201070000</t>
  </si>
  <si>
    <t>A050201080000</t>
  </si>
  <si>
    <t>A050201090000</t>
  </si>
  <si>
    <t>Jumlah kunjungan kapal di LOADING POINT (DI LUAR DLKR)</t>
  </si>
  <si>
    <t>Jumlah kunjungan kapal</t>
  </si>
  <si>
    <t>Arus Petikemas</t>
  </si>
  <si>
    <t>LUAR NEGERI</t>
  </si>
  <si>
    <t>Impor</t>
  </si>
  <si>
    <t>Full</t>
  </si>
  <si>
    <t>Dry</t>
  </si>
  <si>
    <t>B010101010100</t>
  </si>
  <si>
    <t>Box</t>
  </si>
  <si>
    <t>B010101010200</t>
  </si>
  <si>
    <t>B010101010300</t>
  </si>
  <si>
    <t>B010101010400</t>
  </si>
  <si>
    <t>20 OH / OW / OL</t>
  </si>
  <si>
    <t>B010101010500</t>
  </si>
  <si>
    <t>40 OH / OW / OL</t>
  </si>
  <si>
    <t>Reefer</t>
  </si>
  <si>
    <t>B010101020100</t>
  </si>
  <si>
    <t>B010101020200</t>
  </si>
  <si>
    <t>B010101020300</t>
  </si>
  <si>
    <t>Dangerous Good</t>
  </si>
  <si>
    <t>B010101030100</t>
  </si>
  <si>
    <t>B010101030200</t>
  </si>
  <si>
    <t>B010101030300</t>
  </si>
  <si>
    <t>B010101040000</t>
  </si>
  <si>
    <t>Uncontainerized</t>
  </si>
  <si>
    <t>Unit</t>
  </si>
  <si>
    <t>Empty</t>
  </si>
  <si>
    <t>B010102010100</t>
  </si>
  <si>
    <t>B010102010200</t>
  </si>
  <si>
    <t>B010102010300</t>
  </si>
  <si>
    <t>Ekspor</t>
  </si>
  <si>
    <t>B010201010100</t>
  </si>
  <si>
    <t>B010201010200</t>
  </si>
  <si>
    <t>B010201010300</t>
  </si>
  <si>
    <t>B010201010400</t>
  </si>
  <si>
    <t>B010201010500</t>
  </si>
  <si>
    <t>B010201020100</t>
  </si>
  <si>
    <t>B010201020200</t>
  </si>
  <si>
    <t>B010201020300</t>
  </si>
  <si>
    <t>B010201030100</t>
  </si>
  <si>
    <t>B010201030200</t>
  </si>
  <si>
    <t>B010201030300</t>
  </si>
  <si>
    <t>B010201040000</t>
  </si>
  <si>
    <t>B010202010100</t>
  </si>
  <si>
    <t>B010202010200</t>
  </si>
  <si>
    <t>B010202010300</t>
  </si>
  <si>
    <t>Transhipment</t>
  </si>
  <si>
    <t>B010301010100</t>
  </si>
  <si>
    <t>B010301010200</t>
  </si>
  <si>
    <t>B010301010300</t>
  </si>
  <si>
    <t>B010301010400</t>
  </si>
  <si>
    <t>B010301010500</t>
  </si>
  <si>
    <t>B010301020100</t>
  </si>
  <si>
    <t>B010301020200</t>
  </si>
  <si>
    <t>B010301020300</t>
  </si>
  <si>
    <t>B010301030100</t>
  </si>
  <si>
    <t>B010301030200</t>
  </si>
  <si>
    <t>B010301030300</t>
  </si>
  <si>
    <t>B010301040000</t>
  </si>
  <si>
    <t>B010302010100</t>
  </si>
  <si>
    <t>B010302010200</t>
  </si>
  <si>
    <t>B010302010300</t>
  </si>
  <si>
    <t>Jumlah Petikemas Luar Negeri</t>
  </si>
  <si>
    <t>Teus</t>
  </si>
  <si>
    <t>DALAM NEGERI</t>
  </si>
  <si>
    <t>Bongkar</t>
  </si>
  <si>
    <t>B020101010100</t>
  </si>
  <si>
    <t>B020101010200</t>
  </si>
  <si>
    <t>B020101010300</t>
  </si>
  <si>
    <t>B020101010400</t>
  </si>
  <si>
    <t>B020101010500</t>
  </si>
  <si>
    <t>B020101020100</t>
  </si>
  <si>
    <t>B020101020200</t>
  </si>
  <si>
    <t>B020101020300</t>
  </si>
  <si>
    <t>B020101030100</t>
  </si>
  <si>
    <t>B020101030200</t>
  </si>
  <si>
    <t>B020101030300</t>
  </si>
  <si>
    <t>B020101040000</t>
  </si>
  <si>
    <t>B020102010100</t>
  </si>
  <si>
    <t>B020102010200</t>
  </si>
  <si>
    <t>B020102010300</t>
  </si>
  <si>
    <t>Muat</t>
  </si>
  <si>
    <t>B020201010100</t>
  </si>
  <si>
    <t>B020201010200</t>
  </si>
  <si>
    <t>B020201010300</t>
  </si>
  <si>
    <t>B020201010400</t>
  </si>
  <si>
    <t>B020201010500</t>
  </si>
  <si>
    <t>B020201020100</t>
  </si>
  <si>
    <t>B020201020200</t>
  </si>
  <si>
    <t>B020201020300</t>
  </si>
  <si>
    <t>B020201030100</t>
  </si>
  <si>
    <t>B020201030200</t>
  </si>
  <si>
    <t>B020201030300</t>
  </si>
  <si>
    <t>B020201040000</t>
  </si>
  <si>
    <t>B020202010100</t>
  </si>
  <si>
    <t>B020202010200</t>
  </si>
  <si>
    <t>B020202010300</t>
  </si>
  <si>
    <t>B020301010100</t>
  </si>
  <si>
    <t>B020301010200</t>
  </si>
  <si>
    <t>B020301010300</t>
  </si>
  <si>
    <t>B020301010400</t>
  </si>
  <si>
    <t>B020301010500</t>
  </si>
  <si>
    <t>B020301020100</t>
  </si>
  <si>
    <t>B020301020200</t>
  </si>
  <si>
    <t>B020301020300</t>
  </si>
  <si>
    <t>B020301030100</t>
  </si>
  <si>
    <t>B020301030200</t>
  </si>
  <si>
    <t>B020301030300</t>
  </si>
  <si>
    <t>B020301040000</t>
  </si>
  <si>
    <t>B020302010100</t>
  </si>
  <si>
    <t>B020302010200</t>
  </si>
  <si>
    <t>B020302010300</t>
  </si>
  <si>
    <t>Jumlah Petikemas Dalam Negeri</t>
  </si>
  <si>
    <t>Jumlah Arus Petikemas</t>
  </si>
  <si>
    <t>Arus Barang Nonpetikemas (Dermaga Umum)</t>
  </si>
  <si>
    <t>D010101000000</t>
  </si>
  <si>
    <t>Ton</t>
  </si>
  <si>
    <t>M3</t>
  </si>
  <si>
    <t>D010102000000</t>
  </si>
  <si>
    <t>Bag Cargo</t>
  </si>
  <si>
    <t>D010103000000</t>
  </si>
  <si>
    <t>Curah Cair</t>
  </si>
  <si>
    <t>D010104000000</t>
  </si>
  <si>
    <t>D010105000000</t>
  </si>
  <si>
    <t>MMBTU</t>
  </si>
  <si>
    <t>D010106000000</t>
  </si>
  <si>
    <t>Kendaraan</t>
  </si>
  <si>
    <t>D010107000000</t>
  </si>
  <si>
    <t>Ekor</t>
  </si>
  <si>
    <t>x</t>
  </si>
  <si>
    <t>D010201000000</t>
  </si>
  <si>
    <t>D010202000000</t>
  </si>
  <si>
    <t>D010203000000</t>
  </si>
  <si>
    <t>D010204000000</t>
  </si>
  <si>
    <t>D010205000000</t>
  </si>
  <si>
    <t>D010206000000</t>
  </si>
  <si>
    <t>D010207000000</t>
  </si>
  <si>
    <t>Jumlah Barang Luar Negeri</t>
  </si>
  <si>
    <t>D020101000000</t>
  </si>
  <si>
    <t>D020102000000</t>
  </si>
  <si>
    <t>D020103000000</t>
  </si>
  <si>
    <t>D020104000000</t>
  </si>
  <si>
    <t>D020105000000</t>
  </si>
  <si>
    <t>D020106000000</t>
  </si>
  <si>
    <t>D020107000000</t>
  </si>
  <si>
    <t>D020201000000</t>
  </si>
  <si>
    <t>D020202000000</t>
  </si>
  <si>
    <t>D020203000000</t>
  </si>
  <si>
    <t>D020204000000</t>
  </si>
  <si>
    <t>D020205000000</t>
  </si>
  <si>
    <t>D020206000000</t>
  </si>
  <si>
    <t>D020207000000</t>
  </si>
  <si>
    <t>Jumlah Barang Dalam Negeri</t>
  </si>
  <si>
    <t>Jumlah Barang Berdasarkan Kemasan</t>
  </si>
  <si>
    <t>Arus Barang Nonpetikemas (Non Dermaga Umum)</t>
  </si>
  <si>
    <t>F010101000000</t>
  </si>
  <si>
    <t>F010102000000</t>
  </si>
  <si>
    <t>F010103000000</t>
  </si>
  <si>
    <t>F010104000000</t>
  </si>
  <si>
    <t>F010105000000</t>
  </si>
  <si>
    <t>F010106000000</t>
  </si>
  <si>
    <t>F010107000000</t>
  </si>
  <si>
    <t>F010201000000</t>
  </si>
  <si>
    <t>F010202000000</t>
  </si>
  <si>
    <t>F010203000000</t>
  </si>
  <si>
    <t>F010204000000</t>
  </si>
  <si>
    <t>F010205000000</t>
  </si>
  <si>
    <t>F010206000000</t>
  </si>
  <si>
    <t>F010207000000</t>
  </si>
  <si>
    <t>F020101000000</t>
  </si>
  <si>
    <t>F020102000000</t>
  </si>
  <si>
    <t>F020103000000</t>
  </si>
  <si>
    <t>F020104000000</t>
  </si>
  <si>
    <t>F020105000000</t>
  </si>
  <si>
    <t>F020106000000</t>
  </si>
  <si>
    <t>F020107000000</t>
  </si>
  <si>
    <t>F020201000000</t>
  </si>
  <si>
    <t>F020202000000</t>
  </si>
  <si>
    <t>F020203000000</t>
  </si>
  <si>
    <t>F020204000000</t>
  </si>
  <si>
    <t>F020205000000</t>
  </si>
  <si>
    <t>F020206000000</t>
  </si>
  <si>
    <t>F020207000000</t>
  </si>
  <si>
    <t>Arus Penumpang</t>
  </si>
  <si>
    <t>E010100000000</t>
  </si>
  <si>
    <t>Embarkasi</t>
  </si>
  <si>
    <t>Orang</t>
  </si>
  <si>
    <t>E010200000000</t>
  </si>
  <si>
    <t>Debarkasi</t>
  </si>
  <si>
    <t>Jumlah arus penumpang luar negeri</t>
  </si>
  <si>
    <t>E020100000000</t>
  </si>
  <si>
    <t>E020200000000</t>
  </si>
  <si>
    <t>Jumlah penumpang dalam negeri</t>
  </si>
  <si>
    <t>Jumlah arus penumpang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</si>
</sst>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0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theme="1"/>
      <name val="Arial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1" fontId="1" fillId="4" borderId="14" xfId="0" applyNumberFormat="1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1" fontId="1" fillId="4" borderId="21" xfId="0" applyNumberFormat="1" applyFont="1" applyFill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left" vertical="center"/>
    </xf>
    <xf numFmtId="1" fontId="1" fillId="0" borderId="15" xfId="0" applyNumberFormat="1" applyFont="1" applyBorder="1" applyAlignment="1">
      <alignment vertical="center"/>
    </xf>
    <xf numFmtId="0" fontId="8" fillId="0" borderId="16" xfId="0" applyFont="1" applyBorder="1"/>
    <xf numFmtId="0" fontId="8" fillId="0" borderId="17" xfId="0" applyFont="1" applyBorder="1"/>
    <xf numFmtId="0" fontId="1" fillId="0" borderId="15" xfId="0" applyFont="1" applyBorder="1" applyAlignment="1">
      <alignment vertical="center" wrapText="1"/>
    </xf>
    <xf numFmtId="4" fontId="1" fillId="0" borderId="14" xfId="0" applyNumberFormat="1" applyFont="1" applyBorder="1"/>
    <xf numFmtId="1" fontId="1" fillId="0" borderId="14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4" fontId="1" fillId="5" borderId="14" xfId="0" applyNumberFormat="1" applyFont="1" applyFill="1" applyBorder="1" applyAlignment="1">
      <alignment horizontal="right" wrapText="1"/>
    </xf>
    <xf numFmtId="4" fontId="1" fillId="5" borderId="14" xfId="0" applyNumberFormat="1" applyFont="1" applyFill="1" applyBorder="1" applyAlignment="1">
      <alignment horizontal="right"/>
    </xf>
    <xf numFmtId="4" fontId="9" fillId="5" borderId="14" xfId="0" applyNumberFormat="1" applyFont="1" applyFill="1" applyBorder="1" applyAlignment="1">
      <alignment horizontal="right"/>
    </xf>
    <xf numFmtId="4" fontId="1" fillId="6" borderId="14" xfId="0" applyNumberFormat="1" applyFont="1" applyFill="1" applyBorder="1"/>
    <xf numFmtId="4" fontId="1" fillId="0" borderId="0" xfId="0" applyNumberFormat="1" applyFont="1"/>
    <xf numFmtId="1" fontId="1" fillId="0" borderId="15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left" vertical="center" wrapText="1"/>
    </xf>
    <xf numFmtId="1" fontId="1" fillId="0" borderId="16" xfId="0" applyNumberFormat="1" applyFont="1" applyBorder="1" applyAlignment="1">
      <alignment horizontal="left" vertical="center" wrapText="1"/>
    </xf>
    <xf numFmtId="1" fontId="1" fillId="0" borderId="17" xfId="0" applyNumberFormat="1" applyFont="1" applyBorder="1" applyAlignment="1">
      <alignment horizontal="left" vertical="center" wrapText="1"/>
    </xf>
    <xf numFmtId="4" fontId="1" fillId="5" borderId="22" xfId="0" applyNumberFormat="1" applyFont="1" applyFill="1" applyBorder="1" applyAlignment="1">
      <alignment horizontal="right"/>
    </xf>
    <xf numFmtId="4" fontId="1" fillId="5" borderId="22" xfId="0" applyNumberFormat="1" applyFont="1" applyFill="1" applyBorder="1" applyAlignment="1">
      <alignment horizontal="right" wrapText="1"/>
    </xf>
    <xf numFmtId="4" fontId="1" fillId="5" borderId="14" xfId="0" applyNumberFormat="1" applyFont="1" applyFill="1" applyBorder="1"/>
    <xf numFmtId="4" fontId="1" fillId="5" borderId="22" xfId="0" applyNumberFormat="1" applyFont="1" applyFill="1" applyBorder="1"/>
    <xf numFmtId="4" fontId="9" fillId="5" borderId="14" xfId="0" applyNumberFormat="1" applyFont="1" applyFill="1" applyBorder="1"/>
    <xf numFmtId="1" fontId="1" fillId="0" borderId="14" xfId="0" applyNumberFormat="1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4" fontId="1" fillId="5" borderId="14" xfId="0" applyNumberFormat="1" applyFont="1" applyFill="1" applyBorder="1" applyAlignment="1">
      <alignment vertical="center" wrapText="1"/>
    </xf>
    <xf numFmtId="4" fontId="1" fillId="5" borderId="10" xfId="0" applyNumberFormat="1" applyFont="1" applyFill="1" applyBorder="1"/>
    <xf numFmtId="0" fontId="9" fillId="0" borderId="15" xfId="0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vertical="center" wrapText="1"/>
    </xf>
    <xf numFmtId="1" fontId="1" fillId="0" borderId="17" xfId="0" applyNumberFormat="1" applyFont="1" applyBorder="1" applyAlignment="1">
      <alignment vertical="center" wrapText="1"/>
    </xf>
    <xf numFmtId="0" fontId="1" fillId="0" borderId="14" xfId="0" applyFont="1" applyBorder="1" applyAlignment="1">
      <alignment horizontal="left" vertical="center" wrapText="1"/>
    </xf>
    <xf numFmtId="4" fontId="1" fillId="0" borderId="10" xfId="0" applyNumberFormat="1" applyFont="1" applyBorder="1"/>
    <xf numFmtId="4" fontId="1" fillId="5" borderId="10" xfId="0" applyNumberFormat="1" applyFont="1" applyFill="1" applyBorder="1" applyAlignment="1">
      <alignment horizontal="right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1" fontId="1" fillId="7" borderId="14" xfId="0" applyNumberFormat="1" applyFont="1" applyFill="1" applyBorder="1" applyAlignment="1">
      <alignment horizontal="center" vertical="center" wrapText="1"/>
    </xf>
    <xf numFmtId="4" fontId="9" fillId="5" borderId="10" xfId="0" applyNumberFormat="1" applyFont="1" applyFill="1" applyBorder="1" applyAlignment="1">
      <alignment horizontal="right"/>
    </xf>
    <xf numFmtId="4" fontId="9" fillId="5" borderId="10" xfId="0" applyNumberFormat="1" applyFont="1" applyFill="1" applyBorder="1"/>
    <xf numFmtId="1" fontId="1" fillId="0" borderId="15" xfId="0" applyNumberFormat="1" applyFont="1" applyBorder="1" applyAlignment="1">
      <alignment vertical="center" wrapText="1"/>
    </xf>
    <xf numFmtId="1" fontId="1" fillId="7" borderId="14" xfId="0" applyNumberFormat="1" applyFont="1" applyFill="1" applyBorder="1" applyAlignment="1">
      <alignment vertical="center" wrapText="1"/>
    </xf>
    <xf numFmtId="1" fontId="1" fillId="0" borderId="15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6" borderId="23" xfId="0" applyFont="1" applyFill="1" applyBorder="1"/>
    <xf numFmtId="0" fontId="9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1" fontId="1" fillId="0" borderId="12" xfId="0" applyNumberFormat="1" applyFont="1" applyBorder="1" applyAlignment="1">
      <alignment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4" fontId="9" fillId="5" borderId="22" xfId="0" applyNumberFormat="1" applyFont="1" applyFill="1" applyBorder="1"/>
    <xf numFmtId="3" fontId="1" fillId="0" borderId="0" xfId="0" applyNumberFormat="1" applyFont="1" applyAlignment="1">
      <alignment horizontal="right"/>
    </xf>
    <xf numFmtId="0" fontId="1" fillId="8" borderId="0" xfId="0" applyFont="1" applyFill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3" fontId="9" fillId="5" borderId="14" xfId="0" applyNumberFormat="1" applyFont="1" applyFill="1" applyBorder="1" applyAlignment="1">
      <alignment horizontal="right"/>
    </xf>
    <xf numFmtId="3" fontId="1" fillId="5" borderId="14" xfId="0" applyNumberFormat="1" applyFont="1" applyFill="1" applyBorder="1"/>
    <xf numFmtId="1" fontId="1" fillId="0" borderId="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3" fontId="1" fillId="5" borderId="22" xfId="0" applyNumberFormat="1" applyFont="1" applyFill="1" applyBorder="1"/>
    <xf numFmtId="1" fontId="1" fillId="0" borderId="10" xfId="0" applyNumberFormat="1" applyFont="1" applyBorder="1"/>
    <xf numFmtId="1" fontId="1" fillId="0" borderId="1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3" borderId="1" xfId="0" applyFont="1" applyFill="1" applyBorder="1" applyAlignment="1">
      <alignment horizontal="right"/>
    </xf>
    <xf numFmtId="1" fontId="1" fillId="4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10" xfId="0" applyFont="1" applyBorder="1"/>
    <xf numFmtId="0" fontId="1" fillId="4" borderId="3" xfId="0" applyFont="1" applyFill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0" fillId="0" borderId="0" xfId="0"/>
    <xf numFmtId="0" fontId="4" fillId="0" borderId="9" xfId="0" applyFont="1" applyBorder="1"/>
    <xf numFmtId="1" fontId="1" fillId="4" borderId="18" xfId="0" applyNumberFormat="1" applyFont="1" applyFill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" fillId="4" borderId="15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4" fillId="0" borderId="17" xfId="0" applyFont="1" applyBorder="1"/>
    <xf numFmtId="0" fontId="1" fillId="0" borderId="1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1" fontId="1" fillId="0" borderId="16" xfId="0" applyNumberFormat="1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left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27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Sheet1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Sheet1-style 2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Sheet1-style 3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Sheet1-style 4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Sheet1-style 5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Sheet1-style 6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Sheet1-style 7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Sheet1-style 8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Sheet1-style 9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pane ySplit="16" topLeftCell="A17" activePane="bottomLeft" state="frozen"/>
      <selection pane="bottomLeft" activeCell="H4" sqref="H4"/>
    </sheetView>
  </sheetViews>
  <sheetFormatPr defaultColWidth="14.3984375" defaultRowHeight="15" customHeight="1" x14ac:dyDescent="0.45"/>
  <cols>
    <col min="1" max="1" width="2.73046875" customWidth="1"/>
    <col min="2" max="2" width="15.86328125" hidden="1" customWidth="1"/>
    <col min="3" max="3" width="7.1328125" customWidth="1"/>
    <col min="4" max="7" width="6" customWidth="1"/>
    <col min="8" max="8" width="36" customWidth="1"/>
    <col min="9" max="9" width="8.1328125" customWidth="1"/>
    <col min="10" max="10" width="12.265625" customWidth="1"/>
    <col min="11" max="22" width="15.265625" customWidth="1"/>
    <col min="23" max="23" width="9.1328125" customWidth="1"/>
    <col min="24" max="24" width="15.3984375" customWidth="1"/>
    <col min="25" max="26" width="9.1328125" customWidth="1"/>
  </cols>
  <sheetData>
    <row r="1" spans="1:26" ht="14.25" customHeight="1" x14ac:dyDescent="0.45">
      <c r="A1" s="1"/>
      <c r="B1" s="1"/>
      <c r="C1" s="73" t="s">
        <v>2</v>
      </c>
      <c r="D1" s="74"/>
      <c r="E1" s="74"/>
      <c r="F1" s="74"/>
      <c r="G1" s="74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</row>
    <row r="2" spans="1:26" ht="14.25" customHeight="1" x14ac:dyDescent="0.45">
      <c r="A2" s="1"/>
      <c r="B2" s="1"/>
      <c r="C2" s="75" t="s">
        <v>3</v>
      </c>
      <c r="D2" s="74"/>
      <c r="E2" s="74"/>
      <c r="F2" s="74"/>
      <c r="G2" s="74"/>
      <c r="H2" s="3">
        <v>2026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</row>
    <row r="3" spans="1:26" ht="5.25" customHeight="1" x14ac:dyDescent="0.4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</row>
    <row r="4" spans="1:26" ht="14.25" customHeight="1" x14ac:dyDescent="0.45">
      <c r="A4" s="1"/>
      <c r="B4" s="1" t="str">
        <f>IFERROR(VLOOKUP(H4,#REF!,2,0),"")</f>
        <v/>
      </c>
      <c r="C4" s="75" t="s">
        <v>4</v>
      </c>
      <c r="D4" s="74"/>
      <c r="E4" s="74"/>
      <c r="F4" s="74"/>
      <c r="G4" s="74"/>
      <c r="H4" s="1" t="s"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</row>
    <row r="5" spans="1:26" ht="4.5" customHeight="1" x14ac:dyDescent="0.45">
      <c r="A5" s="1"/>
      <c r="B5" s="1" t="str">
        <f>IFERROR(VLOOKUP(H4,#REF!,3,0),"")</f>
        <v/>
      </c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</row>
    <row r="6" spans="1:26" ht="14.25" customHeight="1" x14ac:dyDescent="0.45">
      <c r="A6" s="1"/>
      <c r="B6" s="1" t="str">
        <f>IF(B4="001",VLOOKUP(H6,#REF!,2,0),IF(B4="002",VLOOKUP(H6,#REF!,2,0),IF(B4="003",VLOOKUP(H6,#REF!,2,0),IF(B4="004",VLOOKUP(H6,#REF!,2,0),IF(B4="005",VLOOKUP(H6,#REF!,2,0),IF(B4="006",VLOOKUP(H6,#REF!,2,0),IF(B4="007",VLOOKUP(H6,#REF!,2,0),IF(B4="008",VLOOKUP(H6,#REF!,2,0),"NOTFOUND"))))))))</f>
        <v>NOTFOUND</v>
      </c>
      <c r="C6" s="75" t="s">
        <v>5</v>
      </c>
      <c r="D6" s="74"/>
      <c r="E6" s="74"/>
      <c r="F6" s="74"/>
      <c r="G6" s="74"/>
      <c r="H6" s="1" t="s">
        <v>1</v>
      </c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  <c r="Y6" s="1"/>
      <c r="Z6" s="1"/>
    </row>
    <row r="7" spans="1:26" ht="3" customHeight="1" x14ac:dyDescent="0.45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/>
      <c r="X7" s="1"/>
      <c r="Y7" s="1"/>
      <c r="Z7" s="1"/>
    </row>
    <row r="8" spans="1:26" ht="21.75" customHeight="1" x14ac:dyDescent="0.55000000000000004">
      <c r="A8" s="4">
        <v>1</v>
      </c>
      <c r="B8" s="5"/>
      <c r="C8" s="4" t="s">
        <v>6</v>
      </c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1"/>
      <c r="Y8" s="1"/>
      <c r="Z8" s="1"/>
    </row>
    <row r="9" spans="1:26" ht="1.5" customHeight="1" x14ac:dyDescent="0.55000000000000004">
      <c r="A9" s="5"/>
      <c r="B9" s="5"/>
      <c r="C9" s="4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"/>
      <c r="X9" s="1"/>
      <c r="Y9" s="1"/>
      <c r="Z9" s="1"/>
    </row>
    <row r="10" spans="1:26" ht="1.5" customHeight="1" x14ac:dyDescent="0.55000000000000004">
      <c r="A10" s="5"/>
      <c r="B10" s="5" t="s">
        <v>7</v>
      </c>
      <c r="C10" s="4"/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11</v>
      </c>
      <c r="U10" s="2">
        <v>12</v>
      </c>
      <c r="V10" s="2"/>
      <c r="W10" s="1"/>
      <c r="X10" s="1"/>
      <c r="Y10" s="1"/>
      <c r="Z10" s="1"/>
    </row>
    <row r="11" spans="1:26" ht="1.5" customHeight="1" x14ac:dyDescent="0.45">
      <c r="A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"/>
      <c r="X11" s="1"/>
      <c r="Y11" s="1"/>
      <c r="Z11" s="1"/>
    </row>
    <row r="12" spans="1:26" ht="15" customHeight="1" x14ac:dyDescent="0.45">
      <c r="A12" s="1"/>
      <c r="C12" s="76" t="s">
        <v>8</v>
      </c>
      <c r="D12" s="89" t="s">
        <v>9</v>
      </c>
      <c r="E12" s="81"/>
      <c r="F12" s="81"/>
      <c r="G12" s="81"/>
      <c r="H12" s="82"/>
      <c r="I12" s="79" t="s">
        <v>10</v>
      </c>
      <c r="J12" s="80">
        <f>$H$2</f>
        <v>2026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2"/>
      <c r="W12" s="1"/>
      <c r="X12" s="1"/>
      <c r="Y12" s="1"/>
      <c r="Z12" s="1"/>
    </row>
    <row r="13" spans="1:26" ht="14.25" customHeight="1" x14ac:dyDescent="0.45">
      <c r="A13" s="1"/>
      <c r="C13" s="77"/>
      <c r="D13" s="83"/>
      <c r="E13" s="84"/>
      <c r="F13" s="84"/>
      <c r="G13" s="84"/>
      <c r="H13" s="85"/>
      <c r="I13" s="77"/>
      <c r="J13" s="83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5"/>
      <c r="W13" s="1"/>
      <c r="X13" s="1"/>
      <c r="Y13" s="1"/>
      <c r="Z13" s="1"/>
    </row>
    <row r="14" spans="1:26" ht="14.25" customHeight="1" x14ac:dyDescent="0.45">
      <c r="A14" s="1"/>
      <c r="C14" s="78"/>
      <c r="D14" s="90"/>
      <c r="E14" s="91"/>
      <c r="F14" s="91"/>
      <c r="G14" s="91"/>
      <c r="H14" s="92"/>
      <c r="I14" s="78"/>
      <c r="J14" s="6" t="s">
        <v>11</v>
      </c>
      <c r="K14" s="6" t="s">
        <v>12</v>
      </c>
      <c r="L14" s="6" t="s">
        <v>13</v>
      </c>
      <c r="M14" s="6" t="s">
        <v>14</v>
      </c>
      <c r="N14" s="6" t="s">
        <v>15</v>
      </c>
      <c r="O14" s="6" t="s">
        <v>16</v>
      </c>
      <c r="P14" s="6" t="s">
        <v>17</v>
      </c>
      <c r="Q14" s="6" t="s">
        <v>18</v>
      </c>
      <c r="R14" s="6" t="s">
        <v>19</v>
      </c>
      <c r="S14" s="6" t="s">
        <v>20</v>
      </c>
      <c r="T14" s="6" t="s">
        <v>21</v>
      </c>
      <c r="U14" s="6" t="s">
        <v>22</v>
      </c>
      <c r="V14" s="6" t="s">
        <v>23</v>
      </c>
      <c r="W14" s="1"/>
      <c r="X14" s="1"/>
      <c r="Y14" s="1"/>
      <c r="Z14" s="1"/>
    </row>
    <row r="15" spans="1:26" ht="14.25" customHeight="1" x14ac:dyDescent="0.45">
      <c r="A15" s="1"/>
      <c r="C15" s="6">
        <v>1</v>
      </c>
      <c r="D15" s="93">
        <v>2</v>
      </c>
      <c r="E15" s="94"/>
      <c r="F15" s="94"/>
      <c r="G15" s="94"/>
      <c r="H15" s="95"/>
      <c r="I15" s="7">
        <v>3</v>
      </c>
      <c r="J15" s="86">
        <v>4</v>
      </c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8"/>
      <c r="V15" s="8">
        <v>5</v>
      </c>
      <c r="W15" s="1"/>
      <c r="X15" s="1"/>
      <c r="Y15" s="1"/>
      <c r="Z15" s="1"/>
    </row>
    <row r="16" spans="1:26" ht="14.25" customHeight="1" x14ac:dyDescent="0.45">
      <c r="A16" s="1"/>
      <c r="C16" s="9"/>
      <c r="D16" s="10"/>
      <c r="E16" s="11"/>
      <c r="F16" s="11"/>
      <c r="G16" s="11"/>
      <c r="H16" s="12"/>
      <c r="I16" s="1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"/>
      <c r="X16" s="1"/>
      <c r="Y16" s="1"/>
      <c r="Z16" s="1"/>
    </row>
    <row r="17" spans="1:26" ht="14.25" customHeight="1" x14ac:dyDescent="0.45">
      <c r="A17" s="1"/>
      <c r="C17" s="15">
        <v>1</v>
      </c>
      <c r="D17" s="96" t="s">
        <v>24</v>
      </c>
      <c r="E17" s="94"/>
      <c r="F17" s="94"/>
      <c r="G17" s="94"/>
      <c r="H17" s="95"/>
      <c r="I17" s="1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"/>
      <c r="X17" s="1"/>
      <c r="Y17" s="1"/>
      <c r="Z17" s="1"/>
    </row>
    <row r="18" spans="1:26" ht="14.25" customHeight="1" x14ac:dyDescent="0.45">
      <c r="A18" s="1"/>
      <c r="C18" s="15"/>
      <c r="D18" s="15">
        <v>1</v>
      </c>
      <c r="E18" s="96" t="s">
        <v>25</v>
      </c>
      <c r="F18" s="94"/>
      <c r="G18" s="94"/>
      <c r="H18" s="95"/>
      <c r="I18" s="1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"/>
      <c r="X18" s="1"/>
      <c r="Y18" s="1"/>
      <c r="Z18" s="1"/>
    </row>
    <row r="19" spans="1:26" ht="14.25" customHeight="1" x14ac:dyDescent="0.45">
      <c r="A19" s="1"/>
      <c r="C19" s="15"/>
      <c r="D19" s="15"/>
      <c r="E19" s="17">
        <v>1</v>
      </c>
      <c r="F19" s="96" t="s">
        <v>26</v>
      </c>
      <c r="G19" s="94"/>
      <c r="H19" s="95"/>
      <c r="I19" s="1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"/>
      <c r="X19" s="1"/>
      <c r="Y19" s="1"/>
      <c r="Z19" s="1"/>
    </row>
    <row r="20" spans="1:26" ht="14.25" customHeight="1" x14ac:dyDescent="0.45">
      <c r="A20" s="1"/>
      <c r="B20" s="1" t="s">
        <v>27</v>
      </c>
      <c r="C20" s="15"/>
      <c r="D20" s="15"/>
      <c r="E20" s="17"/>
      <c r="F20" s="17">
        <v>1</v>
      </c>
      <c r="G20" s="96" t="s">
        <v>28</v>
      </c>
      <c r="H20" s="95"/>
      <c r="I20" s="16" t="s">
        <v>29</v>
      </c>
      <c r="J20" s="18">
        <v>4</v>
      </c>
      <c r="K20" s="19">
        <v>8</v>
      </c>
      <c r="L20" s="18">
        <v>12</v>
      </c>
      <c r="M20" s="18">
        <v>10</v>
      </c>
      <c r="N20" s="20">
        <v>7</v>
      </c>
      <c r="O20" s="18"/>
      <c r="P20" s="18"/>
      <c r="Q20" s="18"/>
      <c r="R20" s="18"/>
      <c r="S20" s="18"/>
      <c r="T20" s="18"/>
      <c r="U20" s="18"/>
      <c r="V20" s="21">
        <f t="shared" ref="V20:V39" si="0">SUM(J20:U20)</f>
        <v>41</v>
      </c>
      <c r="W20" s="1"/>
      <c r="X20" s="22">
        <f t="shared" ref="X20:X21" si="1">V20+V61</f>
        <v>95</v>
      </c>
      <c r="Y20" s="1"/>
      <c r="Z20" s="1"/>
    </row>
    <row r="21" spans="1:26" ht="14.25" customHeight="1" x14ac:dyDescent="0.45">
      <c r="A21" s="1"/>
      <c r="B21" s="1" t="s">
        <v>27</v>
      </c>
      <c r="C21" s="15"/>
      <c r="D21" s="15"/>
      <c r="E21" s="23"/>
      <c r="F21" s="24"/>
      <c r="G21" s="25"/>
      <c r="H21" s="26"/>
      <c r="I21" s="16" t="s">
        <v>30</v>
      </c>
      <c r="J21" s="18">
        <v>139291</v>
      </c>
      <c r="K21" s="27">
        <v>111201</v>
      </c>
      <c r="L21" s="28">
        <v>172807</v>
      </c>
      <c r="M21" s="18">
        <v>197021</v>
      </c>
      <c r="N21" s="20">
        <v>112145</v>
      </c>
      <c r="O21" s="28"/>
      <c r="P21" s="18"/>
      <c r="Q21" s="18"/>
      <c r="R21" s="18"/>
      <c r="S21" s="28"/>
      <c r="T21" s="28"/>
      <c r="U21" s="18"/>
      <c r="V21" s="21">
        <f t="shared" si="0"/>
        <v>732465</v>
      </c>
      <c r="W21" s="1"/>
      <c r="X21" s="22">
        <f t="shared" si="1"/>
        <v>896210</v>
      </c>
      <c r="Y21" s="1"/>
      <c r="Z21" s="1"/>
    </row>
    <row r="22" spans="1:26" ht="14.25" customHeight="1" x14ac:dyDescent="0.45">
      <c r="A22" s="1"/>
      <c r="B22" s="1" t="s">
        <v>31</v>
      </c>
      <c r="C22" s="15"/>
      <c r="D22" s="15"/>
      <c r="E22" s="17"/>
      <c r="F22" s="17">
        <v>2</v>
      </c>
      <c r="G22" s="96" t="s">
        <v>32</v>
      </c>
      <c r="H22" s="95"/>
      <c r="I22" s="16" t="s">
        <v>29</v>
      </c>
      <c r="J22" s="18">
        <v>1</v>
      </c>
      <c r="K22" s="27">
        <v>4</v>
      </c>
      <c r="L22" s="27">
        <v>3</v>
      </c>
      <c r="M22" s="18">
        <v>5</v>
      </c>
      <c r="N22" s="20">
        <v>6</v>
      </c>
      <c r="O22" s="28"/>
      <c r="P22" s="18"/>
      <c r="Q22" s="18"/>
      <c r="R22" s="18"/>
      <c r="S22" s="28"/>
      <c r="T22" s="28"/>
      <c r="U22" s="18"/>
      <c r="V22" s="21">
        <f t="shared" si="0"/>
        <v>19</v>
      </c>
      <c r="W22" s="1"/>
      <c r="X22" s="22">
        <f t="shared" ref="X22:X23" si="2">V22+V63+V187</f>
        <v>317</v>
      </c>
      <c r="Y22" s="1"/>
      <c r="Z22" s="1"/>
    </row>
    <row r="23" spans="1:26" ht="14.25" customHeight="1" x14ac:dyDescent="0.45">
      <c r="A23" s="1"/>
      <c r="B23" s="1" t="s">
        <v>31</v>
      </c>
      <c r="C23" s="15"/>
      <c r="D23" s="15"/>
      <c r="E23" s="15"/>
      <c r="F23" s="24"/>
      <c r="G23" s="25"/>
      <c r="H23" s="26"/>
      <c r="I23" s="16" t="s">
        <v>30</v>
      </c>
      <c r="J23" s="18">
        <v>5072</v>
      </c>
      <c r="K23" s="27">
        <v>24819</v>
      </c>
      <c r="L23" s="27">
        <v>15090</v>
      </c>
      <c r="M23" s="18">
        <v>33124</v>
      </c>
      <c r="N23" s="20">
        <v>36145</v>
      </c>
      <c r="O23" s="28"/>
      <c r="P23" s="18"/>
      <c r="Q23" s="18"/>
      <c r="R23" s="18"/>
      <c r="S23" s="28"/>
      <c r="T23" s="28"/>
      <c r="U23" s="18"/>
      <c r="V23" s="21">
        <f t="shared" si="0"/>
        <v>114250</v>
      </c>
      <c r="W23" s="1"/>
      <c r="X23" s="22">
        <f t="shared" si="2"/>
        <v>2398184</v>
      </c>
      <c r="Y23" s="1"/>
      <c r="Z23" s="1"/>
    </row>
    <row r="24" spans="1:26" ht="14.25" customHeight="1" x14ac:dyDescent="0.45">
      <c r="A24" s="1"/>
      <c r="B24" s="1" t="s">
        <v>33</v>
      </c>
      <c r="C24" s="15"/>
      <c r="D24" s="15"/>
      <c r="E24" s="23"/>
      <c r="F24" s="17">
        <v>3</v>
      </c>
      <c r="G24" s="96" t="s">
        <v>34</v>
      </c>
      <c r="H24" s="95"/>
      <c r="I24" s="16" t="s">
        <v>29</v>
      </c>
      <c r="J24" s="29"/>
      <c r="K24" s="29"/>
      <c r="L24" s="30"/>
      <c r="M24" s="29"/>
      <c r="N24" s="31"/>
      <c r="O24" s="30"/>
      <c r="P24" s="29"/>
      <c r="Q24" s="29"/>
      <c r="R24" s="29"/>
      <c r="S24" s="30"/>
      <c r="T24" s="30"/>
      <c r="U24" s="29"/>
      <c r="V24" s="21">
        <f t="shared" si="0"/>
        <v>0</v>
      </c>
      <c r="W24" s="1"/>
      <c r="X24" s="1"/>
      <c r="Y24" s="1"/>
      <c r="Z24" s="1"/>
    </row>
    <row r="25" spans="1:26" ht="14.25" customHeight="1" x14ac:dyDescent="0.45">
      <c r="A25" s="1"/>
      <c r="B25" s="1" t="s">
        <v>33</v>
      </c>
      <c r="C25" s="15"/>
      <c r="D25" s="15"/>
      <c r="E25" s="23"/>
      <c r="F25" s="24"/>
      <c r="G25" s="25"/>
      <c r="H25" s="26"/>
      <c r="I25" s="16" t="s">
        <v>30</v>
      </c>
      <c r="J25" s="29"/>
      <c r="K25" s="29"/>
      <c r="L25" s="30"/>
      <c r="M25" s="29"/>
      <c r="N25" s="31"/>
      <c r="O25" s="30"/>
      <c r="P25" s="29"/>
      <c r="Q25" s="29"/>
      <c r="R25" s="29"/>
      <c r="S25" s="30"/>
      <c r="T25" s="30"/>
      <c r="U25" s="29"/>
      <c r="V25" s="21">
        <f t="shared" si="0"/>
        <v>0</v>
      </c>
      <c r="W25" s="1"/>
      <c r="X25" s="1"/>
      <c r="Y25" s="1"/>
      <c r="Z25" s="1"/>
    </row>
    <row r="26" spans="1:26" ht="14.25" customHeight="1" x14ac:dyDescent="0.45">
      <c r="A26" s="1"/>
      <c r="B26" s="1" t="s">
        <v>35</v>
      </c>
      <c r="C26" s="15"/>
      <c r="D26" s="15"/>
      <c r="E26" s="17"/>
      <c r="F26" s="17">
        <v>4</v>
      </c>
      <c r="G26" s="96" t="s">
        <v>36</v>
      </c>
      <c r="H26" s="95"/>
      <c r="I26" s="16" t="s">
        <v>29</v>
      </c>
      <c r="J26" s="29"/>
      <c r="K26" s="29"/>
      <c r="L26" s="30"/>
      <c r="M26" s="29"/>
      <c r="N26" s="31"/>
      <c r="O26" s="30"/>
      <c r="P26" s="29"/>
      <c r="Q26" s="29"/>
      <c r="R26" s="29"/>
      <c r="S26" s="30"/>
      <c r="T26" s="30"/>
      <c r="U26" s="29"/>
      <c r="V26" s="21">
        <f t="shared" si="0"/>
        <v>0</v>
      </c>
      <c r="W26" s="1"/>
      <c r="X26" s="1"/>
      <c r="Y26" s="1"/>
      <c r="Z26" s="1"/>
    </row>
    <row r="27" spans="1:26" ht="14.25" customHeight="1" x14ac:dyDescent="0.45">
      <c r="A27" s="1"/>
      <c r="B27" s="1" t="s">
        <v>35</v>
      </c>
      <c r="C27" s="15"/>
      <c r="D27" s="15"/>
      <c r="E27" s="15"/>
      <c r="F27" s="24"/>
      <c r="G27" s="25"/>
      <c r="H27" s="26"/>
      <c r="I27" s="16" t="s">
        <v>30</v>
      </c>
      <c r="J27" s="29"/>
      <c r="K27" s="29"/>
      <c r="L27" s="30"/>
      <c r="M27" s="29"/>
      <c r="N27" s="31"/>
      <c r="O27" s="30"/>
      <c r="P27" s="29"/>
      <c r="Q27" s="29"/>
      <c r="R27" s="29"/>
      <c r="S27" s="30"/>
      <c r="T27" s="30"/>
      <c r="U27" s="29"/>
      <c r="V27" s="21">
        <f t="shared" si="0"/>
        <v>0</v>
      </c>
      <c r="W27" s="1"/>
      <c r="X27" s="1"/>
      <c r="Y27" s="1"/>
      <c r="Z27" s="1"/>
    </row>
    <row r="28" spans="1:26" ht="14.25" customHeight="1" x14ac:dyDescent="0.45">
      <c r="A28" s="1"/>
      <c r="B28" s="1" t="s">
        <v>37</v>
      </c>
      <c r="C28" s="32"/>
      <c r="D28" s="15"/>
      <c r="E28" s="17"/>
      <c r="F28" s="17">
        <v>5</v>
      </c>
      <c r="G28" s="96" t="s">
        <v>38</v>
      </c>
      <c r="H28" s="95"/>
      <c r="I28" s="16" t="s">
        <v>29</v>
      </c>
      <c r="J28" s="18">
        <v>3</v>
      </c>
      <c r="K28" s="19">
        <v>9</v>
      </c>
      <c r="L28" s="28">
        <v>8</v>
      </c>
      <c r="M28" s="18">
        <v>9</v>
      </c>
      <c r="N28" s="20">
        <v>7</v>
      </c>
      <c r="O28" s="28"/>
      <c r="P28" s="18"/>
      <c r="Q28" s="18"/>
      <c r="R28" s="18"/>
      <c r="S28" s="28"/>
      <c r="T28" s="28"/>
      <c r="U28" s="18"/>
      <c r="V28" s="21">
        <f t="shared" si="0"/>
        <v>36</v>
      </c>
      <c r="W28" s="1"/>
      <c r="X28" s="22">
        <f t="shared" ref="X28:X29" si="3">V28+V69+V193</f>
        <v>196</v>
      </c>
      <c r="Y28" s="1"/>
      <c r="Z28" s="1"/>
    </row>
    <row r="29" spans="1:26" ht="14.25" customHeight="1" x14ac:dyDescent="0.45">
      <c r="A29" s="1"/>
      <c r="B29" s="1" t="s">
        <v>37</v>
      </c>
      <c r="C29" s="32"/>
      <c r="D29" s="15"/>
      <c r="E29" s="33"/>
      <c r="F29" s="24"/>
      <c r="G29" s="25"/>
      <c r="H29" s="26"/>
      <c r="I29" s="16" t="s">
        <v>30</v>
      </c>
      <c r="J29" s="18">
        <v>93516</v>
      </c>
      <c r="K29" s="27">
        <v>272703</v>
      </c>
      <c r="L29" s="28">
        <v>251792</v>
      </c>
      <c r="M29" s="18">
        <v>249242</v>
      </c>
      <c r="N29" s="20">
        <v>246829</v>
      </c>
      <c r="O29" s="28"/>
      <c r="P29" s="18"/>
      <c r="Q29" s="18"/>
      <c r="R29" s="18"/>
      <c r="S29" s="28"/>
      <c r="T29" s="28"/>
      <c r="U29" s="18"/>
      <c r="V29" s="21">
        <f t="shared" si="0"/>
        <v>1114082</v>
      </c>
      <c r="W29" s="1"/>
      <c r="X29" s="22">
        <f t="shared" si="3"/>
        <v>5782401</v>
      </c>
      <c r="Y29" s="1"/>
      <c r="Z29" s="1"/>
    </row>
    <row r="30" spans="1:26" ht="14.25" customHeight="1" x14ac:dyDescent="0.45">
      <c r="A30" s="1"/>
      <c r="B30" s="1" t="s">
        <v>39</v>
      </c>
      <c r="C30" s="15"/>
      <c r="D30" s="15"/>
      <c r="E30" s="17"/>
      <c r="F30" s="17">
        <v>6</v>
      </c>
      <c r="G30" s="96" t="s">
        <v>40</v>
      </c>
      <c r="H30" s="95"/>
      <c r="I30" s="16" t="s">
        <v>29</v>
      </c>
      <c r="J30" s="30"/>
      <c r="K30" s="29"/>
      <c r="L30" s="30"/>
      <c r="M30" s="34"/>
      <c r="N30" s="34"/>
      <c r="O30" s="35"/>
      <c r="P30" s="34"/>
      <c r="Q30" s="34"/>
      <c r="R30" s="29"/>
      <c r="S30" s="30"/>
      <c r="T30" s="30"/>
      <c r="U30" s="34"/>
      <c r="V30" s="21">
        <f t="shared" si="0"/>
        <v>0</v>
      </c>
      <c r="W30" s="1"/>
      <c r="X30" s="1"/>
      <c r="Y30" s="1"/>
      <c r="Z30" s="1"/>
    </row>
    <row r="31" spans="1:26" ht="14.25" customHeight="1" x14ac:dyDescent="0.45">
      <c r="A31" s="1"/>
      <c r="B31" s="1" t="s">
        <v>39</v>
      </c>
      <c r="C31" s="15"/>
      <c r="D31" s="15"/>
      <c r="E31" s="33"/>
      <c r="F31" s="24"/>
      <c r="G31" s="25"/>
      <c r="H31" s="26"/>
      <c r="I31" s="16" t="s">
        <v>30</v>
      </c>
      <c r="J31" s="30"/>
      <c r="K31" s="29"/>
      <c r="L31" s="30"/>
      <c r="M31" s="34"/>
      <c r="N31" s="34"/>
      <c r="O31" s="35"/>
      <c r="P31" s="34"/>
      <c r="Q31" s="34"/>
      <c r="R31" s="29"/>
      <c r="S31" s="30"/>
      <c r="T31" s="30"/>
      <c r="U31" s="34"/>
      <c r="V31" s="21">
        <f t="shared" si="0"/>
        <v>0</v>
      </c>
      <c r="W31" s="1"/>
      <c r="X31" s="1"/>
      <c r="Y31" s="1"/>
      <c r="Z31" s="1"/>
    </row>
    <row r="32" spans="1:26" ht="14.25" customHeight="1" x14ac:dyDescent="0.45">
      <c r="A32" s="1"/>
      <c r="B32" s="1" t="s">
        <v>41</v>
      </c>
      <c r="C32" s="15"/>
      <c r="D32" s="15"/>
      <c r="E32" s="17"/>
      <c r="F32" s="36">
        <v>7</v>
      </c>
      <c r="G32" s="97" t="s">
        <v>42</v>
      </c>
      <c r="H32" s="95"/>
      <c r="I32" s="16" t="s">
        <v>29</v>
      </c>
      <c r="J32" s="30"/>
      <c r="K32" s="29"/>
      <c r="L32" s="30"/>
      <c r="M32" s="34"/>
      <c r="N32" s="34"/>
      <c r="O32" s="35"/>
      <c r="P32" s="34"/>
      <c r="Q32" s="34"/>
      <c r="R32" s="29"/>
      <c r="S32" s="30"/>
      <c r="T32" s="30"/>
      <c r="U32" s="34"/>
      <c r="V32" s="21">
        <f t="shared" si="0"/>
        <v>0</v>
      </c>
      <c r="W32" s="1"/>
      <c r="X32" s="1"/>
      <c r="Y32" s="1"/>
      <c r="Z32" s="1"/>
    </row>
    <row r="33" spans="1:26" ht="14.25" customHeight="1" x14ac:dyDescent="0.45">
      <c r="A33" s="1"/>
      <c r="B33" s="1" t="s">
        <v>41</v>
      </c>
      <c r="C33" s="15"/>
      <c r="D33" s="15"/>
      <c r="E33" s="33"/>
      <c r="F33" s="24"/>
      <c r="G33" s="25"/>
      <c r="H33" s="26"/>
      <c r="I33" s="16" t="s">
        <v>30</v>
      </c>
      <c r="J33" s="30"/>
      <c r="K33" s="29"/>
      <c r="L33" s="30"/>
      <c r="M33" s="34"/>
      <c r="N33" s="34"/>
      <c r="O33" s="35"/>
      <c r="P33" s="34"/>
      <c r="Q33" s="34"/>
      <c r="R33" s="29"/>
      <c r="S33" s="30"/>
      <c r="T33" s="30"/>
      <c r="U33" s="34"/>
      <c r="V33" s="21">
        <f t="shared" si="0"/>
        <v>0</v>
      </c>
      <c r="W33" s="1"/>
      <c r="X33" s="1"/>
      <c r="Y33" s="1"/>
      <c r="Z33" s="1"/>
    </row>
    <row r="34" spans="1:26" ht="14.25" customHeight="1" x14ac:dyDescent="0.45">
      <c r="A34" s="1"/>
      <c r="B34" s="1" t="s">
        <v>43</v>
      </c>
      <c r="C34" s="15"/>
      <c r="D34" s="15"/>
      <c r="E34" s="17"/>
      <c r="F34" s="36">
        <v>8</v>
      </c>
      <c r="G34" s="97" t="s">
        <v>44</v>
      </c>
      <c r="H34" s="95"/>
      <c r="I34" s="16" t="s">
        <v>29</v>
      </c>
      <c r="J34" s="30"/>
      <c r="K34" s="29"/>
      <c r="L34" s="30"/>
      <c r="M34" s="34"/>
      <c r="N34" s="34"/>
      <c r="O34" s="35"/>
      <c r="P34" s="34"/>
      <c r="Q34" s="34"/>
      <c r="R34" s="29"/>
      <c r="S34" s="30"/>
      <c r="T34" s="30"/>
      <c r="U34" s="34"/>
      <c r="V34" s="21">
        <f t="shared" si="0"/>
        <v>0</v>
      </c>
      <c r="W34" s="1"/>
      <c r="X34" s="1"/>
      <c r="Y34" s="1"/>
      <c r="Z34" s="1"/>
    </row>
    <row r="35" spans="1:26" ht="14.25" customHeight="1" x14ac:dyDescent="0.45">
      <c r="A35" s="1"/>
      <c r="B35" s="1" t="s">
        <v>43</v>
      </c>
      <c r="C35" s="15"/>
      <c r="D35" s="15"/>
      <c r="E35" s="33"/>
      <c r="F35" s="24"/>
      <c r="G35" s="25"/>
      <c r="H35" s="26"/>
      <c r="I35" s="16" t="s">
        <v>30</v>
      </c>
      <c r="J35" s="30"/>
      <c r="K35" s="29"/>
      <c r="L35" s="30"/>
      <c r="M35" s="34"/>
      <c r="N35" s="34"/>
      <c r="O35" s="35"/>
      <c r="P35" s="34"/>
      <c r="Q35" s="34"/>
      <c r="R35" s="29"/>
      <c r="S35" s="30"/>
      <c r="T35" s="30"/>
      <c r="U35" s="34"/>
      <c r="V35" s="21">
        <f t="shared" si="0"/>
        <v>0</v>
      </c>
      <c r="W35" s="1"/>
      <c r="X35" s="1"/>
      <c r="Y35" s="1"/>
      <c r="Z35" s="1"/>
    </row>
    <row r="36" spans="1:26" ht="14.25" customHeight="1" x14ac:dyDescent="0.45">
      <c r="A36" s="1"/>
      <c r="B36" s="1" t="s">
        <v>45</v>
      </c>
      <c r="C36" s="15"/>
      <c r="D36" s="15"/>
      <c r="E36" s="17"/>
      <c r="F36" s="36">
        <v>9</v>
      </c>
      <c r="G36" s="97" t="s">
        <v>46</v>
      </c>
      <c r="H36" s="95"/>
      <c r="I36" s="16" t="s">
        <v>29</v>
      </c>
      <c r="J36" s="30"/>
      <c r="K36" s="29"/>
      <c r="L36" s="30"/>
      <c r="M36" s="34"/>
      <c r="N36" s="34"/>
      <c r="O36" s="35"/>
      <c r="P36" s="34"/>
      <c r="Q36" s="34"/>
      <c r="R36" s="29"/>
      <c r="S36" s="30"/>
      <c r="T36" s="30"/>
      <c r="U36" s="34"/>
      <c r="V36" s="21">
        <f t="shared" si="0"/>
        <v>0</v>
      </c>
      <c r="W36" s="1"/>
      <c r="X36" s="1"/>
      <c r="Y36" s="1"/>
      <c r="Z36" s="1"/>
    </row>
    <row r="37" spans="1:26" ht="14.25" customHeight="1" x14ac:dyDescent="0.45">
      <c r="A37" s="1"/>
      <c r="B37" s="1" t="s">
        <v>45</v>
      </c>
      <c r="C37" s="15"/>
      <c r="D37" s="15"/>
      <c r="E37" s="15"/>
      <c r="F37" s="24"/>
      <c r="G37" s="25"/>
      <c r="H37" s="26"/>
      <c r="I37" s="16" t="s">
        <v>30</v>
      </c>
      <c r="J37" s="30"/>
      <c r="K37" s="29"/>
      <c r="L37" s="30"/>
      <c r="M37" s="34"/>
      <c r="N37" s="34"/>
      <c r="O37" s="35"/>
      <c r="P37" s="34"/>
      <c r="Q37" s="34"/>
      <c r="R37" s="29"/>
      <c r="S37" s="30"/>
      <c r="T37" s="30"/>
      <c r="U37" s="34"/>
      <c r="V37" s="21">
        <f t="shared" si="0"/>
        <v>0</v>
      </c>
      <c r="W37" s="1"/>
      <c r="X37" s="1"/>
      <c r="Y37" s="1"/>
      <c r="Z37" s="1"/>
    </row>
    <row r="38" spans="1:26" ht="14.25" customHeight="1" x14ac:dyDescent="0.45">
      <c r="A38" s="1"/>
      <c r="B38" s="1" t="s">
        <v>47</v>
      </c>
      <c r="C38" s="15"/>
      <c r="D38" s="15"/>
      <c r="E38" s="17"/>
      <c r="F38" s="36">
        <v>10</v>
      </c>
      <c r="G38" s="97" t="s">
        <v>48</v>
      </c>
      <c r="H38" s="95"/>
      <c r="I38" s="16" t="s">
        <v>29</v>
      </c>
      <c r="J38" s="30"/>
      <c r="K38" s="29"/>
      <c r="L38" s="30"/>
      <c r="M38" s="34"/>
      <c r="N38" s="34"/>
      <c r="O38" s="35"/>
      <c r="P38" s="34"/>
      <c r="Q38" s="34"/>
      <c r="R38" s="29"/>
      <c r="S38" s="30"/>
      <c r="T38" s="30"/>
      <c r="U38" s="34"/>
      <c r="V38" s="21">
        <f t="shared" si="0"/>
        <v>0</v>
      </c>
      <c r="W38" s="1"/>
      <c r="X38" s="1"/>
      <c r="Y38" s="1"/>
      <c r="Z38" s="1"/>
    </row>
    <row r="39" spans="1:26" ht="14.25" customHeight="1" x14ac:dyDescent="0.45">
      <c r="A39" s="1"/>
      <c r="B39" s="1" t="s">
        <v>47</v>
      </c>
      <c r="C39" s="15"/>
      <c r="D39" s="15"/>
      <c r="E39" s="15"/>
      <c r="F39" s="24"/>
      <c r="G39" s="37"/>
      <c r="H39" s="38"/>
      <c r="I39" s="16" t="s">
        <v>30</v>
      </c>
      <c r="J39" s="30"/>
      <c r="K39" s="29"/>
      <c r="L39" s="30"/>
      <c r="M39" s="34"/>
      <c r="N39" s="34"/>
      <c r="O39" s="35"/>
      <c r="P39" s="34"/>
      <c r="Q39" s="34"/>
      <c r="R39" s="29"/>
      <c r="S39" s="30"/>
      <c r="T39" s="30"/>
      <c r="U39" s="34"/>
      <c r="V39" s="21">
        <f t="shared" si="0"/>
        <v>0</v>
      </c>
      <c r="W39" s="1"/>
      <c r="X39" s="1"/>
      <c r="Y39" s="1"/>
      <c r="Z39" s="1"/>
    </row>
    <row r="40" spans="1:26" ht="14.25" customHeight="1" x14ac:dyDescent="0.45">
      <c r="A40" s="1"/>
      <c r="C40" s="15"/>
      <c r="D40" s="15"/>
      <c r="E40" s="16"/>
      <c r="F40" s="39"/>
      <c r="G40" s="37"/>
      <c r="H40" s="38"/>
      <c r="I40" s="16"/>
      <c r="J40" s="40"/>
      <c r="K40" s="14"/>
      <c r="L40" s="40"/>
      <c r="M40" s="14"/>
      <c r="N40" s="14"/>
      <c r="O40" s="40"/>
      <c r="P40" s="14"/>
      <c r="Q40" s="14"/>
      <c r="R40" s="14"/>
      <c r="S40" s="40"/>
      <c r="T40" s="40"/>
      <c r="U40" s="14"/>
      <c r="V40" s="14"/>
      <c r="W40" s="1"/>
      <c r="X40" s="1"/>
      <c r="Y40" s="1"/>
      <c r="Z40" s="1"/>
    </row>
    <row r="41" spans="1:26" ht="14.25" customHeight="1" x14ac:dyDescent="0.45">
      <c r="A41" s="1"/>
      <c r="C41" s="15"/>
      <c r="D41" s="15"/>
      <c r="E41" s="15">
        <v>2</v>
      </c>
      <c r="F41" s="98" t="s">
        <v>49</v>
      </c>
      <c r="G41" s="94"/>
      <c r="H41" s="95"/>
      <c r="I41" s="16"/>
      <c r="J41" s="40"/>
      <c r="K41" s="14"/>
      <c r="L41" s="40"/>
      <c r="M41" s="14"/>
      <c r="N41" s="14"/>
      <c r="O41" s="40"/>
      <c r="P41" s="14"/>
      <c r="Q41" s="14"/>
      <c r="R41" s="14"/>
      <c r="S41" s="40"/>
      <c r="T41" s="40"/>
      <c r="U41" s="14"/>
      <c r="V41" s="14"/>
      <c r="W41" s="1"/>
      <c r="X41" s="1"/>
      <c r="Y41" s="1"/>
      <c r="Z41" s="1"/>
    </row>
    <row r="42" spans="1:26" ht="14.25" customHeight="1" x14ac:dyDescent="0.45">
      <c r="A42" s="1"/>
      <c r="B42" s="1" t="s">
        <v>50</v>
      </c>
      <c r="C42" s="15"/>
      <c r="D42" s="15"/>
      <c r="E42" s="17"/>
      <c r="F42" s="17">
        <v>1</v>
      </c>
      <c r="G42" s="96" t="s">
        <v>28</v>
      </c>
      <c r="H42" s="95"/>
      <c r="I42" s="16" t="s">
        <v>29</v>
      </c>
      <c r="J42" s="29"/>
      <c r="K42" s="29"/>
      <c r="L42" s="30"/>
      <c r="M42" s="19"/>
      <c r="N42" s="29"/>
      <c r="O42" s="41"/>
      <c r="P42" s="29"/>
      <c r="Q42" s="19"/>
      <c r="R42" s="19"/>
      <c r="S42" s="30"/>
      <c r="T42" s="27"/>
      <c r="U42" s="29"/>
      <c r="V42" s="21">
        <f t="shared" ref="V42:V59" si="4">SUM(J42:U42)</f>
        <v>0</v>
      </c>
      <c r="W42" s="1"/>
      <c r="X42" s="1"/>
      <c r="Y42" s="1"/>
      <c r="Z42" s="1"/>
    </row>
    <row r="43" spans="1:26" ht="14.25" customHeight="1" x14ac:dyDescent="0.45">
      <c r="A43" s="1"/>
      <c r="B43" s="1" t="s">
        <v>50</v>
      </c>
      <c r="C43" s="15"/>
      <c r="D43" s="15"/>
      <c r="E43" s="15"/>
      <c r="F43" s="24"/>
      <c r="G43" s="25"/>
      <c r="H43" s="26"/>
      <c r="I43" s="16" t="s">
        <v>30</v>
      </c>
      <c r="J43" s="29"/>
      <c r="K43" s="30"/>
      <c r="L43" s="30"/>
      <c r="M43" s="27"/>
      <c r="N43" s="29"/>
      <c r="O43" s="41"/>
      <c r="P43" s="29"/>
      <c r="Q43" s="19"/>
      <c r="R43" s="19"/>
      <c r="S43" s="30"/>
      <c r="T43" s="27"/>
      <c r="U43" s="29"/>
      <c r="V43" s="21">
        <f t="shared" si="4"/>
        <v>0</v>
      </c>
      <c r="W43" s="1"/>
      <c r="X43" s="1"/>
      <c r="Y43" s="1"/>
      <c r="Z43" s="1"/>
    </row>
    <row r="44" spans="1:26" ht="14.25" customHeight="1" x14ac:dyDescent="0.45">
      <c r="A44" s="1"/>
      <c r="B44" s="1" t="s">
        <v>51</v>
      </c>
      <c r="C44" s="15"/>
      <c r="D44" s="15"/>
      <c r="E44" s="17"/>
      <c r="F44" s="17">
        <v>2</v>
      </c>
      <c r="G44" s="96" t="s">
        <v>32</v>
      </c>
      <c r="H44" s="95"/>
      <c r="I44" s="16" t="s">
        <v>29</v>
      </c>
      <c r="J44" s="30"/>
      <c r="K44" s="29"/>
      <c r="L44" s="30"/>
      <c r="M44" s="29"/>
      <c r="N44" s="29"/>
      <c r="O44" s="35"/>
      <c r="P44" s="29"/>
      <c r="Q44" s="29"/>
      <c r="R44" s="29"/>
      <c r="S44" s="30"/>
      <c r="T44" s="30"/>
      <c r="U44" s="29"/>
      <c r="V44" s="21">
        <f t="shared" si="4"/>
        <v>0</v>
      </c>
      <c r="W44" s="1"/>
      <c r="X44" s="1"/>
      <c r="Y44" s="1"/>
      <c r="Z44" s="1"/>
    </row>
    <row r="45" spans="1:26" ht="14.25" customHeight="1" x14ac:dyDescent="0.45">
      <c r="A45" s="1"/>
      <c r="B45" s="1" t="s">
        <v>51</v>
      </c>
      <c r="C45" s="15"/>
      <c r="D45" s="15"/>
      <c r="E45" s="15"/>
      <c r="F45" s="24"/>
      <c r="G45" s="25"/>
      <c r="H45" s="26"/>
      <c r="I45" s="16" t="s">
        <v>30</v>
      </c>
      <c r="J45" s="30"/>
      <c r="K45" s="29"/>
      <c r="L45" s="30"/>
      <c r="M45" s="29"/>
      <c r="N45" s="29"/>
      <c r="O45" s="35"/>
      <c r="P45" s="29"/>
      <c r="Q45" s="29"/>
      <c r="R45" s="29"/>
      <c r="S45" s="30"/>
      <c r="T45" s="30"/>
      <c r="U45" s="29"/>
      <c r="V45" s="21">
        <f t="shared" si="4"/>
        <v>0</v>
      </c>
      <c r="W45" s="1"/>
      <c r="X45" s="1"/>
      <c r="Y45" s="1"/>
      <c r="Z45" s="1"/>
    </row>
    <row r="46" spans="1:26" ht="14.25" customHeight="1" x14ac:dyDescent="0.45">
      <c r="A46" s="1"/>
      <c r="B46" s="1" t="s">
        <v>52</v>
      </c>
      <c r="C46" s="15"/>
      <c r="D46" s="15"/>
      <c r="E46" s="23"/>
      <c r="F46" s="17">
        <v>3</v>
      </c>
      <c r="G46" s="96" t="s">
        <v>34</v>
      </c>
      <c r="H46" s="95"/>
      <c r="I46" s="16" t="s">
        <v>29</v>
      </c>
      <c r="J46" s="30"/>
      <c r="K46" s="29"/>
      <c r="L46" s="30"/>
      <c r="M46" s="29"/>
      <c r="N46" s="29"/>
      <c r="O46" s="35"/>
      <c r="P46" s="29"/>
      <c r="Q46" s="29"/>
      <c r="R46" s="29"/>
      <c r="S46" s="30"/>
      <c r="T46" s="30"/>
      <c r="U46" s="29"/>
      <c r="V46" s="21">
        <f t="shared" si="4"/>
        <v>0</v>
      </c>
      <c r="W46" s="1"/>
      <c r="X46" s="1"/>
      <c r="Y46" s="1"/>
      <c r="Z46" s="1"/>
    </row>
    <row r="47" spans="1:26" ht="14.25" customHeight="1" x14ac:dyDescent="0.45">
      <c r="A47" s="1"/>
      <c r="B47" s="1" t="s">
        <v>52</v>
      </c>
      <c r="C47" s="15"/>
      <c r="D47" s="15"/>
      <c r="E47" s="23"/>
      <c r="F47" s="24"/>
      <c r="G47" s="25"/>
      <c r="H47" s="26"/>
      <c r="I47" s="16" t="s">
        <v>30</v>
      </c>
      <c r="J47" s="30"/>
      <c r="K47" s="29"/>
      <c r="L47" s="30"/>
      <c r="M47" s="29"/>
      <c r="N47" s="29"/>
      <c r="O47" s="35"/>
      <c r="P47" s="29"/>
      <c r="Q47" s="29"/>
      <c r="R47" s="29"/>
      <c r="S47" s="30"/>
      <c r="T47" s="30"/>
      <c r="U47" s="29"/>
      <c r="V47" s="21">
        <f t="shared" si="4"/>
        <v>0</v>
      </c>
      <c r="W47" s="1"/>
      <c r="X47" s="1"/>
      <c r="Y47" s="1"/>
      <c r="Z47" s="1"/>
    </row>
    <row r="48" spans="1:26" ht="14.25" customHeight="1" x14ac:dyDescent="0.45">
      <c r="A48" s="1"/>
      <c r="B48" s="1" t="s">
        <v>53</v>
      </c>
      <c r="C48" s="15"/>
      <c r="D48" s="15"/>
      <c r="E48" s="17"/>
      <c r="F48" s="17">
        <v>4</v>
      </c>
      <c r="G48" s="96" t="s">
        <v>36</v>
      </c>
      <c r="H48" s="95"/>
      <c r="I48" s="16" t="s">
        <v>29</v>
      </c>
      <c r="J48" s="30"/>
      <c r="K48" s="29"/>
      <c r="L48" s="30"/>
      <c r="M48" s="29"/>
      <c r="N48" s="29"/>
      <c r="O48" s="35"/>
      <c r="P48" s="29"/>
      <c r="Q48" s="29"/>
      <c r="R48" s="29"/>
      <c r="S48" s="30"/>
      <c r="T48" s="30"/>
      <c r="U48" s="29"/>
      <c r="V48" s="21">
        <f t="shared" si="4"/>
        <v>0</v>
      </c>
      <c r="W48" s="1"/>
      <c r="X48" s="1"/>
      <c r="Y48" s="1"/>
      <c r="Z48" s="1"/>
    </row>
    <row r="49" spans="1:26" ht="14.25" customHeight="1" x14ac:dyDescent="0.45">
      <c r="A49" s="1"/>
      <c r="B49" s="1" t="s">
        <v>53</v>
      </c>
      <c r="C49" s="15"/>
      <c r="D49" s="15"/>
      <c r="E49" s="15"/>
      <c r="F49" s="24"/>
      <c r="G49" s="25"/>
      <c r="H49" s="26"/>
      <c r="I49" s="16" t="s">
        <v>30</v>
      </c>
      <c r="J49" s="30"/>
      <c r="K49" s="29"/>
      <c r="L49" s="30"/>
      <c r="M49" s="29"/>
      <c r="N49" s="29"/>
      <c r="O49" s="35"/>
      <c r="P49" s="29"/>
      <c r="Q49" s="29"/>
      <c r="R49" s="29"/>
      <c r="S49" s="30"/>
      <c r="T49" s="30"/>
      <c r="U49" s="29"/>
      <c r="V49" s="21">
        <f t="shared" si="4"/>
        <v>0</v>
      </c>
      <c r="W49" s="1"/>
      <c r="X49" s="1"/>
      <c r="Y49" s="1"/>
      <c r="Z49" s="1"/>
    </row>
    <row r="50" spans="1:26" ht="14.25" customHeight="1" x14ac:dyDescent="0.45">
      <c r="A50" s="1"/>
      <c r="B50" s="1" t="s">
        <v>54</v>
      </c>
      <c r="C50" s="15"/>
      <c r="D50" s="15"/>
      <c r="E50" s="17"/>
      <c r="F50" s="17">
        <v>5</v>
      </c>
      <c r="G50" s="96" t="s">
        <v>38</v>
      </c>
      <c r="H50" s="95"/>
      <c r="I50" s="16" t="s">
        <v>29</v>
      </c>
      <c r="J50" s="30"/>
      <c r="K50" s="29"/>
      <c r="L50" s="30"/>
      <c r="M50" s="29"/>
      <c r="N50" s="29"/>
      <c r="O50" s="35"/>
      <c r="P50" s="19"/>
      <c r="Q50" s="29"/>
      <c r="R50" s="29"/>
      <c r="S50" s="30"/>
      <c r="T50" s="30"/>
      <c r="U50" s="29"/>
      <c r="V50" s="21">
        <f t="shared" si="4"/>
        <v>0</v>
      </c>
      <c r="W50" s="1"/>
      <c r="X50" s="1"/>
      <c r="Y50" s="1"/>
      <c r="Z50" s="1"/>
    </row>
    <row r="51" spans="1:26" ht="14.25" customHeight="1" x14ac:dyDescent="0.45">
      <c r="A51" s="1"/>
      <c r="B51" s="1" t="s">
        <v>54</v>
      </c>
      <c r="C51" s="15"/>
      <c r="D51" s="15"/>
      <c r="E51" s="15"/>
      <c r="F51" s="24"/>
      <c r="G51" s="25"/>
      <c r="H51" s="26"/>
      <c r="I51" s="16" t="s">
        <v>30</v>
      </c>
      <c r="J51" s="30"/>
      <c r="K51" s="29"/>
      <c r="L51" s="30"/>
      <c r="M51" s="29"/>
      <c r="N51" s="29"/>
      <c r="O51" s="35"/>
      <c r="P51" s="19"/>
      <c r="Q51" s="29"/>
      <c r="R51" s="29"/>
      <c r="S51" s="30"/>
      <c r="T51" s="30"/>
      <c r="U51" s="29"/>
      <c r="V51" s="21">
        <f t="shared" si="4"/>
        <v>0</v>
      </c>
      <c r="W51" s="1"/>
      <c r="X51" s="1"/>
      <c r="Y51" s="1"/>
      <c r="Z51" s="1"/>
    </row>
    <row r="52" spans="1:26" ht="14.25" customHeight="1" x14ac:dyDescent="0.45">
      <c r="A52" s="1"/>
      <c r="B52" s="1" t="s">
        <v>55</v>
      </c>
      <c r="C52" s="15"/>
      <c r="D52" s="15"/>
      <c r="E52" s="23"/>
      <c r="F52" s="17">
        <v>6</v>
      </c>
      <c r="G52" s="96" t="s">
        <v>40</v>
      </c>
      <c r="H52" s="95"/>
      <c r="I52" s="16" t="s">
        <v>29</v>
      </c>
      <c r="J52" s="30"/>
      <c r="K52" s="29"/>
      <c r="L52" s="30"/>
      <c r="M52" s="29"/>
      <c r="N52" s="29"/>
      <c r="O52" s="35"/>
      <c r="P52" s="29"/>
      <c r="Q52" s="29"/>
      <c r="R52" s="29"/>
      <c r="S52" s="30"/>
      <c r="T52" s="30"/>
      <c r="U52" s="29"/>
      <c r="V52" s="21">
        <f t="shared" si="4"/>
        <v>0</v>
      </c>
      <c r="W52" s="1"/>
      <c r="X52" s="1"/>
      <c r="Y52" s="1"/>
      <c r="Z52" s="1"/>
    </row>
    <row r="53" spans="1:26" ht="14.25" customHeight="1" x14ac:dyDescent="0.45">
      <c r="A53" s="1"/>
      <c r="B53" s="1" t="s">
        <v>55</v>
      </c>
      <c r="C53" s="15"/>
      <c r="D53" s="15"/>
      <c r="E53" s="23"/>
      <c r="F53" s="24"/>
      <c r="G53" s="42"/>
      <c r="H53" s="43"/>
      <c r="I53" s="16" t="s">
        <v>30</v>
      </c>
      <c r="J53" s="30"/>
      <c r="K53" s="29"/>
      <c r="L53" s="30"/>
      <c r="M53" s="29"/>
      <c r="N53" s="29"/>
      <c r="O53" s="35"/>
      <c r="P53" s="29"/>
      <c r="Q53" s="29"/>
      <c r="R53" s="29"/>
      <c r="S53" s="30"/>
      <c r="T53" s="30"/>
      <c r="U53" s="29"/>
      <c r="V53" s="21">
        <f t="shared" si="4"/>
        <v>0</v>
      </c>
      <c r="W53" s="1"/>
      <c r="X53" s="1"/>
      <c r="Y53" s="1"/>
      <c r="Z53" s="1"/>
    </row>
    <row r="54" spans="1:26" ht="14.25" customHeight="1" x14ac:dyDescent="0.45">
      <c r="A54" s="1"/>
      <c r="B54" s="1" t="s">
        <v>56</v>
      </c>
      <c r="C54" s="32"/>
      <c r="D54" s="15"/>
      <c r="E54" s="16"/>
      <c r="F54" s="17">
        <v>7</v>
      </c>
      <c r="G54" s="96" t="s">
        <v>57</v>
      </c>
      <c r="H54" s="95"/>
      <c r="I54" s="16" t="s">
        <v>29</v>
      </c>
      <c r="J54" s="30"/>
      <c r="K54" s="29"/>
      <c r="L54" s="30"/>
      <c r="M54" s="29"/>
      <c r="N54" s="29"/>
      <c r="O54" s="35"/>
      <c r="P54" s="29"/>
      <c r="Q54" s="29"/>
      <c r="R54" s="29"/>
      <c r="S54" s="30"/>
      <c r="T54" s="30"/>
      <c r="U54" s="29"/>
      <c r="V54" s="21">
        <f t="shared" si="4"/>
        <v>0</v>
      </c>
      <c r="W54" s="1"/>
      <c r="X54" s="1"/>
      <c r="Y54" s="1"/>
      <c r="Z54" s="1"/>
    </row>
    <row r="55" spans="1:26" ht="14.25" customHeight="1" x14ac:dyDescent="0.45">
      <c r="A55" s="1"/>
      <c r="B55" s="1" t="s">
        <v>56</v>
      </c>
      <c r="C55" s="32"/>
      <c r="D55" s="15"/>
      <c r="E55" s="16"/>
      <c r="F55" s="24"/>
      <c r="G55" s="42"/>
      <c r="H55" s="43"/>
      <c r="I55" s="16" t="s">
        <v>30</v>
      </c>
      <c r="J55" s="30"/>
      <c r="K55" s="29"/>
      <c r="L55" s="30"/>
      <c r="M55" s="29"/>
      <c r="N55" s="29"/>
      <c r="O55" s="35"/>
      <c r="P55" s="29"/>
      <c r="Q55" s="29"/>
      <c r="R55" s="29"/>
      <c r="S55" s="30"/>
      <c r="T55" s="30"/>
      <c r="U55" s="29"/>
      <c r="V55" s="21">
        <f t="shared" si="4"/>
        <v>0</v>
      </c>
      <c r="W55" s="1"/>
      <c r="X55" s="1"/>
      <c r="Y55" s="1"/>
      <c r="Z55" s="1"/>
    </row>
    <row r="56" spans="1:26" ht="14.25" customHeight="1" x14ac:dyDescent="0.45">
      <c r="A56" s="1"/>
      <c r="B56" s="1" t="s">
        <v>58</v>
      </c>
      <c r="C56" s="32"/>
      <c r="D56" s="15"/>
      <c r="E56" s="16"/>
      <c r="F56" s="33">
        <v>8</v>
      </c>
      <c r="G56" s="96" t="s">
        <v>59</v>
      </c>
      <c r="H56" s="95"/>
      <c r="I56" s="16" t="s">
        <v>29</v>
      </c>
      <c r="J56" s="30"/>
      <c r="K56" s="29"/>
      <c r="L56" s="27">
        <v>2</v>
      </c>
      <c r="M56" s="29"/>
      <c r="N56" s="29"/>
      <c r="O56" s="35"/>
      <c r="P56" s="29"/>
      <c r="Q56" s="29"/>
      <c r="R56" s="29"/>
      <c r="S56" s="30"/>
      <c r="T56" s="30"/>
      <c r="U56" s="29"/>
      <c r="V56" s="21">
        <f t="shared" si="4"/>
        <v>2</v>
      </c>
      <c r="W56" s="1"/>
      <c r="X56" s="1"/>
      <c r="Y56" s="1"/>
      <c r="Z56" s="1"/>
    </row>
    <row r="57" spans="1:26" ht="14.25" customHeight="1" x14ac:dyDescent="0.45">
      <c r="A57" s="1"/>
      <c r="B57" s="1" t="s">
        <v>58</v>
      </c>
      <c r="C57" s="32"/>
      <c r="D57" s="15"/>
      <c r="E57" s="16"/>
      <c r="F57" s="39"/>
      <c r="G57" s="99" t="s">
        <v>60</v>
      </c>
      <c r="H57" s="95"/>
      <c r="I57" s="16" t="s">
        <v>30</v>
      </c>
      <c r="J57" s="30"/>
      <c r="K57" s="29"/>
      <c r="L57" s="27">
        <v>4153</v>
      </c>
      <c r="M57" s="29"/>
      <c r="N57" s="29"/>
      <c r="O57" s="35"/>
      <c r="P57" s="29"/>
      <c r="Q57" s="29"/>
      <c r="R57" s="29"/>
      <c r="S57" s="30"/>
      <c r="T57" s="30"/>
      <c r="U57" s="29"/>
      <c r="V57" s="21">
        <f t="shared" si="4"/>
        <v>4153</v>
      </c>
      <c r="W57" s="1"/>
      <c r="X57" s="1"/>
      <c r="Y57" s="1"/>
      <c r="Z57" s="1"/>
    </row>
    <row r="58" spans="1:26" ht="14.25" customHeight="1" x14ac:dyDescent="0.45">
      <c r="A58" s="1"/>
      <c r="C58" s="32"/>
      <c r="D58" s="15"/>
      <c r="E58" s="96"/>
      <c r="F58" s="94"/>
      <c r="G58" s="94"/>
      <c r="H58" s="95"/>
      <c r="I58" s="16"/>
      <c r="J58" s="40">
        <f t="shared" ref="J58:K58" si="5">J20+J22+J28</f>
        <v>8</v>
      </c>
      <c r="K58" s="40">
        <f t="shared" si="5"/>
        <v>21</v>
      </c>
      <c r="L58" s="40">
        <f t="shared" ref="L58:N58" si="6">L20+L22+L28+L56</f>
        <v>25</v>
      </c>
      <c r="M58" s="40">
        <f t="shared" si="6"/>
        <v>24</v>
      </c>
      <c r="N58" s="40">
        <f t="shared" si="6"/>
        <v>20</v>
      </c>
      <c r="O58" s="40"/>
      <c r="P58" s="40"/>
      <c r="Q58" s="40"/>
      <c r="R58" s="40"/>
      <c r="S58" s="40"/>
      <c r="T58" s="40">
        <f t="shared" ref="T58:U58" si="7">T20+T22+T28</f>
        <v>0</v>
      </c>
      <c r="U58" s="40">
        <f t="shared" si="7"/>
        <v>0</v>
      </c>
      <c r="V58" s="21">
        <f t="shared" si="4"/>
        <v>98</v>
      </c>
      <c r="W58" s="1"/>
      <c r="X58" s="1"/>
      <c r="Y58" s="1"/>
      <c r="Z58" s="1"/>
    </row>
    <row r="59" spans="1:26" ht="14.25" customHeight="1" x14ac:dyDescent="0.45">
      <c r="A59" s="1"/>
      <c r="C59" s="15"/>
      <c r="D59" s="15">
        <v>2</v>
      </c>
      <c r="E59" s="96" t="s">
        <v>61</v>
      </c>
      <c r="F59" s="94"/>
      <c r="G59" s="94"/>
      <c r="H59" s="95"/>
      <c r="I59" s="13"/>
      <c r="J59" s="40">
        <f t="shared" ref="J59:K59" si="8">J21+J23+J29</f>
        <v>237879</v>
      </c>
      <c r="K59" s="40">
        <f t="shared" si="8"/>
        <v>408723</v>
      </c>
      <c r="L59" s="40">
        <f t="shared" ref="L59:N59" si="9">L21+L23+L29+L57</f>
        <v>443842</v>
      </c>
      <c r="M59" s="40">
        <f t="shared" si="9"/>
        <v>479387</v>
      </c>
      <c r="N59" s="40">
        <f t="shared" si="9"/>
        <v>395119</v>
      </c>
      <c r="O59" s="40"/>
      <c r="P59" s="40"/>
      <c r="Q59" s="40"/>
      <c r="R59" s="40"/>
      <c r="S59" s="40"/>
      <c r="T59" s="40">
        <f t="shared" ref="T59:U59" si="10">T21+T23+T29</f>
        <v>0</v>
      </c>
      <c r="U59" s="40">
        <f t="shared" si="10"/>
        <v>0</v>
      </c>
      <c r="V59" s="21">
        <f t="shared" si="4"/>
        <v>1964950</v>
      </c>
      <c r="W59" s="1"/>
      <c r="X59" s="1"/>
      <c r="Y59" s="1"/>
      <c r="Z59" s="1"/>
    </row>
    <row r="60" spans="1:26" ht="15.75" customHeight="1" x14ac:dyDescent="0.45">
      <c r="A60" s="1"/>
      <c r="C60" s="15"/>
      <c r="D60" s="15"/>
      <c r="E60" s="17">
        <v>1</v>
      </c>
      <c r="F60" s="96" t="s">
        <v>26</v>
      </c>
      <c r="G60" s="94"/>
      <c r="H60" s="95"/>
      <c r="I60" s="13"/>
      <c r="J60" s="40"/>
      <c r="K60" s="14"/>
      <c r="L60" s="14"/>
      <c r="M60" s="14"/>
      <c r="N60" s="14"/>
      <c r="O60" s="40"/>
      <c r="P60" s="14"/>
      <c r="Q60" s="14"/>
      <c r="R60" s="14"/>
      <c r="S60" s="40"/>
      <c r="T60" s="40"/>
      <c r="U60" s="14"/>
      <c r="V60" s="14"/>
      <c r="W60" s="1"/>
      <c r="X60" s="1"/>
      <c r="Y60" s="1"/>
      <c r="Z60" s="1"/>
    </row>
    <row r="61" spans="1:26" ht="14.25" customHeight="1" x14ac:dyDescent="0.45">
      <c r="A61" s="1"/>
      <c r="B61" s="1" t="s">
        <v>62</v>
      </c>
      <c r="C61" s="44"/>
      <c r="D61" s="44"/>
      <c r="E61" s="17"/>
      <c r="F61" s="17">
        <v>1</v>
      </c>
      <c r="G61" s="96" t="s">
        <v>28</v>
      </c>
      <c r="H61" s="95"/>
      <c r="I61" s="16" t="s">
        <v>29</v>
      </c>
      <c r="J61" s="19">
        <v>6</v>
      </c>
      <c r="K61" s="19">
        <v>14</v>
      </c>
      <c r="L61" s="27">
        <v>7</v>
      </c>
      <c r="M61" s="19">
        <v>10</v>
      </c>
      <c r="N61" s="20">
        <v>17</v>
      </c>
      <c r="O61" s="27"/>
      <c r="P61" s="19"/>
      <c r="Q61" s="19"/>
      <c r="R61" s="19"/>
      <c r="S61" s="27"/>
      <c r="T61" s="27"/>
      <c r="U61" s="19"/>
      <c r="V61" s="21">
        <f t="shared" ref="V61:V78" si="11">SUM(J61:U61)</f>
        <v>54</v>
      </c>
      <c r="W61" s="1"/>
      <c r="X61" s="1"/>
      <c r="Y61" s="1"/>
      <c r="Z61" s="1"/>
    </row>
    <row r="62" spans="1:26" ht="14.25" customHeight="1" x14ac:dyDescent="0.45">
      <c r="A62" s="1"/>
      <c r="B62" s="1" t="s">
        <v>62</v>
      </c>
      <c r="C62" s="44"/>
      <c r="D62" s="44"/>
      <c r="E62" s="23"/>
      <c r="F62" s="24"/>
      <c r="G62" s="25"/>
      <c r="H62" s="26"/>
      <c r="I62" s="16" t="s">
        <v>30</v>
      </c>
      <c r="J62" s="19">
        <v>16919</v>
      </c>
      <c r="K62" s="27">
        <v>34602</v>
      </c>
      <c r="L62" s="27">
        <v>25305</v>
      </c>
      <c r="M62" s="27">
        <v>35601</v>
      </c>
      <c r="N62" s="20">
        <v>51318</v>
      </c>
      <c r="O62" s="27"/>
      <c r="P62" s="19"/>
      <c r="Q62" s="19"/>
      <c r="R62" s="19"/>
      <c r="S62" s="27"/>
      <c r="T62" s="27"/>
      <c r="U62" s="19"/>
      <c r="V62" s="21">
        <f t="shared" si="11"/>
        <v>163745</v>
      </c>
      <c r="W62" s="1"/>
      <c r="X62" s="1"/>
      <c r="Y62" s="1"/>
      <c r="Z62" s="1"/>
    </row>
    <row r="63" spans="1:26" ht="14.25" customHeight="1" x14ac:dyDescent="0.45">
      <c r="A63" s="1"/>
      <c r="B63" s="1" t="s">
        <v>63</v>
      </c>
      <c r="C63" s="44"/>
      <c r="D63" s="44"/>
      <c r="E63" s="17"/>
      <c r="F63" s="17">
        <v>2</v>
      </c>
      <c r="G63" s="96" t="s">
        <v>32</v>
      </c>
      <c r="H63" s="95"/>
      <c r="I63" s="16" t="s">
        <v>29</v>
      </c>
      <c r="J63" s="19">
        <v>7</v>
      </c>
      <c r="K63" s="27">
        <v>7</v>
      </c>
      <c r="L63" s="27">
        <v>9</v>
      </c>
      <c r="M63" s="27">
        <v>6</v>
      </c>
      <c r="N63" s="20">
        <v>7</v>
      </c>
      <c r="O63" s="27"/>
      <c r="P63" s="19"/>
      <c r="Q63" s="19"/>
      <c r="R63" s="19"/>
      <c r="S63" s="27"/>
      <c r="T63" s="45"/>
      <c r="U63" s="19"/>
      <c r="V63" s="21">
        <f t="shared" si="11"/>
        <v>36</v>
      </c>
      <c r="W63" s="1"/>
      <c r="X63" s="1"/>
      <c r="Y63" s="1"/>
      <c r="Z63" s="1"/>
    </row>
    <row r="64" spans="1:26" ht="14.25" customHeight="1" x14ac:dyDescent="0.45">
      <c r="A64" s="1"/>
      <c r="B64" s="1" t="s">
        <v>63</v>
      </c>
      <c r="C64" s="44"/>
      <c r="D64" s="44"/>
      <c r="E64" s="15"/>
      <c r="F64" s="24"/>
      <c r="G64" s="25"/>
      <c r="H64" s="26"/>
      <c r="I64" s="16" t="s">
        <v>30</v>
      </c>
      <c r="J64" s="19">
        <v>31895</v>
      </c>
      <c r="K64" s="27">
        <v>25279</v>
      </c>
      <c r="L64" s="27">
        <v>26872</v>
      </c>
      <c r="M64" s="27">
        <v>21523</v>
      </c>
      <c r="N64" s="20">
        <v>25717</v>
      </c>
      <c r="O64" s="27"/>
      <c r="P64" s="19"/>
      <c r="Q64" s="19"/>
      <c r="R64" s="19"/>
      <c r="S64" s="27"/>
      <c r="T64" s="45"/>
      <c r="U64" s="19"/>
      <c r="V64" s="21">
        <f t="shared" si="11"/>
        <v>131286</v>
      </c>
      <c r="W64" s="1"/>
      <c r="X64" s="1"/>
      <c r="Y64" s="1"/>
      <c r="Z64" s="1"/>
    </row>
    <row r="65" spans="1:26" ht="14.25" customHeight="1" x14ac:dyDescent="0.45">
      <c r="A65" s="1"/>
      <c r="B65" s="1" t="s">
        <v>64</v>
      </c>
      <c r="C65" s="44"/>
      <c r="D65" s="44"/>
      <c r="E65" s="23"/>
      <c r="F65" s="17">
        <v>3</v>
      </c>
      <c r="G65" s="96" t="s">
        <v>34</v>
      </c>
      <c r="H65" s="95"/>
      <c r="I65" s="16" t="s">
        <v>29</v>
      </c>
      <c r="J65" s="29"/>
      <c r="K65" s="29"/>
      <c r="L65" s="27">
        <v>0</v>
      </c>
      <c r="M65" s="27">
        <v>0</v>
      </c>
      <c r="N65" s="20">
        <v>0</v>
      </c>
      <c r="O65" s="30"/>
      <c r="P65" s="29"/>
      <c r="Q65" s="29"/>
      <c r="R65" s="29"/>
      <c r="S65" s="30"/>
      <c r="T65" s="46"/>
      <c r="U65" s="29"/>
      <c r="V65" s="21">
        <f t="shared" si="11"/>
        <v>0</v>
      </c>
      <c r="W65" s="1"/>
      <c r="X65" s="1"/>
      <c r="Y65" s="1"/>
      <c r="Z65" s="1"/>
    </row>
    <row r="66" spans="1:26" ht="14.25" customHeight="1" x14ac:dyDescent="0.45">
      <c r="A66" s="1"/>
      <c r="B66" s="1" t="s">
        <v>64</v>
      </c>
      <c r="C66" s="44"/>
      <c r="D66" s="44"/>
      <c r="E66" s="23"/>
      <c r="F66" s="24"/>
      <c r="G66" s="25"/>
      <c r="H66" s="26"/>
      <c r="I66" s="16" t="s">
        <v>30</v>
      </c>
      <c r="J66" s="29"/>
      <c r="K66" s="29"/>
      <c r="L66" s="27">
        <v>0</v>
      </c>
      <c r="M66" s="27">
        <v>0</v>
      </c>
      <c r="N66" s="20">
        <v>0</v>
      </c>
      <c r="O66" s="30"/>
      <c r="P66" s="29"/>
      <c r="Q66" s="29"/>
      <c r="R66" s="29"/>
      <c r="S66" s="30"/>
      <c r="T66" s="46"/>
      <c r="U66" s="29"/>
      <c r="V66" s="21">
        <f t="shared" si="11"/>
        <v>0</v>
      </c>
      <c r="W66" s="1"/>
      <c r="X66" s="1"/>
      <c r="Y66" s="1"/>
      <c r="Z66" s="1"/>
    </row>
    <row r="67" spans="1:26" ht="14.25" customHeight="1" x14ac:dyDescent="0.45">
      <c r="A67" s="1"/>
      <c r="B67" s="1" t="s">
        <v>65</v>
      </c>
      <c r="C67" s="44"/>
      <c r="D67" s="44"/>
      <c r="E67" s="17"/>
      <c r="F67" s="17">
        <v>4</v>
      </c>
      <c r="G67" s="96" t="s">
        <v>36</v>
      </c>
      <c r="H67" s="95"/>
      <c r="I67" s="16" t="s">
        <v>29</v>
      </c>
      <c r="J67" s="29"/>
      <c r="K67" s="29"/>
      <c r="L67" s="30"/>
      <c r="M67" s="30"/>
      <c r="N67" s="31"/>
      <c r="O67" s="30"/>
      <c r="P67" s="29"/>
      <c r="Q67" s="29"/>
      <c r="R67" s="29"/>
      <c r="S67" s="30"/>
      <c r="T67" s="46"/>
      <c r="U67" s="29"/>
      <c r="V67" s="21">
        <f t="shared" si="11"/>
        <v>0</v>
      </c>
      <c r="W67" s="1"/>
      <c r="X67" s="1"/>
      <c r="Y67" s="1"/>
      <c r="Z67" s="1"/>
    </row>
    <row r="68" spans="1:26" ht="14.25" customHeight="1" x14ac:dyDescent="0.45">
      <c r="A68" s="1"/>
      <c r="B68" s="1" t="s">
        <v>65</v>
      </c>
      <c r="C68" s="44"/>
      <c r="D68" s="44"/>
      <c r="E68" s="15"/>
      <c r="F68" s="24"/>
      <c r="G68" s="25"/>
      <c r="H68" s="26"/>
      <c r="I68" s="16" t="s">
        <v>30</v>
      </c>
      <c r="J68" s="29"/>
      <c r="K68" s="29"/>
      <c r="L68" s="30"/>
      <c r="M68" s="30"/>
      <c r="N68" s="31"/>
      <c r="O68" s="30"/>
      <c r="P68" s="29"/>
      <c r="Q68" s="29"/>
      <c r="R68" s="29"/>
      <c r="S68" s="30"/>
      <c r="T68" s="46"/>
      <c r="U68" s="29"/>
      <c r="V68" s="21">
        <f t="shared" si="11"/>
        <v>0</v>
      </c>
      <c r="W68" s="1"/>
      <c r="X68" s="1"/>
      <c r="Y68" s="1"/>
      <c r="Z68" s="1"/>
    </row>
    <row r="69" spans="1:26" ht="14.25" customHeight="1" x14ac:dyDescent="0.45">
      <c r="A69" s="1"/>
      <c r="B69" s="1" t="s">
        <v>66</v>
      </c>
      <c r="C69" s="44"/>
      <c r="D69" s="44"/>
      <c r="E69" s="17"/>
      <c r="F69" s="17">
        <v>5</v>
      </c>
      <c r="G69" s="96" t="s">
        <v>38</v>
      </c>
      <c r="H69" s="95"/>
      <c r="I69" s="16" t="s">
        <v>29</v>
      </c>
      <c r="J69" s="19">
        <v>2</v>
      </c>
      <c r="K69" s="19">
        <v>3</v>
      </c>
      <c r="L69" s="27">
        <v>3</v>
      </c>
      <c r="M69" s="27">
        <v>3</v>
      </c>
      <c r="N69" s="20">
        <v>7</v>
      </c>
      <c r="O69" s="27"/>
      <c r="P69" s="19"/>
      <c r="Q69" s="19"/>
      <c r="R69" s="29"/>
      <c r="S69" s="27"/>
      <c r="T69" s="45"/>
      <c r="U69" s="19"/>
      <c r="V69" s="21">
        <f t="shared" si="11"/>
        <v>18</v>
      </c>
      <c r="W69" s="1"/>
      <c r="X69" s="1"/>
      <c r="Y69" s="1"/>
      <c r="Z69" s="1"/>
    </row>
    <row r="70" spans="1:26" ht="14.25" customHeight="1" x14ac:dyDescent="0.45">
      <c r="A70" s="1"/>
      <c r="B70" s="1" t="s">
        <v>66</v>
      </c>
      <c r="C70" s="44"/>
      <c r="D70" s="44"/>
      <c r="E70" s="33"/>
      <c r="F70" s="24"/>
      <c r="G70" s="25"/>
      <c r="H70" s="26"/>
      <c r="I70" s="16" t="s">
        <v>30</v>
      </c>
      <c r="J70" s="19">
        <v>9716</v>
      </c>
      <c r="K70" s="27">
        <v>11910</v>
      </c>
      <c r="L70" s="27">
        <v>11588</v>
      </c>
      <c r="M70" s="27">
        <v>11498</v>
      </c>
      <c r="N70" s="20">
        <v>30124</v>
      </c>
      <c r="O70" s="27"/>
      <c r="P70" s="19"/>
      <c r="Q70" s="19"/>
      <c r="R70" s="29"/>
      <c r="S70" s="27"/>
      <c r="T70" s="45"/>
      <c r="U70" s="19"/>
      <c r="V70" s="21">
        <f t="shared" si="11"/>
        <v>74836</v>
      </c>
      <c r="W70" s="1"/>
      <c r="X70" s="1"/>
      <c r="Y70" s="1"/>
      <c r="Z70" s="1"/>
    </row>
    <row r="71" spans="1:26" ht="14.25" customHeight="1" x14ac:dyDescent="0.45">
      <c r="A71" s="1"/>
      <c r="B71" s="1" t="s">
        <v>67</v>
      </c>
      <c r="C71" s="44"/>
      <c r="D71" s="44"/>
      <c r="E71" s="17"/>
      <c r="F71" s="17">
        <v>6</v>
      </c>
      <c r="G71" s="96" t="s">
        <v>40</v>
      </c>
      <c r="H71" s="95"/>
      <c r="I71" s="16" t="s">
        <v>29</v>
      </c>
      <c r="J71" s="30"/>
      <c r="K71" s="19">
        <v>1</v>
      </c>
      <c r="L71" s="27">
        <v>1</v>
      </c>
      <c r="M71" s="27">
        <v>1</v>
      </c>
      <c r="N71" s="20">
        <v>1</v>
      </c>
      <c r="O71" s="35"/>
      <c r="P71" s="29"/>
      <c r="Q71" s="29"/>
      <c r="R71" s="29"/>
      <c r="S71" s="30"/>
      <c r="T71" s="30"/>
      <c r="U71" s="29"/>
      <c r="V71" s="21">
        <f t="shared" si="11"/>
        <v>4</v>
      </c>
      <c r="W71" s="1"/>
      <c r="X71" s="1"/>
      <c r="Y71" s="1"/>
      <c r="Z71" s="1"/>
    </row>
    <row r="72" spans="1:26" ht="14.25" customHeight="1" x14ac:dyDescent="0.45">
      <c r="A72" s="1"/>
      <c r="B72" s="1" t="s">
        <v>67</v>
      </c>
      <c r="C72" s="44"/>
      <c r="D72" s="44"/>
      <c r="E72" s="33"/>
      <c r="F72" s="24"/>
      <c r="G72" s="25"/>
      <c r="H72" s="26"/>
      <c r="I72" s="16" t="s">
        <v>30</v>
      </c>
      <c r="J72" s="30"/>
      <c r="K72" s="19">
        <v>11512</v>
      </c>
      <c r="L72" s="27">
        <v>11512</v>
      </c>
      <c r="M72" s="27">
        <v>11512</v>
      </c>
      <c r="N72" s="20">
        <v>11512</v>
      </c>
      <c r="O72" s="35"/>
      <c r="P72" s="29"/>
      <c r="Q72" s="29"/>
      <c r="R72" s="29"/>
      <c r="S72" s="30"/>
      <c r="T72" s="30"/>
      <c r="U72" s="29"/>
      <c r="V72" s="21">
        <f t="shared" si="11"/>
        <v>46048</v>
      </c>
      <c r="W72" s="1"/>
      <c r="X72" s="1"/>
      <c r="Y72" s="1"/>
      <c r="Z72" s="1"/>
    </row>
    <row r="73" spans="1:26" ht="14.25" customHeight="1" x14ac:dyDescent="0.45">
      <c r="A73" s="1"/>
      <c r="B73" s="1" t="s">
        <v>68</v>
      </c>
      <c r="C73" s="44"/>
      <c r="D73" s="44"/>
      <c r="E73" s="17"/>
      <c r="F73" s="36">
        <v>7</v>
      </c>
      <c r="G73" s="96" t="s">
        <v>42</v>
      </c>
      <c r="H73" s="95"/>
      <c r="I73" s="16" t="s">
        <v>29</v>
      </c>
      <c r="J73" s="30"/>
      <c r="K73" s="29"/>
      <c r="L73" s="27">
        <v>238</v>
      </c>
      <c r="M73" s="27">
        <v>1</v>
      </c>
      <c r="N73" s="20">
        <v>2</v>
      </c>
      <c r="O73" s="41"/>
      <c r="P73" s="29"/>
      <c r="Q73" s="19"/>
      <c r="R73" s="29"/>
      <c r="S73" s="30"/>
      <c r="T73" s="30"/>
      <c r="U73" s="29"/>
      <c r="V73" s="21">
        <f t="shared" si="11"/>
        <v>241</v>
      </c>
      <c r="W73" s="1"/>
      <c r="X73" s="1"/>
      <c r="Y73" s="1"/>
      <c r="Z73" s="1"/>
    </row>
    <row r="74" spans="1:26" ht="14.25" customHeight="1" x14ac:dyDescent="0.45">
      <c r="A74" s="1"/>
      <c r="B74" s="1" t="s">
        <v>68</v>
      </c>
      <c r="C74" s="44"/>
      <c r="D74" s="44"/>
      <c r="E74" s="33"/>
      <c r="F74" s="24"/>
      <c r="G74" s="25"/>
      <c r="H74" s="26"/>
      <c r="I74" s="16" t="s">
        <v>30</v>
      </c>
      <c r="J74" s="30"/>
      <c r="K74" s="29"/>
      <c r="L74" s="27">
        <v>2022277</v>
      </c>
      <c r="M74" s="27">
        <v>6527</v>
      </c>
      <c r="N74" s="20">
        <v>13493</v>
      </c>
      <c r="O74" s="41"/>
      <c r="P74" s="29"/>
      <c r="Q74" s="19"/>
      <c r="R74" s="29"/>
      <c r="S74" s="30"/>
      <c r="T74" s="30"/>
      <c r="U74" s="29"/>
      <c r="V74" s="21">
        <f t="shared" si="11"/>
        <v>2042297</v>
      </c>
      <c r="W74" s="1"/>
      <c r="X74" s="1"/>
      <c r="Y74" s="1"/>
      <c r="Z74" s="1"/>
    </row>
    <row r="75" spans="1:26" ht="14.25" customHeight="1" x14ac:dyDescent="0.45">
      <c r="A75" s="1"/>
      <c r="B75" s="1" t="s">
        <v>69</v>
      </c>
      <c r="C75" s="44"/>
      <c r="D75" s="44"/>
      <c r="E75" s="17"/>
      <c r="F75" s="36">
        <v>8</v>
      </c>
      <c r="G75" s="96" t="s">
        <v>44</v>
      </c>
      <c r="H75" s="95"/>
      <c r="I75" s="16" t="s">
        <v>29</v>
      </c>
      <c r="J75" s="30"/>
      <c r="K75" s="29"/>
      <c r="L75" s="30"/>
      <c r="M75" s="30"/>
      <c r="N75" s="29"/>
      <c r="O75" s="35"/>
      <c r="P75" s="29"/>
      <c r="Q75" s="29"/>
      <c r="R75" s="29"/>
      <c r="S75" s="30"/>
      <c r="T75" s="30"/>
      <c r="U75" s="29"/>
      <c r="V75" s="21">
        <f t="shared" si="11"/>
        <v>0</v>
      </c>
      <c r="W75" s="1"/>
      <c r="X75" s="1"/>
      <c r="Y75" s="1"/>
      <c r="Z75" s="1"/>
    </row>
    <row r="76" spans="1:26" ht="14.25" customHeight="1" x14ac:dyDescent="0.45">
      <c r="A76" s="1"/>
      <c r="B76" s="1" t="s">
        <v>69</v>
      </c>
      <c r="C76" s="44"/>
      <c r="D76" s="44"/>
      <c r="E76" s="33"/>
      <c r="F76" s="24"/>
      <c r="G76" s="25"/>
      <c r="H76" s="26"/>
      <c r="I76" s="16" t="s">
        <v>30</v>
      </c>
      <c r="J76" s="30"/>
      <c r="K76" s="29"/>
      <c r="L76" s="30"/>
      <c r="M76" s="30"/>
      <c r="N76" s="29"/>
      <c r="O76" s="35"/>
      <c r="P76" s="29"/>
      <c r="Q76" s="29"/>
      <c r="R76" s="29"/>
      <c r="S76" s="30"/>
      <c r="T76" s="30"/>
      <c r="U76" s="29"/>
      <c r="V76" s="21">
        <f t="shared" si="11"/>
        <v>0</v>
      </c>
      <c r="W76" s="1"/>
      <c r="X76" s="1"/>
      <c r="Y76" s="1"/>
      <c r="Z76" s="1"/>
    </row>
    <row r="77" spans="1:26" ht="14.25" customHeight="1" x14ac:dyDescent="0.45">
      <c r="A77" s="1"/>
      <c r="B77" s="1" t="s">
        <v>70</v>
      </c>
      <c r="C77" s="44"/>
      <c r="D77" s="44"/>
      <c r="E77" s="17"/>
      <c r="F77" s="36">
        <v>9</v>
      </c>
      <c r="G77" s="97" t="s">
        <v>48</v>
      </c>
      <c r="H77" s="95"/>
      <c r="I77" s="16" t="s">
        <v>29</v>
      </c>
      <c r="J77" s="30"/>
      <c r="K77" s="29"/>
      <c r="L77" s="30"/>
      <c r="M77" s="30"/>
      <c r="N77" s="29"/>
      <c r="O77" s="35"/>
      <c r="P77" s="29"/>
      <c r="Q77" s="29"/>
      <c r="R77" s="29"/>
      <c r="S77" s="30"/>
      <c r="T77" s="30"/>
      <c r="U77" s="29"/>
      <c r="V77" s="21">
        <f t="shared" si="11"/>
        <v>0</v>
      </c>
      <c r="W77" s="1"/>
      <c r="X77" s="1"/>
      <c r="Y77" s="1"/>
      <c r="Z77" s="1"/>
    </row>
    <row r="78" spans="1:26" ht="14.25" customHeight="1" x14ac:dyDescent="0.45">
      <c r="A78" s="1"/>
      <c r="B78" s="1" t="s">
        <v>70</v>
      </c>
      <c r="C78" s="44"/>
      <c r="D78" s="44"/>
      <c r="E78" s="15"/>
      <c r="F78" s="24"/>
      <c r="G78" s="37"/>
      <c r="H78" s="38"/>
      <c r="I78" s="16" t="s">
        <v>30</v>
      </c>
      <c r="J78" s="30"/>
      <c r="K78" s="29"/>
      <c r="L78" s="30"/>
      <c r="M78" s="30"/>
      <c r="N78" s="29"/>
      <c r="O78" s="35"/>
      <c r="P78" s="29"/>
      <c r="Q78" s="29"/>
      <c r="R78" s="29"/>
      <c r="S78" s="30"/>
      <c r="T78" s="30"/>
      <c r="U78" s="29"/>
      <c r="V78" s="21">
        <f t="shared" si="11"/>
        <v>0</v>
      </c>
      <c r="W78" s="1"/>
      <c r="X78" s="1"/>
      <c r="Y78" s="1"/>
      <c r="Z78" s="1"/>
    </row>
    <row r="79" spans="1:26" ht="14.25" customHeight="1" x14ac:dyDescent="0.45">
      <c r="A79" s="1"/>
      <c r="C79" s="44"/>
      <c r="D79" s="44"/>
      <c r="E79" s="23"/>
      <c r="F79" s="37"/>
      <c r="G79" s="37"/>
      <c r="H79" s="38"/>
      <c r="I79" s="16"/>
      <c r="J79" s="40"/>
      <c r="K79" s="14"/>
      <c r="L79" s="40"/>
      <c r="M79" s="14"/>
      <c r="N79" s="14"/>
      <c r="O79" s="40"/>
      <c r="P79" s="14"/>
      <c r="Q79" s="14"/>
      <c r="R79" s="14"/>
      <c r="S79" s="40"/>
      <c r="T79" s="40"/>
      <c r="U79" s="14"/>
      <c r="V79" s="14"/>
      <c r="W79" s="1"/>
      <c r="X79" s="1"/>
      <c r="Y79" s="1"/>
      <c r="Z79" s="1"/>
    </row>
    <row r="80" spans="1:26" ht="14.25" customHeight="1" x14ac:dyDescent="0.45">
      <c r="A80" s="1"/>
      <c r="C80" s="44"/>
      <c r="D80" s="44"/>
      <c r="E80" s="15">
        <v>2</v>
      </c>
      <c r="F80" s="98" t="s">
        <v>49</v>
      </c>
      <c r="G80" s="94"/>
      <c r="H80" s="95"/>
      <c r="I80" s="16"/>
      <c r="J80" s="40"/>
      <c r="K80" s="14"/>
      <c r="L80" s="40"/>
      <c r="M80" s="14"/>
      <c r="N80" s="14"/>
      <c r="O80" s="40"/>
      <c r="P80" s="14"/>
      <c r="Q80" s="14"/>
      <c r="R80" s="14"/>
      <c r="S80" s="40"/>
      <c r="T80" s="40"/>
      <c r="U80" s="14"/>
      <c r="V80" s="14"/>
      <c r="W80" s="1"/>
      <c r="X80" s="1"/>
      <c r="Y80" s="1"/>
      <c r="Z80" s="1"/>
    </row>
    <row r="81" spans="1:26" ht="14.25" customHeight="1" x14ac:dyDescent="0.45">
      <c r="A81" s="1"/>
      <c r="B81" s="1" t="s">
        <v>71</v>
      </c>
      <c r="C81" s="44"/>
      <c r="D81" s="44"/>
      <c r="E81" s="17"/>
      <c r="F81" s="17">
        <v>1</v>
      </c>
      <c r="G81" s="96" t="s">
        <v>28</v>
      </c>
      <c r="H81" s="95"/>
      <c r="I81" s="16" t="s">
        <v>29</v>
      </c>
      <c r="J81" s="45"/>
      <c r="K81" s="19"/>
      <c r="L81" s="27"/>
      <c r="M81" s="19"/>
      <c r="N81" s="19"/>
      <c r="O81" s="27"/>
      <c r="P81" s="19"/>
      <c r="Q81" s="19"/>
      <c r="R81" s="19"/>
      <c r="S81" s="30"/>
      <c r="T81" s="27"/>
      <c r="U81" s="29"/>
      <c r="V81" s="21">
        <f t="shared" ref="V81:V96" si="12">SUM(J81:U81)</f>
        <v>0</v>
      </c>
      <c r="W81" s="1"/>
      <c r="X81" s="1"/>
      <c r="Y81" s="1"/>
      <c r="Z81" s="1"/>
    </row>
    <row r="82" spans="1:26" ht="14.25" customHeight="1" x14ac:dyDescent="0.45">
      <c r="A82" s="1"/>
      <c r="B82" s="1" t="s">
        <v>71</v>
      </c>
      <c r="C82" s="44"/>
      <c r="D82" s="44"/>
      <c r="E82" s="15"/>
      <c r="F82" s="24"/>
      <c r="G82" s="25"/>
      <c r="H82" s="26"/>
      <c r="I82" s="16" t="s">
        <v>30</v>
      </c>
      <c r="J82" s="45"/>
      <c r="K82" s="27"/>
      <c r="L82" s="27"/>
      <c r="M82" s="27"/>
      <c r="N82" s="19"/>
      <c r="O82" s="27"/>
      <c r="P82" s="19"/>
      <c r="Q82" s="19"/>
      <c r="R82" s="19"/>
      <c r="S82" s="30"/>
      <c r="T82" s="27"/>
      <c r="U82" s="29"/>
      <c r="V82" s="21">
        <f t="shared" si="12"/>
        <v>0</v>
      </c>
      <c r="W82" s="1"/>
      <c r="X82" s="1"/>
      <c r="Y82" s="1"/>
      <c r="Z82" s="1"/>
    </row>
    <row r="83" spans="1:26" ht="14.25" customHeight="1" x14ac:dyDescent="0.45">
      <c r="A83" s="1"/>
      <c r="B83" s="1" t="s">
        <v>72</v>
      </c>
      <c r="C83" s="44"/>
      <c r="D83" s="44"/>
      <c r="E83" s="17"/>
      <c r="F83" s="17">
        <v>2</v>
      </c>
      <c r="G83" s="96" t="s">
        <v>32</v>
      </c>
      <c r="H83" s="95"/>
      <c r="I83" s="16" t="s">
        <v>29</v>
      </c>
      <c r="J83" s="30"/>
      <c r="K83" s="29"/>
      <c r="L83" s="30"/>
      <c r="M83" s="30"/>
      <c r="N83" s="29"/>
      <c r="O83" s="30"/>
      <c r="P83" s="29"/>
      <c r="Q83" s="29"/>
      <c r="R83" s="29"/>
      <c r="S83" s="30"/>
      <c r="T83" s="30"/>
      <c r="U83" s="29"/>
      <c r="V83" s="21">
        <f t="shared" si="12"/>
        <v>0</v>
      </c>
      <c r="W83" s="1"/>
      <c r="X83" s="1"/>
      <c r="Y83" s="1"/>
      <c r="Z83" s="1"/>
    </row>
    <row r="84" spans="1:26" ht="14.25" customHeight="1" x14ac:dyDescent="0.45">
      <c r="A84" s="1"/>
      <c r="B84" s="1" t="s">
        <v>72</v>
      </c>
      <c r="C84" s="44"/>
      <c r="D84" s="44"/>
      <c r="E84" s="15"/>
      <c r="F84" s="24"/>
      <c r="G84" s="25"/>
      <c r="H84" s="26"/>
      <c r="I84" s="16" t="s">
        <v>30</v>
      </c>
      <c r="J84" s="30"/>
      <c r="K84" s="29"/>
      <c r="L84" s="30"/>
      <c r="M84" s="30"/>
      <c r="N84" s="29"/>
      <c r="O84" s="30"/>
      <c r="P84" s="29"/>
      <c r="Q84" s="29"/>
      <c r="R84" s="29"/>
      <c r="S84" s="30"/>
      <c r="T84" s="30"/>
      <c r="U84" s="29"/>
      <c r="V84" s="21">
        <f t="shared" si="12"/>
        <v>0</v>
      </c>
      <c r="W84" s="1"/>
      <c r="X84" s="1"/>
      <c r="Y84" s="1"/>
      <c r="Z84" s="1"/>
    </row>
    <row r="85" spans="1:26" ht="14.25" customHeight="1" x14ac:dyDescent="0.45">
      <c r="A85" s="1"/>
      <c r="B85" s="1" t="s">
        <v>73</v>
      </c>
      <c r="C85" s="44"/>
      <c r="D85" s="44"/>
      <c r="E85" s="23"/>
      <c r="F85" s="17">
        <v>3</v>
      </c>
      <c r="G85" s="96" t="s">
        <v>34</v>
      </c>
      <c r="H85" s="95"/>
      <c r="I85" s="16" t="s">
        <v>29</v>
      </c>
      <c r="J85" s="30"/>
      <c r="K85" s="29"/>
      <c r="L85" s="30"/>
      <c r="M85" s="30"/>
      <c r="N85" s="29"/>
      <c r="O85" s="30"/>
      <c r="P85" s="29"/>
      <c r="Q85" s="29"/>
      <c r="R85" s="29"/>
      <c r="S85" s="30"/>
      <c r="T85" s="30"/>
      <c r="U85" s="29"/>
      <c r="V85" s="21">
        <f t="shared" si="12"/>
        <v>0</v>
      </c>
      <c r="W85" s="1"/>
      <c r="X85" s="1"/>
      <c r="Y85" s="1"/>
      <c r="Z85" s="1"/>
    </row>
    <row r="86" spans="1:26" ht="14.25" customHeight="1" x14ac:dyDescent="0.45">
      <c r="A86" s="1"/>
      <c r="B86" s="1" t="s">
        <v>73</v>
      </c>
      <c r="C86" s="44"/>
      <c r="D86" s="44"/>
      <c r="E86" s="23"/>
      <c r="F86" s="24"/>
      <c r="G86" s="25"/>
      <c r="H86" s="26"/>
      <c r="I86" s="16" t="s">
        <v>30</v>
      </c>
      <c r="J86" s="30"/>
      <c r="K86" s="29"/>
      <c r="L86" s="30"/>
      <c r="M86" s="30"/>
      <c r="N86" s="29"/>
      <c r="O86" s="30"/>
      <c r="P86" s="29"/>
      <c r="Q86" s="29"/>
      <c r="R86" s="29"/>
      <c r="S86" s="30"/>
      <c r="T86" s="30"/>
      <c r="U86" s="29"/>
      <c r="V86" s="21">
        <f t="shared" si="12"/>
        <v>0</v>
      </c>
      <c r="W86" s="1"/>
      <c r="X86" s="1"/>
      <c r="Y86" s="1"/>
      <c r="Z86" s="1"/>
    </row>
    <row r="87" spans="1:26" ht="14.25" customHeight="1" x14ac:dyDescent="0.45">
      <c r="A87" s="1"/>
      <c r="B87" s="1" t="s">
        <v>74</v>
      </c>
      <c r="C87" s="44"/>
      <c r="D87" s="44"/>
      <c r="E87" s="17"/>
      <c r="F87" s="17">
        <v>4</v>
      </c>
      <c r="G87" s="96" t="s">
        <v>36</v>
      </c>
      <c r="H87" s="95"/>
      <c r="I87" s="16" t="s">
        <v>29</v>
      </c>
      <c r="J87" s="30"/>
      <c r="K87" s="29"/>
      <c r="L87" s="27"/>
      <c r="M87" s="30"/>
      <c r="N87" s="29"/>
      <c r="O87" s="30"/>
      <c r="P87" s="29"/>
      <c r="Q87" s="29"/>
      <c r="R87" s="29"/>
      <c r="S87" s="30"/>
      <c r="T87" s="30"/>
      <c r="U87" s="29"/>
      <c r="V87" s="21">
        <f t="shared" si="12"/>
        <v>0</v>
      </c>
      <c r="W87" s="1"/>
      <c r="X87" s="1"/>
      <c r="Y87" s="1"/>
      <c r="Z87" s="1"/>
    </row>
    <row r="88" spans="1:26" ht="14.25" customHeight="1" x14ac:dyDescent="0.45">
      <c r="A88" s="1"/>
      <c r="B88" s="1" t="s">
        <v>74</v>
      </c>
      <c r="C88" s="44"/>
      <c r="D88" s="44"/>
      <c r="E88" s="15"/>
      <c r="F88" s="24"/>
      <c r="G88" s="25"/>
      <c r="H88" s="26"/>
      <c r="I88" s="16" t="s">
        <v>30</v>
      </c>
      <c r="J88" s="30"/>
      <c r="K88" s="29"/>
      <c r="L88" s="27"/>
      <c r="M88" s="30"/>
      <c r="N88" s="29"/>
      <c r="O88" s="30"/>
      <c r="P88" s="29"/>
      <c r="Q88" s="29"/>
      <c r="R88" s="29"/>
      <c r="S88" s="30"/>
      <c r="T88" s="30"/>
      <c r="U88" s="29"/>
      <c r="V88" s="21">
        <f t="shared" si="12"/>
        <v>0</v>
      </c>
      <c r="W88" s="1"/>
      <c r="X88" s="1"/>
      <c r="Y88" s="1"/>
      <c r="Z88" s="1"/>
    </row>
    <row r="89" spans="1:26" ht="14.25" customHeight="1" x14ac:dyDescent="0.45">
      <c r="A89" s="1"/>
      <c r="B89" s="1" t="s">
        <v>75</v>
      </c>
      <c r="C89" s="44"/>
      <c r="D89" s="44"/>
      <c r="E89" s="17"/>
      <c r="F89" s="17">
        <v>5</v>
      </c>
      <c r="G89" s="96" t="s">
        <v>38</v>
      </c>
      <c r="H89" s="95"/>
      <c r="I89" s="16" t="s">
        <v>29</v>
      </c>
      <c r="J89" s="45"/>
      <c r="K89" s="19"/>
      <c r="L89" s="27"/>
      <c r="M89" s="27"/>
      <c r="N89" s="19"/>
      <c r="O89" s="27"/>
      <c r="P89" s="19"/>
      <c r="Q89" s="19"/>
      <c r="R89" s="19"/>
      <c r="S89" s="30"/>
      <c r="T89" s="27"/>
      <c r="U89" s="29"/>
      <c r="V89" s="21">
        <f t="shared" si="12"/>
        <v>0</v>
      </c>
      <c r="W89" s="1"/>
      <c r="X89" s="1"/>
      <c r="Y89" s="1"/>
      <c r="Z89" s="1"/>
    </row>
    <row r="90" spans="1:26" ht="14.25" customHeight="1" x14ac:dyDescent="0.45">
      <c r="A90" s="1"/>
      <c r="B90" s="1" t="s">
        <v>75</v>
      </c>
      <c r="C90" s="44"/>
      <c r="D90" s="44"/>
      <c r="E90" s="15"/>
      <c r="F90" s="24"/>
      <c r="G90" s="25"/>
      <c r="H90" s="26"/>
      <c r="I90" s="16" t="s">
        <v>30</v>
      </c>
      <c r="J90" s="45"/>
      <c r="K90" s="27"/>
      <c r="L90" s="27"/>
      <c r="M90" s="27"/>
      <c r="N90" s="19"/>
      <c r="O90" s="27"/>
      <c r="P90" s="19"/>
      <c r="Q90" s="19"/>
      <c r="R90" s="19"/>
      <c r="S90" s="30"/>
      <c r="T90" s="27"/>
      <c r="U90" s="29"/>
      <c r="V90" s="21">
        <f t="shared" si="12"/>
        <v>0</v>
      </c>
      <c r="W90" s="1"/>
      <c r="X90" s="1"/>
      <c r="Y90" s="1"/>
      <c r="Z90" s="1"/>
    </row>
    <row r="91" spans="1:26" ht="14.25" customHeight="1" x14ac:dyDescent="0.45">
      <c r="A91" s="1"/>
      <c r="B91" s="1" t="s">
        <v>76</v>
      </c>
      <c r="C91" s="44"/>
      <c r="D91" s="44"/>
      <c r="E91" s="23"/>
      <c r="F91" s="17">
        <v>6</v>
      </c>
      <c r="G91" s="96" t="s">
        <v>40</v>
      </c>
      <c r="H91" s="95"/>
      <c r="I91" s="16" t="s">
        <v>29</v>
      </c>
      <c r="J91" s="30"/>
      <c r="K91" s="29"/>
      <c r="L91" s="30"/>
      <c r="M91" s="29"/>
      <c r="N91" s="29"/>
      <c r="O91" s="35"/>
      <c r="P91" s="29"/>
      <c r="Q91" s="29"/>
      <c r="R91" s="29"/>
      <c r="S91" s="30"/>
      <c r="T91" s="30"/>
      <c r="U91" s="29"/>
      <c r="V91" s="21">
        <f t="shared" si="12"/>
        <v>0</v>
      </c>
      <c r="W91" s="1"/>
      <c r="X91" s="1"/>
      <c r="Y91" s="1"/>
      <c r="Z91" s="1"/>
    </row>
    <row r="92" spans="1:26" ht="14.25" customHeight="1" x14ac:dyDescent="0.45">
      <c r="A92" s="1"/>
      <c r="B92" s="1" t="s">
        <v>76</v>
      </c>
      <c r="C92" s="44"/>
      <c r="D92" s="44"/>
      <c r="E92" s="23"/>
      <c r="F92" s="24"/>
      <c r="G92" s="42"/>
      <c r="H92" s="43"/>
      <c r="I92" s="16" t="s">
        <v>30</v>
      </c>
      <c r="J92" s="30"/>
      <c r="K92" s="29"/>
      <c r="L92" s="30"/>
      <c r="M92" s="29"/>
      <c r="N92" s="29"/>
      <c r="O92" s="35"/>
      <c r="P92" s="29"/>
      <c r="Q92" s="29"/>
      <c r="R92" s="29"/>
      <c r="S92" s="30"/>
      <c r="T92" s="30"/>
      <c r="U92" s="29"/>
      <c r="V92" s="21">
        <f t="shared" si="12"/>
        <v>0</v>
      </c>
      <c r="W92" s="1"/>
      <c r="X92" s="1"/>
      <c r="Y92" s="1"/>
      <c r="Z92" s="1"/>
    </row>
    <row r="93" spans="1:26" ht="14.25" customHeight="1" x14ac:dyDescent="0.45">
      <c r="A93" s="1"/>
      <c r="B93" s="1" t="s">
        <v>77</v>
      </c>
      <c r="C93" s="44"/>
      <c r="D93" s="44"/>
      <c r="E93" s="47"/>
      <c r="F93" s="17">
        <v>7</v>
      </c>
      <c r="G93" s="96" t="s">
        <v>57</v>
      </c>
      <c r="H93" s="95"/>
      <c r="I93" s="16" t="s">
        <v>29</v>
      </c>
      <c r="J93" s="30"/>
      <c r="K93" s="29"/>
      <c r="L93" s="30"/>
      <c r="M93" s="29"/>
      <c r="N93" s="29"/>
      <c r="O93" s="35"/>
      <c r="P93" s="29"/>
      <c r="Q93" s="29"/>
      <c r="R93" s="29"/>
      <c r="S93" s="30"/>
      <c r="T93" s="30"/>
      <c r="U93" s="29"/>
      <c r="V93" s="21">
        <f t="shared" si="12"/>
        <v>0</v>
      </c>
      <c r="W93" s="1"/>
      <c r="X93" s="1"/>
      <c r="Y93" s="1"/>
      <c r="Z93" s="1"/>
    </row>
    <row r="94" spans="1:26" ht="14.25" customHeight="1" x14ac:dyDescent="0.45">
      <c r="A94" s="1"/>
      <c r="B94" s="1" t="s">
        <v>77</v>
      </c>
      <c r="C94" s="44"/>
      <c r="D94" s="44"/>
      <c r="E94" s="47"/>
      <c r="F94" s="24"/>
      <c r="G94" s="42"/>
      <c r="H94" s="43"/>
      <c r="I94" s="16" t="s">
        <v>30</v>
      </c>
      <c r="J94" s="30"/>
      <c r="K94" s="29"/>
      <c r="L94" s="30"/>
      <c r="M94" s="29"/>
      <c r="N94" s="29"/>
      <c r="O94" s="35"/>
      <c r="P94" s="29"/>
      <c r="Q94" s="29"/>
      <c r="R94" s="29"/>
      <c r="S94" s="30"/>
      <c r="T94" s="30"/>
      <c r="U94" s="29"/>
      <c r="V94" s="21">
        <f t="shared" si="12"/>
        <v>0</v>
      </c>
      <c r="W94" s="1"/>
      <c r="X94" s="1"/>
      <c r="Y94" s="1"/>
      <c r="Z94" s="1"/>
    </row>
    <row r="95" spans="1:26" ht="14.25" customHeight="1" x14ac:dyDescent="0.45">
      <c r="A95" s="1"/>
      <c r="B95" s="1" t="s">
        <v>78</v>
      </c>
      <c r="C95" s="48"/>
      <c r="D95" s="44"/>
      <c r="E95" s="16"/>
      <c r="F95" s="33">
        <v>8</v>
      </c>
      <c r="G95" s="96" t="s">
        <v>59</v>
      </c>
      <c r="H95" s="95"/>
      <c r="I95" s="16" t="s">
        <v>29</v>
      </c>
      <c r="J95" s="19">
        <v>46</v>
      </c>
      <c r="K95" s="19">
        <v>73</v>
      </c>
      <c r="L95" s="27">
        <v>46</v>
      </c>
      <c r="M95" s="19">
        <v>82</v>
      </c>
      <c r="N95" s="20">
        <v>68</v>
      </c>
      <c r="O95" s="27"/>
      <c r="P95" s="29"/>
      <c r="Q95" s="29"/>
      <c r="R95" s="29"/>
      <c r="S95" s="27"/>
      <c r="T95" s="45"/>
      <c r="U95" s="19"/>
      <c r="V95" s="21">
        <f t="shared" si="12"/>
        <v>315</v>
      </c>
      <c r="W95" s="1"/>
      <c r="X95" s="1"/>
      <c r="Y95" s="1"/>
      <c r="Z95" s="1"/>
    </row>
    <row r="96" spans="1:26" ht="14.25" customHeight="1" x14ac:dyDescent="0.45">
      <c r="A96" s="1"/>
      <c r="B96" s="1" t="s">
        <v>78</v>
      </c>
      <c r="C96" s="48"/>
      <c r="D96" s="44"/>
      <c r="E96" s="16"/>
      <c r="F96" s="39"/>
      <c r="G96" s="99" t="s">
        <v>60</v>
      </c>
      <c r="H96" s="95"/>
      <c r="I96" s="16" t="s">
        <v>30</v>
      </c>
      <c r="J96" s="19">
        <v>81878</v>
      </c>
      <c r="K96" s="19">
        <v>124538</v>
      </c>
      <c r="L96" s="27">
        <v>81912</v>
      </c>
      <c r="M96" s="19">
        <v>139760</v>
      </c>
      <c r="N96" s="20">
        <v>123445</v>
      </c>
      <c r="O96" s="27"/>
      <c r="P96" s="29"/>
      <c r="Q96" s="29"/>
      <c r="R96" s="29"/>
      <c r="S96" s="27"/>
      <c r="T96" s="45"/>
      <c r="U96" s="19"/>
      <c r="V96" s="21">
        <f t="shared" si="12"/>
        <v>551533</v>
      </c>
      <c r="W96" s="1"/>
      <c r="X96" s="1"/>
      <c r="Y96" s="1"/>
      <c r="Z96" s="1"/>
    </row>
    <row r="97" spans="1:26" ht="14.25" customHeight="1" x14ac:dyDescent="0.45">
      <c r="A97" s="1"/>
      <c r="C97" s="44"/>
      <c r="D97" s="44"/>
      <c r="E97" s="47"/>
      <c r="F97" s="37"/>
      <c r="G97" s="37"/>
      <c r="H97" s="38"/>
      <c r="I97" s="16"/>
      <c r="J97" s="14"/>
      <c r="K97" s="14"/>
      <c r="L97" s="14"/>
      <c r="M97" s="14"/>
      <c r="N97" s="14"/>
      <c r="O97" s="14"/>
      <c r="P97" s="14"/>
      <c r="Q97" s="14"/>
      <c r="R97" s="14"/>
      <c r="S97" s="40"/>
      <c r="T97" s="40"/>
      <c r="U97" s="14"/>
      <c r="V97" s="14"/>
      <c r="W97" s="1"/>
      <c r="X97" s="1"/>
      <c r="Y97" s="1"/>
      <c r="Z97" s="1"/>
    </row>
    <row r="98" spans="1:26" ht="14.25" customHeight="1" x14ac:dyDescent="0.45">
      <c r="A98" s="1"/>
      <c r="B98" s="1" t="s">
        <v>79</v>
      </c>
      <c r="C98" s="44"/>
      <c r="D98" s="44">
        <v>3</v>
      </c>
      <c r="E98" s="96" t="s">
        <v>80</v>
      </c>
      <c r="F98" s="94"/>
      <c r="G98" s="94"/>
      <c r="H98" s="95"/>
      <c r="I98" s="16" t="s">
        <v>29</v>
      </c>
      <c r="J98" s="29"/>
      <c r="K98" s="29"/>
      <c r="L98" s="29"/>
      <c r="M98" s="29"/>
      <c r="N98" s="29"/>
      <c r="O98" s="29"/>
      <c r="P98" s="29"/>
      <c r="Q98" s="29"/>
      <c r="R98" s="29"/>
      <c r="S98" s="30"/>
      <c r="T98" s="30"/>
      <c r="U98" s="29"/>
      <c r="V98" s="21">
        <f t="shared" ref="V98:V99" si="13">SUM(J98:U98)</f>
        <v>0</v>
      </c>
      <c r="W98" s="1"/>
      <c r="X98" s="1"/>
      <c r="Y98" s="1"/>
      <c r="Z98" s="1"/>
    </row>
    <row r="99" spans="1:26" ht="14.25" customHeight="1" x14ac:dyDescent="0.45">
      <c r="A99" s="1"/>
      <c r="B99" s="1" t="s">
        <v>79</v>
      </c>
      <c r="C99" s="44"/>
      <c r="D99" s="44"/>
      <c r="E99" s="49"/>
      <c r="F99" s="25"/>
      <c r="G99" s="25"/>
      <c r="H99" s="26"/>
      <c r="I99" s="16" t="s">
        <v>30</v>
      </c>
      <c r="J99" s="29"/>
      <c r="K99" s="29"/>
      <c r="L99" s="29"/>
      <c r="M99" s="29"/>
      <c r="N99" s="29"/>
      <c r="O99" s="29"/>
      <c r="P99" s="29"/>
      <c r="Q99" s="29"/>
      <c r="R99" s="29"/>
      <c r="S99" s="30"/>
      <c r="T99" s="30"/>
      <c r="U99" s="29"/>
      <c r="V99" s="21">
        <f t="shared" si="13"/>
        <v>0</v>
      </c>
      <c r="W99" s="1"/>
      <c r="X99" s="1"/>
      <c r="Y99" s="1"/>
      <c r="Z99" s="1"/>
    </row>
    <row r="100" spans="1:26" ht="14.25" customHeight="1" x14ac:dyDescent="0.45">
      <c r="A100" s="1"/>
      <c r="C100" s="44"/>
      <c r="D100" s="44"/>
      <c r="E100" s="49"/>
      <c r="F100" s="25"/>
      <c r="G100" s="25"/>
      <c r="H100" s="26"/>
      <c r="I100" s="16"/>
      <c r="J100" s="14"/>
      <c r="K100" s="14"/>
      <c r="L100" s="14"/>
      <c r="M100" s="14"/>
      <c r="N100" s="14"/>
      <c r="O100" s="14"/>
      <c r="P100" s="14"/>
      <c r="Q100" s="14"/>
      <c r="R100" s="14"/>
      <c r="S100" s="40"/>
      <c r="T100" s="40"/>
      <c r="U100" s="14"/>
      <c r="V100" s="14"/>
      <c r="W100" s="1"/>
      <c r="X100" s="1"/>
      <c r="Y100" s="1"/>
      <c r="Z100" s="1"/>
    </row>
    <row r="101" spans="1:26" ht="14.25" customHeight="1" x14ac:dyDescent="0.45">
      <c r="A101" s="1"/>
      <c r="B101" s="1" t="s">
        <v>81</v>
      </c>
      <c r="C101" s="44"/>
      <c r="D101" s="44">
        <v>4</v>
      </c>
      <c r="E101" s="96" t="s">
        <v>82</v>
      </c>
      <c r="F101" s="94"/>
      <c r="G101" s="94"/>
      <c r="H101" s="95"/>
      <c r="I101" s="16" t="s">
        <v>29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30"/>
      <c r="T101" s="30"/>
      <c r="U101" s="29"/>
      <c r="V101" s="21">
        <f t="shared" ref="V101:V102" si="14">SUM(J101:U101)</f>
        <v>0</v>
      </c>
      <c r="W101" s="1"/>
      <c r="X101" s="1"/>
      <c r="Y101" s="1"/>
      <c r="Z101" s="1"/>
    </row>
    <row r="102" spans="1:26" ht="14.25" customHeight="1" x14ac:dyDescent="0.45">
      <c r="A102" s="1"/>
      <c r="B102" s="1" t="s">
        <v>81</v>
      </c>
      <c r="C102" s="44"/>
      <c r="D102" s="44"/>
      <c r="E102" s="49"/>
      <c r="F102" s="25"/>
      <c r="G102" s="25"/>
      <c r="H102" s="26"/>
      <c r="I102" s="16" t="s">
        <v>30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30"/>
      <c r="T102" s="30"/>
      <c r="U102" s="29"/>
      <c r="V102" s="21">
        <f t="shared" si="14"/>
        <v>0</v>
      </c>
      <c r="W102" s="1"/>
      <c r="X102" s="1"/>
      <c r="Y102" s="1"/>
      <c r="Z102" s="1"/>
    </row>
    <row r="103" spans="1:26" ht="14.25" customHeight="1" x14ac:dyDescent="0.45">
      <c r="A103" s="1"/>
      <c r="C103" s="44"/>
      <c r="D103" s="44"/>
      <c r="E103" s="49"/>
      <c r="F103" s="25"/>
      <c r="G103" s="25"/>
      <c r="H103" s="26"/>
      <c r="I103" s="16"/>
      <c r="J103" s="14">
        <f t="shared" ref="J103:K103" si="15">J61+J63+J69+J81+J89+J105+J95</f>
        <v>61</v>
      </c>
      <c r="K103" s="14">
        <f t="shared" si="15"/>
        <v>97</v>
      </c>
      <c r="L103" s="14">
        <f t="shared" ref="L103:N103" si="16">L61+L63+L69+L81+L89+L105+L95+L71+L73+L95+L111</f>
        <v>356</v>
      </c>
      <c r="M103" s="14">
        <f t="shared" si="16"/>
        <v>186</v>
      </c>
      <c r="N103" s="14">
        <f t="shared" si="16"/>
        <v>171</v>
      </c>
      <c r="O103" s="14"/>
      <c r="P103" s="14"/>
      <c r="Q103" s="14"/>
      <c r="R103" s="14"/>
      <c r="S103" s="14"/>
      <c r="T103" s="14">
        <f t="shared" ref="T103:U103" si="17">T61+T63+T69+T81+T89+T105+T95</f>
        <v>0</v>
      </c>
      <c r="U103" s="14">
        <f t="shared" si="17"/>
        <v>0</v>
      </c>
      <c r="V103" s="14"/>
      <c r="W103" s="1"/>
      <c r="X103" s="1"/>
      <c r="Y103" s="1"/>
      <c r="Z103" s="1"/>
    </row>
    <row r="104" spans="1:26" ht="14.25" customHeight="1" x14ac:dyDescent="0.45">
      <c r="A104" s="1"/>
      <c r="C104" s="44"/>
      <c r="D104" s="44">
        <v>5</v>
      </c>
      <c r="E104" s="96" t="s">
        <v>83</v>
      </c>
      <c r="F104" s="94"/>
      <c r="G104" s="94"/>
      <c r="H104" s="95"/>
      <c r="I104" s="16"/>
      <c r="J104" s="14">
        <f t="shared" ref="J104:K104" si="18">J62+J64+J70+J82+J90+J106+J96</f>
        <v>140408</v>
      </c>
      <c r="K104" s="14">
        <f t="shared" si="18"/>
        <v>196329</v>
      </c>
      <c r="L104" s="14">
        <f t="shared" ref="L104:N104" si="19">L62+L64+L70+L82+L90+L106+L96+L72+L74+L96+L112</f>
        <v>2268171</v>
      </c>
      <c r="M104" s="14">
        <f t="shared" si="19"/>
        <v>366641</v>
      </c>
      <c r="N104" s="14">
        <f t="shared" si="19"/>
        <v>381798</v>
      </c>
      <c r="O104" s="14"/>
      <c r="P104" s="14"/>
      <c r="Q104" s="14"/>
      <c r="R104" s="14"/>
      <c r="S104" s="14"/>
      <c r="T104" s="14">
        <f t="shared" ref="T104:U104" si="20">T62+T64+T70+T82+T90+T106+T96</f>
        <v>0</v>
      </c>
      <c r="U104" s="14">
        <f t="shared" si="20"/>
        <v>0</v>
      </c>
      <c r="V104" s="14"/>
      <c r="W104" s="1"/>
      <c r="X104" s="1"/>
      <c r="Y104" s="1"/>
      <c r="Z104" s="1"/>
    </row>
    <row r="105" spans="1:26" ht="14.25" customHeight="1" x14ac:dyDescent="0.45">
      <c r="A105" s="1"/>
      <c r="B105" s="1" t="s">
        <v>84</v>
      </c>
      <c r="C105" s="44"/>
      <c r="D105" s="44"/>
      <c r="E105" s="33">
        <v>1</v>
      </c>
      <c r="F105" s="99" t="s">
        <v>85</v>
      </c>
      <c r="G105" s="94"/>
      <c r="H105" s="95"/>
      <c r="I105" s="16" t="s">
        <v>29</v>
      </c>
      <c r="J105" s="29"/>
      <c r="K105" s="29"/>
      <c r="L105" s="29"/>
      <c r="M105" s="29"/>
      <c r="N105" s="29"/>
      <c r="O105" s="19"/>
      <c r="P105" s="29"/>
      <c r="Q105" s="19"/>
      <c r="R105" s="29"/>
      <c r="S105" s="27"/>
      <c r="T105" s="30"/>
      <c r="U105" s="29"/>
      <c r="V105" s="21">
        <f t="shared" ref="V105:V112" si="21">SUM(J105:U105)</f>
        <v>0</v>
      </c>
      <c r="W105" s="1"/>
      <c r="X105" s="1"/>
      <c r="Y105" s="1"/>
      <c r="Z105" s="1"/>
    </row>
    <row r="106" spans="1:26" ht="14.25" customHeight="1" x14ac:dyDescent="0.45">
      <c r="A106" s="1"/>
      <c r="B106" s="1" t="s">
        <v>84</v>
      </c>
      <c r="C106" s="44"/>
      <c r="D106" s="44"/>
      <c r="E106" s="32"/>
      <c r="F106" s="25"/>
      <c r="G106" s="25"/>
      <c r="H106" s="26"/>
      <c r="I106" s="16" t="s">
        <v>30</v>
      </c>
      <c r="J106" s="29"/>
      <c r="K106" s="29"/>
      <c r="L106" s="29"/>
      <c r="M106" s="29"/>
      <c r="N106" s="29"/>
      <c r="O106" s="19"/>
      <c r="P106" s="29"/>
      <c r="Q106" s="19"/>
      <c r="R106" s="29"/>
      <c r="S106" s="27"/>
      <c r="T106" s="30"/>
      <c r="U106" s="29"/>
      <c r="V106" s="21">
        <f t="shared" si="21"/>
        <v>0</v>
      </c>
      <c r="W106" s="1"/>
      <c r="X106" s="1"/>
      <c r="Y106" s="1"/>
      <c r="Z106" s="1"/>
    </row>
    <row r="107" spans="1:26" ht="14.25" customHeight="1" x14ac:dyDescent="0.45">
      <c r="A107" s="1"/>
      <c r="B107" s="1" t="s">
        <v>86</v>
      </c>
      <c r="C107" s="48"/>
      <c r="D107" s="44"/>
      <c r="E107" s="33">
        <v>2</v>
      </c>
      <c r="F107" s="99" t="s">
        <v>87</v>
      </c>
      <c r="G107" s="94"/>
      <c r="H107" s="95"/>
      <c r="I107" s="16" t="s">
        <v>29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30"/>
      <c r="T107" s="30"/>
      <c r="U107" s="29"/>
      <c r="V107" s="21">
        <f t="shared" si="21"/>
        <v>0</v>
      </c>
      <c r="W107" s="1"/>
      <c r="X107" s="1"/>
      <c r="Y107" s="1"/>
      <c r="Z107" s="1"/>
    </row>
    <row r="108" spans="1:26" ht="14.25" customHeight="1" x14ac:dyDescent="0.45">
      <c r="A108" s="1"/>
      <c r="B108" s="1" t="s">
        <v>86</v>
      </c>
      <c r="C108" s="48"/>
      <c r="D108" s="44"/>
      <c r="E108" s="32"/>
      <c r="F108" s="25"/>
      <c r="G108" s="25"/>
      <c r="H108" s="26"/>
      <c r="I108" s="16" t="s">
        <v>30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30"/>
      <c r="T108" s="30"/>
      <c r="U108" s="29"/>
      <c r="V108" s="21">
        <f t="shared" si="21"/>
        <v>0</v>
      </c>
      <c r="W108" s="1"/>
      <c r="X108" s="1"/>
      <c r="Y108" s="1"/>
      <c r="Z108" s="1"/>
    </row>
    <row r="109" spans="1:26" ht="14.25" customHeight="1" x14ac:dyDescent="0.45">
      <c r="A109" s="1"/>
      <c r="B109" s="1" t="s">
        <v>88</v>
      </c>
      <c r="C109" s="44"/>
      <c r="D109" s="44"/>
      <c r="E109" s="33">
        <v>3</v>
      </c>
      <c r="F109" s="99" t="s">
        <v>89</v>
      </c>
      <c r="G109" s="94"/>
      <c r="H109" s="95"/>
      <c r="I109" s="16" t="s">
        <v>29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30"/>
      <c r="T109" s="30"/>
      <c r="U109" s="29"/>
      <c r="V109" s="21">
        <f t="shared" si="21"/>
        <v>0</v>
      </c>
      <c r="W109" s="1"/>
      <c r="X109" s="1"/>
      <c r="Y109" s="1"/>
      <c r="Z109" s="1"/>
    </row>
    <row r="110" spans="1:26" ht="14.25" customHeight="1" x14ac:dyDescent="0.45">
      <c r="A110" s="1"/>
      <c r="B110" s="1" t="s">
        <v>88</v>
      </c>
      <c r="C110" s="44"/>
      <c r="D110" s="44"/>
      <c r="E110" s="32"/>
      <c r="F110" s="25"/>
      <c r="G110" s="25"/>
      <c r="H110" s="26"/>
      <c r="I110" s="16" t="s">
        <v>30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30"/>
      <c r="T110" s="30"/>
      <c r="U110" s="29"/>
      <c r="V110" s="21">
        <f t="shared" si="21"/>
        <v>0</v>
      </c>
      <c r="W110" s="1"/>
      <c r="X110" s="1"/>
      <c r="Y110" s="1"/>
      <c r="Z110" s="1"/>
    </row>
    <row r="111" spans="1:26" ht="14.25" customHeight="1" x14ac:dyDescent="0.45">
      <c r="A111" s="1"/>
      <c r="B111" s="1" t="s">
        <v>90</v>
      </c>
      <c r="C111" s="44"/>
      <c r="D111" s="44"/>
      <c r="E111" s="33">
        <v>4</v>
      </c>
      <c r="F111" s="99" t="s">
        <v>91</v>
      </c>
      <c r="G111" s="94"/>
      <c r="H111" s="95"/>
      <c r="I111" s="16" t="s">
        <v>29</v>
      </c>
      <c r="J111" s="29"/>
      <c r="K111" s="29"/>
      <c r="L111" s="19">
        <v>6</v>
      </c>
      <c r="M111" s="19">
        <v>1</v>
      </c>
      <c r="N111" s="20">
        <v>1</v>
      </c>
      <c r="O111" s="29"/>
      <c r="P111" s="29"/>
      <c r="Q111" s="29"/>
      <c r="R111" s="29"/>
      <c r="S111" s="30"/>
      <c r="T111" s="30"/>
      <c r="U111" s="29"/>
      <c r="V111" s="21">
        <f t="shared" si="21"/>
        <v>8</v>
      </c>
      <c r="W111" s="1"/>
      <c r="X111" s="1"/>
      <c r="Y111" s="1"/>
      <c r="Z111" s="1"/>
    </row>
    <row r="112" spans="1:26" ht="14.25" customHeight="1" x14ac:dyDescent="0.45">
      <c r="A112" s="1"/>
      <c r="B112" s="1" t="s">
        <v>90</v>
      </c>
      <c r="C112" s="48"/>
      <c r="D112" s="44"/>
      <c r="E112" s="47"/>
      <c r="F112" s="37"/>
      <c r="G112" s="37"/>
      <c r="H112" s="38"/>
      <c r="I112" s="16" t="s">
        <v>30</v>
      </c>
      <c r="J112" s="29"/>
      <c r="K112" s="29"/>
      <c r="L112" s="19">
        <v>6793</v>
      </c>
      <c r="M112" s="19">
        <v>460</v>
      </c>
      <c r="N112" s="20">
        <v>2744</v>
      </c>
      <c r="O112" s="29"/>
      <c r="P112" s="29"/>
      <c r="Q112" s="29"/>
      <c r="R112" s="29"/>
      <c r="S112" s="30"/>
      <c r="T112" s="30"/>
      <c r="U112" s="29"/>
      <c r="V112" s="21">
        <f t="shared" si="21"/>
        <v>9997</v>
      </c>
      <c r="W112" s="1"/>
      <c r="X112" s="1"/>
      <c r="Y112" s="1"/>
      <c r="Z112" s="1"/>
    </row>
    <row r="113" spans="1:26" ht="14.25" customHeight="1" x14ac:dyDescent="0.45">
      <c r="A113" s="1"/>
      <c r="C113" s="44"/>
      <c r="D113" s="44"/>
      <c r="E113" s="96"/>
      <c r="F113" s="94"/>
      <c r="G113" s="94"/>
      <c r="H113" s="95"/>
      <c r="I113" s="1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"/>
      <c r="X113" s="1"/>
      <c r="Y113" s="1"/>
      <c r="Z113" s="1"/>
    </row>
    <row r="114" spans="1:26" ht="14.25" customHeight="1" x14ac:dyDescent="0.45">
      <c r="A114" s="1"/>
      <c r="C114" s="15"/>
      <c r="D114" s="100" t="s">
        <v>92</v>
      </c>
      <c r="E114" s="81"/>
      <c r="F114" s="81"/>
      <c r="G114" s="81"/>
      <c r="H114" s="82"/>
      <c r="I114" s="16" t="s">
        <v>29</v>
      </c>
      <c r="J114" s="21">
        <f t="shared" ref="J114:V114" ca="1" si="22">SUMIF($I$20:$V$112,$I114,J$20:J$112)</f>
        <v>69</v>
      </c>
      <c r="K114" s="21">
        <f t="shared" ca="1" si="22"/>
        <v>119</v>
      </c>
      <c r="L114" s="21">
        <f t="shared" ca="1" si="22"/>
        <v>335</v>
      </c>
      <c r="M114" s="21">
        <f t="shared" ca="1" si="22"/>
        <v>128</v>
      </c>
      <c r="N114" s="21">
        <f t="shared" ca="1" si="22"/>
        <v>123</v>
      </c>
      <c r="O114" s="21">
        <f t="shared" ca="1" si="22"/>
        <v>0</v>
      </c>
      <c r="P114" s="21">
        <f t="shared" ca="1" si="22"/>
        <v>0</v>
      </c>
      <c r="Q114" s="21">
        <f t="shared" ca="1" si="22"/>
        <v>0</v>
      </c>
      <c r="R114" s="21">
        <f t="shared" ca="1" si="22"/>
        <v>0</v>
      </c>
      <c r="S114" s="21">
        <f t="shared" ca="1" si="22"/>
        <v>0</v>
      </c>
      <c r="T114" s="21">
        <f t="shared" ca="1" si="22"/>
        <v>0</v>
      </c>
      <c r="U114" s="21">
        <f t="shared" ca="1" si="22"/>
        <v>0</v>
      </c>
      <c r="V114" s="21">
        <f t="shared" ca="1" si="22"/>
        <v>774</v>
      </c>
      <c r="W114" s="1"/>
      <c r="X114" s="1"/>
      <c r="Y114" s="1"/>
      <c r="Z114" s="1"/>
    </row>
    <row r="115" spans="1:26" ht="14.25" customHeight="1" x14ac:dyDescent="0.45">
      <c r="A115" s="1"/>
      <c r="C115" s="32"/>
      <c r="D115" s="90"/>
      <c r="E115" s="91"/>
      <c r="F115" s="91"/>
      <c r="G115" s="91"/>
      <c r="H115" s="92"/>
      <c r="I115" s="16" t="s">
        <v>30</v>
      </c>
      <c r="J115" s="21">
        <f t="shared" ref="J115:V115" ca="1" si="23">SUMIF($I$20:$V$112,$I115,J$20:J$112)</f>
        <v>378287</v>
      </c>
      <c r="K115" s="21">
        <f t="shared" ca="1" si="23"/>
        <v>616564</v>
      </c>
      <c r="L115" s="21">
        <f t="shared" ca="1" si="23"/>
        <v>2630101</v>
      </c>
      <c r="M115" s="21">
        <f t="shared" ca="1" si="23"/>
        <v>706268</v>
      </c>
      <c r="N115" s="21">
        <f t="shared" ca="1" si="23"/>
        <v>653472</v>
      </c>
      <c r="O115" s="21">
        <f t="shared" ca="1" si="23"/>
        <v>0</v>
      </c>
      <c r="P115" s="21">
        <f t="shared" ca="1" si="23"/>
        <v>0</v>
      </c>
      <c r="Q115" s="21">
        <f t="shared" ca="1" si="23"/>
        <v>0</v>
      </c>
      <c r="R115" s="21">
        <f t="shared" ca="1" si="23"/>
        <v>0</v>
      </c>
      <c r="S115" s="21">
        <f t="shared" ca="1" si="23"/>
        <v>0</v>
      </c>
      <c r="T115" s="21">
        <f t="shared" ca="1" si="23"/>
        <v>0</v>
      </c>
      <c r="U115" s="21">
        <f t="shared" ca="1" si="23"/>
        <v>0</v>
      </c>
      <c r="V115" s="21">
        <f t="shared" ca="1" si="23"/>
        <v>4984692</v>
      </c>
      <c r="W115" s="1"/>
      <c r="X115" s="1"/>
      <c r="Y115" s="1"/>
      <c r="Z115" s="1"/>
    </row>
    <row r="116" spans="1:26" ht="14.25" customHeight="1" x14ac:dyDescent="0.45">
      <c r="A116" s="1"/>
      <c r="C116" s="32"/>
      <c r="D116" s="50"/>
      <c r="E116" s="51"/>
      <c r="F116" s="51"/>
      <c r="G116" s="51"/>
      <c r="H116" s="52"/>
      <c r="I116" s="16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"/>
      <c r="X116" s="1"/>
      <c r="Y116" s="1"/>
      <c r="Z116" s="1"/>
    </row>
    <row r="117" spans="1:26" ht="14.25" customHeight="1" x14ac:dyDescent="0.45">
      <c r="A117" s="1"/>
      <c r="B117" s="53"/>
      <c r="C117" s="15">
        <v>2</v>
      </c>
      <c r="D117" s="96" t="s">
        <v>93</v>
      </c>
      <c r="E117" s="94"/>
      <c r="F117" s="94"/>
      <c r="G117" s="94"/>
      <c r="H117" s="95"/>
      <c r="I117" s="16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"/>
      <c r="X117" s="1"/>
      <c r="Y117" s="1"/>
      <c r="Z117" s="1"/>
    </row>
    <row r="118" spans="1:26" ht="14.25" customHeight="1" x14ac:dyDescent="0.45">
      <c r="A118" s="1"/>
      <c r="B118" s="53"/>
      <c r="C118" s="32"/>
      <c r="D118" s="15">
        <v>1</v>
      </c>
      <c r="E118" s="96" t="s">
        <v>25</v>
      </c>
      <c r="F118" s="94"/>
      <c r="G118" s="94"/>
      <c r="H118" s="95"/>
      <c r="I118" s="16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"/>
      <c r="X118" s="1"/>
      <c r="Y118" s="1"/>
      <c r="Z118" s="1"/>
    </row>
    <row r="119" spans="1:26" ht="14.25" customHeight="1" x14ac:dyDescent="0.45">
      <c r="A119" s="1"/>
      <c r="B119" s="53"/>
      <c r="C119" s="15"/>
      <c r="D119" s="15"/>
      <c r="E119" s="17">
        <v>1</v>
      </c>
      <c r="F119" s="96" t="s">
        <v>26</v>
      </c>
      <c r="G119" s="94"/>
      <c r="H119" s="95"/>
      <c r="I119" s="13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"/>
      <c r="X119" s="1"/>
      <c r="Y119" s="1"/>
      <c r="Z119" s="1"/>
    </row>
    <row r="120" spans="1:26" ht="14.25" customHeight="1" x14ac:dyDescent="0.45">
      <c r="A120" s="1"/>
      <c r="B120" s="53" t="s">
        <v>94</v>
      </c>
      <c r="C120" s="15"/>
      <c r="D120" s="15"/>
      <c r="E120" s="17"/>
      <c r="F120" s="17">
        <v>1</v>
      </c>
      <c r="G120" s="96" t="s">
        <v>28</v>
      </c>
      <c r="H120" s="95"/>
      <c r="I120" s="16" t="s">
        <v>29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1">
        <f t="shared" ref="V120:V137" si="24">SUM(J120:U120)</f>
        <v>0</v>
      </c>
      <c r="W120" s="1"/>
      <c r="X120" s="1"/>
      <c r="Y120" s="1"/>
      <c r="Z120" s="1"/>
    </row>
    <row r="121" spans="1:26" ht="14.25" customHeight="1" x14ac:dyDescent="0.45">
      <c r="A121" s="1"/>
      <c r="B121" s="53" t="s">
        <v>94</v>
      </c>
      <c r="C121" s="15"/>
      <c r="D121" s="15"/>
      <c r="E121" s="23"/>
      <c r="F121" s="24"/>
      <c r="G121" s="25"/>
      <c r="H121" s="26"/>
      <c r="I121" s="16" t="s">
        <v>30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1">
        <f t="shared" si="24"/>
        <v>0</v>
      </c>
      <c r="W121" s="1"/>
      <c r="X121" s="1"/>
      <c r="Y121" s="1"/>
      <c r="Z121" s="1"/>
    </row>
    <row r="122" spans="1:26" ht="14.25" customHeight="1" x14ac:dyDescent="0.45">
      <c r="A122" s="1"/>
      <c r="B122" s="53" t="s">
        <v>95</v>
      </c>
      <c r="C122" s="15"/>
      <c r="D122" s="15"/>
      <c r="E122" s="17"/>
      <c r="F122" s="17">
        <v>2</v>
      </c>
      <c r="G122" s="96" t="s">
        <v>32</v>
      </c>
      <c r="H122" s="95"/>
      <c r="I122" s="16" t="s">
        <v>29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1">
        <f t="shared" si="24"/>
        <v>0</v>
      </c>
      <c r="W122" s="1"/>
      <c r="X122" s="1"/>
      <c r="Y122" s="1"/>
      <c r="Z122" s="1"/>
    </row>
    <row r="123" spans="1:26" ht="14.25" customHeight="1" x14ac:dyDescent="0.45">
      <c r="A123" s="1"/>
      <c r="B123" s="53" t="s">
        <v>95</v>
      </c>
      <c r="C123" s="15"/>
      <c r="D123" s="15"/>
      <c r="E123" s="15"/>
      <c r="F123" s="24"/>
      <c r="G123" s="25"/>
      <c r="H123" s="26"/>
      <c r="I123" s="16" t="s">
        <v>30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1">
        <f t="shared" si="24"/>
        <v>0</v>
      </c>
      <c r="W123" s="1"/>
      <c r="X123" s="1"/>
      <c r="Y123" s="1"/>
      <c r="Z123" s="1"/>
    </row>
    <row r="124" spans="1:26" ht="14.25" customHeight="1" x14ac:dyDescent="0.45">
      <c r="A124" s="1"/>
      <c r="B124" s="53" t="s">
        <v>96</v>
      </c>
      <c r="C124" s="15"/>
      <c r="D124" s="15"/>
      <c r="E124" s="23"/>
      <c r="F124" s="17">
        <v>3</v>
      </c>
      <c r="G124" s="96" t="s">
        <v>34</v>
      </c>
      <c r="H124" s="95"/>
      <c r="I124" s="16" t="s">
        <v>29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1">
        <f t="shared" si="24"/>
        <v>0</v>
      </c>
      <c r="W124" s="1"/>
      <c r="X124" s="1"/>
      <c r="Y124" s="1"/>
      <c r="Z124" s="1"/>
    </row>
    <row r="125" spans="1:26" ht="14.25" customHeight="1" x14ac:dyDescent="0.45">
      <c r="A125" s="1"/>
      <c r="B125" s="53" t="s">
        <v>96</v>
      </c>
      <c r="C125" s="15"/>
      <c r="D125" s="15"/>
      <c r="E125" s="23"/>
      <c r="F125" s="24"/>
      <c r="G125" s="25"/>
      <c r="H125" s="26"/>
      <c r="I125" s="16" t="s">
        <v>30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1">
        <f t="shared" si="24"/>
        <v>0</v>
      </c>
      <c r="W125" s="1"/>
      <c r="X125" s="1"/>
      <c r="Y125" s="1"/>
      <c r="Z125" s="1"/>
    </row>
    <row r="126" spans="1:26" ht="14.25" customHeight="1" x14ac:dyDescent="0.45">
      <c r="A126" s="1"/>
      <c r="B126" s="53" t="s">
        <v>97</v>
      </c>
      <c r="C126" s="15"/>
      <c r="D126" s="15"/>
      <c r="E126" s="17"/>
      <c r="F126" s="17">
        <v>4</v>
      </c>
      <c r="G126" s="96" t="s">
        <v>36</v>
      </c>
      <c r="H126" s="95"/>
      <c r="I126" s="16" t="s">
        <v>29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1">
        <f t="shared" si="24"/>
        <v>0</v>
      </c>
      <c r="W126" s="1"/>
      <c r="X126" s="1"/>
      <c r="Y126" s="1"/>
      <c r="Z126" s="1"/>
    </row>
    <row r="127" spans="1:26" ht="14.25" customHeight="1" x14ac:dyDescent="0.45">
      <c r="A127" s="1"/>
      <c r="B127" s="53" t="s">
        <v>97</v>
      </c>
      <c r="C127" s="15"/>
      <c r="D127" s="15"/>
      <c r="E127" s="15"/>
      <c r="F127" s="24"/>
      <c r="G127" s="25"/>
      <c r="H127" s="26"/>
      <c r="I127" s="16" t="s">
        <v>30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1">
        <f t="shared" si="24"/>
        <v>0</v>
      </c>
      <c r="W127" s="1"/>
      <c r="X127" s="1"/>
      <c r="Y127" s="1"/>
      <c r="Z127" s="1"/>
    </row>
    <row r="128" spans="1:26" ht="14.25" customHeight="1" x14ac:dyDescent="0.45">
      <c r="A128" s="1"/>
      <c r="B128" s="53" t="s">
        <v>98</v>
      </c>
      <c r="C128" s="15"/>
      <c r="D128" s="15"/>
      <c r="E128" s="17"/>
      <c r="F128" s="17">
        <v>5</v>
      </c>
      <c r="G128" s="96" t="s">
        <v>38</v>
      </c>
      <c r="H128" s="95"/>
      <c r="I128" s="16" t="s">
        <v>29</v>
      </c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1">
        <f t="shared" si="24"/>
        <v>0</v>
      </c>
      <c r="W128" s="1"/>
      <c r="X128" s="1"/>
      <c r="Y128" s="1"/>
      <c r="Z128" s="1"/>
    </row>
    <row r="129" spans="1:26" ht="14.25" customHeight="1" x14ac:dyDescent="0.45">
      <c r="A129" s="1"/>
      <c r="B129" s="53" t="s">
        <v>98</v>
      </c>
      <c r="C129" s="15"/>
      <c r="D129" s="15"/>
      <c r="E129" s="33"/>
      <c r="F129" s="24"/>
      <c r="G129" s="25"/>
      <c r="H129" s="26"/>
      <c r="I129" s="16" t="s">
        <v>30</v>
      </c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1">
        <f t="shared" si="24"/>
        <v>0</v>
      </c>
      <c r="W129" s="1"/>
      <c r="X129" s="1"/>
      <c r="Y129" s="1"/>
      <c r="Z129" s="1"/>
    </row>
    <row r="130" spans="1:26" ht="14.25" customHeight="1" x14ac:dyDescent="0.45">
      <c r="A130" s="1"/>
      <c r="B130" s="53" t="s">
        <v>99</v>
      </c>
      <c r="C130" s="15"/>
      <c r="D130" s="15"/>
      <c r="E130" s="17"/>
      <c r="F130" s="17">
        <v>6</v>
      </c>
      <c r="G130" s="96" t="s">
        <v>40</v>
      </c>
      <c r="H130" s="95"/>
      <c r="I130" s="16" t="s">
        <v>29</v>
      </c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1">
        <f t="shared" si="24"/>
        <v>0</v>
      </c>
      <c r="W130" s="1"/>
      <c r="X130" s="1"/>
      <c r="Y130" s="1"/>
      <c r="Z130" s="1"/>
    </row>
    <row r="131" spans="1:26" ht="14.25" customHeight="1" x14ac:dyDescent="0.45">
      <c r="A131" s="1"/>
      <c r="B131" s="53" t="s">
        <v>99</v>
      </c>
      <c r="C131" s="15"/>
      <c r="D131" s="15"/>
      <c r="E131" s="33"/>
      <c r="F131" s="24"/>
      <c r="G131" s="25"/>
      <c r="H131" s="26"/>
      <c r="I131" s="16" t="s">
        <v>30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1">
        <f t="shared" si="24"/>
        <v>0</v>
      </c>
      <c r="W131" s="1"/>
      <c r="X131" s="1"/>
      <c r="Y131" s="1"/>
      <c r="Z131" s="1"/>
    </row>
    <row r="132" spans="1:26" ht="14.25" customHeight="1" x14ac:dyDescent="0.45">
      <c r="A132" s="1"/>
      <c r="B132" s="53" t="s">
        <v>100</v>
      </c>
      <c r="C132" s="15"/>
      <c r="D132" s="15"/>
      <c r="E132" s="17"/>
      <c r="F132" s="54">
        <v>7</v>
      </c>
      <c r="G132" s="96" t="s">
        <v>42</v>
      </c>
      <c r="H132" s="95"/>
      <c r="I132" s="16" t="s">
        <v>29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1">
        <f t="shared" si="24"/>
        <v>0</v>
      </c>
      <c r="W132" s="1"/>
      <c r="X132" s="1"/>
      <c r="Y132" s="1"/>
      <c r="Z132" s="1"/>
    </row>
    <row r="133" spans="1:26" ht="14.25" customHeight="1" x14ac:dyDescent="0.45">
      <c r="A133" s="1"/>
      <c r="B133" s="53" t="s">
        <v>100</v>
      </c>
      <c r="C133" s="15"/>
      <c r="D133" s="15"/>
      <c r="E133" s="17"/>
      <c r="F133" s="24"/>
      <c r="G133" s="25"/>
      <c r="H133" s="26"/>
      <c r="I133" s="16" t="s">
        <v>30</v>
      </c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1">
        <f t="shared" si="24"/>
        <v>0</v>
      </c>
      <c r="W133" s="1"/>
      <c r="X133" s="1"/>
      <c r="Y133" s="1"/>
      <c r="Z133" s="1"/>
    </row>
    <row r="134" spans="1:26" ht="14.25" customHeight="1" x14ac:dyDescent="0.45">
      <c r="A134" s="1"/>
      <c r="B134" s="53" t="s">
        <v>101</v>
      </c>
      <c r="C134" s="15"/>
      <c r="D134" s="15"/>
      <c r="E134" s="23"/>
      <c r="F134" s="55">
        <v>8</v>
      </c>
      <c r="G134" s="98" t="s">
        <v>102</v>
      </c>
      <c r="H134" s="95"/>
      <c r="I134" s="16" t="s">
        <v>29</v>
      </c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1">
        <f t="shared" si="24"/>
        <v>0</v>
      </c>
      <c r="W134" s="1"/>
      <c r="X134" s="1"/>
      <c r="Y134" s="1"/>
      <c r="Z134" s="1"/>
    </row>
    <row r="135" spans="1:26" ht="14.25" customHeight="1" x14ac:dyDescent="0.45">
      <c r="A135" s="1"/>
      <c r="B135" s="53" t="s">
        <v>101</v>
      </c>
      <c r="C135" s="15"/>
      <c r="D135" s="15"/>
      <c r="E135" s="23"/>
      <c r="F135" s="55"/>
      <c r="G135" s="25"/>
      <c r="H135" s="26"/>
      <c r="I135" s="16" t="s">
        <v>30</v>
      </c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1">
        <f t="shared" si="24"/>
        <v>0</v>
      </c>
      <c r="W135" s="1"/>
      <c r="X135" s="1"/>
      <c r="Y135" s="1"/>
      <c r="Z135" s="1"/>
    </row>
    <row r="136" spans="1:26" ht="14.25" customHeight="1" x14ac:dyDescent="0.45">
      <c r="A136" s="1"/>
      <c r="B136" s="53" t="s">
        <v>103</v>
      </c>
      <c r="C136" s="15"/>
      <c r="D136" s="15"/>
      <c r="E136" s="17"/>
      <c r="F136" s="55">
        <v>9</v>
      </c>
      <c r="G136" s="99" t="s">
        <v>91</v>
      </c>
      <c r="H136" s="95"/>
      <c r="I136" s="16" t="s">
        <v>29</v>
      </c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1">
        <f t="shared" si="24"/>
        <v>0</v>
      </c>
      <c r="W136" s="1"/>
      <c r="X136" s="1"/>
      <c r="Y136" s="1"/>
      <c r="Z136" s="1"/>
    </row>
    <row r="137" spans="1:26" ht="14.25" customHeight="1" x14ac:dyDescent="0.45">
      <c r="A137" s="1"/>
      <c r="B137" s="53" t="s">
        <v>103</v>
      </c>
      <c r="C137" s="32"/>
      <c r="D137" s="15"/>
      <c r="E137" s="96"/>
      <c r="F137" s="94"/>
      <c r="G137" s="94"/>
      <c r="H137" s="95"/>
      <c r="I137" s="16" t="s">
        <v>30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1">
        <f t="shared" si="24"/>
        <v>0</v>
      </c>
      <c r="W137" s="1"/>
      <c r="X137" s="1"/>
      <c r="Y137" s="1"/>
      <c r="Z137" s="1"/>
    </row>
    <row r="138" spans="1:26" ht="14.25" customHeight="1" x14ac:dyDescent="0.45">
      <c r="A138" s="1"/>
      <c r="B138" s="53"/>
      <c r="C138" s="32"/>
      <c r="D138" s="15">
        <v>2</v>
      </c>
      <c r="E138" s="96" t="s">
        <v>61</v>
      </c>
      <c r="F138" s="94"/>
      <c r="G138" s="94"/>
      <c r="H138" s="95"/>
      <c r="I138" s="1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"/>
      <c r="X138" s="1"/>
      <c r="Y138" s="1"/>
      <c r="Z138" s="1"/>
    </row>
    <row r="139" spans="1:26" ht="14.25" customHeight="1" x14ac:dyDescent="0.45">
      <c r="A139" s="1"/>
      <c r="B139" s="53"/>
      <c r="C139" s="15"/>
      <c r="D139" s="15"/>
      <c r="E139" s="17">
        <v>1</v>
      </c>
      <c r="F139" s="96" t="s">
        <v>26</v>
      </c>
      <c r="G139" s="94"/>
      <c r="H139" s="95"/>
      <c r="I139" s="1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"/>
      <c r="X139" s="1"/>
      <c r="Y139" s="1"/>
      <c r="Z139" s="1"/>
    </row>
    <row r="140" spans="1:26" ht="14.25" customHeight="1" x14ac:dyDescent="0.45">
      <c r="A140" s="1"/>
      <c r="B140" s="53" t="s">
        <v>104</v>
      </c>
      <c r="C140" s="15"/>
      <c r="D140" s="15"/>
      <c r="E140" s="17"/>
      <c r="F140" s="17">
        <v>1</v>
      </c>
      <c r="G140" s="96" t="s">
        <v>28</v>
      </c>
      <c r="H140" s="95"/>
      <c r="I140" s="16" t="s">
        <v>29</v>
      </c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1">
        <f t="shared" ref="V140:V157" si="25">SUM(J140:U140)</f>
        <v>0</v>
      </c>
      <c r="W140" s="1"/>
      <c r="X140" s="1"/>
      <c r="Y140" s="1"/>
      <c r="Z140" s="1"/>
    </row>
    <row r="141" spans="1:26" ht="14.25" customHeight="1" x14ac:dyDescent="0.45">
      <c r="A141" s="1"/>
      <c r="B141" s="53" t="s">
        <v>104</v>
      </c>
      <c r="C141" s="15"/>
      <c r="D141" s="15"/>
      <c r="E141" s="23"/>
      <c r="F141" s="24"/>
      <c r="G141" s="25"/>
      <c r="H141" s="26"/>
      <c r="I141" s="16" t="s">
        <v>30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1">
        <f t="shared" si="25"/>
        <v>0</v>
      </c>
      <c r="W141" s="1"/>
      <c r="X141" s="1"/>
      <c r="Y141" s="1"/>
      <c r="Z141" s="1"/>
    </row>
    <row r="142" spans="1:26" ht="14.25" customHeight="1" x14ac:dyDescent="0.45">
      <c r="A142" s="1"/>
      <c r="B142" s="53" t="s">
        <v>105</v>
      </c>
      <c r="C142" s="15"/>
      <c r="D142" s="15"/>
      <c r="E142" s="17"/>
      <c r="F142" s="17">
        <v>2</v>
      </c>
      <c r="G142" s="96" t="s">
        <v>32</v>
      </c>
      <c r="H142" s="95"/>
      <c r="I142" s="16" t="s">
        <v>29</v>
      </c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1">
        <f t="shared" si="25"/>
        <v>0</v>
      </c>
      <c r="W142" s="1"/>
      <c r="X142" s="1"/>
      <c r="Y142" s="1"/>
      <c r="Z142" s="1"/>
    </row>
    <row r="143" spans="1:26" ht="14.25" customHeight="1" x14ac:dyDescent="0.45">
      <c r="A143" s="1"/>
      <c r="B143" s="53" t="s">
        <v>105</v>
      </c>
      <c r="C143" s="15"/>
      <c r="D143" s="15"/>
      <c r="E143" s="15"/>
      <c r="F143" s="24"/>
      <c r="G143" s="25"/>
      <c r="H143" s="26"/>
      <c r="I143" s="16" t="s">
        <v>30</v>
      </c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1">
        <f t="shared" si="25"/>
        <v>0</v>
      </c>
      <c r="W143" s="1"/>
      <c r="X143" s="1"/>
      <c r="Y143" s="1"/>
      <c r="Z143" s="1"/>
    </row>
    <row r="144" spans="1:26" ht="14.25" customHeight="1" x14ac:dyDescent="0.45">
      <c r="A144" s="1"/>
      <c r="B144" s="53" t="s">
        <v>106</v>
      </c>
      <c r="C144" s="15"/>
      <c r="D144" s="15"/>
      <c r="E144" s="23"/>
      <c r="F144" s="17">
        <v>3</v>
      </c>
      <c r="G144" s="96" t="s">
        <v>34</v>
      </c>
      <c r="H144" s="95"/>
      <c r="I144" s="16" t="s">
        <v>29</v>
      </c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1">
        <f t="shared" si="25"/>
        <v>0</v>
      </c>
      <c r="W144" s="1"/>
      <c r="X144" s="1"/>
      <c r="Y144" s="1"/>
      <c r="Z144" s="1"/>
    </row>
    <row r="145" spans="1:26" ht="14.25" customHeight="1" x14ac:dyDescent="0.45">
      <c r="A145" s="1"/>
      <c r="B145" s="53" t="s">
        <v>106</v>
      </c>
      <c r="C145" s="15"/>
      <c r="D145" s="15"/>
      <c r="E145" s="23"/>
      <c r="F145" s="24"/>
      <c r="G145" s="25"/>
      <c r="H145" s="26"/>
      <c r="I145" s="16" t="s">
        <v>30</v>
      </c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1">
        <f t="shared" si="25"/>
        <v>0</v>
      </c>
      <c r="W145" s="1"/>
      <c r="X145" s="1"/>
      <c r="Y145" s="1"/>
      <c r="Z145" s="1"/>
    </row>
    <row r="146" spans="1:26" ht="14.25" customHeight="1" x14ac:dyDescent="0.45">
      <c r="A146" s="1"/>
      <c r="B146" s="53" t="s">
        <v>107</v>
      </c>
      <c r="C146" s="15"/>
      <c r="D146" s="15"/>
      <c r="E146" s="17"/>
      <c r="F146" s="17">
        <v>4</v>
      </c>
      <c r="G146" s="96" t="s">
        <v>36</v>
      </c>
      <c r="H146" s="95"/>
      <c r="I146" s="16" t="s">
        <v>29</v>
      </c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1">
        <f t="shared" si="25"/>
        <v>0</v>
      </c>
      <c r="W146" s="1"/>
      <c r="X146" s="1"/>
      <c r="Y146" s="1"/>
      <c r="Z146" s="1"/>
    </row>
    <row r="147" spans="1:26" ht="14.25" customHeight="1" x14ac:dyDescent="0.45">
      <c r="A147" s="1"/>
      <c r="B147" s="53" t="s">
        <v>107</v>
      </c>
      <c r="C147" s="15"/>
      <c r="D147" s="15"/>
      <c r="E147" s="15"/>
      <c r="F147" s="24"/>
      <c r="G147" s="25"/>
      <c r="H147" s="26"/>
      <c r="I147" s="16" t="s">
        <v>30</v>
      </c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1">
        <f t="shared" si="25"/>
        <v>0</v>
      </c>
      <c r="W147" s="1"/>
      <c r="X147" s="1"/>
      <c r="Y147" s="1"/>
      <c r="Z147" s="1"/>
    </row>
    <row r="148" spans="1:26" ht="14.25" customHeight="1" x14ac:dyDescent="0.45">
      <c r="A148" s="1"/>
      <c r="B148" s="53" t="s">
        <v>108</v>
      </c>
      <c r="C148" s="15"/>
      <c r="D148" s="15"/>
      <c r="E148" s="17"/>
      <c r="F148" s="17">
        <v>5</v>
      </c>
      <c r="G148" s="96" t="s">
        <v>38</v>
      </c>
      <c r="H148" s="95"/>
      <c r="I148" s="16" t="s">
        <v>29</v>
      </c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1">
        <f t="shared" si="25"/>
        <v>0</v>
      </c>
      <c r="W148" s="1"/>
      <c r="X148" s="1"/>
      <c r="Y148" s="1"/>
      <c r="Z148" s="1"/>
    </row>
    <row r="149" spans="1:26" ht="14.25" customHeight="1" x14ac:dyDescent="0.45">
      <c r="A149" s="1"/>
      <c r="B149" s="53" t="s">
        <v>108</v>
      </c>
      <c r="C149" s="15"/>
      <c r="D149" s="15"/>
      <c r="E149" s="33"/>
      <c r="F149" s="24"/>
      <c r="G149" s="25"/>
      <c r="H149" s="26"/>
      <c r="I149" s="16" t="s">
        <v>30</v>
      </c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1">
        <f t="shared" si="25"/>
        <v>0</v>
      </c>
      <c r="W149" s="1"/>
      <c r="X149" s="1"/>
      <c r="Y149" s="1"/>
      <c r="Z149" s="1"/>
    </row>
    <row r="150" spans="1:26" ht="14.25" customHeight="1" x14ac:dyDescent="0.45">
      <c r="A150" s="1"/>
      <c r="B150" s="53" t="s">
        <v>109</v>
      </c>
      <c r="C150" s="15"/>
      <c r="D150" s="15"/>
      <c r="E150" s="17"/>
      <c r="F150" s="17">
        <v>6</v>
      </c>
      <c r="G150" s="96" t="s">
        <v>40</v>
      </c>
      <c r="H150" s="95"/>
      <c r="I150" s="16" t="s">
        <v>29</v>
      </c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1">
        <f t="shared" si="25"/>
        <v>0</v>
      </c>
      <c r="W150" s="1"/>
      <c r="X150" s="1"/>
      <c r="Y150" s="1"/>
      <c r="Z150" s="1"/>
    </row>
    <row r="151" spans="1:26" ht="14.25" customHeight="1" x14ac:dyDescent="0.45">
      <c r="A151" s="1"/>
      <c r="B151" s="53" t="s">
        <v>109</v>
      </c>
      <c r="C151" s="15"/>
      <c r="D151" s="15"/>
      <c r="E151" s="33"/>
      <c r="F151" s="24"/>
      <c r="G151" s="25"/>
      <c r="H151" s="26"/>
      <c r="I151" s="16" t="s">
        <v>30</v>
      </c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1">
        <f t="shared" si="25"/>
        <v>0</v>
      </c>
      <c r="W151" s="1"/>
      <c r="X151" s="1"/>
      <c r="Y151" s="1"/>
      <c r="Z151" s="1"/>
    </row>
    <row r="152" spans="1:26" ht="14.25" customHeight="1" x14ac:dyDescent="0.45">
      <c r="A152" s="1"/>
      <c r="B152" s="53" t="s">
        <v>110</v>
      </c>
      <c r="C152" s="15"/>
      <c r="D152" s="15"/>
      <c r="E152" s="17"/>
      <c r="F152" s="54">
        <v>7</v>
      </c>
      <c r="G152" s="96" t="s">
        <v>42</v>
      </c>
      <c r="H152" s="95"/>
      <c r="I152" s="16" t="s">
        <v>29</v>
      </c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1">
        <f t="shared" si="25"/>
        <v>0</v>
      </c>
      <c r="W152" s="1"/>
      <c r="X152" s="1"/>
      <c r="Y152" s="1"/>
      <c r="Z152" s="1"/>
    </row>
    <row r="153" spans="1:26" ht="14.25" customHeight="1" x14ac:dyDescent="0.45">
      <c r="A153" s="1"/>
      <c r="B153" s="53" t="s">
        <v>110</v>
      </c>
      <c r="C153" s="15"/>
      <c r="D153" s="15"/>
      <c r="E153" s="17"/>
      <c r="F153" s="24"/>
      <c r="G153" s="25"/>
      <c r="H153" s="26"/>
      <c r="I153" s="16" t="s">
        <v>30</v>
      </c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1">
        <f t="shared" si="25"/>
        <v>0</v>
      </c>
      <c r="W153" s="1"/>
      <c r="X153" s="1"/>
      <c r="Y153" s="1"/>
      <c r="Z153" s="1"/>
    </row>
    <row r="154" spans="1:26" ht="14.25" customHeight="1" x14ac:dyDescent="0.45">
      <c r="A154" s="1"/>
      <c r="B154" s="53" t="s">
        <v>111</v>
      </c>
      <c r="C154" s="15"/>
      <c r="D154" s="15"/>
      <c r="E154" s="23"/>
      <c r="F154" s="55">
        <v>8</v>
      </c>
      <c r="G154" s="98" t="s">
        <v>102</v>
      </c>
      <c r="H154" s="95"/>
      <c r="I154" s="16" t="s">
        <v>29</v>
      </c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1">
        <f t="shared" si="25"/>
        <v>0</v>
      </c>
      <c r="W154" s="1"/>
      <c r="X154" s="1"/>
      <c r="Y154" s="1"/>
      <c r="Z154" s="1"/>
    </row>
    <row r="155" spans="1:26" ht="14.25" customHeight="1" x14ac:dyDescent="0.45">
      <c r="A155" s="1"/>
      <c r="B155" s="53" t="s">
        <v>111</v>
      </c>
      <c r="C155" s="15"/>
      <c r="D155" s="15"/>
      <c r="E155" s="23"/>
      <c r="F155" s="55"/>
      <c r="G155" s="25"/>
      <c r="H155" s="26"/>
      <c r="I155" s="16" t="s">
        <v>30</v>
      </c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1">
        <f t="shared" si="25"/>
        <v>0</v>
      </c>
      <c r="W155" s="1"/>
      <c r="X155" s="1"/>
      <c r="Y155" s="1"/>
      <c r="Z155" s="1"/>
    </row>
    <row r="156" spans="1:26" ht="14.25" customHeight="1" x14ac:dyDescent="0.45">
      <c r="A156" s="1"/>
      <c r="B156" s="53" t="s">
        <v>112</v>
      </c>
      <c r="C156" s="15"/>
      <c r="D156" s="15"/>
      <c r="E156" s="17"/>
      <c r="F156" s="55">
        <v>9</v>
      </c>
      <c r="G156" s="99" t="s">
        <v>91</v>
      </c>
      <c r="H156" s="95"/>
      <c r="I156" s="16" t="s">
        <v>29</v>
      </c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1">
        <f t="shared" si="25"/>
        <v>0</v>
      </c>
      <c r="W156" s="1"/>
      <c r="X156" s="1"/>
      <c r="Y156" s="1"/>
      <c r="Z156" s="1"/>
    </row>
    <row r="157" spans="1:26" ht="14.25" customHeight="1" x14ac:dyDescent="0.45">
      <c r="A157" s="1"/>
      <c r="B157" s="53" t="s">
        <v>112</v>
      </c>
      <c r="C157" s="32"/>
      <c r="D157" s="15"/>
      <c r="E157" s="47"/>
      <c r="F157" s="56"/>
      <c r="G157" s="37"/>
      <c r="H157" s="38"/>
      <c r="I157" s="16" t="s">
        <v>30</v>
      </c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1">
        <f t="shared" si="25"/>
        <v>0</v>
      </c>
      <c r="W157" s="1"/>
      <c r="X157" s="1"/>
      <c r="Y157" s="1"/>
      <c r="Z157" s="1"/>
    </row>
    <row r="158" spans="1:26" ht="14.25" customHeight="1" x14ac:dyDescent="0.45">
      <c r="A158" s="1"/>
      <c r="B158" s="53"/>
      <c r="C158" s="32"/>
      <c r="D158" s="57"/>
      <c r="E158" s="58"/>
      <c r="F158" s="58"/>
      <c r="G158" s="58"/>
      <c r="H158" s="59"/>
      <c r="I158" s="1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"/>
      <c r="X158" s="1"/>
      <c r="Y158" s="1"/>
      <c r="Z158" s="1"/>
    </row>
    <row r="159" spans="1:26" ht="14.25" customHeight="1" x14ac:dyDescent="0.45">
      <c r="A159" s="1"/>
      <c r="B159" s="53"/>
      <c r="C159" s="32"/>
      <c r="D159" s="100" t="s">
        <v>113</v>
      </c>
      <c r="E159" s="81"/>
      <c r="F159" s="81"/>
      <c r="G159" s="81"/>
      <c r="H159" s="82"/>
      <c r="I159" s="16" t="s">
        <v>29</v>
      </c>
      <c r="J159" s="21">
        <f t="shared" ref="J159:V159" ca="1" si="26">SUMIF($I$120:$V$157,$I159,J$120:J$157)</f>
        <v>0</v>
      </c>
      <c r="K159" s="21">
        <f t="shared" ca="1" si="26"/>
        <v>0</v>
      </c>
      <c r="L159" s="21">
        <f t="shared" ca="1" si="26"/>
        <v>0</v>
      </c>
      <c r="M159" s="21">
        <f t="shared" ca="1" si="26"/>
        <v>0</v>
      </c>
      <c r="N159" s="21">
        <f t="shared" ca="1" si="26"/>
        <v>0</v>
      </c>
      <c r="O159" s="21">
        <f t="shared" ca="1" si="26"/>
        <v>0</v>
      </c>
      <c r="P159" s="21">
        <f t="shared" ca="1" si="26"/>
        <v>0</v>
      </c>
      <c r="Q159" s="21">
        <f t="shared" ca="1" si="26"/>
        <v>0</v>
      </c>
      <c r="R159" s="21">
        <f t="shared" ca="1" si="26"/>
        <v>0</v>
      </c>
      <c r="S159" s="21">
        <f t="shared" ca="1" si="26"/>
        <v>0</v>
      </c>
      <c r="T159" s="21">
        <f t="shared" ca="1" si="26"/>
        <v>0</v>
      </c>
      <c r="U159" s="21">
        <f t="shared" ca="1" si="26"/>
        <v>0</v>
      </c>
      <c r="V159" s="21">
        <f t="shared" ca="1" si="26"/>
        <v>0</v>
      </c>
      <c r="W159" s="1"/>
      <c r="X159" s="1"/>
      <c r="Y159" s="1"/>
      <c r="Z159" s="1"/>
    </row>
    <row r="160" spans="1:26" ht="14.25" customHeight="1" x14ac:dyDescent="0.45">
      <c r="A160" s="1"/>
      <c r="B160" s="53"/>
      <c r="C160" s="32"/>
      <c r="D160" s="90"/>
      <c r="E160" s="91"/>
      <c r="F160" s="91"/>
      <c r="G160" s="91"/>
      <c r="H160" s="92"/>
      <c r="I160" s="16" t="s">
        <v>30</v>
      </c>
      <c r="J160" s="21">
        <f t="shared" ref="J160:V160" ca="1" si="27">SUMIF($I$120:$V$157,$I160,J$120:J$157)</f>
        <v>0</v>
      </c>
      <c r="K160" s="21">
        <f t="shared" ca="1" si="27"/>
        <v>0</v>
      </c>
      <c r="L160" s="21">
        <f t="shared" ca="1" si="27"/>
        <v>0</v>
      </c>
      <c r="M160" s="21">
        <f t="shared" ca="1" si="27"/>
        <v>0</v>
      </c>
      <c r="N160" s="21">
        <f t="shared" ca="1" si="27"/>
        <v>0</v>
      </c>
      <c r="O160" s="21">
        <f t="shared" ca="1" si="27"/>
        <v>0</v>
      </c>
      <c r="P160" s="21">
        <f t="shared" ca="1" si="27"/>
        <v>0</v>
      </c>
      <c r="Q160" s="21">
        <f t="shared" ca="1" si="27"/>
        <v>0</v>
      </c>
      <c r="R160" s="21">
        <f t="shared" ca="1" si="27"/>
        <v>0</v>
      </c>
      <c r="S160" s="21">
        <f t="shared" ca="1" si="27"/>
        <v>0</v>
      </c>
      <c r="T160" s="21">
        <f t="shared" ca="1" si="27"/>
        <v>0</v>
      </c>
      <c r="U160" s="21">
        <f t="shared" ca="1" si="27"/>
        <v>0</v>
      </c>
      <c r="V160" s="21">
        <f t="shared" ca="1" si="27"/>
        <v>0</v>
      </c>
      <c r="W160" s="1"/>
      <c r="X160" s="1"/>
      <c r="Y160" s="1"/>
      <c r="Z160" s="1"/>
    </row>
    <row r="161" spans="1:26" ht="14.25" customHeight="1" x14ac:dyDescent="0.45">
      <c r="A161" s="1"/>
      <c r="B161" s="53"/>
      <c r="C161" s="32"/>
      <c r="D161" s="50"/>
      <c r="E161" s="51"/>
      <c r="F161" s="51"/>
      <c r="G161" s="51"/>
      <c r="H161" s="52"/>
      <c r="I161" s="1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"/>
      <c r="X161" s="1"/>
      <c r="Y161" s="1"/>
      <c r="Z161" s="1"/>
    </row>
    <row r="162" spans="1:26" ht="14.25" customHeight="1" x14ac:dyDescent="0.45">
      <c r="A162" s="1"/>
      <c r="B162" s="53"/>
      <c r="C162" s="15">
        <v>3</v>
      </c>
      <c r="D162" s="96" t="s">
        <v>114</v>
      </c>
      <c r="E162" s="94"/>
      <c r="F162" s="94"/>
      <c r="G162" s="94"/>
      <c r="H162" s="95"/>
      <c r="I162" s="1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"/>
      <c r="X162" s="1"/>
      <c r="Y162" s="1"/>
      <c r="Z162" s="1"/>
    </row>
    <row r="163" spans="1:26" ht="14.25" customHeight="1" x14ac:dyDescent="0.45">
      <c r="A163" s="1"/>
      <c r="B163" s="53"/>
      <c r="C163" s="32"/>
      <c r="D163" s="15">
        <v>1</v>
      </c>
      <c r="E163" s="96" t="s">
        <v>25</v>
      </c>
      <c r="F163" s="94"/>
      <c r="G163" s="94"/>
      <c r="H163" s="95"/>
      <c r="I163" s="1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"/>
      <c r="X163" s="1"/>
      <c r="Y163" s="1"/>
      <c r="Z163" s="1"/>
    </row>
    <row r="164" spans="1:26" ht="14.25" customHeight="1" x14ac:dyDescent="0.45">
      <c r="A164" s="1"/>
      <c r="B164" s="53"/>
      <c r="C164" s="15"/>
      <c r="D164" s="15"/>
      <c r="E164" s="17">
        <v>1</v>
      </c>
      <c r="F164" s="96" t="s">
        <v>26</v>
      </c>
      <c r="G164" s="94"/>
      <c r="H164" s="95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"/>
      <c r="X164" s="1"/>
      <c r="Y164" s="1"/>
      <c r="Z164" s="1"/>
    </row>
    <row r="165" spans="1:26" ht="14.25" customHeight="1" x14ac:dyDescent="0.45">
      <c r="A165" s="1"/>
      <c r="B165" s="53" t="s">
        <v>115</v>
      </c>
      <c r="C165" s="15"/>
      <c r="D165" s="15"/>
      <c r="E165" s="17"/>
      <c r="F165" s="17">
        <v>1</v>
      </c>
      <c r="G165" s="96" t="s">
        <v>28</v>
      </c>
      <c r="H165" s="95"/>
      <c r="I165" s="16" t="s">
        <v>29</v>
      </c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21">
        <f t="shared" ref="V165:V182" si="28">SUM(J165:U165)</f>
        <v>0</v>
      </c>
      <c r="W165" s="1"/>
      <c r="X165" s="1"/>
      <c r="Y165" s="1"/>
      <c r="Z165" s="1"/>
    </row>
    <row r="166" spans="1:26" ht="14.25" customHeight="1" x14ac:dyDescent="0.45">
      <c r="A166" s="1"/>
      <c r="B166" s="53" t="s">
        <v>115</v>
      </c>
      <c r="C166" s="15"/>
      <c r="D166" s="15"/>
      <c r="E166" s="23"/>
      <c r="F166" s="24"/>
      <c r="G166" s="25"/>
      <c r="H166" s="26"/>
      <c r="I166" s="16" t="s">
        <v>30</v>
      </c>
      <c r="J166" s="45"/>
      <c r="K166" s="27"/>
      <c r="L166" s="27"/>
      <c r="M166" s="27"/>
      <c r="N166" s="19"/>
      <c r="O166" s="27"/>
      <c r="P166" s="19"/>
      <c r="Q166" s="19"/>
      <c r="R166" s="19"/>
      <c r="S166" s="27"/>
      <c r="T166" s="27"/>
      <c r="U166" s="19"/>
      <c r="V166" s="21">
        <f t="shared" si="28"/>
        <v>0</v>
      </c>
      <c r="W166" s="1"/>
      <c r="X166" s="1"/>
      <c r="Y166" s="1"/>
      <c r="Z166" s="1"/>
    </row>
    <row r="167" spans="1:26" ht="14.25" customHeight="1" x14ac:dyDescent="0.45">
      <c r="A167" s="1"/>
      <c r="B167" s="53" t="s">
        <v>116</v>
      </c>
      <c r="C167" s="15"/>
      <c r="D167" s="15"/>
      <c r="E167" s="17"/>
      <c r="F167" s="17">
        <v>2</v>
      </c>
      <c r="G167" s="96" t="s">
        <v>32</v>
      </c>
      <c r="H167" s="95"/>
      <c r="I167" s="16" t="s">
        <v>29</v>
      </c>
      <c r="J167" s="19">
        <v>11</v>
      </c>
      <c r="K167" s="27">
        <v>19</v>
      </c>
      <c r="L167" s="27">
        <v>13</v>
      </c>
      <c r="M167" s="27">
        <v>11</v>
      </c>
      <c r="N167" s="20">
        <v>16</v>
      </c>
      <c r="O167" s="27"/>
      <c r="P167" s="19"/>
      <c r="Q167" s="19"/>
      <c r="R167" s="19"/>
      <c r="S167" s="27"/>
      <c r="T167" s="27"/>
      <c r="U167" s="19"/>
      <c r="V167" s="21">
        <f t="shared" si="28"/>
        <v>70</v>
      </c>
      <c r="W167" s="1"/>
      <c r="X167" s="1"/>
      <c r="Y167" s="1"/>
      <c r="Z167" s="1"/>
    </row>
    <row r="168" spans="1:26" ht="14.25" customHeight="1" x14ac:dyDescent="0.45">
      <c r="A168" s="1"/>
      <c r="B168" s="53" t="s">
        <v>116</v>
      </c>
      <c r="C168" s="15"/>
      <c r="D168" s="15"/>
      <c r="E168" s="15"/>
      <c r="F168" s="24"/>
      <c r="G168" s="25"/>
      <c r="H168" s="26"/>
      <c r="I168" s="16" t="s">
        <v>30</v>
      </c>
      <c r="J168" s="19">
        <v>287597</v>
      </c>
      <c r="K168" s="27">
        <v>356298</v>
      </c>
      <c r="L168" s="27">
        <v>286600</v>
      </c>
      <c r="M168" s="27">
        <v>258250</v>
      </c>
      <c r="N168" s="20">
        <v>416164</v>
      </c>
      <c r="O168" s="27"/>
      <c r="P168" s="19"/>
      <c r="Q168" s="19"/>
      <c r="R168" s="19"/>
      <c r="S168" s="27"/>
      <c r="T168" s="27"/>
      <c r="U168" s="19"/>
      <c r="V168" s="21">
        <f t="shared" si="28"/>
        <v>1604909</v>
      </c>
      <c r="W168" s="1"/>
      <c r="X168" s="1"/>
      <c r="Y168" s="1"/>
      <c r="Z168" s="1"/>
    </row>
    <row r="169" spans="1:26" ht="14.25" customHeight="1" x14ac:dyDescent="0.45">
      <c r="A169" s="1"/>
      <c r="B169" s="53" t="s">
        <v>117</v>
      </c>
      <c r="C169" s="15"/>
      <c r="D169" s="15"/>
      <c r="E169" s="23"/>
      <c r="F169" s="17">
        <v>3</v>
      </c>
      <c r="G169" s="96" t="s">
        <v>34</v>
      </c>
      <c r="H169" s="95"/>
      <c r="I169" s="16" t="s">
        <v>29</v>
      </c>
      <c r="J169" s="19">
        <v>15</v>
      </c>
      <c r="K169" s="27">
        <v>12</v>
      </c>
      <c r="L169" s="27">
        <v>20</v>
      </c>
      <c r="M169" s="27">
        <v>11</v>
      </c>
      <c r="N169" s="20">
        <v>20</v>
      </c>
      <c r="O169" s="27"/>
      <c r="P169" s="19"/>
      <c r="Q169" s="19"/>
      <c r="R169" s="19"/>
      <c r="S169" s="27"/>
      <c r="T169" s="27"/>
      <c r="U169" s="19"/>
      <c r="V169" s="21">
        <f t="shared" si="28"/>
        <v>78</v>
      </c>
      <c r="W169" s="1"/>
      <c r="X169" s="1"/>
      <c r="Y169" s="1"/>
      <c r="Z169" s="1"/>
    </row>
    <row r="170" spans="1:26" ht="14.25" customHeight="1" x14ac:dyDescent="0.45">
      <c r="A170" s="1"/>
      <c r="B170" s="53" t="s">
        <v>117</v>
      </c>
      <c r="C170" s="15"/>
      <c r="D170" s="15"/>
      <c r="E170" s="23"/>
      <c r="F170" s="24"/>
      <c r="G170" s="25"/>
      <c r="H170" s="26"/>
      <c r="I170" s="16" t="s">
        <v>30</v>
      </c>
      <c r="J170" s="19">
        <v>358895</v>
      </c>
      <c r="K170" s="27">
        <v>343586</v>
      </c>
      <c r="L170" s="27">
        <v>433765</v>
      </c>
      <c r="M170" s="27">
        <v>323756</v>
      </c>
      <c r="N170" s="20">
        <v>474495</v>
      </c>
      <c r="O170" s="27"/>
      <c r="P170" s="19"/>
      <c r="Q170" s="19"/>
      <c r="R170" s="19"/>
      <c r="S170" s="27"/>
      <c r="T170" s="27"/>
      <c r="U170" s="19"/>
      <c r="V170" s="21">
        <f t="shared" si="28"/>
        <v>1934497</v>
      </c>
      <c r="W170" s="1"/>
      <c r="X170" s="1"/>
      <c r="Y170" s="1"/>
      <c r="Z170" s="1"/>
    </row>
    <row r="171" spans="1:26" ht="14.25" customHeight="1" x14ac:dyDescent="0.45">
      <c r="A171" s="1"/>
      <c r="B171" s="53" t="s">
        <v>118</v>
      </c>
      <c r="C171" s="15"/>
      <c r="D171" s="15"/>
      <c r="E171" s="17"/>
      <c r="F171" s="17">
        <v>4</v>
      </c>
      <c r="G171" s="96" t="s">
        <v>36</v>
      </c>
      <c r="H171" s="95"/>
      <c r="I171" s="16" t="s">
        <v>29</v>
      </c>
      <c r="J171" s="19">
        <v>16</v>
      </c>
      <c r="K171" s="27">
        <v>23</v>
      </c>
      <c r="L171" s="27">
        <v>22</v>
      </c>
      <c r="M171" s="27">
        <v>17</v>
      </c>
      <c r="N171" s="20">
        <v>20</v>
      </c>
      <c r="O171" s="27"/>
      <c r="P171" s="19"/>
      <c r="Q171" s="19"/>
      <c r="R171" s="19"/>
      <c r="S171" s="27"/>
      <c r="T171" s="27"/>
      <c r="U171" s="19"/>
      <c r="V171" s="21">
        <f t="shared" si="28"/>
        <v>98</v>
      </c>
      <c r="W171" s="1"/>
      <c r="X171" s="1"/>
      <c r="Y171" s="1"/>
      <c r="Z171" s="1"/>
    </row>
    <row r="172" spans="1:26" ht="14.25" customHeight="1" x14ac:dyDescent="0.45">
      <c r="A172" s="1"/>
      <c r="B172" s="53" t="s">
        <v>118</v>
      </c>
      <c r="C172" s="15"/>
      <c r="D172" s="15"/>
      <c r="E172" s="15"/>
      <c r="F172" s="24"/>
      <c r="G172" s="25"/>
      <c r="H172" s="26"/>
      <c r="I172" s="16" t="s">
        <v>30</v>
      </c>
      <c r="J172" s="19">
        <v>128975</v>
      </c>
      <c r="K172" s="27">
        <v>198191</v>
      </c>
      <c r="L172" s="27">
        <v>177563</v>
      </c>
      <c r="M172" s="27">
        <v>90344</v>
      </c>
      <c r="N172" s="20">
        <v>139096</v>
      </c>
      <c r="O172" s="27"/>
      <c r="P172" s="19"/>
      <c r="Q172" s="19"/>
      <c r="R172" s="19"/>
      <c r="S172" s="27"/>
      <c r="T172" s="27"/>
      <c r="U172" s="19"/>
      <c r="V172" s="21">
        <f t="shared" si="28"/>
        <v>734169</v>
      </c>
      <c r="W172" s="1"/>
      <c r="X172" s="1"/>
      <c r="Y172" s="1"/>
      <c r="Z172" s="1"/>
    </row>
    <row r="173" spans="1:26" ht="14.25" customHeight="1" x14ac:dyDescent="0.45">
      <c r="A173" s="1"/>
      <c r="B173" s="53" t="s">
        <v>119</v>
      </c>
      <c r="C173" s="15"/>
      <c r="D173" s="15"/>
      <c r="E173" s="17"/>
      <c r="F173" s="17">
        <v>5</v>
      </c>
      <c r="G173" s="96" t="s">
        <v>38</v>
      </c>
      <c r="H173" s="95"/>
      <c r="I173" s="16" t="s">
        <v>29</v>
      </c>
      <c r="J173" s="45"/>
      <c r="K173" s="27"/>
      <c r="L173" s="30"/>
      <c r="M173" s="27">
        <v>1</v>
      </c>
      <c r="N173" s="31"/>
      <c r="O173" s="27"/>
      <c r="P173" s="19"/>
      <c r="Q173" s="19"/>
      <c r="R173" s="19"/>
      <c r="S173" s="27"/>
      <c r="T173" s="27"/>
      <c r="U173" s="19"/>
      <c r="V173" s="21">
        <f t="shared" si="28"/>
        <v>1</v>
      </c>
      <c r="W173" s="1"/>
      <c r="X173" s="1"/>
      <c r="Y173" s="1"/>
      <c r="Z173" s="1"/>
    </row>
    <row r="174" spans="1:26" ht="14.25" customHeight="1" x14ac:dyDescent="0.45">
      <c r="A174" s="1"/>
      <c r="B174" s="53" t="s">
        <v>119</v>
      </c>
      <c r="C174" s="15"/>
      <c r="D174" s="15"/>
      <c r="E174" s="33"/>
      <c r="F174" s="24"/>
      <c r="G174" s="25"/>
      <c r="H174" s="26"/>
      <c r="I174" s="16" t="s">
        <v>30</v>
      </c>
      <c r="J174" s="45"/>
      <c r="K174" s="27"/>
      <c r="L174" s="30"/>
      <c r="M174" s="27">
        <v>34986</v>
      </c>
      <c r="N174" s="31"/>
      <c r="O174" s="27"/>
      <c r="P174" s="19"/>
      <c r="Q174" s="19"/>
      <c r="R174" s="19"/>
      <c r="S174" s="27"/>
      <c r="T174" s="27"/>
      <c r="U174" s="19"/>
      <c r="V174" s="21">
        <f t="shared" si="28"/>
        <v>34986</v>
      </c>
      <c r="W174" s="1"/>
      <c r="X174" s="1"/>
      <c r="Y174" s="1"/>
      <c r="Z174" s="1"/>
    </row>
    <row r="175" spans="1:26" ht="14.25" customHeight="1" x14ac:dyDescent="0.45">
      <c r="A175" s="1"/>
      <c r="B175" s="53" t="s">
        <v>120</v>
      </c>
      <c r="C175" s="15"/>
      <c r="D175" s="15"/>
      <c r="E175" s="17"/>
      <c r="F175" s="17">
        <v>6</v>
      </c>
      <c r="G175" s="96" t="s">
        <v>40</v>
      </c>
      <c r="H175" s="95"/>
      <c r="I175" s="16" t="s">
        <v>29</v>
      </c>
      <c r="J175" s="60"/>
      <c r="K175" s="29"/>
      <c r="L175" s="30"/>
      <c r="M175" s="29"/>
      <c r="N175" s="31"/>
      <c r="O175" s="35"/>
      <c r="P175" s="29"/>
      <c r="Q175" s="29"/>
      <c r="R175" s="29"/>
      <c r="S175" s="30"/>
      <c r="T175" s="30"/>
      <c r="U175" s="29"/>
      <c r="V175" s="21">
        <f t="shared" si="28"/>
        <v>0</v>
      </c>
      <c r="W175" s="1"/>
      <c r="X175" s="1"/>
      <c r="Y175" s="1"/>
      <c r="Z175" s="1"/>
    </row>
    <row r="176" spans="1:26" ht="14.25" customHeight="1" x14ac:dyDescent="0.45">
      <c r="A176" s="1"/>
      <c r="B176" s="53" t="s">
        <v>120</v>
      </c>
      <c r="C176" s="15"/>
      <c r="D176" s="15"/>
      <c r="E176" s="33"/>
      <c r="F176" s="24"/>
      <c r="G176" s="25"/>
      <c r="H176" s="26"/>
      <c r="I176" s="16" t="s">
        <v>30</v>
      </c>
      <c r="J176" s="29"/>
      <c r="K176" s="29"/>
      <c r="L176" s="30"/>
      <c r="M176" s="29"/>
      <c r="N176" s="31"/>
      <c r="O176" s="35"/>
      <c r="P176" s="29"/>
      <c r="Q176" s="29"/>
      <c r="R176" s="29"/>
      <c r="S176" s="30"/>
      <c r="T176" s="30"/>
      <c r="U176" s="29"/>
      <c r="V176" s="21">
        <f t="shared" si="28"/>
        <v>0</v>
      </c>
      <c r="W176" s="1"/>
      <c r="X176" s="1"/>
      <c r="Y176" s="1"/>
      <c r="Z176" s="1"/>
    </row>
    <row r="177" spans="1:26" ht="14.25" customHeight="1" x14ac:dyDescent="0.45">
      <c r="A177" s="1"/>
      <c r="B177" s="53" t="s">
        <v>121</v>
      </c>
      <c r="C177" s="15"/>
      <c r="D177" s="15"/>
      <c r="E177" s="17"/>
      <c r="F177" s="54">
        <v>7</v>
      </c>
      <c r="G177" s="96" t="s">
        <v>42</v>
      </c>
      <c r="H177" s="95"/>
      <c r="I177" s="16" t="s">
        <v>29</v>
      </c>
      <c r="J177" s="29"/>
      <c r="K177" s="29"/>
      <c r="L177" s="30"/>
      <c r="M177" s="29"/>
      <c r="N177" s="31"/>
      <c r="O177" s="35"/>
      <c r="P177" s="29"/>
      <c r="Q177" s="29"/>
      <c r="R177" s="29"/>
      <c r="S177" s="30"/>
      <c r="T177" s="30"/>
      <c r="U177" s="29"/>
      <c r="V177" s="21">
        <f t="shared" si="28"/>
        <v>0</v>
      </c>
      <c r="W177" s="1"/>
      <c r="X177" s="1"/>
      <c r="Y177" s="1"/>
      <c r="Z177" s="1"/>
    </row>
    <row r="178" spans="1:26" ht="14.25" customHeight="1" x14ac:dyDescent="0.45">
      <c r="A178" s="1"/>
      <c r="B178" s="53" t="s">
        <v>121</v>
      </c>
      <c r="C178" s="15"/>
      <c r="D178" s="15"/>
      <c r="E178" s="17"/>
      <c r="F178" s="24"/>
      <c r="G178" s="25"/>
      <c r="H178" s="26"/>
      <c r="I178" s="16" t="s">
        <v>30</v>
      </c>
      <c r="J178" s="29"/>
      <c r="K178" s="29"/>
      <c r="L178" s="30"/>
      <c r="M178" s="29"/>
      <c r="N178" s="31"/>
      <c r="O178" s="35"/>
      <c r="P178" s="29"/>
      <c r="Q178" s="29"/>
      <c r="R178" s="29"/>
      <c r="S178" s="30"/>
      <c r="T178" s="30"/>
      <c r="U178" s="29"/>
      <c r="V178" s="21">
        <f t="shared" si="28"/>
        <v>0</v>
      </c>
      <c r="W178" s="1"/>
      <c r="X178" s="1"/>
      <c r="Y178" s="1"/>
      <c r="Z178" s="1"/>
    </row>
    <row r="179" spans="1:26" ht="14.25" customHeight="1" x14ac:dyDescent="0.45">
      <c r="A179" s="1"/>
      <c r="B179" s="53" t="s">
        <v>122</v>
      </c>
      <c r="C179" s="15"/>
      <c r="D179" s="15"/>
      <c r="E179" s="23"/>
      <c r="F179" s="55">
        <v>8</v>
      </c>
      <c r="G179" s="98" t="s">
        <v>102</v>
      </c>
      <c r="H179" s="95"/>
      <c r="I179" s="16" t="s">
        <v>29</v>
      </c>
      <c r="J179" s="29"/>
      <c r="K179" s="29"/>
      <c r="L179" s="30"/>
      <c r="M179" s="29"/>
      <c r="N179" s="31"/>
      <c r="O179" s="41"/>
      <c r="P179" s="19"/>
      <c r="Q179" s="19"/>
      <c r="R179" s="29"/>
      <c r="S179" s="30"/>
      <c r="T179" s="30"/>
      <c r="U179" s="29"/>
      <c r="V179" s="21">
        <f t="shared" si="28"/>
        <v>0</v>
      </c>
      <c r="W179" s="1"/>
      <c r="X179" s="1"/>
      <c r="Y179" s="1"/>
      <c r="Z179" s="1"/>
    </row>
    <row r="180" spans="1:26" ht="14.25" customHeight="1" x14ac:dyDescent="0.45">
      <c r="A180" s="1"/>
      <c r="B180" s="53" t="s">
        <v>122</v>
      </c>
      <c r="C180" s="15"/>
      <c r="D180" s="15"/>
      <c r="E180" s="23"/>
      <c r="F180" s="55"/>
      <c r="G180" s="25"/>
      <c r="H180" s="26"/>
      <c r="I180" s="16" t="s">
        <v>30</v>
      </c>
      <c r="J180" s="29"/>
      <c r="K180" s="29"/>
      <c r="L180" s="30"/>
      <c r="M180" s="29"/>
      <c r="N180" s="31"/>
      <c r="O180" s="41"/>
      <c r="P180" s="19"/>
      <c r="Q180" s="19"/>
      <c r="R180" s="29"/>
      <c r="S180" s="30"/>
      <c r="T180" s="30"/>
      <c r="U180" s="29"/>
      <c r="V180" s="21">
        <f t="shared" si="28"/>
        <v>0</v>
      </c>
      <c r="W180" s="1"/>
      <c r="X180" s="1"/>
      <c r="Y180" s="1"/>
      <c r="Z180" s="1"/>
    </row>
    <row r="181" spans="1:26" ht="14.25" customHeight="1" x14ac:dyDescent="0.45">
      <c r="A181" s="1"/>
      <c r="B181" s="53" t="s">
        <v>123</v>
      </c>
      <c r="C181" s="15"/>
      <c r="D181" s="15"/>
      <c r="E181" s="17"/>
      <c r="F181" s="55">
        <v>9</v>
      </c>
      <c r="G181" s="99" t="s">
        <v>91</v>
      </c>
      <c r="H181" s="95"/>
      <c r="I181" s="16" t="s">
        <v>29</v>
      </c>
      <c r="J181" s="29"/>
      <c r="K181" s="29"/>
      <c r="L181" s="30"/>
      <c r="M181" s="29"/>
      <c r="N181" s="31"/>
      <c r="O181" s="35"/>
      <c r="P181" s="29"/>
      <c r="Q181" s="29"/>
      <c r="R181" s="29"/>
      <c r="S181" s="30"/>
      <c r="T181" s="30"/>
      <c r="U181" s="29"/>
      <c r="V181" s="21">
        <f t="shared" si="28"/>
        <v>0</v>
      </c>
      <c r="W181" s="1"/>
      <c r="X181" s="1"/>
      <c r="Y181" s="1"/>
      <c r="Z181" s="1"/>
    </row>
    <row r="182" spans="1:26" ht="14.25" customHeight="1" x14ac:dyDescent="0.45">
      <c r="A182" s="1"/>
      <c r="B182" s="53" t="s">
        <v>123</v>
      </c>
      <c r="C182" s="32"/>
      <c r="D182" s="15"/>
      <c r="E182" s="96"/>
      <c r="F182" s="94"/>
      <c r="G182" s="94"/>
      <c r="H182" s="95"/>
      <c r="I182" s="16" t="s">
        <v>30</v>
      </c>
      <c r="J182" s="29"/>
      <c r="K182" s="29"/>
      <c r="L182" s="30"/>
      <c r="M182" s="29"/>
      <c r="N182" s="31"/>
      <c r="O182" s="35"/>
      <c r="P182" s="29"/>
      <c r="Q182" s="29"/>
      <c r="R182" s="29"/>
      <c r="S182" s="30"/>
      <c r="T182" s="30"/>
      <c r="U182" s="29"/>
      <c r="V182" s="21">
        <f t="shared" si="28"/>
        <v>0</v>
      </c>
      <c r="W182" s="1"/>
      <c r="X182" s="1"/>
      <c r="Y182" s="1"/>
      <c r="Z182" s="1"/>
    </row>
    <row r="183" spans="1:26" ht="14.25" customHeight="1" x14ac:dyDescent="0.45">
      <c r="A183" s="1"/>
      <c r="B183" s="53"/>
      <c r="C183" s="32"/>
      <c r="D183" s="15">
        <v>2</v>
      </c>
      <c r="E183" s="96" t="s">
        <v>61</v>
      </c>
      <c r="F183" s="94"/>
      <c r="G183" s="94"/>
      <c r="H183" s="95"/>
      <c r="I183" s="16"/>
      <c r="J183" s="14">
        <f t="shared" ref="J183:N183" si="29">J165+J167+J169+J171+J173</f>
        <v>42</v>
      </c>
      <c r="K183" s="14">
        <f t="shared" si="29"/>
        <v>54</v>
      </c>
      <c r="L183" s="14">
        <f t="shared" si="29"/>
        <v>55</v>
      </c>
      <c r="M183" s="14">
        <f t="shared" si="29"/>
        <v>40</v>
      </c>
      <c r="N183" s="14">
        <f t="shared" si="29"/>
        <v>56</v>
      </c>
      <c r="O183" s="14"/>
      <c r="P183" s="14"/>
      <c r="Q183" s="14"/>
      <c r="R183" s="14"/>
      <c r="S183" s="14"/>
      <c r="T183" s="14">
        <f t="shared" ref="T183:U183" si="30">T165+T167+T169+T171+T173</f>
        <v>0</v>
      </c>
      <c r="U183" s="14">
        <f t="shared" si="30"/>
        <v>0</v>
      </c>
      <c r="V183" s="14"/>
      <c r="W183" s="1"/>
      <c r="X183" s="1"/>
      <c r="Y183" s="1"/>
      <c r="Z183" s="1"/>
    </row>
    <row r="184" spans="1:26" ht="14.25" customHeight="1" x14ac:dyDescent="0.45">
      <c r="A184" s="1"/>
      <c r="B184" s="53"/>
      <c r="C184" s="15"/>
      <c r="D184" s="15"/>
      <c r="E184" s="17">
        <v>1</v>
      </c>
      <c r="F184" s="96" t="s">
        <v>26</v>
      </c>
      <c r="G184" s="94"/>
      <c r="H184" s="95"/>
      <c r="I184" s="13"/>
      <c r="J184" s="14">
        <f t="shared" ref="J184:N184" si="31">J166+J168+J170+J172+J174</f>
        <v>775467</v>
      </c>
      <c r="K184" s="14">
        <f t="shared" si="31"/>
        <v>898075</v>
      </c>
      <c r="L184" s="14">
        <f t="shared" si="31"/>
        <v>897928</v>
      </c>
      <c r="M184" s="14">
        <f t="shared" si="31"/>
        <v>707336</v>
      </c>
      <c r="N184" s="14">
        <f t="shared" si="31"/>
        <v>1029755</v>
      </c>
      <c r="O184" s="14"/>
      <c r="P184" s="14"/>
      <c r="Q184" s="14"/>
      <c r="R184" s="14"/>
      <c r="S184" s="14"/>
      <c r="T184" s="14">
        <f t="shared" ref="T184:U184" si="32">T166+T168+T170+T172+T174</f>
        <v>0</v>
      </c>
      <c r="U184" s="14">
        <f t="shared" si="32"/>
        <v>0</v>
      </c>
      <c r="V184" s="14"/>
      <c r="W184" s="1"/>
      <c r="X184" s="1"/>
      <c r="Y184" s="1"/>
      <c r="Z184" s="1"/>
    </row>
    <row r="185" spans="1:26" ht="14.25" customHeight="1" x14ac:dyDescent="0.45">
      <c r="A185" s="1"/>
      <c r="B185" s="53" t="s">
        <v>124</v>
      </c>
      <c r="C185" s="15"/>
      <c r="D185" s="15"/>
      <c r="E185" s="17"/>
      <c r="F185" s="17">
        <v>1</v>
      </c>
      <c r="G185" s="96" t="s">
        <v>28</v>
      </c>
      <c r="H185" s="95"/>
      <c r="I185" s="16" t="s">
        <v>29</v>
      </c>
      <c r="J185" s="20"/>
      <c r="K185" s="19"/>
      <c r="L185" s="30"/>
      <c r="M185" s="19">
        <v>1</v>
      </c>
      <c r="N185" s="20">
        <v>1</v>
      </c>
      <c r="O185" s="27"/>
      <c r="P185" s="19"/>
      <c r="Q185" s="19"/>
      <c r="R185" s="19"/>
      <c r="S185" s="27"/>
      <c r="T185" s="27"/>
      <c r="U185" s="19"/>
      <c r="V185" s="21">
        <f t="shared" ref="V185:V202" si="33">SUM(J185:U185)</f>
        <v>2</v>
      </c>
      <c r="W185" s="1"/>
      <c r="X185" s="61"/>
      <c r="Y185" s="61"/>
      <c r="Z185" s="1"/>
    </row>
    <row r="186" spans="1:26" ht="14.25" customHeight="1" x14ac:dyDescent="0.45">
      <c r="A186" s="1"/>
      <c r="B186" s="53" t="s">
        <v>124</v>
      </c>
      <c r="C186" s="15"/>
      <c r="D186" s="15"/>
      <c r="E186" s="23"/>
      <c r="F186" s="24"/>
      <c r="G186" s="25"/>
      <c r="H186" s="26"/>
      <c r="I186" s="16" t="s">
        <v>30</v>
      </c>
      <c r="J186" s="45"/>
      <c r="K186" s="27"/>
      <c r="L186" s="30"/>
      <c r="M186" s="27">
        <v>39737</v>
      </c>
      <c r="N186" s="20">
        <v>39737</v>
      </c>
      <c r="O186" s="27"/>
      <c r="P186" s="19"/>
      <c r="Q186" s="19"/>
      <c r="R186" s="19"/>
      <c r="S186" s="27"/>
      <c r="T186" s="27"/>
      <c r="U186" s="19"/>
      <c r="V186" s="21">
        <f t="shared" si="33"/>
        <v>79474</v>
      </c>
      <c r="W186" s="1"/>
      <c r="X186" s="61"/>
      <c r="Y186" s="61"/>
      <c r="Z186" s="1"/>
    </row>
    <row r="187" spans="1:26" ht="14.25" customHeight="1" x14ac:dyDescent="0.45">
      <c r="A187" s="1"/>
      <c r="B187" s="53" t="s">
        <v>125</v>
      </c>
      <c r="C187" s="15"/>
      <c r="D187" s="15"/>
      <c r="E187" s="17"/>
      <c r="F187" s="17">
        <v>2</v>
      </c>
      <c r="G187" s="96" t="s">
        <v>32</v>
      </c>
      <c r="H187" s="95"/>
      <c r="I187" s="16" t="s">
        <v>29</v>
      </c>
      <c r="J187" s="19">
        <v>55</v>
      </c>
      <c r="K187" s="27">
        <v>42</v>
      </c>
      <c r="L187" s="27">
        <v>57</v>
      </c>
      <c r="M187" s="27">
        <v>61</v>
      </c>
      <c r="N187" s="20">
        <v>47</v>
      </c>
      <c r="O187" s="27"/>
      <c r="P187" s="19"/>
      <c r="Q187" s="19"/>
      <c r="R187" s="19"/>
      <c r="S187" s="27"/>
      <c r="T187" s="27"/>
      <c r="U187" s="19"/>
      <c r="V187" s="21">
        <f t="shared" si="33"/>
        <v>262</v>
      </c>
      <c r="W187" s="1"/>
      <c r="X187" s="61"/>
      <c r="Y187" s="61"/>
      <c r="Z187" s="1"/>
    </row>
    <row r="188" spans="1:26" ht="14.25" customHeight="1" x14ac:dyDescent="0.45">
      <c r="A188" s="1"/>
      <c r="B188" s="53" t="s">
        <v>125</v>
      </c>
      <c r="C188" s="15"/>
      <c r="D188" s="15"/>
      <c r="E188" s="15"/>
      <c r="F188" s="24"/>
      <c r="G188" s="25"/>
      <c r="H188" s="26"/>
      <c r="I188" s="16" t="s">
        <v>30</v>
      </c>
      <c r="J188" s="19">
        <v>443900</v>
      </c>
      <c r="K188" s="27">
        <v>316905</v>
      </c>
      <c r="L188" s="27">
        <v>483500</v>
      </c>
      <c r="M188" s="27">
        <v>479884</v>
      </c>
      <c r="N188" s="20">
        <v>428459</v>
      </c>
      <c r="O188" s="27"/>
      <c r="P188" s="19"/>
      <c r="Q188" s="19"/>
      <c r="R188" s="19"/>
      <c r="S188" s="27"/>
      <c r="T188" s="27"/>
      <c r="U188" s="19"/>
      <c r="V188" s="21">
        <f t="shared" si="33"/>
        <v>2152648</v>
      </c>
      <c r="W188" s="1"/>
      <c r="X188" s="61"/>
      <c r="Y188" s="61"/>
      <c r="Z188" s="1"/>
    </row>
    <row r="189" spans="1:26" ht="14.25" customHeight="1" x14ac:dyDescent="0.45">
      <c r="A189" s="1"/>
      <c r="B189" s="53" t="s">
        <v>126</v>
      </c>
      <c r="C189" s="15"/>
      <c r="D189" s="15"/>
      <c r="E189" s="23"/>
      <c r="F189" s="17">
        <v>3</v>
      </c>
      <c r="G189" s="96" t="s">
        <v>34</v>
      </c>
      <c r="H189" s="95"/>
      <c r="I189" s="16" t="s">
        <v>29</v>
      </c>
      <c r="J189" s="19">
        <v>46</v>
      </c>
      <c r="K189" s="27">
        <v>53</v>
      </c>
      <c r="L189" s="27">
        <v>56</v>
      </c>
      <c r="M189" s="27">
        <v>47</v>
      </c>
      <c r="N189" s="20">
        <v>52</v>
      </c>
      <c r="O189" s="27"/>
      <c r="P189" s="19"/>
      <c r="Q189" s="19"/>
      <c r="R189" s="19"/>
      <c r="S189" s="27"/>
      <c r="T189" s="45"/>
      <c r="U189" s="19"/>
      <c r="V189" s="21">
        <f t="shared" si="33"/>
        <v>254</v>
      </c>
      <c r="W189" s="1"/>
      <c r="X189" s="61"/>
      <c r="Y189" s="61"/>
      <c r="Z189" s="1"/>
    </row>
    <row r="190" spans="1:26" ht="14.25" customHeight="1" x14ac:dyDescent="0.45">
      <c r="A190" s="1"/>
      <c r="B190" s="53" t="s">
        <v>126</v>
      </c>
      <c r="C190" s="15"/>
      <c r="D190" s="15"/>
      <c r="E190" s="23"/>
      <c r="F190" s="24"/>
      <c r="G190" s="25"/>
      <c r="H190" s="26"/>
      <c r="I190" s="16" t="s">
        <v>30</v>
      </c>
      <c r="J190" s="19">
        <v>313486</v>
      </c>
      <c r="K190" s="27">
        <v>392102</v>
      </c>
      <c r="L190" s="27">
        <v>433192</v>
      </c>
      <c r="M190" s="27">
        <v>336031</v>
      </c>
      <c r="N190" s="20">
        <v>400779</v>
      </c>
      <c r="O190" s="27"/>
      <c r="P190" s="19"/>
      <c r="Q190" s="19"/>
      <c r="R190" s="19"/>
      <c r="S190" s="27"/>
      <c r="T190" s="45"/>
      <c r="U190" s="19"/>
      <c r="V190" s="21">
        <f t="shared" si="33"/>
        <v>1875590</v>
      </c>
      <c r="W190" s="1"/>
      <c r="X190" s="61"/>
      <c r="Y190" s="61"/>
      <c r="Z190" s="1"/>
    </row>
    <row r="191" spans="1:26" ht="14.25" customHeight="1" x14ac:dyDescent="0.45">
      <c r="A191" s="1"/>
      <c r="B191" s="53" t="s">
        <v>127</v>
      </c>
      <c r="C191" s="15"/>
      <c r="D191" s="15"/>
      <c r="E191" s="17"/>
      <c r="F191" s="17">
        <v>4</v>
      </c>
      <c r="G191" s="96" t="s">
        <v>36</v>
      </c>
      <c r="H191" s="95"/>
      <c r="I191" s="16" t="s">
        <v>29</v>
      </c>
      <c r="J191" s="19">
        <v>13</v>
      </c>
      <c r="K191" s="27">
        <v>11</v>
      </c>
      <c r="L191" s="27">
        <v>13</v>
      </c>
      <c r="M191" s="27">
        <v>13</v>
      </c>
      <c r="N191" s="20">
        <v>15</v>
      </c>
      <c r="O191" s="27"/>
      <c r="P191" s="19"/>
      <c r="Q191" s="19"/>
      <c r="R191" s="19"/>
      <c r="S191" s="27"/>
      <c r="T191" s="45"/>
      <c r="U191" s="19"/>
      <c r="V191" s="21">
        <f t="shared" si="33"/>
        <v>65</v>
      </c>
      <c r="W191" s="1"/>
      <c r="X191" s="61"/>
      <c r="Y191" s="61"/>
      <c r="Z191" s="1"/>
    </row>
    <row r="192" spans="1:26" ht="14.25" customHeight="1" x14ac:dyDescent="0.45">
      <c r="A192" s="1"/>
      <c r="B192" s="53" t="s">
        <v>127</v>
      </c>
      <c r="C192" s="15"/>
      <c r="D192" s="15"/>
      <c r="E192" s="15"/>
      <c r="F192" s="24"/>
      <c r="G192" s="25"/>
      <c r="H192" s="26"/>
      <c r="I192" s="16" t="s">
        <v>30</v>
      </c>
      <c r="J192" s="19">
        <v>56800</v>
      </c>
      <c r="K192" s="27">
        <v>50700</v>
      </c>
      <c r="L192" s="27">
        <v>56700</v>
      </c>
      <c r="M192" s="27">
        <v>53092</v>
      </c>
      <c r="N192" s="20">
        <v>63806</v>
      </c>
      <c r="O192" s="27"/>
      <c r="P192" s="19"/>
      <c r="Q192" s="19"/>
      <c r="R192" s="19"/>
      <c r="S192" s="27"/>
      <c r="T192" s="27"/>
      <c r="U192" s="19"/>
      <c r="V192" s="21">
        <f t="shared" si="33"/>
        <v>281098</v>
      </c>
      <c r="W192" s="1"/>
      <c r="X192" s="1"/>
      <c r="Y192" s="61"/>
      <c r="Z192" s="1"/>
    </row>
    <row r="193" spans="1:26" ht="14.25" customHeight="1" x14ac:dyDescent="0.45">
      <c r="A193" s="1"/>
      <c r="B193" s="53" t="s">
        <v>128</v>
      </c>
      <c r="C193" s="15"/>
      <c r="D193" s="15"/>
      <c r="E193" s="17"/>
      <c r="F193" s="17">
        <v>5</v>
      </c>
      <c r="G193" s="96" t="s">
        <v>38</v>
      </c>
      <c r="H193" s="95"/>
      <c r="I193" s="16" t="s">
        <v>29</v>
      </c>
      <c r="J193" s="19">
        <v>33</v>
      </c>
      <c r="K193" s="27">
        <v>34</v>
      </c>
      <c r="L193" s="27">
        <v>26</v>
      </c>
      <c r="M193" s="27">
        <v>27</v>
      </c>
      <c r="N193" s="20">
        <v>22</v>
      </c>
      <c r="O193" s="27"/>
      <c r="P193" s="19"/>
      <c r="Q193" s="19"/>
      <c r="R193" s="19"/>
      <c r="S193" s="27"/>
      <c r="T193" s="45"/>
      <c r="U193" s="19"/>
      <c r="V193" s="21">
        <f t="shared" si="33"/>
        <v>142</v>
      </c>
      <c r="W193" s="1"/>
      <c r="X193" s="1"/>
      <c r="Y193" s="61"/>
      <c r="Z193" s="1"/>
    </row>
    <row r="194" spans="1:26" ht="14.25" customHeight="1" x14ac:dyDescent="0.45">
      <c r="A194" s="1"/>
      <c r="B194" s="53" t="s">
        <v>128</v>
      </c>
      <c r="C194" s="15"/>
      <c r="D194" s="15"/>
      <c r="E194" s="33"/>
      <c r="F194" s="24"/>
      <c r="G194" s="25"/>
      <c r="H194" s="26"/>
      <c r="I194" s="16" t="s">
        <v>30</v>
      </c>
      <c r="J194" s="19">
        <v>1934606</v>
      </c>
      <c r="K194" s="27">
        <v>911059</v>
      </c>
      <c r="L194" s="27">
        <v>564855</v>
      </c>
      <c r="M194" s="27">
        <v>673395</v>
      </c>
      <c r="N194" s="20">
        <v>509568</v>
      </c>
      <c r="O194" s="27"/>
      <c r="P194" s="19"/>
      <c r="Q194" s="19"/>
      <c r="R194" s="19"/>
      <c r="S194" s="27"/>
      <c r="T194" s="27"/>
      <c r="U194" s="19"/>
      <c r="V194" s="21">
        <f t="shared" si="33"/>
        <v>4593483</v>
      </c>
      <c r="W194" s="1"/>
      <c r="X194" s="1"/>
      <c r="Y194" s="61"/>
      <c r="Z194" s="1"/>
    </row>
    <row r="195" spans="1:26" ht="14.25" customHeight="1" x14ac:dyDescent="0.45">
      <c r="A195" s="1"/>
      <c r="B195" s="53" t="s">
        <v>129</v>
      </c>
      <c r="C195" s="15"/>
      <c r="D195" s="15"/>
      <c r="E195" s="17"/>
      <c r="F195" s="17">
        <v>6</v>
      </c>
      <c r="G195" s="96" t="s">
        <v>40</v>
      </c>
      <c r="H195" s="95"/>
      <c r="I195" s="16" t="s">
        <v>29</v>
      </c>
      <c r="J195" s="29"/>
      <c r="K195" s="30"/>
      <c r="L195" s="30"/>
      <c r="M195" s="27">
        <v>0</v>
      </c>
      <c r="N195" s="31"/>
      <c r="O195" s="27"/>
      <c r="P195" s="19"/>
      <c r="Q195" s="19"/>
      <c r="R195" s="19"/>
      <c r="S195" s="27"/>
      <c r="T195" s="27"/>
      <c r="U195" s="19"/>
      <c r="V195" s="21">
        <f t="shared" si="33"/>
        <v>0</v>
      </c>
      <c r="W195" s="1"/>
      <c r="X195" s="1"/>
      <c r="Y195" s="61"/>
      <c r="Z195" s="1"/>
    </row>
    <row r="196" spans="1:26" ht="14.25" customHeight="1" x14ac:dyDescent="0.45">
      <c r="A196" s="1"/>
      <c r="B196" s="53" t="s">
        <v>129</v>
      </c>
      <c r="C196" s="15"/>
      <c r="D196" s="15"/>
      <c r="E196" s="33"/>
      <c r="F196" s="24"/>
      <c r="G196" s="25"/>
      <c r="H196" s="26"/>
      <c r="I196" s="16" t="s">
        <v>30</v>
      </c>
      <c r="J196" s="29"/>
      <c r="K196" s="30"/>
      <c r="L196" s="30"/>
      <c r="M196" s="27">
        <v>0</v>
      </c>
      <c r="N196" s="31"/>
      <c r="O196" s="27"/>
      <c r="P196" s="19"/>
      <c r="Q196" s="19"/>
      <c r="R196" s="19"/>
      <c r="S196" s="27"/>
      <c r="T196" s="27"/>
      <c r="U196" s="19"/>
      <c r="V196" s="21">
        <f t="shared" si="33"/>
        <v>0</v>
      </c>
      <c r="W196" s="1"/>
      <c r="X196" s="1"/>
      <c r="Y196" s="61"/>
      <c r="Z196" s="1"/>
    </row>
    <row r="197" spans="1:26" ht="14.25" customHeight="1" x14ac:dyDescent="0.45">
      <c r="A197" s="1"/>
      <c r="B197" s="53" t="s">
        <v>130</v>
      </c>
      <c r="C197" s="15"/>
      <c r="D197" s="15"/>
      <c r="E197" s="17"/>
      <c r="F197" s="54">
        <v>7</v>
      </c>
      <c r="G197" s="96" t="s">
        <v>42</v>
      </c>
      <c r="H197" s="95"/>
      <c r="I197" s="16" t="s">
        <v>29</v>
      </c>
      <c r="J197" s="29"/>
      <c r="K197" s="30"/>
      <c r="L197" s="30"/>
      <c r="M197" s="19">
        <v>0</v>
      </c>
      <c r="N197" s="31"/>
      <c r="O197" s="27"/>
      <c r="P197" s="19"/>
      <c r="Q197" s="19"/>
      <c r="R197" s="19"/>
      <c r="S197" s="27"/>
      <c r="T197" s="27"/>
      <c r="U197" s="19"/>
      <c r="V197" s="21">
        <f t="shared" si="33"/>
        <v>0</v>
      </c>
      <c r="W197" s="1"/>
      <c r="X197" s="1"/>
      <c r="Y197" s="61"/>
      <c r="Z197" s="1"/>
    </row>
    <row r="198" spans="1:26" ht="14.25" customHeight="1" x14ac:dyDescent="0.45">
      <c r="A198" s="1"/>
      <c r="B198" s="53" t="s">
        <v>130</v>
      </c>
      <c r="C198" s="15"/>
      <c r="D198" s="15"/>
      <c r="E198" s="17"/>
      <c r="F198" s="24"/>
      <c r="G198" s="25"/>
      <c r="H198" s="26"/>
      <c r="I198" s="16" t="s">
        <v>30</v>
      </c>
      <c r="J198" s="29"/>
      <c r="K198" s="30"/>
      <c r="L198" s="30"/>
      <c r="M198" s="19">
        <v>0</v>
      </c>
      <c r="N198" s="31"/>
      <c r="O198" s="27"/>
      <c r="P198" s="19"/>
      <c r="Q198" s="19"/>
      <c r="R198" s="19"/>
      <c r="S198" s="27"/>
      <c r="T198" s="27"/>
      <c r="U198" s="19"/>
      <c r="V198" s="21">
        <f t="shared" si="33"/>
        <v>0</v>
      </c>
      <c r="W198" s="1"/>
      <c r="X198" s="1"/>
      <c r="Y198" s="61"/>
      <c r="Z198" s="1"/>
    </row>
    <row r="199" spans="1:26" ht="14.25" customHeight="1" x14ac:dyDescent="0.45">
      <c r="A199" s="1"/>
      <c r="B199" s="53" t="s">
        <v>131</v>
      </c>
      <c r="C199" s="15"/>
      <c r="D199" s="15"/>
      <c r="E199" s="23"/>
      <c r="F199" s="55">
        <v>8</v>
      </c>
      <c r="G199" s="98" t="s">
        <v>102</v>
      </c>
      <c r="H199" s="95"/>
      <c r="I199" s="16" t="s">
        <v>29</v>
      </c>
      <c r="J199" s="19">
        <v>67</v>
      </c>
      <c r="K199" s="27">
        <v>72</v>
      </c>
      <c r="L199" s="27">
        <v>80</v>
      </c>
      <c r="M199" s="19">
        <v>84</v>
      </c>
      <c r="N199" s="20">
        <v>99</v>
      </c>
      <c r="O199" s="27"/>
      <c r="P199" s="19"/>
      <c r="Q199" s="19"/>
      <c r="R199" s="19"/>
      <c r="S199" s="27"/>
      <c r="T199" s="45"/>
      <c r="U199" s="19"/>
      <c r="V199" s="21">
        <f t="shared" si="33"/>
        <v>402</v>
      </c>
      <c r="W199" s="62"/>
      <c r="X199" s="62"/>
      <c r="Y199" s="61"/>
      <c r="Z199" s="1"/>
    </row>
    <row r="200" spans="1:26" ht="14.25" customHeight="1" x14ac:dyDescent="0.45">
      <c r="A200" s="1"/>
      <c r="B200" s="53" t="s">
        <v>131</v>
      </c>
      <c r="C200" s="15"/>
      <c r="D200" s="15"/>
      <c r="E200" s="23"/>
      <c r="F200" s="55"/>
      <c r="G200" s="25"/>
      <c r="H200" s="26"/>
      <c r="I200" s="16" t="s">
        <v>30</v>
      </c>
      <c r="J200" s="19">
        <v>170669</v>
      </c>
      <c r="K200" s="27">
        <v>138361</v>
      </c>
      <c r="L200" s="27">
        <v>168021</v>
      </c>
      <c r="M200" s="27">
        <v>148690</v>
      </c>
      <c r="N200" s="20">
        <v>163908</v>
      </c>
      <c r="O200" s="27"/>
      <c r="P200" s="19"/>
      <c r="Q200" s="19"/>
      <c r="R200" s="19"/>
      <c r="S200" s="27"/>
      <c r="T200" s="27"/>
      <c r="U200" s="19"/>
      <c r="V200" s="21">
        <f t="shared" si="33"/>
        <v>789649</v>
      </c>
      <c r="W200" s="1"/>
      <c r="X200" s="1"/>
      <c r="Y200" s="61"/>
      <c r="Z200" s="1"/>
    </row>
    <row r="201" spans="1:26" ht="14.25" customHeight="1" x14ac:dyDescent="0.45">
      <c r="A201" s="1"/>
      <c r="B201" s="53" t="s">
        <v>132</v>
      </c>
      <c r="C201" s="15"/>
      <c r="D201" s="15"/>
      <c r="E201" s="17"/>
      <c r="F201" s="55">
        <v>9</v>
      </c>
      <c r="G201" s="99" t="s">
        <v>91</v>
      </c>
      <c r="H201" s="95"/>
      <c r="I201" s="16" t="s">
        <v>29</v>
      </c>
      <c r="J201" s="29"/>
      <c r="K201" s="29"/>
      <c r="L201" s="30"/>
      <c r="M201" s="27">
        <v>0</v>
      </c>
      <c r="N201" s="31"/>
      <c r="O201" s="27"/>
      <c r="P201" s="19"/>
      <c r="Q201" s="29"/>
      <c r="R201" s="29"/>
      <c r="S201" s="29"/>
      <c r="T201" s="30"/>
      <c r="U201" s="29"/>
      <c r="V201" s="21">
        <f t="shared" si="33"/>
        <v>0</v>
      </c>
      <c r="W201" s="1"/>
      <c r="X201" s="1"/>
      <c r="Y201" s="61"/>
      <c r="Z201" s="1"/>
    </row>
    <row r="202" spans="1:26" ht="14.25" customHeight="1" x14ac:dyDescent="0.45">
      <c r="A202" s="1"/>
      <c r="B202" s="53" t="s">
        <v>132</v>
      </c>
      <c r="C202" s="32"/>
      <c r="D202" s="15"/>
      <c r="E202" s="47"/>
      <c r="F202" s="56"/>
      <c r="G202" s="37"/>
      <c r="H202" s="38"/>
      <c r="I202" s="16" t="s">
        <v>30</v>
      </c>
      <c r="J202" s="29"/>
      <c r="K202" s="29"/>
      <c r="L202" s="30"/>
      <c r="M202" s="27">
        <v>0</v>
      </c>
      <c r="N202" s="31"/>
      <c r="O202" s="27"/>
      <c r="P202" s="19"/>
      <c r="Q202" s="29"/>
      <c r="R202" s="29"/>
      <c r="S202" s="29"/>
      <c r="T202" s="30"/>
      <c r="U202" s="29"/>
      <c r="V202" s="21">
        <f t="shared" si="33"/>
        <v>0</v>
      </c>
      <c r="W202" s="1"/>
      <c r="X202" s="1"/>
      <c r="Y202" s="1"/>
      <c r="Z202" s="1"/>
    </row>
    <row r="203" spans="1:26" ht="14.25" customHeight="1" x14ac:dyDescent="0.45">
      <c r="A203" s="1"/>
      <c r="B203" s="53"/>
      <c r="C203" s="32"/>
      <c r="D203" s="15"/>
      <c r="E203" s="96"/>
      <c r="F203" s="94"/>
      <c r="G203" s="94"/>
      <c r="H203" s="95"/>
      <c r="I203" s="1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"/>
      <c r="X203" s="1"/>
      <c r="Y203" s="1"/>
      <c r="Z203" s="1"/>
    </row>
    <row r="204" spans="1:26" ht="14.25" customHeight="1" x14ac:dyDescent="0.45">
      <c r="A204" s="1"/>
      <c r="B204" s="53"/>
      <c r="C204" s="32"/>
      <c r="D204" s="100" t="s">
        <v>133</v>
      </c>
      <c r="E204" s="81"/>
      <c r="F204" s="81"/>
      <c r="G204" s="81"/>
      <c r="H204" s="82"/>
      <c r="I204" s="16" t="s">
        <v>29</v>
      </c>
      <c r="J204" s="21">
        <f t="shared" ref="J204:V204" ca="1" si="34">SUMIF($I$165:$V$202,$I204,J$165:J$202)</f>
        <v>256</v>
      </c>
      <c r="K204" s="21">
        <f t="shared" ca="1" si="34"/>
        <v>266</v>
      </c>
      <c r="L204" s="21">
        <f t="shared" ca="1" si="34"/>
        <v>287</v>
      </c>
      <c r="M204" s="21">
        <f t="shared" ca="1" si="34"/>
        <v>273</v>
      </c>
      <c r="N204" s="21">
        <f t="shared" ca="1" si="34"/>
        <v>292</v>
      </c>
      <c r="O204" s="21">
        <f t="shared" ca="1" si="34"/>
        <v>0</v>
      </c>
      <c r="P204" s="21">
        <f t="shared" ca="1" si="34"/>
        <v>0</v>
      </c>
      <c r="Q204" s="21">
        <f t="shared" ca="1" si="34"/>
        <v>0</v>
      </c>
      <c r="R204" s="21">
        <f t="shared" ca="1" si="34"/>
        <v>0</v>
      </c>
      <c r="S204" s="21">
        <f t="shared" ca="1" si="34"/>
        <v>0</v>
      </c>
      <c r="T204" s="21">
        <f t="shared" ca="1" si="34"/>
        <v>0</v>
      </c>
      <c r="U204" s="21">
        <f t="shared" ca="1" si="34"/>
        <v>0</v>
      </c>
      <c r="V204" s="21">
        <f t="shared" ca="1" si="34"/>
        <v>1374</v>
      </c>
      <c r="W204" s="1"/>
      <c r="X204" s="1"/>
      <c r="Y204" s="1"/>
      <c r="Z204" s="1"/>
    </row>
    <row r="205" spans="1:26" ht="14.25" customHeight="1" x14ac:dyDescent="0.45">
      <c r="A205" s="1"/>
      <c r="B205" s="53"/>
      <c r="C205" s="32"/>
      <c r="D205" s="90"/>
      <c r="E205" s="91"/>
      <c r="F205" s="91"/>
      <c r="G205" s="91"/>
      <c r="H205" s="92"/>
      <c r="I205" s="16" t="s">
        <v>30</v>
      </c>
      <c r="J205" s="21">
        <f t="shared" ref="J205:V205" ca="1" si="35">SUMIF($I$165:$V$202,$I205,J$165:J$202)</f>
        <v>3694928</v>
      </c>
      <c r="K205" s="21">
        <f t="shared" ca="1" si="35"/>
        <v>2707202</v>
      </c>
      <c r="L205" s="21">
        <f t="shared" ca="1" si="35"/>
        <v>2604196</v>
      </c>
      <c r="M205" s="21">
        <f t="shared" ca="1" si="35"/>
        <v>2438165</v>
      </c>
      <c r="N205" s="21">
        <f t="shared" ca="1" si="35"/>
        <v>2636012</v>
      </c>
      <c r="O205" s="21">
        <f t="shared" ca="1" si="35"/>
        <v>0</v>
      </c>
      <c r="P205" s="21">
        <f t="shared" ca="1" si="35"/>
        <v>0</v>
      </c>
      <c r="Q205" s="21">
        <f t="shared" ca="1" si="35"/>
        <v>0</v>
      </c>
      <c r="R205" s="21">
        <f t="shared" ca="1" si="35"/>
        <v>0</v>
      </c>
      <c r="S205" s="21">
        <f t="shared" ca="1" si="35"/>
        <v>0</v>
      </c>
      <c r="T205" s="21">
        <f t="shared" ca="1" si="35"/>
        <v>0</v>
      </c>
      <c r="U205" s="21">
        <f t="shared" ca="1" si="35"/>
        <v>0</v>
      </c>
      <c r="V205" s="21">
        <f t="shared" ca="1" si="35"/>
        <v>14080503</v>
      </c>
      <c r="W205" s="1"/>
      <c r="X205" s="1"/>
      <c r="Y205" s="1"/>
      <c r="Z205" s="1"/>
    </row>
    <row r="206" spans="1:26" ht="14.25" customHeight="1" x14ac:dyDescent="0.45">
      <c r="A206" s="1"/>
      <c r="B206" s="53"/>
      <c r="C206" s="32"/>
      <c r="D206" s="50"/>
      <c r="E206" s="51"/>
      <c r="F206" s="51"/>
      <c r="G206" s="51"/>
      <c r="H206" s="52"/>
      <c r="I206" s="16"/>
      <c r="J206" s="14">
        <f t="shared" ref="J206:P206" si="36">J185+J187+J189+J191+J193+J195+J197+J199+J201</f>
        <v>214</v>
      </c>
      <c r="K206" s="14">
        <f t="shared" si="36"/>
        <v>212</v>
      </c>
      <c r="L206" s="14">
        <f t="shared" si="36"/>
        <v>232</v>
      </c>
      <c r="M206" s="14">
        <f t="shared" si="36"/>
        <v>233</v>
      </c>
      <c r="N206" s="14">
        <f t="shared" si="36"/>
        <v>236</v>
      </c>
      <c r="O206" s="14">
        <f t="shared" si="36"/>
        <v>0</v>
      </c>
      <c r="P206" s="14">
        <f t="shared" si="36"/>
        <v>0</v>
      </c>
      <c r="Q206" s="14">
        <f t="shared" ref="Q206:Q207" ca="1" si="37">Q204-Q183</f>
        <v>0</v>
      </c>
      <c r="R206" s="14">
        <f t="shared" ref="R206:U206" si="38">R185+R187+R189+R191+R193+R195+R197+R199+R201</f>
        <v>0</v>
      </c>
      <c r="S206" s="14">
        <f t="shared" si="38"/>
        <v>0</v>
      </c>
      <c r="T206" s="14">
        <f t="shared" si="38"/>
        <v>0</v>
      </c>
      <c r="U206" s="14">
        <f t="shared" si="38"/>
        <v>0</v>
      </c>
      <c r="V206" s="14"/>
      <c r="W206" s="1"/>
      <c r="X206" s="1"/>
      <c r="Y206" s="1"/>
      <c r="Z206" s="1"/>
    </row>
    <row r="207" spans="1:26" ht="14.25" customHeight="1" x14ac:dyDescent="0.45">
      <c r="A207" s="1"/>
      <c r="B207" s="53"/>
      <c r="C207" s="15">
        <v>5</v>
      </c>
      <c r="D207" s="96" t="s">
        <v>134</v>
      </c>
      <c r="E207" s="94"/>
      <c r="F207" s="94"/>
      <c r="G207" s="94"/>
      <c r="H207" s="95"/>
      <c r="I207" s="16"/>
      <c r="J207" s="14">
        <f t="shared" ref="J207:P207" si="39">J186+J188+J190+J192+J194+J196+J198+J200+J202</f>
        <v>2919461</v>
      </c>
      <c r="K207" s="14">
        <f t="shared" si="39"/>
        <v>1809127</v>
      </c>
      <c r="L207" s="14">
        <f t="shared" si="39"/>
        <v>1706268</v>
      </c>
      <c r="M207" s="14">
        <f t="shared" si="39"/>
        <v>1730829</v>
      </c>
      <c r="N207" s="14">
        <f t="shared" si="39"/>
        <v>1606257</v>
      </c>
      <c r="O207" s="14">
        <f t="shared" si="39"/>
        <v>0</v>
      </c>
      <c r="P207" s="14">
        <f t="shared" si="39"/>
        <v>0</v>
      </c>
      <c r="Q207" s="14">
        <f t="shared" ca="1" si="37"/>
        <v>0</v>
      </c>
      <c r="R207" s="14">
        <f t="shared" ref="R207:U207" si="40">R186+R188+R190+R192+R194+R196+R198+R200+R202</f>
        <v>0</v>
      </c>
      <c r="S207" s="14">
        <f t="shared" si="40"/>
        <v>0</v>
      </c>
      <c r="T207" s="14">
        <f t="shared" si="40"/>
        <v>0</v>
      </c>
      <c r="U207" s="14">
        <f t="shared" si="40"/>
        <v>0</v>
      </c>
      <c r="V207" s="14"/>
      <c r="W207" s="1"/>
      <c r="X207" s="1"/>
      <c r="Y207" s="1"/>
      <c r="Z207" s="1"/>
    </row>
    <row r="208" spans="1:26" ht="14.25" customHeight="1" x14ac:dyDescent="0.45">
      <c r="A208" s="1"/>
      <c r="B208" s="53"/>
      <c r="C208" s="32"/>
      <c r="D208" s="15">
        <v>1</v>
      </c>
      <c r="E208" s="96" t="s">
        <v>25</v>
      </c>
      <c r="F208" s="94"/>
      <c r="G208" s="94"/>
      <c r="H208" s="95"/>
      <c r="I208" s="1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"/>
      <c r="X208" s="1"/>
      <c r="Y208" s="1"/>
      <c r="Z208" s="1"/>
    </row>
    <row r="209" spans="1:26" ht="14.25" customHeight="1" x14ac:dyDescent="0.45">
      <c r="A209" s="1"/>
      <c r="B209" s="53"/>
      <c r="C209" s="15"/>
      <c r="D209" s="15"/>
      <c r="E209" s="17">
        <v>1</v>
      </c>
      <c r="F209" s="96" t="s">
        <v>26</v>
      </c>
      <c r="G209" s="94"/>
      <c r="H209" s="95"/>
      <c r="I209" s="13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"/>
      <c r="X209" s="1"/>
      <c r="Y209" s="1"/>
      <c r="Z209" s="1"/>
    </row>
    <row r="210" spans="1:26" ht="14.25" customHeight="1" x14ac:dyDescent="0.45">
      <c r="A210" s="1"/>
      <c r="B210" s="53" t="s">
        <v>135</v>
      </c>
      <c r="C210" s="15"/>
      <c r="D210" s="15"/>
      <c r="E210" s="17"/>
      <c r="F210" s="17">
        <v>1</v>
      </c>
      <c r="G210" s="96" t="s">
        <v>28</v>
      </c>
      <c r="H210" s="95"/>
      <c r="I210" s="16" t="s">
        <v>29</v>
      </c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1">
        <f t="shared" ref="V210:V227" si="41">SUM(J210:U210)</f>
        <v>0</v>
      </c>
      <c r="W210" s="1"/>
      <c r="X210" s="1"/>
      <c r="Y210" s="1"/>
      <c r="Z210" s="1"/>
    </row>
    <row r="211" spans="1:26" ht="14.25" customHeight="1" x14ac:dyDescent="0.45">
      <c r="A211" s="1"/>
      <c r="B211" s="53" t="s">
        <v>135</v>
      </c>
      <c r="C211" s="15"/>
      <c r="D211" s="15"/>
      <c r="E211" s="23"/>
      <c r="F211" s="24"/>
      <c r="G211" s="25"/>
      <c r="H211" s="26"/>
      <c r="I211" s="16" t="s">
        <v>30</v>
      </c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1">
        <f t="shared" si="41"/>
        <v>0</v>
      </c>
      <c r="W211" s="1"/>
      <c r="X211" s="1"/>
      <c r="Y211" s="1"/>
      <c r="Z211" s="1"/>
    </row>
    <row r="212" spans="1:26" ht="14.25" customHeight="1" x14ac:dyDescent="0.45">
      <c r="A212" s="1"/>
      <c r="B212" s="53" t="s">
        <v>136</v>
      </c>
      <c r="C212" s="15"/>
      <c r="D212" s="15"/>
      <c r="E212" s="17"/>
      <c r="F212" s="17">
        <v>2</v>
      </c>
      <c r="G212" s="96" t="s">
        <v>32</v>
      </c>
      <c r="H212" s="95"/>
      <c r="I212" s="16" t="s">
        <v>29</v>
      </c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1">
        <f t="shared" si="41"/>
        <v>0</v>
      </c>
      <c r="W212" s="1"/>
      <c r="X212" s="1"/>
      <c r="Y212" s="1"/>
      <c r="Z212" s="1"/>
    </row>
    <row r="213" spans="1:26" ht="14.25" customHeight="1" x14ac:dyDescent="0.45">
      <c r="A213" s="1"/>
      <c r="B213" s="53" t="s">
        <v>136</v>
      </c>
      <c r="C213" s="15"/>
      <c r="D213" s="15"/>
      <c r="E213" s="15"/>
      <c r="F213" s="24"/>
      <c r="G213" s="25"/>
      <c r="H213" s="26"/>
      <c r="I213" s="16" t="s">
        <v>30</v>
      </c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1">
        <f t="shared" si="41"/>
        <v>0</v>
      </c>
      <c r="W213" s="1"/>
      <c r="X213" s="1"/>
      <c r="Y213" s="1"/>
      <c r="Z213" s="1"/>
    </row>
    <row r="214" spans="1:26" ht="14.25" customHeight="1" x14ac:dyDescent="0.45">
      <c r="A214" s="1"/>
      <c r="B214" s="53" t="s">
        <v>137</v>
      </c>
      <c r="C214" s="15"/>
      <c r="D214" s="15"/>
      <c r="E214" s="23"/>
      <c r="F214" s="17">
        <v>3</v>
      </c>
      <c r="G214" s="96" t="s">
        <v>34</v>
      </c>
      <c r="H214" s="95"/>
      <c r="I214" s="16" t="s">
        <v>29</v>
      </c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1">
        <f t="shared" si="41"/>
        <v>0</v>
      </c>
      <c r="W214" s="1"/>
      <c r="X214" s="1"/>
      <c r="Y214" s="1"/>
      <c r="Z214" s="1"/>
    </row>
    <row r="215" spans="1:26" ht="14.25" customHeight="1" x14ac:dyDescent="0.45">
      <c r="A215" s="1"/>
      <c r="B215" s="53" t="s">
        <v>137</v>
      </c>
      <c r="C215" s="15"/>
      <c r="D215" s="15"/>
      <c r="E215" s="23"/>
      <c r="F215" s="24"/>
      <c r="G215" s="25"/>
      <c r="H215" s="26"/>
      <c r="I215" s="16" t="s">
        <v>30</v>
      </c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1">
        <f t="shared" si="41"/>
        <v>0</v>
      </c>
      <c r="W215" s="1"/>
      <c r="X215" s="1"/>
      <c r="Y215" s="1"/>
      <c r="Z215" s="1"/>
    </row>
    <row r="216" spans="1:26" ht="14.25" customHeight="1" x14ac:dyDescent="0.45">
      <c r="A216" s="1"/>
      <c r="B216" s="53" t="s">
        <v>138</v>
      </c>
      <c r="C216" s="15"/>
      <c r="D216" s="15"/>
      <c r="E216" s="17"/>
      <c r="F216" s="17">
        <v>4</v>
      </c>
      <c r="G216" s="96" t="s">
        <v>36</v>
      </c>
      <c r="H216" s="95"/>
      <c r="I216" s="16" t="s">
        <v>29</v>
      </c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1">
        <f t="shared" si="41"/>
        <v>0</v>
      </c>
      <c r="W216" s="1"/>
      <c r="X216" s="1"/>
      <c r="Y216" s="1"/>
      <c r="Z216" s="1"/>
    </row>
    <row r="217" spans="1:26" ht="14.25" customHeight="1" x14ac:dyDescent="0.45">
      <c r="A217" s="1"/>
      <c r="B217" s="53" t="s">
        <v>138</v>
      </c>
      <c r="C217" s="15"/>
      <c r="D217" s="15"/>
      <c r="E217" s="15"/>
      <c r="F217" s="24"/>
      <c r="G217" s="25"/>
      <c r="H217" s="26"/>
      <c r="I217" s="16" t="s">
        <v>30</v>
      </c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1">
        <f t="shared" si="41"/>
        <v>0</v>
      </c>
      <c r="W217" s="1"/>
      <c r="X217" s="1"/>
      <c r="Y217" s="1"/>
      <c r="Z217" s="1"/>
    </row>
    <row r="218" spans="1:26" ht="14.25" customHeight="1" x14ac:dyDescent="0.45">
      <c r="A218" s="1"/>
      <c r="B218" s="53" t="s">
        <v>139</v>
      </c>
      <c r="C218" s="15"/>
      <c r="D218" s="15"/>
      <c r="E218" s="17"/>
      <c r="F218" s="17">
        <v>5</v>
      </c>
      <c r="G218" s="96" t="s">
        <v>38</v>
      </c>
      <c r="H218" s="95"/>
      <c r="I218" s="16" t="s">
        <v>29</v>
      </c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1">
        <f t="shared" si="41"/>
        <v>0</v>
      </c>
      <c r="W218" s="1"/>
      <c r="X218" s="1"/>
      <c r="Y218" s="1"/>
      <c r="Z218" s="1"/>
    </row>
    <row r="219" spans="1:26" ht="14.25" customHeight="1" x14ac:dyDescent="0.45">
      <c r="A219" s="1"/>
      <c r="B219" s="53" t="s">
        <v>139</v>
      </c>
      <c r="C219" s="15"/>
      <c r="D219" s="15"/>
      <c r="E219" s="33"/>
      <c r="F219" s="24"/>
      <c r="G219" s="25"/>
      <c r="H219" s="26"/>
      <c r="I219" s="16" t="s">
        <v>30</v>
      </c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1">
        <f t="shared" si="41"/>
        <v>0</v>
      </c>
      <c r="W219" s="1"/>
      <c r="X219" s="1"/>
      <c r="Y219" s="1"/>
      <c r="Z219" s="1"/>
    </row>
    <row r="220" spans="1:26" ht="14.25" customHeight="1" x14ac:dyDescent="0.45">
      <c r="A220" s="1"/>
      <c r="B220" s="53" t="s">
        <v>140</v>
      </c>
      <c r="C220" s="15"/>
      <c r="D220" s="15"/>
      <c r="E220" s="17"/>
      <c r="F220" s="17">
        <v>6</v>
      </c>
      <c r="G220" s="96" t="s">
        <v>40</v>
      </c>
      <c r="H220" s="95"/>
      <c r="I220" s="16" t="s">
        <v>29</v>
      </c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1">
        <f t="shared" si="41"/>
        <v>0</v>
      </c>
      <c r="W220" s="1"/>
      <c r="X220" s="1"/>
      <c r="Y220" s="1"/>
      <c r="Z220" s="1"/>
    </row>
    <row r="221" spans="1:26" ht="14.25" customHeight="1" x14ac:dyDescent="0.45">
      <c r="A221" s="1"/>
      <c r="B221" s="53" t="s">
        <v>140</v>
      </c>
      <c r="C221" s="15"/>
      <c r="D221" s="15"/>
      <c r="E221" s="33"/>
      <c r="F221" s="24"/>
      <c r="G221" s="25"/>
      <c r="H221" s="26"/>
      <c r="I221" s="16" t="s">
        <v>30</v>
      </c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1">
        <f t="shared" si="41"/>
        <v>0</v>
      </c>
      <c r="W221" s="1"/>
      <c r="X221" s="1"/>
      <c r="Y221" s="1"/>
      <c r="Z221" s="1"/>
    </row>
    <row r="222" spans="1:26" ht="14.25" customHeight="1" x14ac:dyDescent="0.45">
      <c r="A222" s="1"/>
      <c r="B222" s="53" t="s">
        <v>141</v>
      </c>
      <c r="C222" s="15"/>
      <c r="D222" s="15"/>
      <c r="E222" s="17"/>
      <c r="F222" s="54">
        <v>7</v>
      </c>
      <c r="G222" s="96" t="s">
        <v>42</v>
      </c>
      <c r="H222" s="95"/>
      <c r="I222" s="16" t="s">
        <v>29</v>
      </c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1">
        <f t="shared" si="41"/>
        <v>0</v>
      </c>
      <c r="W222" s="1"/>
      <c r="X222" s="1"/>
      <c r="Y222" s="1"/>
      <c r="Z222" s="1"/>
    </row>
    <row r="223" spans="1:26" ht="14.25" customHeight="1" x14ac:dyDescent="0.45">
      <c r="A223" s="1"/>
      <c r="B223" s="53" t="s">
        <v>141</v>
      </c>
      <c r="C223" s="15"/>
      <c r="D223" s="15"/>
      <c r="E223" s="17"/>
      <c r="F223" s="24"/>
      <c r="G223" s="25"/>
      <c r="H223" s="26"/>
      <c r="I223" s="16" t="s">
        <v>30</v>
      </c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1">
        <f t="shared" si="41"/>
        <v>0</v>
      </c>
      <c r="W223" s="1"/>
      <c r="X223" s="1"/>
      <c r="Y223" s="1"/>
      <c r="Z223" s="1"/>
    </row>
    <row r="224" spans="1:26" ht="14.25" customHeight="1" x14ac:dyDescent="0.45">
      <c r="A224" s="1"/>
      <c r="B224" s="53" t="s">
        <v>142</v>
      </c>
      <c r="C224" s="15"/>
      <c r="D224" s="15"/>
      <c r="E224" s="23"/>
      <c r="F224" s="55">
        <v>8</v>
      </c>
      <c r="G224" s="98" t="s">
        <v>102</v>
      </c>
      <c r="H224" s="95"/>
      <c r="I224" s="16" t="s">
        <v>29</v>
      </c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1">
        <f t="shared" si="41"/>
        <v>0</v>
      </c>
      <c r="W224" s="1"/>
      <c r="X224" s="1"/>
      <c r="Y224" s="1"/>
      <c r="Z224" s="1"/>
    </row>
    <row r="225" spans="1:26" ht="14.25" customHeight="1" x14ac:dyDescent="0.45">
      <c r="A225" s="1"/>
      <c r="B225" s="53" t="s">
        <v>142</v>
      </c>
      <c r="C225" s="15"/>
      <c r="D225" s="15"/>
      <c r="E225" s="23"/>
      <c r="F225" s="55"/>
      <c r="G225" s="25"/>
      <c r="H225" s="26"/>
      <c r="I225" s="16" t="s">
        <v>30</v>
      </c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1">
        <f t="shared" si="41"/>
        <v>0</v>
      </c>
      <c r="W225" s="1"/>
      <c r="X225" s="1"/>
      <c r="Y225" s="1"/>
      <c r="Z225" s="1"/>
    </row>
    <row r="226" spans="1:26" ht="14.25" customHeight="1" x14ac:dyDescent="0.45">
      <c r="A226" s="1"/>
      <c r="B226" s="53" t="s">
        <v>143</v>
      </c>
      <c r="C226" s="15"/>
      <c r="D226" s="15"/>
      <c r="E226" s="17"/>
      <c r="F226" s="55">
        <v>9</v>
      </c>
      <c r="G226" s="99" t="s">
        <v>91</v>
      </c>
      <c r="H226" s="95"/>
      <c r="I226" s="16" t="s">
        <v>29</v>
      </c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1">
        <f t="shared" si="41"/>
        <v>0</v>
      </c>
      <c r="W226" s="1"/>
      <c r="X226" s="1"/>
      <c r="Y226" s="1"/>
      <c r="Z226" s="1"/>
    </row>
    <row r="227" spans="1:26" ht="14.25" customHeight="1" x14ac:dyDescent="0.45">
      <c r="A227" s="1"/>
      <c r="B227" s="53" t="s">
        <v>143</v>
      </c>
      <c r="C227" s="32"/>
      <c r="D227" s="15"/>
      <c r="E227" s="96"/>
      <c r="F227" s="94"/>
      <c r="G227" s="94"/>
      <c r="H227" s="95"/>
      <c r="I227" s="16" t="s">
        <v>30</v>
      </c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1">
        <f t="shared" si="41"/>
        <v>0</v>
      </c>
      <c r="W227" s="1"/>
      <c r="X227" s="1"/>
      <c r="Y227" s="1"/>
      <c r="Z227" s="1"/>
    </row>
    <row r="228" spans="1:26" ht="14.25" customHeight="1" x14ac:dyDescent="0.45">
      <c r="A228" s="1"/>
      <c r="B228" s="53"/>
      <c r="C228" s="32"/>
      <c r="D228" s="15">
        <v>2</v>
      </c>
      <c r="E228" s="96" t="s">
        <v>61</v>
      </c>
      <c r="F228" s="94"/>
      <c r="G228" s="94"/>
      <c r="H228" s="95"/>
      <c r="I228" s="1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"/>
      <c r="X228" s="1"/>
      <c r="Y228" s="1"/>
      <c r="Z228" s="1"/>
    </row>
    <row r="229" spans="1:26" ht="14.25" customHeight="1" x14ac:dyDescent="0.45">
      <c r="A229" s="1"/>
      <c r="B229" s="53"/>
      <c r="C229" s="15"/>
      <c r="D229" s="15"/>
      <c r="E229" s="17">
        <v>1</v>
      </c>
      <c r="F229" s="96" t="s">
        <v>26</v>
      </c>
      <c r="G229" s="94"/>
      <c r="H229" s="95"/>
      <c r="I229" s="13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"/>
      <c r="X229" s="1"/>
      <c r="Y229" s="1"/>
      <c r="Z229" s="1"/>
    </row>
    <row r="230" spans="1:26" ht="14.25" customHeight="1" x14ac:dyDescent="0.45">
      <c r="A230" s="1"/>
      <c r="B230" s="53" t="s">
        <v>144</v>
      </c>
      <c r="C230" s="15"/>
      <c r="D230" s="15"/>
      <c r="E230" s="17"/>
      <c r="F230" s="17">
        <v>1</v>
      </c>
      <c r="G230" s="96" t="s">
        <v>28</v>
      </c>
      <c r="H230" s="95"/>
      <c r="I230" s="16" t="s">
        <v>29</v>
      </c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1">
        <f t="shared" ref="V230:V247" si="42">SUM(J230:U230)</f>
        <v>0</v>
      </c>
      <c r="W230" s="1"/>
      <c r="X230" s="1"/>
      <c r="Y230" s="1"/>
      <c r="Z230" s="1"/>
    </row>
    <row r="231" spans="1:26" ht="14.25" customHeight="1" x14ac:dyDescent="0.45">
      <c r="A231" s="1"/>
      <c r="B231" s="53" t="s">
        <v>144</v>
      </c>
      <c r="C231" s="15"/>
      <c r="D231" s="15"/>
      <c r="E231" s="23"/>
      <c r="F231" s="24"/>
      <c r="G231" s="25"/>
      <c r="H231" s="26"/>
      <c r="I231" s="16" t="s">
        <v>30</v>
      </c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1">
        <f t="shared" si="42"/>
        <v>0</v>
      </c>
      <c r="W231" s="1"/>
      <c r="X231" s="1"/>
      <c r="Y231" s="1"/>
      <c r="Z231" s="1"/>
    </row>
    <row r="232" spans="1:26" ht="14.25" customHeight="1" x14ac:dyDescent="0.45">
      <c r="A232" s="1"/>
      <c r="B232" s="53" t="s">
        <v>145</v>
      </c>
      <c r="C232" s="15"/>
      <c r="D232" s="15"/>
      <c r="E232" s="17"/>
      <c r="F232" s="17">
        <v>2</v>
      </c>
      <c r="G232" s="96" t="s">
        <v>32</v>
      </c>
      <c r="H232" s="95"/>
      <c r="I232" s="16" t="s">
        <v>29</v>
      </c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1">
        <f t="shared" si="42"/>
        <v>0</v>
      </c>
      <c r="W232" s="1"/>
      <c r="X232" s="1"/>
      <c r="Y232" s="1"/>
      <c r="Z232" s="1"/>
    </row>
    <row r="233" spans="1:26" ht="14.25" customHeight="1" x14ac:dyDescent="0.45">
      <c r="A233" s="1"/>
      <c r="B233" s="53" t="s">
        <v>145</v>
      </c>
      <c r="C233" s="15"/>
      <c r="D233" s="15"/>
      <c r="E233" s="15"/>
      <c r="F233" s="24"/>
      <c r="G233" s="25"/>
      <c r="H233" s="26"/>
      <c r="I233" s="16" t="s">
        <v>30</v>
      </c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1">
        <f t="shared" si="42"/>
        <v>0</v>
      </c>
      <c r="W233" s="1"/>
      <c r="X233" s="1"/>
      <c r="Y233" s="1"/>
      <c r="Z233" s="1"/>
    </row>
    <row r="234" spans="1:26" ht="14.25" customHeight="1" x14ac:dyDescent="0.45">
      <c r="A234" s="1"/>
      <c r="B234" s="53" t="s">
        <v>146</v>
      </c>
      <c r="C234" s="15"/>
      <c r="D234" s="15"/>
      <c r="E234" s="23"/>
      <c r="F234" s="17">
        <v>3</v>
      </c>
      <c r="G234" s="96" t="s">
        <v>34</v>
      </c>
      <c r="H234" s="95"/>
      <c r="I234" s="16" t="s">
        <v>29</v>
      </c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1">
        <f t="shared" si="42"/>
        <v>0</v>
      </c>
      <c r="W234" s="1"/>
      <c r="X234" s="1"/>
      <c r="Y234" s="1"/>
      <c r="Z234" s="1"/>
    </row>
    <row r="235" spans="1:26" ht="14.25" customHeight="1" x14ac:dyDescent="0.45">
      <c r="A235" s="1"/>
      <c r="B235" s="53" t="s">
        <v>146</v>
      </c>
      <c r="C235" s="15"/>
      <c r="D235" s="15"/>
      <c r="E235" s="23"/>
      <c r="F235" s="24"/>
      <c r="G235" s="25"/>
      <c r="H235" s="26"/>
      <c r="I235" s="16" t="s">
        <v>30</v>
      </c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1">
        <f t="shared" si="42"/>
        <v>0</v>
      </c>
      <c r="W235" s="1"/>
      <c r="X235" s="1"/>
      <c r="Y235" s="1"/>
      <c r="Z235" s="1"/>
    </row>
    <row r="236" spans="1:26" ht="14.25" customHeight="1" x14ac:dyDescent="0.45">
      <c r="A236" s="1"/>
      <c r="B236" s="53" t="s">
        <v>147</v>
      </c>
      <c r="C236" s="15"/>
      <c r="D236" s="15"/>
      <c r="E236" s="17"/>
      <c r="F236" s="17">
        <v>4</v>
      </c>
      <c r="G236" s="96" t="s">
        <v>36</v>
      </c>
      <c r="H236" s="95"/>
      <c r="I236" s="16" t="s">
        <v>29</v>
      </c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1">
        <f t="shared" si="42"/>
        <v>0</v>
      </c>
      <c r="W236" s="1"/>
      <c r="X236" s="1"/>
      <c r="Y236" s="1"/>
      <c r="Z236" s="1"/>
    </row>
    <row r="237" spans="1:26" ht="14.25" customHeight="1" x14ac:dyDescent="0.45">
      <c r="A237" s="1"/>
      <c r="B237" s="53" t="s">
        <v>147</v>
      </c>
      <c r="C237" s="15"/>
      <c r="D237" s="15"/>
      <c r="E237" s="15"/>
      <c r="F237" s="24"/>
      <c r="G237" s="25"/>
      <c r="H237" s="26"/>
      <c r="I237" s="16" t="s">
        <v>30</v>
      </c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1">
        <f t="shared" si="42"/>
        <v>0</v>
      </c>
      <c r="W237" s="1"/>
      <c r="X237" s="1"/>
      <c r="Y237" s="1"/>
      <c r="Z237" s="1"/>
    </row>
    <row r="238" spans="1:26" ht="14.25" customHeight="1" x14ac:dyDescent="0.45">
      <c r="A238" s="1"/>
      <c r="B238" s="53" t="s">
        <v>148</v>
      </c>
      <c r="C238" s="15"/>
      <c r="D238" s="15"/>
      <c r="E238" s="17"/>
      <c r="F238" s="17">
        <v>5</v>
      </c>
      <c r="G238" s="96" t="s">
        <v>38</v>
      </c>
      <c r="H238" s="95"/>
      <c r="I238" s="16" t="s">
        <v>29</v>
      </c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1">
        <f t="shared" si="42"/>
        <v>0</v>
      </c>
      <c r="W238" s="1"/>
      <c r="X238" s="1"/>
      <c r="Y238" s="1"/>
      <c r="Z238" s="1"/>
    </row>
    <row r="239" spans="1:26" ht="14.25" customHeight="1" x14ac:dyDescent="0.45">
      <c r="A239" s="1"/>
      <c r="B239" s="53" t="s">
        <v>148</v>
      </c>
      <c r="C239" s="15"/>
      <c r="D239" s="15"/>
      <c r="E239" s="33"/>
      <c r="F239" s="24"/>
      <c r="G239" s="25"/>
      <c r="H239" s="26"/>
      <c r="I239" s="16" t="s">
        <v>30</v>
      </c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1">
        <f t="shared" si="42"/>
        <v>0</v>
      </c>
      <c r="W239" s="1"/>
      <c r="X239" s="1"/>
      <c r="Y239" s="1"/>
      <c r="Z239" s="1"/>
    </row>
    <row r="240" spans="1:26" ht="14.25" customHeight="1" x14ac:dyDescent="0.45">
      <c r="A240" s="1"/>
      <c r="B240" s="53" t="s">
        <v>149</v>
      </c>
      <c r="C240" s="15"/>
      <c r="D240" s="15"/>
      <c r="E240" s="17"/>
      <c r="F240" s="17">
        <v>6</v>
      </c>
      <c r="G240" s="96" t="s">
        <v>40</v>
      </c>
      <c r="H240" s="95"/>
      <c r="I240" s="16" t="s">
        <v>29</v>
      </c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1">
        <f t="shared" si="42"/>
        <v>0</v>
      </c>
      <c r="W240" s="1"/>
      <c r="X240" s="1"/>
      <c r="Y240" s="1"/>
      <c r="Z240" s="1"/>
    </row>
    <row r="241" spans="1:26" ht="14.25" customHeight="1" x14ac:dyDescent="0.45">
      <c r="A241" s="1"/>
      <c r="B241" s="53" t="s">
        <v>149</v>
      </c>
      <c r="C241" s="15"/>
      <c r="D241" s="15"/>
      <c r="E241" s="33"/>
      <c r="F241" s="24"/>
      <c r="G241" s="25"/>
      <c r="H241" s="26"/>
      <c r="I241" s="16" t="s">
        <v>30</v>
      </c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1">
        <f t="shared" si="42"/>
        <v>0</v>
      </c>
      <c r="W241" s="1"/>
      <c r="X241" s="1"/>
      <c r="Y241" s="1"/>
      <c r="Z241" s="1"/>
    </row>
    <row r="242" spans="1:26" ht="14.25" customHeight="1" x14ac:dyDescent="0.45">
      <c r="A242" s="1"/>
      <c r="B242" s="53" t="s">
        <v>150</v>
      </c>
      <c r="C242" s="15"/>
      <c r="D242" s="15"/>
      <c r="E242" s="17"/>
      <c r="F242" s="54">
        <v>7</v>
      </c>
      <c r="G242" s="96" t="s">
        <v>42</v>
      </c>
      <c r="H242" s="95"/>
      <c r="I242" s="16" t="s">
        <v>29</v>
      </c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1">
        <f t="shared" si="42"/>
        <v>0</v>
      </c>
      <c r="W242" s="1"/>
      <c r="X242" s="1"/>
      <c r="Y242" s="1"/>
      <c r="Z242" s="1"/>
    </row>
    <row r="243" spans="1:26" ht="14.25" customHeight="1" x14ac:dyDescent="0.45">
      <c r="A243" s="1"/>
      <c r="B243" s="53" t="s">
        <v>150</v>
      </c>
      <c r="C243" s="15"/>
      <c r="D243" s="15"/>
      <c r="E243" s="17"/>
      <c r="F243" s="24"/>
      <c r="G243" s="25"/>
      <c r="H243" s="26"/>
      <c r="I243" s="16" t="s">
        <v>30</v>
      </c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1">
        <f t="shared" si="42"/>
        <v>0</v>
      </c>
      <c r="W243" s="1"/>
      <c r="X243" s="1"/>
      <c r="Y243" s="1"/>
      <c r="Z243" s="1"/>
    </row>
    <row r="244" spans="1:26" ht="14.25" customHeight="1" x14ac:dyDescent="0.45">
      <c r="A244" s="1"/>
      <c r="B244" s="53" t="s">
        <v>151</v>
      </c>
      <c r="C244" s="15"/>
      <c r="D244" s="15"/>
      <c r="E244" s="23"/>
      <c r="F244" s="55">
        <v>8</v>
      </c>
      <c r="G244" s="98" t="s">
        <v>102</v>
      </c>
      <c r="H244" s="95"/>
      <c r="I244" s="16" t="s">
        <v>29</v>
      </c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1">
        <f t="shared" si="42"/>
        <v>0</v>
      </c>
      <c r="W244" s="1"/>
      <c r="X244" s="1"/>
      <c r="Y244" s="1"/>
      <c r="Z244" s="1"/>
    </row>
    <row r="245" spans="1:26" ht="14.25" customHeight="1" x14ac:dyDescent="0.45">
      <c r="A245" s="1"/>
      <c r="B245" s="53" t="s">
        <v>151</v>
      </c>
      <c r="C245" s="15"/>
      <c r="D245" s="15"/>
      <c r="E245" s="23"/>
      <c r="F245" s="55"/>
      <c r="G245" s="25"/>
      <c r="H245" s="26"/>
      <c r="I245" s="16" t="s">
        <v>30</v>
      </c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1">
        <f t="shared" si="42"/>
        <v>0</v>
      </c>
      <c r="W245" s="1"/>
      <c r="X245" s="1"/>
      <c r="Y245" s="1"/>
      <c r="Z245" s="1"/>
    </row>
    <row r="246" spans="1:26" ht="14.25" customHeight="1" x14ac:dyDescent="0.45">
      <c r="A246" s="1"/>
      <c r="B246" s="53" t="s">
        <v>152</v>
      </c>
      <c r="C246" s="15"/>
      <c r="D246" s="15"/>
      <c r="E246" s="17"/>
      <c r="F246" s="55">
        <v>9</v>
      </c>
      <c r="G246" s="99" t="s">
        <v>91</v>
      </c>
      <c r="H246" s="95"/>
      <c r="I246" s="16" t="s">
        <v>29</v>
      </c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1">
        <f t="shared" si="42"/>
        <v>0</v>
      </c>
      <c r="W246" s="1"/>
      <c r="X246" s="1"/>
      <c r="Y246" s="1"/>
      <c r="Z246" s="1"/>
    </row>
    <row r="247" spans="1:26" ht="14.25" customHeight="1" x14ac:dyDescent="0.45">
      <c r="A247" s="1"/>
      <c r="B247" s="53" t="s">
        <v>152</v>
      </c>
      <c r="C247" s="32"/>
      <c r="D247" s="15"/>
      <c r="E247" s="47"/>
      <c r="F247" s="56"/>
      <c r="G247" s="37"/>
      <c r="H247" s="38"/>
      <c r="I247" s="16" t="s">
        <v>30</v>
      </c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1">
        <f t="shared" si="42"/>
        <v>0</v>
      </c>
      <c r="W247" s="1"/>
      <c r="X247" s="1"/>
      <c r="Y247" s="1"/>
      <c r="Z247" s="1"/>
    </row>
    <row r="248" spans="1:26" ht="14.25" customHeight="1" x14ac:dyDescent="0.45">
      <c r="A248" s="1"/>
      <c r="B248" s="53"/>
      <c r="C248" s="32"/>
      <c r="D248" s="15"/>
      <c r="E248" s="96"/>
      <c r="F248" s="94"/>
      <c r="G248" s="94"/>
      <c r="H248" s="95"/>
      <c r="I248" s="1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"/>
      <c r="X248" s="1"/>
      <c r="Y248" s="1"/>
      <c r="Z248" s="1"/>
    </row>
    <row r="249" spans="1:26" ht="14.25" customHeight="1" x14ac:dyDescent="0.45">
      <c r="A249" s="1"/>
      <c r="B249" s="53"/>
      <c r="C249" s="32"/>
      <c r="D249" s="100" t="s">
        <v>153</v>
      </c>
      <c r="E249" s="81"/>
      <c r="F249" s="81"/>
      <c r="G249" s="81"/>
      <c r="H249" s="82"/>
      <c r="I249" s="16" t="s">
        <v>29</v>
      </c>
      <c r="J249" s="21">
        <f t="shared" ref="J249:V249" ca="1" si="43">SUMIF($I$210:$V$247,$I249,J$210:J$247)</f>
        <v>0</v>
      </c>
      <c r="K249" s="21">
        <f t="shared" ca="1" si="43"/>
        <v>0</v>
      </c>
      <c r="L249" s="21">
        <f t="shared" ca="1" si="43"/>
        <v>0</v>
      </c>
      <c r="M249" s="21">
        <f t="shared" ca="1" si="43"/>
        <v>0</v>
      </c>
      <c r="N249" s="21">
        <f t="shared" ca="1" si="43"/>
        <v>0</v>
      </c>
      <c r="O249" s="21">
        <f t="shared" ca="1" si="43"/>
        <v>0</v>
      </c>
      <c r="P249" s="21">
        <f t="shared" ca="1" si="43"/>
        <v>0</v>
      </c>
      <c r="Q249" s="21">
        <f t="shared" ca="1" si="43"/>
        <v>0</v>
      </c>
      <c r="R249" s="21">
        <f t="shared" ca="1" si="43"/>
        <v>0</v>
      </c>
      <c r="S249" s="21">
        <f t="shared" ca="1" si="43"/>
        <v>0</v>
      </c>
      <c r="T249" s="21">
        <f t="shared" ca="1" si="43"/>
        <v>0</v>
      </c>
      <c r="U249" s="21">
        <f t="shared" ca="1" si="43"/>
        <v>0</v>
      </c>
      <c r="V249" s="21">
        <f t="shared" ca="1" si="43"/>
        <v>0</v>
      </c>
      <c r="W249" s="1"/>
      <c r="X249" s="1"/>
      <c r="Y249" s="1"/>
      <c r="Z249" s="1"/>
    </row>
    <row r="250" spans="1:26" ht="14.25" customHeight="1" x14ac:dyDescent="0.45">
      <c r="A250" s="1"/>
      <c r="B250" s="53"/>
      <c r="C250" s="32"/>
      <c r="D250" s="90"/>
      <c r="E250" s="91"/>
      <c r="F250" s="91"/>
      <c r="G250" s="91"/>
      <c r="H250" s="92"/>
      <c r="I250" s="16" t="s">
        <v>30</v>
      </c>
      <c r="J250" s="21">
        <f t="shared" ref="J250:V250" ca="1" si="44">SUMIF($I$210:$V$247,$I250,J$210:J$247)</f>
        <v>0</v>
      </c>
      <c r="K250" s="21">
        <f t="shared" ca="1" si="44"/>
        <v>0</v>
      </c>
      <c r="L250" s="21">
        <f t="shared" ca="1" si="44"/>
        <v>0</v>
      </c>
      <c r="M250" s="21">
        <f t="shared" ca="1" si="44"/>
        <v>0</v>
      </c>
      <c r="N250" s="21">
        <f t="shared" ca="1" si="44"/>
        <v>0</v>
      </c>
      <c r="O250" s="21">
        <f t="shared" ca="1" si="44"/>
        <v>0</v>
      </c>
      <c r="P250" s="21">
        <f t="shared" ca="1" si="44"/>
        <v>0</v>
      </c>
      <c r="Q250" s="21">
        <f t="shared" ca="1" si="44"/>
        <v>0</v>
      </c>
      <c r="R250" s="21">
        <f t="shared" ca="1" si="44"/>
        <v>0</v>
      </c>
      <c r="S250" s="21">
        <f t="shared" ca="1" si="44"/>
        <v>0</v>
      </c>
      <c r="T250" s="21">
        <f t="shared" ca="1" si="44"/>
        <v>0</v>
      </c>
      <c r="U250" s="21">
        <f t="shared" ca="1" si="44"/>
        <v>0</v>
      </c>
      <c r="V250" s="21">
        <f t="shared" ca="1" si="44"/>
        <v>0</v>
      </c>
      <c r="W250" s="1"/>
      <c r="X250" s="1"/>
      <c r="Y250" s="1"/>
      <c r="Z250" s="1"/>
    </row>
    <row r="251" spans="1:26" ht="14.25" customHeight="1" x14ac:dyDescent="0.45">
      <c r="A251" s="1"/>
      <c r="B251" s="53"/>
      <c r="C251" s="32"/>
      <c r="D251" s="50"/>
      <c r="E251" s="51"/>
      <c r="F251" s="51"/>
      <c r="G251" s="51"/>
      <c r="H251" s="52"/>
      <c r="I251" s="1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"/>
      <c r="X251" s="1"/>
      <c r="Y251" s="1"/>
      <c r="Z251" s="1"/>
    </row>
    <row r="252" spans="1:26" ht="14.25" customHeight="1" x14ac:dyDescent="0.45">
      <c r="A252" s="1"/>
      <c r="C252" s="100" t="s">
        <v>154</v>
      </c>
      <c r="D252" s="81"/>
      <c r="E252" s="81"/>
      <c r="F252" s="81"/>
      <c r="G252" s="81"/>
      <c r="H252" s="82"/>
      <c r="I252" s="16" t="s">
        <v>29</v>
      </c>
      <c r="J252" s="21">
        <f t="shared" ref="J252:V252" ca="1" si="45">J114+J159+J204+J249</f>
        <v>325</v>
      </c>
      <c r="K252" s="21">
        <f t="shared" ca="1" si="45"/>
        <v>385</v>
      </c>
      <c r="L252" s="21">
        <f t="shared" ca="1" si="45"/>
        <v>622</v>
      </c>
      <c r="M252" s="21">
        <f t="shared" ca="1" si="45"/>
        <v>401</v>
      </c>
      <c r="N252" s="21">
        <f t="shared" ca="1" si="45"/>
        <v>415</v>
      </c>
      <c r="O252" s="21">
        <f t="shared" ca="1" si="45"/>
        <v>0</v>
      </c>
      <c r="P252" s="21">
        <f t="shared" ca="1" si="45"/>
        <v>0</v>
      </c>
      <c r="Q252" s="21">
        <f t="shared" ca="1" si="45"/>
        <v>0</v>
      </c>
      <c r="R252" s="21">
        <f t="shared" ca="1" si="45"/>
        <v>0</v>
      </c>
      <c r="S252" s="21">
        <f t="shared" ca="1" si="45"/>
        <v>0</v>
      </c>
      <c r="T252" s="21">
        <f t="shared" ca="1" si="45"/>
        <v>0</v>
      </c>
      <c r="U252" s="21">
        <f t="shared" ca="1" si="45"/>
        <v>0</v>
      </c>
      <c r="V252" s="21">
        <f t="shared" ca="1" si="45"/>
        <v>2148</v>
      </c>
      <c r="W252" s="1"/>
      <c r="X252" s="1"/>
      <c r="Y252" s="1"/>
      <c r="Z252" s="1"/>
    </row>
    <row r="253" spans="1:26" ht="14.25" customHeight="1" x14ac:dyDescent="0.45">
      <c r="A253" s="1"/>
      <c r="C253" s="90"/>
      <c r="D253" s="91"/>
      <c r="E253" s="91"/>
      <c r="F253" s="91"/>
      <c r="G253" s="91"/>
      <c r="H253" s="92"/>
      <c r="I253" s="16" t="s">
        <v>30</v>
      </c>
      <c r="J253" s="21">
        <f t="shared" ref="J253:V253" ca="1" si="46">J115+J160+J205+J250</f>
        <v>4073215</v>
      </c>
      <c r="K253" s="21">
        <f t="shared" ca="1" si="46"/>
        <v>3323766</v>
      </c>
      <c r="L253" s="21">
        <f t="shared" ca="1" si="46"/>
        <v>5234297</v>
      </c>
      <c r="M253" s="21">
        <f t="shared" ca="1" si="46"/>
        <v>3144433</v>
      </c>
      <c r="N253" s="21">
        <f t="shared" ca="1" si="46"/>
        <v>3289484</v>
      </c>
      <c r="O253" s="21">
        <f t="shared" ca="1" si="46"/>
        <v>0</v>
      </c>
      <c r="P253" s="21">
        <f t="shared" ca="1" si="46"/>
        <v>0</v>
      </c>
      <c r="Q253" s="21">
        <f t="shared" ca="1" si="46"/>
        <v>0</v>
      </c>
      <c r="R253" s="21">
        <f t="shared" ca="1" si="46"/>
        <v>0</v>
      </c>
      <c r="S253" s="21">
        <f t="shared" ca="1" si="46"/>
        <v>0</v>
      </c>
      <c r="T253" s="21">
        <f t="shared" ca="1" si="46"/>
        <v>0</v>
      </c>
      <c r="U253" s="21">
        <f t="shared" ca="1" si="46"/>
        <v>0</v>
      </c>
      <c r="V253" s="21">
        <f t="shared" ca="1" si="46"/>
        <v>19065195</v>
      </c>
      <c r="W253" s="1"/>
      <c r="X253" s="1"/>
      <c r="Y253" s="1"/>
      <c r="Z253" s="1"/>
    </row>
    <row r="254" spans="1:26" ht="14.25" customHeight="1" x14ac:dyDescent="0.45">
      <c r="A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"/>
      <c r="X254" s="1"/>
      <c r="Y254" s="1"/>
      <c r="Z254" s="1"/>
    </row>
    <row r="255" spans="1:26" ht="14.25" customHeight="1" x14ac:dyDescent="0.55000000000000004">
      <c r="A255" s="4">
        <v>2</v>
      </c>
      <c r="B255" s="5"/>
      <c r="C255" s="4" t="s">
        <v>155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"/>
      <c r="X255" s="1"/>
      <c r="Y255" s="1"/>
      <c r="Z255" s="1"/>
    </row>
    <row r="256" spans="1:26" ht="14.25" customHeight="1" x14ac:dyDescent="0.45">
      <c r="A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"/>
      <c r="X256" s="1"/>
      <c r="Y256" s="1"/>
      <c r="Z256" s="1"/>
    </row>
    <row r="257" spans="1:26" ht="14.25" customHeight="1" x14ac:dyDescent="0.45">
      <c r="A257" s="1"/>
      <c r="C257" s="76" t="s">
        <v>8</v>
      </c>
      <c r="D257" s="89" t="s">
        <v>9</v>
      </c>
      <c r="E257" s="81"/>
      <c r="F257" s="81"/>
      <c r="G257" s="81"/>
      <c r="H257" s="82"/>
      <c r="I257" s="79" t="s">
        <v>10</v>
      </c>
      <c r="J257" s="80">
        <f>$H$2</f>
        <v>2026</v>
      </c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2"/>
      <c r="W257" s="1"/>
      <c r="X257" s="1"/>
      <c r="Y257" s="1"/>
      <c r="Z257" s="1"/>
    </row>
    <row r="258" spans="1:26" ht="14.25" customHeight="1" x14ac:dyDescent="0.45">
      <c r="A258" s="1"/>
      <c r="C258" s="77"/>
      <c r="D258" s="83"/>
      <c r="E258" s="84"/>
      <c r="F258" s="84"/>
      <c r="G258" s="84"/>
      <c r="H258" s="85"/>
      <c r="I258" s="77"/>
      <c r="J258" s="83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5"/>
      <c r="W258" s="1"/>
      <c r="X258" s="1"/>
      <c r="Y258" s="1"/>
      <c r="Z258" s="1"/>
    </row>
    <row r="259" spans="1:26" ht="14.25" customHeight="1" x14ac:dyDescent="0.45">
      <c r="A259" s="1"/>
      <c r="C259" s="78"/>
      <c r="D259" s="90"/>
      <c r="E259" s="91"/>
      <c r="F259" s="91"/>
      <c r="G259" s="91"/>
      <c r="H259" s="92"/>
      <c r="I259" s="78"/>
      <c r="J259" s="6" t="s">
        <v>11</v>
      </c>
      <c r="K259" s="6" t="s">
        <v>12</v>
      </c>
      <c r="L259" s="6" t="s">
        <v>13</v>
      </c>
      <c r="M259" s="6" t="s">
        <v>14</v>
      </c>
      <c r="N259" s="6" t="s">
        <v>15</v>
      </c>
      <c r="O259" s="6" t="s">
        <v>16</v>
      </c>
      <c r="P259" s="6" t="s">
        <v>17</v>
      </c>
      <c r="Q259" s="6" t="s">
        <v>18</v>
      </c>
      <c r="R259" s="6" t="s">
        <v>19</v>
      </c>
      <c r="S259" s="6" t="s">
        <v>20</v>
      </c>
      <c r="T259" s="6" t="s">
        <v>21</v>
      </c>
      <c r="U259" s="6" t="s">
        <v>22</v>
      </c>
      <c r="V259" s="6" t="s">
        <v>23</v>
      </c>
      <c r="W259" s="1"/>
      <c r="X259" s="1"/>
      <c r="Y259" s="1"/>
      <c r="Z259" s="1"/>
    </row>
    <row r="260" spans="1:26" ht="14.25" customHeight="1" x14ac:dyDescent="0.45">
      <c r="A260" s="1"/>
      <c r="C260" s="6">
        <v>1</v>
      </c>
      <c r="D260" s="93">
        <v>2</v>
      </c>
      <c r="E260" s="94"/>
      <c r="F260" s="94"/>
      <c r="G260" s="94"/>
      <c r="H260" s="95"/>
      <c r="I260" s="7">
        <v>3</v>
      </c>
      <c r="J260" s="86">
        <v>4</v>
      </c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8"/>
      <c r="V260" s="8">
        <v>5</v>
      </c>
      <c r="W260" s="1"/>
      <c r="X260" s="1"/>
      <c r="Y260" s="1"/>
      <c r="Z260" s="1"/>
    </row>
    <row r="261" spans="1:26" ht="14.25" customHeight="1" x14ac:dyDescent="0.45">
      <c r="A261" s="1"/>
      <c r="C261" s="9"/>
      <c r="D261" s="17"/>
      <c r="E261" s="63"/>
      <c r="F261" s="63"/>
      <c r="G261" s="63"/>
      <c r="H261" s="64"/>
      <c r="I261" s="17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"/>
      <c r="X261" s="1"/>
      <c r="Y261" s="1"/>
      <c r="Z261" s="1"/>
    </row>
    <row r="262" spans="1:26" ht="14.25" customHeight="1" x14ac:dyDescent="0.45">
      <c r="A262" s="1"/>
      <c r="C262" s="33">
        <v>1</v>
      </c>
      <c r="D262" s="96" t="s">
        <v>156</v>
      </c>
      <c r="E262" s="94"/>
      <c r="F262" s="94"/>
      <c r="G262" s="94"/>
      <c r="H262" s="95"/>
      <c r="I262" s="1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"/>
      <c r="X262" s="1"/>
      <c r="Y262" s="1"/>
      <c r="Z262" s="1"/>
    </row>
    <row r="263" spans="1:26" ht="14.25" customHeight="1" x14ac:dyDescent="0.45">
      <c r="A263" s="1"/>
      <c r="C263" s="15"/>
      <c r="D263" s="15">
        <v>1</v>
      </c>
      <c r="E263" s="96" t="s">
        <v>157</v>
      </c>
      <c r="F263" s="94"/>
      <c r="G263" s="94"/>
      <c r="H263" s="95"/>
      <c r="I263" s="1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"/>
      <c r="X263" s="1"/>
      <c r="Y263" s="1"/>
      <c r="Z263" s="1"/>
    </row>
    <row r="264" spans="1:26" ht="14.25" customHeight="1" x14ac:dyDescent="0.45">
      <c r="A264" s="1"/>
      <c r="C264" s="15"/>
      <c r="D264" s="15"/>
      <c r="E264" s="15">
        <v>1</v>
      </c>
      <c r="F264" s="96" t="s">
        <v>158</v>
      </c>
      <c r="G264" s="94"/>
      <c r="H264" s="95"/>
      <c r="I264" s="1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"/>
      <c r="X264" s="1"/>
      <c r="Y264" s="1"/>
      <c r="Z264" s="1"/>
    </row>
    <row r="265" spans="1:26" ht="14.25" customHeight="1" x14ac:dyDescent="0.45">
      <c r="A265" s="1"/>
      <c r="C265" s="15"/>
      <c r="D265" s="15"/>
      <c r="E265" s="15"/>
      <c r="F265" s="15">
        <v>1</v>
      </c>
      <c r="G265" s="96" t="s">
        <v>159</v>
      </c>
      <c r="H265" s="95"/>
      <c r="I265" s="1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"/>
      <c r="X265" s="1"/>
      <c r="Y265" s="1"/>
      <c r="Z265" s="1"/>
    </row>
    <row r="266" spans="1:26" ht="14.25" customHeight="1" x14ac:dyDescent="0.45">
      <c r="A266" s="1"/>
      <c r="B266" s="1" t="s">
        <v>160</v>
      </c>
      <c r="C266" s="15"/>
      <c r="D266" s="15"/>
      <c r="E266" s="15"/>
      <c r="F266" s="15"/>
      <c r="G266" s="33">
        <v>1</v>
      </c>
      <c r="H266" s="39">
        <v>20</v>
      </c>
      <c r="I266" s="16" t="s">
        <v>161</v>
      </c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1">
        <f t="shared" ref="V266:V270" si="47">SUM(J266:U266)</f>
        <v>0</v>
      </c>
      <c r="W266" s="1"/>
      <c r="X266" s="1"/>
      <c r="Y266" s="1"/>
      <c r="Z266" s="1"/>
    </row>
    <row r="267" spans="1:26" ht="14.25" customHeight="1" x14ac:dyDescent="0.45">
      <c r="A267" s="1"/>
      <c r="B267" s="1" t="s">
        <v>162</v>
      </c>
      <c r="C267" s="15"/>
      <c r="D267" s="15"/>
      <c r="E267" s="15"/>
      <c r="F267" s="15"/>
      <c r="G267" s="33">
        <v>2</v>
      </c>
      <c r="H267" s="39">
        <v>40</v>
      </c>
      <c r="I267" s="16" t="s">
        <v>161</v>
      </c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1">
        <f t="shared" si="47"/>
        <v>0</v>
      </c>
      <c r="W267" s="1"/>
      <c r="X267" s="1"/>
      <c r="Y267" s="1"/>
      <c r="Z267" s="1"/>
    </row>
    <row r="268" spans="1:26" ht="14.25" customHeight="1" x14ac:dyDescent="0.45">
      <c r="A268" s="1"/>
      <c r="B268" s="1" t="s">
        <v>163</v>
      </c>
      <c r="C268" s="15"/>
      <c r="D268" s="15"/>
      <c r="E268" s="15"/>
      <c r="F268" s="15"/>
      <c r="G268" s="33">
        <v>3</v>
      </c>
      <c r="H268" s="39">
        <v>45</v>
      </c>
      <c r="I268" s="16" t="s">
        <v>161</v>
      </c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1">
        <f t="shared" si="47"/>
        <v>0</v>
      </c>
      <c r="W268" s="1"/>
      <c r="X268" s="1"/>
      <c r="Y268" s="1"/>
      <c r="Z268" s="1"/>
    </row>
    <row r="269" spans="1:26" ht="14.25" customHeight="1" x14ac:dyDescent="0.45">
      <c r="A269" s="1"/>
      <c r="B269" s="1" t="s">
        <v>164</v>
      </c>
      <c r="C269" s="15"/>
      <c r="D269" s="15"/>
      <c r="E269" s="15"/>
      <c r="F269" s="15"/>
      <c r="G269" s="33">
        <v>4</v>
      </c>
      <c r="H269" s="39" t="s">
        <v>165</v>
      </c>
      <c r="I269" s="16" t="s">
        <v>161</v>
      </c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1">
        <f t="shared" si="47"/>
        <v>0</v>
      </c>
      <c r="W269" s="1"/>
      <c r="X269" s="1"/>
      <c r="Y269" s="1"/>
      <c r="Z269" s="1"/>
    </row>
    <row r="270" spans="1:26" ht="14.25" customHeight="1" x14ac:dyDescent="0.45">
      <c r="A270" s="1"/>
      <c r="B270" s="1" t="s">
        <v>166</v>
      </c>
      <c r="C270" s="15"/>
      <c r="D270" s="15"/>
      <c r="E270" s="15"/>
      <c r="F270" s="15"/>
      <c r="G270" s="33">
        <v>5</v>
      </c>
      <c r="H270" s="39" t="s">
        <v>167</v>
      </c>
      <c r="I270" s="16" t="s">
        <v>161</v>
      </c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1">
        <f t="shared" si="47"/>
        <v>0</v>
      </c>
      <c r="W270" s="1"/>
      <c r="X270" s="1"/>
      <c r="Y270" s="1"/>
      <c r="Z270" s="1"/>
    </row>
    <row r="271" spans="1:26" ht="14.25" customHeight="1" x14ac:dyDescent="0.45">
      <c r="A271" s="1"/>
      <c r="C271" s="15"/>
      <c r="D271" s="15"/>
      <c r="E271" s="15"/>
      <c r="F271" s="15"/>
      <c r="G271" s="39"/>
      <c r="H271" s="39"/>
      <c r="I271" s="1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"/>
      <c r="X271" s="1"/>
      <c r="Y271" s="1"/>
      <c r="Z271" s="1"/>
    </row>
    <row r="272" spans="1:26" ht="14.25" customHeight="1" x14ac:dyDescent="0.45">
      <c r="A272" s="1"/>
      <c r="C272" s="15"/>
      <c r="D272" s="15"/>
      <c r="E272" s="15"/>
      <c r="F272" s="15">
        <v>2</v>
      </c>
      <c r="G272" s="96" t="s">
        <v>168</v>
      </c>
      <c r="H272" s="95"/>
      <c r="I272" s="1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"/>
      <c r="X272" s="1"/>
      <c r="Y272" s="1"/>
      <c r="Z272" s="1"/>
    </row>
    <row r="273" spans="1:26" ht="14.25" customHeight="1" x14ac:dyDescent="0.45">
      <c r="A273" s="1"/>
      <c r="B273" s="1" t="s">
        <v>169</v>
      </c>
      <c r="C273" s="15"/>
      <c r="D273" s="15"/>
      <c r="E273" s="15"/>
      <c r="F273" s="15"/>
      <c r="G273" s="33">
        <v>1</v>
      </c>
      <c r="H273" s="39">
        <v>20</v>
      </c>
      <c r="I273" s="16" t="s">
        <v>161</v>
      </c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1">
        <f t="shared" ref="V273:V275" si="48">SUM(J273:U273)</f>
        <v>0</v>
      </c>
      <c r="W273" s="1"/>
      <c r="X273" s="1"/>
      <c r="Y273" s="1"/>
      <c r="Z273" s="1"/>
    </row>
    <row r="274" spans="1:26" ht="14.25" customHeight="1" x14ac:dyDescent="0.45">
      <c r="A274" s="1"/>
      <c r="B274" s="1" t="s">
        <v>170</v>
      </c>
      <c r="C274" s="15"/>
      <c r="D274" s="15"/>
      <c r="E274" s="15"/>
      <c r="F274" s="15"/>
      <c r="G274" s="33">
        <v>2</v>
      </c>
      <c r="H274" s="39">
        <v>40</v>
      </c>
      <c r="I274" s="16" t="s">
        <v>161</v>
      </c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1">
        <f t="shared" si="48"/>
        <v>0</v>
      </c>
      <c r="W274" s="1"/>
      <c r="X274" s="1"/>
      <c r="Y274" s="1"/>
      <c r="Z274" s="1"/>
    </row>
    <row r="275" spans="1:26" ht="14.25" customHeight="1" x14ac:dyDescent="0.45">
      <c r="A275" s="1"/>
      <c r="B275" s="1" t="s">
        <v>171</v>
      </c>
      <c r="C275" s="15"/>
      <c r="D275" s="15"/>
      <c r="E275" s="15"/>
      <c r="F275" s="15"/>
      <c r="G275" s="33">
        <v>3</v>
      </c>
      <c r="H275" s="39">
        <v>45</v>
      </c>
      <c r="I275" s="16" t="s">
        <v>161</v>
      </c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1">
        <f t="shared" si="48"/>
        <v>0</v>
      </c>
      <c r="W275" s="1"/>
      <c r="X275" s="1"/>
      <c r="Y275" s="1"/>
      <c r="Z275" s="1"/>
    </row>
    <row r="276" spans="1:26" ht="14.25" customHeight="1" x14ac:dyDescent="0.45">
      <c r="A276" s="1"/>
      <c r="C276" s="15"/>
      <c r="D276" s="15"/>
      <c r="E276" s="15"/>
      <c r="F276" s="15"/>
      <c r="G276" s="65"/>
      <c r="H276" s="65"/>
      <c r="I276" s="1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"/>
      <c r="X276" s="1"/>
      <c r="Y276" s="1"/>
      <c r="Z276" s="1"/>
    </row>
    <row r="277" spans="1:26" ht="14.25" customHeight="1" x14ac:dyDescent="0.45">
      <c r="A277" s="1"/>
      <c r="C277" s="15"/>
      <c r="D277" s="15"/>
      <c r="E277" s="15"/>
      <c r="F277" s="15">
        <v>3</v>
      </c>
      <c r="G277" s="96" t="s">
        <v>172</v>
      </c>
      <c r="H277" s="95"/>
      <c r="I277" s="1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"/>
      <c r="X277" s="1"/>
      <c r="Y277" s="1"/>
      <c r="Z277" s="1"/>
    </row>
    <row r="278" spans="1:26" ht="14.25" customHeight="1" x14ac:dyDescent="0.45">
      <c r="A278" s="1"/>
      <c r="B278" s="1" t="s">
        <v>173</v>
      </c>
      <c r="C278" s="15"/>
      <c r="D278" s="15"/>
      <c r="E278" s="15"/>
      <c r="F278" s="15"/>
      <c r="G278" s="33">
        <v>1</v>
      </c>
      <c r="H278" s="39">
        <v>20</v>
      </c>
      <c r="I278" s="16" t="s">
        <v>161</v>
      </c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1">
        <f t="shared" ref="V278:V280" si="49">SUM(J278:U278)</f>
        <v>0</v>
      </c>
      <c r="W278" s="1"/>
      <c r="X278" s="1"/>
      <c r="Y278" s="1"/>
      <c r="Z278" s="1"/>
    </row>
    <row r="279" spans="1:26" ht="14.25" customHeight="1" x14ac:dyDescent="0.45">
      <c r="A279" s="1"/>
      <c r="B279" s="1" t="s">
        <v>174</v>
      </c>
      <c r="C279" s="15"/>
      <c r="D279" s="15"/>
      <c r="E279" s="15"/>
      <c r="F279" s="15"/>
      <c r="G279" s="33">
        <v>2</v>
      </c>
      <c r="H279" s="39">
        <v>40</v>
      </c>
      <c r="I279" s="16" t="s">
        <v>161</v>
      </c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1">
        <f t="shared" si="49"/>
        <v>0</v>
      </c>
      <c r="W279" s="1"/>
      <c r="X279" s="1"/>
      <c r="Y279" s="1"/>
      <c r="Z279" s="1"/>
    </row>
    <row r="280" spans="1:26" ht="14.25" customHeight="1" x14ac:dyDescent="0.45">
      <c r="A280" s="1"/>
      <c r="B280" s="1" t="s">
        <v>175</v>
      </c>
      <c r="C280" s="15"/>
      <c r="D280" s="15"/>
      <c r="E280" s="15"/>
      <c r="F280" s="15"/>
      <c r="G280" s="33">
        <v>3</v>
      </c>
      <c r="H280" s="39">
        <v>45</v>
      </c>
      <c r="I280" s="16" t="s">
        <v>161</v>
      </c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1">
        <f t="shared" si="49"/>
        <v>0</v>
      </c>
      <c r="W280" s="1"/>
      <c r="X280" s="1"/>
      <c r="Y280" s="1"/>
      <c r="Z280" s="1"/>
    </row>
    <row r="281" spans="1:26" ht="14.25" customHeight="1" x14ac:dyDescent="0.45">
      <c r="A281" s="1"/>
      <c r="C281" s="15"/>
      <c r="D281" s="15"/>
      <c r="E281" s="15"/>
      <c r="F281" s="15"/>
      <c r="G281" s="39"/>
      <c r="H281" s="39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"/>
      <c r="X281" s="1"/>
      <c r="Y281" s="1"/>
      <c r="Z281" s="1"/>
    </row>
    <row r="282" spans="1:26" ht="14.25" customHeight="1" x14ac:dyDescent="0.45">
      <c r="A282" s="1"/>
      <c r="B282" s="1" t="s">
        <v>176</v>
      </c>
      <c r="C282" s="15"/>
      <c r="D282" s="15"/>
      <c r="E282" s="15"/>
      <c r="F282" s="15">
        <v>4</v>
      </c>
      <c r="G282" s="96" t="s">
        <v>177</v>
      </c>
      <c r="H282" s="95"/>
      <c r="I282" s="16" t="s">
        <v>178</v>
      </c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1">
        <f>SUM(J282:U282)</f>
        <v>0</v>
      </c>
      <c r="W282" s="1"/>
      <c r="X282" s="1"/>
      <c r="Y282" s="1"/>
      <c r="Z282" s="1"/>
    </row>
    <row r="283" spans="1:26" ht="14.25" customHeight="1" x14ac:dyDescent="0.45">
      <c r="A283" s="1"/>
      <c r="C283" s="15"/>
      <c r="D283" s="15"/>
      <c r="E283" s="15"/>
      <c r="F283" s="15"/>
      <c r="G283" s="16"/>
      <c r="H283" s="43"/>
      <c r="I283" s="1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"/>
      <c r="X283" s="1"/>
      <c r="Y283" s="1"/>
      <c r="Z283" s="1"/>
    </row>
    <row r="284" spans="1:26" ht="14.25" customHeight="1" x14ac:dyDescent="0.45">
      <c r="A284" s="1"/>
      <c r="C284" s="15"/>
      <c r="D284" s="15"/>
      <c r="E284" s="15">
        <v>2</v>
      </c>
      <c r="F284" s="101" t="s">
        <v>179</v>
      </c>
      <c r="G284" s="94"/>
      <c r="H284" s="95"/>
      <c r="I284" s="1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"/>
      <c r="X284" s="1"/>
      <c r="Y284" s="1"/>
      <c r="Z284" s="1"/>
    </row>
    <row r="285" spans="1:26" ht="14.25" customHeight="1" x14ac:dyDescent="0.45">
      <c r="A285" s="1"/>
      <c r="B285" s="1" t="s">
        <v>180</v>
      </c>
      <c r="C285" s="15"/>
      <c r="D285" s="15"/>
      <c r="E285" s="15"/>
      <c r="F285" s="15"/>
      <c r="G285" s="33">
        <v>1</v>
      </c>
      <c r="H285" s="39">
        <v>20</v>
      </c>
      <c r="I285" s="16" t="s">
        <v>161</v>
      </c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1">
        <f t="shared" ref="V285:V287" si="50">SUM(J285:U285)</f>
        <v>0</v>
      </c>
      <c r="W285" s="1"/>
      <c r="X285" s="1"/>
      <c r="Y285" s="1"/>
      <c r="Z285" s="1"/>
    </row>
    <row r="286" spans="1:26" ht="14.25" customHeight="1" x14ac:dyDescent="0.45">
      <c r="A286" s="1"/>
      <c r="B286" s="1" t="s">
        <v>181</v>
      </c>
      <c r="C286" s="15"/>
      <c r="D286" s="15"/>
      <c r="E286" s="15"/>
      <c r="F286" s="15"/>
      <c r="G286" s="33">
        <v>2</v>
      </c>
      <c r="H286" s="39">
        <v>40</v>
      </c>
      <c r="I286" s="16" t="s">
        <v>161</v>
      </c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1">
        <f t="shared" si="50"/>
        <v>0</v>
      </c>
      <c r="W286" s="1"/>
      <c r="X286" s="1"/>
      <c r="Y286" s="1"/>
      <c r="Z286" s="1"/>
    </row>
    <row r="287" spans="1:26" ht="14.25" customHeight="1" x14ac:dyDescent="0.45">
      <c r="A287" s="1"/>
      <c r="B287" s="1" t="s">
        <v>182</v>
      </c>
      <c r="C287" s="15"/>
      <c r="D287" s="15"/>
      <c r="E287" s="15"/>
      <c r="F287" s="15"/>
      <c r="G287" s="33">
        <v>3</v>
      </c>
      <c r="H287" s="39">
        <v>45</v>
      </c>
      <c r="I287" s="16" t="s">
        <v>161</v>
      </c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1">
        <f t="shared" si="50"/>
        <v>0</v>
      </c>
      <c r="W287" s="1"/>
      <c r="X287" s="1"/>
      <c r="Y287" s="1"/>
      <c r="Z287" s="1"/>
    </row>
    <row r="288" spans="1:26" ht="14.25" customHeight="1" x14ac:dyDescent="0.45">
      <c r="A288" s="1"/>
      <c r="C288" s="47"/>
      <c r="D288" s="37"/>
      <c r="E288" s="37"/>
      <c r="F288" s="37"/>
      <c r="G288" s="37"/>
      <c r="H288" s="37"/>
      <c r="I288" s="37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"/>
      <c r="X288" s="1"/>
      <c r="Y288" s="1"/>
      <c r="Z288" s="1"/>
    </row>
    <row r="289" spans="1:26" ht="14.25" customHeight="1" x14ac:dyDescent="0.45">
      <c r="A289" s="1"/>
      <c r="C289" s="15"/>
      <c r="D289" s="15">
        <v>2</v>
      </c>
      <c r="E289" s="96" t="s">
        <v>183</v>
      </c>
      <c r="F289" s="94"/>
      <c r="G289" s="94"/>
      <c r="H289" s="95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"/>
      <c r="X289" s="1"/>
      <c r="Y289" s="1"/>
      <c r="Z289" s="1"/>
    </row>
    <row r="290" spans="1:26" ht="14.25" customHeight="1" x14ac:dyDescent="0.45">
      <c r="A290" s="1"/>
      <c r="C290" s="15"/>
      <c r="D290" s="15"/>
      <c r="E290" s="15">
        <v>1</v>
      </c>
      <c r="F290" s="96" t="s">
        <v>158</v>
      </c>
      <c r="G290" s="94"/>
      <c r="H290" s="95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"/>
      <c r="X290" s="1"/>
      <c r="Y290" s="1"/>
      <c r="Z290" s="1"/>
    </row>
    <row r="291" spans="1:26" ht="14.25" customHeight="1" x14ac:dyDescent="0.45">
      <c r="A291" s="1"/>
      <c r="C291" s="15"/>
      <c r="D291" s="15"/>
      <c r="E291" s="15"/>
      <c r="F291" s="15">
        <v>1</v>
      </c>
      <c r="G291" s="96" t="s">
        <v>159</v>
      </c>
      <c r="H291" s="95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"/>
      <c r="X291" s="1"/>
      <c r="Y291" s="1"/>
      <c r="Z291" s="1"/>
    </row>
    <row r="292" spans="1:26" ht="14.25" customHeight="1" x14ac:dyDescent="0.45">
      <c r="A292" s="1"/>
      <c r="B292" s="1" t="s">
        <v>184</v>
      </c>
      <c r="C292" s="15"/>
      <c r="D292" s="15"/>
      <c r="E292" s="15"/>
      <c r="F292" s="15"/>
      <c r="G292" s="33">
        <v>1</v>
      </c>
      <c r="H292" s="39">
        <v>20</v>
      </c>
      <c r="I292" s="16" t="s">
        <v>161</v>
      </c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1">
        <f t="shared" ref="V292:V296" si="51">SUM(J292:U292)</f>
        <v>0</v>
      </c>
      <c r="W292" s="1"/>
      <c r="X292" s="1"/>
      <c r="Y292" s="1"/>
      <c r="Z292" s="1"/>
    </row>
    <row r="293" spans="1:26" ht="14.25" customHeight="1" x14ac:dyDescent="0.45">
      <c r="A293" s="1"/>
      <c r="B293" s="1" t="s">
        <v>185</v>
      </c>
      <c r="C293" s="15"/>
      <c r="D293" s="15"/>
      <c r="E293" s="15"/>
      <c r="F293" s="15"/>
      <c r="G293" s="33">
        <v>2</v>
      </c>
      <c r="H293" s="39">
        <v>40</v>
      </c>
      <c r="I293" s="16" t="s">
        <v>161</v>
      </c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1">
        <f t="shared" si="51"/>
        <v>0</v>
      </c>
      <c r="W293" s="1"/>
      <c r="X293" s="1"/>
      <c r="Y293" s="1"/>
      <c r="Z293" s="1"/>
    </row>
    <row r="294" spans="1:26" ht="14.25" customHeight="1" x14ac:dyDescent="0.45">
      <c r="A294" s="1"/>
      <c r="B294" s="1" t="s">
        <v>186</v>
      </c>
      <c r="C294" s="15"/>
      <c r="D294" s="15"/>
      <c r="E294" s="15"/>
      <c r="F294" s="15"/>
      <c r="G294" s="33">
        <v>3</v>
      </c>
      <c r="H294" s="39">
        <v>45</v>
      </c>
      <c r="I294" s="16" t="s">
        <v>161</v>
      </c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1">
        <f t="shared" si="51"/>
        <v>0</v>
      </c>
      <c r="W294" s="1"/>
      <c r="X294" s="1"/>
      <c r="Y294" s="1"/>
      <c r="Z294" s="1"/>
    </row>
    <row r="295" spans="1:26" ht="14.25" customHeight="1" x14ac:dyDescent="0.45">
      <c r="A295" s="1"/>
      <c r="B295" s="1" t="s">
        <v>187</v>
      </c>
      <c r="C295" s="15"/>
      <c r="D295" s="15"/>
      <c r="E295" s="15"/>
      <c r="F295" s="15"/>
      <c r="G295" s="33">
        <v>4</v>
      </c>
      <c r="H295" s="39" t="s">
        <v>165</v>
      </c>
      <c r="I295" s="16" t="s">
        <v>161</v>
      </c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1">
        <f t="shared" si="51"/>
        <v>0</v>
      </c>
      <c r="W295" s="1"/>
      <c r="X295" s="1"/>
      <c r="Y295" s="1"/>
      <c r="Z295" s="1"/>
    </row>
    <row r="296" spans="1:26" ht="14.25" customHeight="1" x14ac:dyDescent="0.45">
      <c r="A296" s="1"/>
      <c r="B296" s="1" t="s">
        <v>188</v>
      </c>
      <c r="C296" s="15"/>
      <c r="D296" s="15"/>
      <c r="E296" s="15"/>
      <c r="F296" s="15"/>
      <c r="G296" s="33">
        <v>5</v>
      </c>
      <c r="H296" s="39" t="s">
        <v>167</v>
      </c>
      <c r="I296" s="16" t="s">
        <v>161</v>
      </c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1">
        <f t="shared" si="51"/>
        <v>0</v>
      </c>
      <c r="W296" s="1"/>
      <c r="X296" s="1"/>
      <c r="Y296" s="1"/>
      <c r="Z296" s="1"/>
    </row>
    <row r="297" spans="1:26" ht="14.25" customHeight="1" x14ac:dyDescent="0.45">
      <c r="A297" s="1"/>
      <c r="C297" s="15"/>
      <c r="D297" s="15"/>
      <c r="E297" s="15"/>
      <c r="F297" s="15"/>
      <c r="G297" s="39"/>
      <c r="H297" s="39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"/>
      <c r="X297" s="1"/>
      <c r="Y297" s="1"/>
      <c r="Z297" s="1"/>
    </row>
    <row r="298" spans="1:26" ht="14.25" customHeight="1" x14ac:dyDescent="0.45">
      <c r="A298" s="1"/>
      <c r="C298" s="15"/>
      <c r="D298" s="15"/>
      <c r="E298" s="15"/>
      <c r="F298" s="15">
        <v>2</v>
      </c>
      <c r="G298" s="96" t="s">
        <v>168</v>
      </c>
      <c r="H298" s="95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"/>
      <c r="X298" s="1"/>
      <c r="Y298" s="1"/>
      <c r="Z298" s="1"/>
    </row>
    <row r="299" spans="1:26" ht="14.25" customHeight="1" x14ac:dyDescent="0.45">
      <c r="A299" s="1"/>
      <c r="B299" s="1" t="s">
        <v>189</v>
      </c>
      <c r="C299" s="15"/>
      <c r="D299" s="15"/>
      <c r="E299" s="15"/>
      <c r="F299" s="15"/>
      <c r="G299" s="33">
        <v>1</v>
      </c>
      <c r="H299" s="39">
        <v>20</v>
      </c>
      <c r="I299" s="16" t="s">
        <v>161</v>
      </c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1">
        <f t="shared" ref="V299:V301" si="52">SUM(J299:U299)</f>
        <v>0</v>
      </c>
      <c r="W299" s="1"/>
      <c r="X299" s="1"/>
      <c r="Y299" s="1"/>
      <c r="Z299" s="1"/>
    </row>
    <row r="300" spans="1:26" ht="14.25" customHeight="1" x14ac:dyDescent="0.45">
      <c r="A300" s="1"/>
      <c r="B300" s="1" t="s">
        <v>190</v>
      </c>
      <c r="C300" s="15"/>
      <c r="D300" s="15"/>
      <c r="E300" s="15"/>
      <c r="F300" s="15"/>
      <c r="G300" s="33">
        <v>2</v>
      </c>
      <c r="H300" s="39">
        <v>40</v>
      </c>
      <c r="I300" s="16" t="s">
        <v>161</v>
      </c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1">
        <f t="shared" si="52"/>
        <v>0</v>
      </c>
      <c r="W300" s="1"/>
      <c r="X300" s="1"/>
      <c r="Y300" s="1"/>
      <c r="Z300" s="1"/>
    </row>
    <row r="301" spans="1:26" ht="14.25" customHeight="1" x14ac:dyDescent="0.45">
      <c r="A301" s="1"/>
      <c r="B301" s="1" t="s">
        <v>191</v>
      </c>
      <c r="C301" s="15"/>
      <c r="D301" s="15"/>
      <c r="E301" s="15"/>
      <c r="F301" s="15"/>
      <c r="G301" s="33">
        <v>3</v>
      </c>
      <c r="H301" s="39">
        <v>45</v>
      </c>
      <c r="I301" s="16" t="s">
        <v>161</v>
      </c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1">
        <f t="shared" si="52"/>
        <v>0</v>
      </c>
      <c r="W301" s="1"/>
      <c r="X301" s="1"/>
      <c r="Y301" s="1"/>
      <c r="Z301" s="1"/>
    </row>
    <row r="302" spans="1:26" ht="14.25" customHeight="1" x14ac:dyDescent="0.45">
      <c r="A302" s="1"/>
      <c r="C302" s="15"/>
      <c r="D302" s="15"/>
      <c r="E302" s="15"/>
      <c r="F302" s="15"/>
      <c r="G302" s="65"/>
      <c r="H302" s="65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"/>
      <c r="X302" s="1"/>
      <c r="Y302" s="1"/>
      <c r="Z302" s="1"/>
    </row>
    <row r="303" spans="1:26" ht="14.25" customHeight="1" x14ac:dyDescent="0.45">
      <c r="A303" s="1"/>
      <c r="C303" s="15"/>
      <c r="D303" s="15"/>
      <c r="E303" s="15"/>
      <c r="F303" s="15">
        <v>3</v>
      </c>
      <c r="G303" s="96" t="s">
        <v>172</v>
      </c>
      <c r="H303" s="95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"/>
      <c r="X303" s="1"/>
      <c r="Y303" s="1"/>
      <c r="Z303" s="1"/>
    </row>
    <row r="304" spans="1:26" ht="14.25" customHeight="1" x14ac:dyDescent="0.45">
      <c r="A304" s="1"/>
      <c r="B304" s="1" t="s">
        <v>192</v>
      </c>
      <c r="C304" s="15"/>
      <c r="D304" s="15"/>
      <c r="E304" s="15"/>
      <c r="F304" s="15"/>
      <c r="G304" s="33">
        <v>1</v>
      </c>
      <c r="H304" s="39">
        <v>20</v>
      </c>
      <c r="I304" s="16" t="s">
        <v>161</v>
      </c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1">
        <f t="shared" ref="V304:V306" si="53">SUM(J304:U304)</f>
        <v>0</v>
      </c>
      <c r="W304" s="1"/>
      <c r="X304" s="1"/>
      <c r="Y304" s="1"/>
      <c r="Z304" s="1"/>
    </row>
    <row r="305" spans="1:26" ht="14.25" customHeight="1" x14ac:dyDescent="0.45">
      <c r="A305" s="1"/>
      <c r="B305" s="1" t="s">
        <v>193</v>
      </c>
      <c r="C305" s="15"/>
      <c r="D305" s="15"/>
      <c r="E305" s="15"/>
      <c r="F305" s="15"/>
      <c r="G305" s="33">
        <v>2</v>
      </c>
      <c r="H305" s="39">
        <v>40</v>
      </c>
      <c r="I305" s="16" t="s">
        <v>161</v>
      </c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1">
        <f t="shared" si="53"/>
        <v>0</v>
      </c>
      <c r="W305" s="1"/>
      <c r="X305" s="1"/>
      <c r="Y305" s="1"/>
      <c r="Z305" s="1"/>
    </row>
    <row r="306" spans="1:26" ht="14.25" customHeight="1" x14ac:dyDescent="0.45">
      <c r="A306" s="1"/>
      <c r="B306" s="1" t="s">
        <v>194</v>
      </c>
      <c r="C306" s="15"/>
      <c r="D306" s="15"/>
      <c r="E306" s="15"/>
      <c r="F306" s="15"/>
      <c r="G306" s="33">
        <v>3</v>
      </c>
      <c r="H306" s="39">
        <v>45</v>
      </c>
      <c r="I306" s="16" t="s">
        <v>161</v>
      </c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1">
        <f t="shared" si="53"/>
        <v>0</v>
      </c>
      <c r="W306" s="1"/>
      <c r="X306" s="1"/>
      <c r="Y306" s="1"/>
      <c r="Z306" s="1"/>
    </row>
    <row r="307" spans="1:26" ht="14.25" customHeight="1" x14ac:dyDescent="0.45">
      <c r="A307" s="1"/>
      <c r="C307" s="15"/>
      <c r="D307" s="15"/>
      <c r="E307" s="15"/>
      <c r="F307" s="15"/>
      <c r="G307" s="39"/>
      <c r="H307" s="39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"/>
      <c r="X307" s="1"/>
      <c r="Y307" s="1"/>
      <c r="Z307" s="1"/>
    </row>
    <row r="308" spans="1:26" ht="14.25" customHeight="1" x14ac:dyDescent="0.45">
      <c r="A308" s="1"/>
      <c r="B308" s="1" t="s">
        <v>195</v>
      </c>
      <c r="C308" s="15"/>
      <c r="D308" s="15"/>
      <c r="E308" s="15"/>
      <c r="F308" s="15">
        <v>4</v>
      </c>
      <c r="G308" s="96" t="s">
        <v>177</v>
      </c>
      <c r="H308" s="95"/>
      <c r="I308" s="16" t="s">
        <v>178</v>
      </c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1">
        <f>SUM(J308:U308)</f>
        <v>0</v>
      </c>
      <c r="W308" s="1"/>
      <c r="X308" s="1"/>
      <c r="Y308" s="1"/>
      <c r="Z308" s="1"/>
    </row>
    <row r="309" spans="1:26" ht="14.25" customHeight="1" x14ac:dyDescent="0.45">
      <c r="A309" s="1"/>
      <c r="C309" s="15"/>
      <c r="D309" s="15"/>
      <c r="E309" s="15"/>
      <c r="F309" s="15"/>
      <c r="G309" s="16"/>
      <c r="H309" s="4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"/>
      <c r="X309" s="1"/>
      <c r="Y309" s="1"/>
      <c r="Z309" s="1"/>
    </row>
    <row r="310" spans="1:26" ht="14.25" customHeight="1" x14ac:dyDescent="0.45">
      <c r="A310" s="1"/>
      <c r="C310" s="15"/>
      <c r="D310" s="15"/>
      <c r="E310" s="15">
        <v>2</v>
      </c>
      <c r="F310" s="101" t="s">
        <v>179</v>
      </c>
      <c r="G310" s="94"/>
      <c r="H310" s="95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"/>
      <c r="X310" s="1"/>
      <c r="Y310" s="1"/>
      <c r="Z310" s="1"/>
    </row>
    <row r="311" spans="1:26" ht="14.25" customHeight="1" x14ac:dyDescent="0.45">
      <c r="A311" s="1"/>
      <c r="B311" s="1" t="s">
        <v>196</v>
      </c>
      <c r="C311" s="15"/>
      <c r="D311" s="15"/>
      <c r="E311" s="15"/>
      <c r="F311" s="15"/>
      <c r="G311" s="33">
        <v>1</v>
      </c>
      <c r="H311" s="39">
        <v>20</v>
      </c>
      <c r="I311" s="16" t="s">
        <v>161</v>
      </c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1">
        <f t="shared" ref="V311:V313" si="54">SUM(J311:U311)</f>
        <v>0</v>
      </c>
      <c r="W311" s="1"/>
      <c r="X311" s="1"/>
      <c r="Y311" s="1"/>
      <c r="Z311" s="1"/>
    </row>
    <row r="312" spans="1:26" ht="14.25" customHeight="1" x14ac:dyDescent="0.45">
      <c r="A312" s="1"/>
      <c r="B312" s="1" t="s">
        <v>197</v>
      </c>
      <c r="C312" s="15"/>
      <c r="D312" s="15"/>
      <c r="E312" s="15"/>
      <c r="F312" s="15"/>
      <c r="G312" s="33">
        <v>2</v>
      </c>
      <c r="H312" s="39">
        <v>40</v>
      </c>
      <c r="I312" s="16" t="s">
        <v>161</v>
      </c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1">
        <f t="shared" si="54"/>
        <v>0</v>
      </c>
      <c r="W312" s="1"/>
      <c r="X312" s="1"/>
      <c r="Y312" s="1"/>
      <c r="Z312" s="1"/>
    </row>
    <row r="313" spans="1:26" ht="14.25" customHeight="1" x14ac:dyDescent="0.45">
      <c r="A313" s="1"/>
      <c r="B313" s="1" t="s">
        <v>198</v>
      </c>
      <c r="C313" s="15"/>
      <c r="D313" s="15"/>
      <c r="E313" s="15"/>
      <c r="F313" s="15"/>
      <c r="G313" s="33">
        <v>3</v>
      </c>
      <c r="H313" s="39">
        <v>45</v>
      </c>
      <c r="I313" s="16" t="s">
        <v>161</v>
      </c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1">
        <f t="shared" si="54"/>
        <v>0</v>
      </c>
      <c r="W313" s="1"/>
      <c r="X313" s="1"/>
      <c r="Y313" s="1"/>
      <c r="Z313" s="1"/>
    </row>
    <row r="314" spans="1:26" ht="14.25" customHeight="1" x14ac:dyDescent="0.45">
      <c r="A314" s="1"/>
      <c r="C314" s="47"/>
      <c r="D314" s="37"/>
      <c r="E314" s="37"/>
      <c r="F314" s="37"/>
      <c r="G314" s="37"/>
      <c r="H314" s="37"/>
      <c r="I314" s="37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"/>
      <c r="X314" s="1"/>
      <c r="Y314" s="1"/>
      <c r="Z314" s="1"/>
    </row>
    <row r="315" spans="1:26" ht="14.25" customHeight="1" x14ac:dyDescent="0.45">
      <c r="A315" s="1"/>
      <c r="C315" s="15"/>
      <c r="D315" s="15">
        <v>3</v>
      </c>
      <c r="E315" s="101" t="s">
        <v>199</v>
      </c>
      <c r="F315" s="94"/>
      <c r="G315" s="94"/>
      <c r="H315" s="95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"/>
      <c r="X315" s="1"/>
      <c r="Y315" s="1"/>
      <c r="Z315" s="1"/>
    </row>
    <row r="316" spans="1:26" ht="14.25" customHeight="1" x14ac:dyDescent="0.45">
      <c r="A316" s="1"/>
      <c r="C316" s="15"/>
      <c r="D316" s="15"/>
      <c r="E316" s="15">
        <v>1</v>
      </c>
      <c r="F316" s="96" t="s">
        <v>158</v>
      </c>
      <c r="G316" s="94"/>
      <c r="H316" s="95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"/>
      <c r="X316" s="1"/>
      <c r="Y316" s="1"/>
      <c r="Z316" s="1"/>
    </row>
    <row r="317" spans="1:26" ht="14.25" customHeight="1" x14ac:dyDescent="0.45">
      <c r="A317" s="1"/>
      <c r="C317" s="15"/>
      <c r="D317" s="15"/>
      <c r="E317" s="15"/>
      <c r="F317" s="15">
        <v>1</v>
      </c>
      <c r="G317" s="96" t="s">
        <v>159</v>
      </c>
      <c r="H317" s="95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"/>
      <c r="X317" s="1"/>
      <c r="Y317" s="1"/>
      <c r="Z317" s="1"/>
    </row>
    <row r="318" spans="1:26" ht="14.25" customHeight="1" x14ac:dyDescent="0.45">
      <c r="A318" s="1"/>
      <c r="B318" s="1" t="s">
        <v>200</v>
      </c>
      <c r="C318" s="15"/>
      <c r="D318" s="15"/>
      <c r="E318" s="15"/>
      <c r="F318" s="15"/>
      <c r="G318" s="33">
        <v>1</v>
      </c>
      <c r="H318" s="39">
        <v>20</v>
      </c>
      <c r="I318" s="16" t="s">
        <v>161</v>
      </c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1">
        <f t="shared" ref="V318:V322" si="55">SUM(J318:U318)</f>
        <v>0</v>
      </c>
      <c r="W318" s="1"/>
      <c r="X318" s="1"/>
      <c r="Y318" s="1"/>
      <c r="Z318" s="1"/>
    </row>
    <row r="319" spans="1:26" ht="14.25" customHeight="1" x14ac:dyDescent="0.45">
      <c r="A319" s="1"/>
      <c r="B319" s="1" t="s">
        <v>201</v>
      </c>
      <c r="C319" s="15"/>
      <c r="D319" s="15"/>
      <c r="E319" s="15"/>
      <c r="F319" s="15"/>
      <c r="G319" s="33">
        <v>2</v>
      </c>
      <c r="H319" s="39">
        <v>40</v>
      </c>
      <c r="I319" s="16" t="s">
        <v>161</v>
      </c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1">
        <f t="shared" si="55"/>
        <v>0</v>
      </c>
      <c r="W319" s="1"/>
      <c r="X319" s="1"/>
      <c r="Y319" s="1"/>
      <c r="Z319" s="1"/>
    </row>
    <row r="320" spans="1:26" ht="14.25" customHeight="1" x14ac:dyDescent="0.45">
      <c r="A320" s="1"/>
      <c r="B320" s="1" t="s">
        <v>202</v>
      </c>
      <c r="C320" s="15"/>
      <c r="D320" s="15"/>
      <c r="E320" s="15"/>
      <c r="F320" s="15"/>
      <c r="G320" s="33">
        <v>3</v>
      </c>
      <c r="H320" s="39">
        <v>45</v>
      </c>
      <c r="I320" s="16" t="s">
        <v>161</v>
      </c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1">
        <f t="shared" si="55"/>
        <v>0</v>
      </c>
      <c r="W320" s="1"/>
      <c r="X320" s="1"/>
      <c r="Y320" s="1"/>
      <c r="Z320" s="1"/>
    </row>
    <row r="321" spans="1:26" ht="14.25" customHeight="1" x14ac:dyDescent="0.45">
      <c r="A321" s="1"/>
      <c r="B321" s="1" t="s">
        <v>203</v>
      </c>
      <c r="C321" s="15"/>
      <c r="D321" s="15"/>
      <c r="E321" s="15"/>
      <c r="F321" s="15"/>
      <c r="G321" s="33">
        <v>4</v>
      </c>
      <c r="H321" s="39" t="s">
        <v>165</v>
      </c>
      <c r="I321" s="16" t="s">
        <v>161</v>
      </c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1">
        <f t="shared" si="55"/>
        <v>0</v>
      </c>
      <c r="W321" s="1"/>
      <c r="X321" s="1"/>
      <c r="Y321" s="1"/>
      <c r="Z321" s="1"/>
    </row>
    <row r="322" spans="1:26" ht="14.25" customHeight="1" x14ac:dyDescent="0.45">
      <c r="A322" s="1"/>
      <c r="B322" s="1" t="s">
        <v>204</v>
      </c>
      <c r="C322" s="15"/>
      <c r="D322" s="15"/>
      <c r="E322" s="15"/>
      <c r="F322" s="15"/>
      <c r="G322" s="33">
        <v>5</v>
      </c>
      <c r="H322" s="39" t="s">
        <v>167</v>
      </c>
      <c r="I322" s="16" t="s">
        <v>161</v>
      </c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1">
        <f t="shared" si="55"/>
        <v>0</v>
      </c>
      <c r="W322" s="1"/>
      <c r="X322" s="1"/>
      <c r="Y322" s="1"/>
      <c r="Z322" s="1"/>
    </row>
    <row r="323" spans="1:26" ht="14.25" customHeight="1" x14ac:dyDescent="0.45">
      <c r="A323" s="1"/>
      <c r="C323" s="15"/>
      <c r="D323" s="15"/>
      <c r="E323" s="15"/>
      <c r="F323" s="15"/>
      <c r="G323" s="39"/>
      <c r="H323" s="39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"/>
      <c r="X323" s="1"/>
      <c r="Y323" s="1"/>
      <c r="Z323" s="1"/>
    </row>
    <row r="324" spans="1:26" ht="14.25" customHeight="1" x14ac:dyDescent="0.45">
      <c r="A324" s="1"/>
      <c r="C324" s="15"/>
      <c r="D324" s="15"/>
      <c r="E324" s="15"/>
      <c r="F324" s="15">
        <v>2</v>
      </c>
      <c r="G324" s="96" t="s">
        <v>168</v>
      </c>
      <c r="H324" s="95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"/>
      <c r="X324" s="1"/>
      <c r="Y324" s="1"/>
      <c r="Z324" s="1"/>
    </row>
    <row r="325" spans="1:26" ht="14.25" customHeight="1" x14ac:dyDescent="0.45">
      <c r="A325" s="1"/>
      <c r="B325" s="1" t="s">
        <v>205</v>
      </c>
      <c r="C325" s="15"/>
      <c r="D325" s="15"/>
      <c r="E325" s="15"/>
      <c r="F325" s="15"/>
      <c r="G325" s="33">
        <v>1</v>
      </c>
      <c r="H325" s="39">
        <v>20</v>
      </c>
      <c r="I325" s="16" t="s">
        <v>161</v>
      </c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1">
        <f t="shared" ref="V325:V327" si="56">SUM(J325:U325)</f>
        <v>0</v>
      </c>
      <c r="W325" s="1"/>
      <c r="X325" s="1"/>
      <c r="Y325" s="1"/>
      <c r="Z325" s="1"/>
    </row>
    <row r="326" spans="1:26" ht="14.25" customHeight="1" x14ac:dyDescent="0.45">
      <c r="A326" s="1"/>
      <c r="B326" s="1" t="s">
        <v>206</v>
      </c>
      <c r="C326" s="15"/>
      <c r="D326" s="15"/>
      <c r="E326" s="15"/>
      <c r="F326" s="15"/>
      <c r="G326" s="33">
        <v>2</v>
      </c>
      <c r="H326" s="39">
        <v>40</v>
      </c>
      <c r="I326" s="16" t="s">
        <v>161</v>
      </c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1">
        <f t="shared" si="56"/>
        <v>0</v>
      </c>
      <c r="W326" s="1"/>
      <c r="X326" s="1"/>
      <c r="Y326" s="1"/>
      <c r="Z326" s="1"/>
    </row>
    <row r="327" spans="1:26" ht="14.25" customHeight="1" x14ac:dyDescent="0.45">
      <c r="A327" s="1"/>
      <c r="B327" s="1" t="s">
        <v>207</v>
      </c>
      <c r="C327" s="15"/>
      <c r="D327" s="15"/>
      <c r="E327" s="15"/>
      <c r="F327" s="15"/>
      <c r="G327" s="33">
        <v>3</v>
      </c>
      <c r="H327" s="39">
        <v>45</v>
      </c>
      <c r="I327" s="16" t="s">
        <v>161</v>
      </c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1">
        <f t="shared" si="56"/>
        <v>0</v>
      </c>
      <c r="W327" s="1"/>
      <c r="X327" s="1"/>
      <c r="Y327" s="1"/>
      <c r="Z327" s="1"/>
    </row>
    <row r="328" spans="1:26" ht="14.25" customHeight="1" x14ac:dyDescent="0.45">
      <c r="A328" s="1"/>
      <c r="C328" s="15"/>
      <c r="D328" s="15"/>
      <c r="E328" s="15"/>
      <c r="F328" s="15"/>
      <c r="G328" s="65"/>
      <c r="H328" s="65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"/>
      <c r="X328" s="1"/>
      <c r="Y328" s="1"/>
      <c r="Z328" s="1"/>
    </row>
    <row r="329" spans="1:26" ht="14.25" customHeight="1" x14ac:dyDescent="0.45">
      <c r="A329" s="1"/>
      <c r="C329" s="15"/>
      <c r="D329" s="15"/>
      <c r="E329" s="15"/>
      <c r="F329" s="15">
        <v>3</v>
      </c>
      <c r="G329" s="96" t="s">
        <v>172</v>
      </c>
      <c r="H329" s="95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"/>
      <c r="X329" s="1"/>
      <c r="Y329" s="1"/>
      <c r="Z329" s="1"/>
    </row>
    <row r="330" spans="1:26" ht="14.25" customHeight="1" x14ac:dyDescent="0.45">
      <c r="A330" s="1"/>
      <c r="B330" s="1" t="s">
        <v>208</v>
      </c>
      <c r="C330" s="15"/>
      <c r="D330" s="15"/>
      <c r="E330" s="15"/>
      <c r="F330" s="15"/>
      <c r="G330" s="33">
        <v>1</v>
      </c>
      <c r="H330" s="39">
        <v>20</v>
      </c>
      <c r="I330" s="16" t="s">
        <v>161</v>
      </c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1">
        <f t="shared" ref="V330:V332" si="57">SUM(J330:U330)</f>
        <v>0</v>
      </c>
      <c r="W330" s="1"/>
      <c r="X330" s="1"/>
      <c r="Y330" s="1"/>
      <c r="Z330" s="1"/>
    </row>
    <row r="331" spans="1:26" ht="14.25" customHeight="1" x14ac:dyDescent="0.45">
      <c r="A331" s="1"/>
      <c r="B331" s="1" t="s">
        <v>209</v>
      </c>
      <c r="C331" s="15"/>
      <c r="D331" s="15"/>
      <c r="E331" s="15"/>
      <c r="F331" s="15"/>
      <c r="G331" s="33">
        <v>2</v>
      </c>
      <c r="H331" s="39">
        <v>40</v>
      </c>
      <c r="I331" s="16" t="s">
        <v>161</v>
      </c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1">
        <f t="shared" si="57"/>
        <v>0</v>
      </c>
      <c r="W331" s="1"/>
      <c r="X331" s="1"/>
      <c r="Y331" s="1"/>
      <c r="Z331" s="1"/>
    </row>
    <row r="332" spans="1:26" ht="14.25" customHeight="1" x14ac:dyDescent="0.45">
      <c r="A332" s="1"/>
      <c r="B332" s="1" t="s">
        <v>210</v>
      </c>
      <c r="C332" s="15"/>
      <c r="D332" s="15"/>
      <c r="E332" s="15"/>
      <c r="F332" s="15"/>
      <c r="G332" s="33">
        <v>3</v>
      </c>
      <c r="H332" s="39">
        <v>45</v>
      </c>
      <c r="I332" s="16" t="s">
        <v>161</v>
      </c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1">
        <f t="shared" si="57"/>
        <v>0</v>
      </c>
      <c r="W332" s="1"/>
      <c r="X332" s="1"/>
      <c r="Y332" s="1"/>
      <c r="Z332" s="1"/>
    </row>
    <row r="333" spans="1:26" ht="14.25" customHeight="1" x14ac:dyDescent="0.45">
      <c r="A333" s="1"/>
      <c r="C333" s="15"/>
      <c r="D333" s="15"/>
      <c r="E333" s="15"/>
      <c r="F333" s="15"/>
      <c r="G333" s="39"/>
      <c r="H333" s="39"/>
      <c r="I333" s="13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"/>
      <c r="X333" s="1"/>
      <c r="Y333" s="1"/>
      <c r="Z333" s="1"/>
    </row>
    <row r="334" spans="1:26" ht="14.25" customHeight="1" x14ac:dyDescent="0.45">
      <c r="A334" s="1"/>
      <c r="B334" s="1" t="s">
        <v>211</v>
      </c>
      <c r="C334" s="15"/>
      <c r="D334" s="15"/>
      <c r="E334" s="15"/>
      <c r="F334" s="15">
        <v>4</v>
      </c>
      <c r="G334" s="96" t="s">
        <v>177</v>
      </c>
      <c r="H334" s="95"/>
      <c r="I334" s="16" t="s">
        <v>178</v>
      </c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1">
        <f>SUM(J334:U334)</f>
        <v>0</v>
      </c>
      <c r="W334" s="1"/>
      <c r="X334" s="1"/>
      <c r="Y334" s="1"/>
      <c r="Z334" s="1"/>
    </row>
    <row r="335" spans="1:26" ht="14.25" customHeight="1" x14ac:dyDescent="0.45">
      <c r="A335" s="1"/>
      <c r="C335" s="15"/>
      <c r="D335" s="15"/>
      <c r="E335" s="15"/>
      <c r="F335" s="15"/>
      <c r="G335" s="16"/>
      <c r="H335" s="43"/>
      <c r="I335" s="13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"/>
      <c r="X335" s="1"/>
      <c r="Y335" s="1"/>
      <c r="Z335" s="1"/>
    </row>
    <row r="336" spans="1:26" ht="14.25" customHeight="1" x14ac:dyDescent="0.45">
      <c r="A336" s="1"/>
      <c r="C336" s="15"/>
      <c r="D336" s="15"/>
      <c r="E336" s="15">
        <v>2</v>
      </c>
      <c r="F336" s="101" t="s">
        <v>179</v>
      </c>
      <c r="G336" s="94"/>
      <c r="H336" s="95"/>
      <c r="I336" s="13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"/>
      <c r="X336" s="1"/>
      <c r="Y336" s="1"/>
      <c r="Z336" s="1"/>
    </row>
    <row r="337" spans="1:26" ht="14.25" customHeight="1" x14ac:dyDescent="0.45">
      <c r="A337" s="1"/>
      <c r="B337" s="1" t="s">
        <v>212</v>
      </c>
      <c r="C337" s="15"/>
      <c r="D337" s="15"/>
      <c r="E337" s="15"/>
      <c r="F337" s="15"/>
      <c r="G337" s="33">
        <v>1</v>
      </c>
      <c r="H337" s="39">
        <v>20</v>
      </c>
      <c r="I337" s="16" t="s">
        <v>161</v>
      </c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1">
        <f t="shared" ref="V337:V339" si="58">SUM(J337:U337)</f>
        <v>0</v>
      </c>
      <c r="W337" s="1"/>
      <c r="X337" s="1"/>
      <c r="Y337" s="1"/>
      <c r="Z337" s="1"/>
    </row>
    <row r="338" spans="1:26" ht="14.25" customHeight="1" x14ac:dyDescent="0.45">
      <c r="A338" s="1"/>
      <c r="B338" s="1" t="s">
        <v>213</v>
      </c>
      <c r="C338" s="15"/>
      <c r="D338" s="15"/>
      <c r="E338" s="15"/>
      <c r="F338" s="15"/>
      <c r="G338" s="33">
        <v>2</v>
      </c>
      <c r="H338" s="39">
        <v>40</v>
      </c>
      <c r="I338" s="16" t="s">
        <v>161</v>
      </c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1">
        <f t="shared" si="58"/>
        <v>0</v>
      </c>
      <c r="W338" s="1"/>
      <c r="X338" s="1"/>
      <c r="Y338" s="1"/>
      <c r="Z338" s="1"/>
    </row>
    <row r="339" spans="1:26" ht="14.25" customHeight="1" x14ac:dyDescent="0.45">
      <c r="A339" s="1"/>
      <c r="B339" s="1" t="s">
        <v>214</v>
      </c>
      <c r="C339" s="15"/>
      <c r="D339" s="15"/>
      <c r="E339" s="15"/>
      <c r="F339" s="15"/>
      <c r="G339" s="33">
        <v>3</v>
      </c>
      <c r="H339" s="39">
        <v>45</v>
      </c>
      <c r="I339" s="16" t="s">
        <v>161</v>
      </c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1">
        <f t="shared" si="58"/>
        <v>0</v>
      </c>
      <c r="W339" s="1"/>
      <c r="X339" s="1"/>
      <c r="Y339" s="1"/>
      <c r="Z339" s="1"/>
    </row>
    <row r="340" spans="1:26" ht="14.25" customHeight="1" x14ac:dyDescent="0.45">
      <c r="A340" s="1"/>
      <c r="C340" s="47"/>
      <c r="D340" s="37"/>
      <c r="E340" s="37"/>
      <c r="F340" s="37"/>
      <c r="G340" s="37"/>
      <c r="H340" s="37"/>
      <c r="I340" s="37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"/>
      <c r="X340" s="1"/>
      <c r="Y340" s="1"/>
      <c r="Z340" s="1"/>
    </row>
    <row r="341" spans="1:26" ht="14.25" customHeight="1" x14ac:dyDescent="0.45">
      <c r="A341" s="1"/>
      <c r="C341" s="15"/>
      <c r="D341" s="100" t="s">
        <v>215</v>
      </c>
      <c r="E341" s="81"/>
      <c r="F341" s="81"/>
      <c r="G341" s="81"/>
      <c r="H341" s="82"/>
      <c r="I341" s="16" t="s">
        <v>161</v>
      </c>
      <c r="J341" s="21">
        <f t="shared" ref="J341:V341" ca="1" si="59">SUMIF($I$266:$V$339,$I341,J$266:J$339)</f>
        <v>0</v>
      </c>
      <c r="K341" s="21">
        <f t="shared" ca="1" si="59"/>
        <v>0</v>
      </c>
      <c r="L341" s="21">
        <f t="shared" ca="1" si="59"/>
        <v>0</v>
      </c>
      <c r="M341" s="21">
        <f t="shared" ca="1" si="59"/>
        <v>0</v>
      </c>
      <c r="N341" s="21">
        <f t="shared" ca="1" si="59"/>
        <v>0</v>
      </c>
      <c r="O341" s="21">
        <f t="shared" ca="1" si="59"/>
        <v>0</v>
      </c>
      <c r="P341" s="21">
        <f t="shared" ca="1" si="59"/>
        <v>0</v>
      </c>
      <c r="Q341" s="21">
        <f t="shared" ca="1" si="59"/>
        <v>0</v>
      </c>
      <c r="R341" s="21">
        <f t="shared" ca="1" si="59"/>
        <v>0</v>
      </c>
      <c r="S341" s="21">
        <f t="shared" ca="1" si="59"/>
        <v>0</v>
      </c>
      <c r="T341" s="21">
        <f t="shared" ca="1" si="59"/>
        <v>0</v>
      </c>
      <c r="U341" s="21">
        <f t="shared" ca="1" si="59"/>
        <v>0</v>
      </c>
      <c r="V341" s="21">
        <f t="shared" ca="1" si="59"/>
        <v>0</v>
      </c>
      <c r="W341" s="1"/>
      <c r="X341" s="1"/>
      <c r="Y341" s="1"/>
      <c r="Z341" s="1"/>
    </row>
    <row r="342" spans="1:26" ht="14.25" customHeight="1" x14ac:dyDescent="0.45">
      <c r="A342" s="1"/>
      <c r="C342" s="15"/>
      <c r="D342" s="90"/>
      <c r="E342" s="91"/>
      <c r="F342" s="91"/>
      <c r="G342" s="91"/>
      <c r="H342" s="92"/>
      <c r="I342" s="16" t="s">
        <v>216</v>
      </c>
      <c r="J342" s="21">
        <f t="shared" ref="J342:V342" si="60">(J266+J269+J273+J278+J285+J292+J295+J299+J304+J311+J318+J321+J325+J330+J337) + ((J267+J270+J274+J279+J286+J293+J296+J300+J305+J312+J319+J322+J326+J331+J338)*2) + ((J268+J275+J280+J287+J294+J301+J306+J313+J320+J327+J332+J339)*2.25)</f>
        <v>0</v>
      </c>
      <c r="K342" s="21">
        <f t="shared" si="60"/>
        <v>0</v>
      </c>
      <c r="L342" s="21">
        <f t="shared" si="60"/>
        <v>0</v>
      </c>
      <c r="M342" s="21">
        <f t="shared" si="60"/>
        <v>0</v>
      </c>
      <c r="N342" s="21">
        <f t="shared" si="60"/>
        <v>0</v>
      </c>
      <c r="O342" s="21">
        <f t="shared" si="60"/>
        <v>0</v>
      </c>
      <c r="P342" s="21">
        <f t="shared" si="60"/>
        <v>0</v>
      </c>
      <c r="Q342" s="21">
        <f t="shared" si="60"/>
        <v>0</v>
      </c>
      <c r="R342" s="21">
        <f t="shared" si="60"/>
        <v>0</v>
      </c>
      <c r="S342" s="21">
        <f t="shared" si="60"/>
        <v>0</v>
      </c>
      <c r="T342" s="21">
        <f t="shared" si="60"/>
        <v>0</v>
      </c>
      <c r="U342" s="21">
        <f t="shared" si="60"/>
        <v>0</v>
      </c>
      <c r="V342" s="21">
        <f t="shared" si="60"/>
        <v>0</v>
      </c>
      <c r="W342" s="1"/>
      <c r="X342" s="1"/>
      <c r="Y342" s="1"/>
      <c r="Z342" s="1"/>
    </row>
    <row r="343" spans="1:26" ht="14.25" customHeight="1" x14ac:dyDescent="0.45">
      <c r="A343" s="1"/>
      <c r="C343" s="47"/>
      <c r="D343" s="37"/>
      <c r="E343" s="37"/>
      <c r="F343" s="37"/>
      <c r="G343" s="37"/>
      <c r="H343" s="37"/>
      <c r="I343" s="37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"/>
      <c r="X343" s="1"/>
      <c r="Y343" s="1"/>
      <c r="Z343" s="1"/>
    </row>
    <row r="344" spans="1:26" ht="14.25" customHeight="1" x14ac:dyDescent="0.45">
      <c r="A344" s="1"/>
      <c r="C344" s="33">
        <v>2</v>
      </c>
      <c r="D344" s="96" t="s">
        <v>217</v>
      </c>
      <c r="E344" s="94"/>
      <c r="F344" s="94"/>
      <c r="G344" s="94"/>
      <c r="H344" s="95"/>
      <c r="I344" s="13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"/>
      <c r="X344" s="1"/>
      <c r="Y344" s="1"/>
      <c r="Z344" s="1"/>
    </row>
    <row r="345" spans="1:26" ht="14.25" customHeight="1" x14ac:dyDescent="0.45">
      <c r="A345" s="1"/>
      <c r="C345" s="15"/>
      <c r="D345" s="15">
        <v>1</v>
      </c>
      <c r="E345" s="96" t="s">
        <v>218</v>
      </c>
      <c r="F345" s="94"/>
      <c r="G345" s="94"/>
      <c r="H345" s="95"/>
      <c r="I345" s="13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"/>
      <c r="X345" s="1"/>
      <c r="Y345" s="1"/>
      <c r="Z345" s="1"/>
    </row>
    <row r="346" spans="1:26" ht="14.25" customHeight="1" x14ac:dyDescent="0.45">
      <c r="A346" s="1"/>
      <c r="C346" s="15"/>
      <c r="D346" s="15"/>
      <c r="E346" s="15">
        <v>1</v>
      </c>
      <c r="F346" s="96" t="s">
        <v>158</v>
      </c>
      <c r="G346" s="94"/>
      <c r="H346" s="95"/>
      <c r="I346" s="13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"/>
      <c r="X346" s="1"/>
      <c r="Y346" s="1"/>
      <c r="Z346" s="1"/>
    </row>
    <row r="347" spans="1:26" ht="14.25" customHeight="1" x14ac:dyDescent="0.45">
      <c r="A347" s="1"/>
      <c r="C347" s="15"/>
      <c r="D347" s="15"/>
      <c r="E347" s="15"/>
      <c r="F347" s="15">
        <v>1</v>
      </c>
      <c r="G347" s="96" t="s">
        <v>159</v>
      </c>
      <c r="H347" s="95"/>
      <c r="I347" s="13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"/>
      <c r="X347" s="1"/>
      <c r="Y347" s="1"/>
      <c r="Z347" s="1"/>
    </row>
    <row r="348" spans="1:26" ht="14.25" customHeight="1" x14ac:dyDescent="0.45">
      <c r="A348" s="1"/>
      <c r="B348" s="1" t="s">
        <v>219</v>
      </c>
      <c r="C348" s="15"/>
      <c r="D348" s="15"/>
      <c r="E348" s="15"/>
      <c r="F348" s="15"/>
      <c r="G348" s="33">
        <v>1</v>
      </c>
      <c r="H348" s="39">
        <v>20</v>
      </c>
      <c r="I348" s="16" t="s">
        <v>161</v>
      </c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1">
        <f t="shared" ref="V348:V352" si="61">SUM(J348:U348)</f>
        <v>0</v>
      </c>
      <c r="W348" s="1"/>
      <c r="X348" s="1"/>
      <c r="Y348" s="1"/>
      <c r="Z348" s="1"/>
    </row>
    <row r="349" spans="1:26" ht="14.25" customHeight="1" x14ac:dyDescent="0.45">
      <c r="A349" s="1"/>
      <c r="B349" s="1" t="s">
        <v>220</v>
      </c>
      <c r="C349" s="15"/>
      <c r="D349" s="15"/>
      <c r="E349" s="15"/>
      <c r="F349" s="15"/>
      <c r="G349" s="33">
        <v>2</v>
      </c>
      <c r="H349" s="39">
        <v>40</v>
      </c>
      <c r="I349" s="16" t="s">
        <v>161</v>
      </c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1">
        <f t="shared" si="61"/>
        <v>0</v>
      </c>
      <c r="W349" s="1"/>
      <c r="X349" s="1"/>
      <c r="Y349" s="1"/>
      <c r="Z349" s="1"/>
    </row>
    <row r="350" spans="1:26" ht="14.25" customHeight="1" x14ac:dyDescent="0.45">
      <c r="A350" s="1"/>
      <c r="B350" s="1" t="s">
        <v>221</v>
      </c>
      <c r="C350" s="15"/>
      <c r="D350" s="15"/>
      <c r="E350" s="15"/>
      <c r="F350" s="15"/>
      <c r="G350" s="33">
        <v>3</v>
      </c>
      <c r="H350" s="39">
        <v>45</v>
      </c>
      <c r="I350" s="16" t="s">
        <v>161</v>
      </c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1">
        <f t="shared" si="61"/>
        <v>0</v>
      </c>
      <c r="W350" s="1"/>
      <c r="X350" s="1"/>
      <c r="Y350" s="1"/>
      <c r="Z350" s="1"/>
    </row>
    <row r="351" spans="1:26" ht="14.25" customHeight="1" x14ac:dyDescent="0.45">
      <c r="A351" s="1"/>
      <c r="B351" s="1" t="s">
        <v>222</v>
      </c>
      <c r="C351" s="15"/>
      <c r="D351" s="15"/>
      <c r="E351" s="15"/>
      <c r="F351" s="15"/>
      <c r="G351" s="33">
        <v>4</v>
      </c>
      <c r="H351" s="39" t="s">
        <v>165</v>
      </c>
      <c r="I351" s="16" t="s">
        <v>161</v>
      </c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1">
        <f t="shared" si="61"/>
        <v>0</v>
      </c>
      <c r="W351" s="1"/>
      <c r="X351" s="1"/>
      <c r="Y351" s="1"/>
      <c r="Z351" s="1"/>
    </row>
    <row r="352" spans="1:26" ht="14.25" customHeight="1" x14ac:dyDescent="0.45">
      <c r="A352" s="1"/>
      <c r="B352" s="1" t="s">
        <v>223</v>
      </c>
      <c r="C352" s="15"/>
      <c r="D352" s="15"/>
      <c r="E352" s="15"/>
      <c r="F352" s="15"/>
      <c r="G352" s="33">
        <v>5</v>
      </c>
      <c r="H352" s="39" t="s">
        <v>167</v>
      </c>
      <c r="I352" s="16" t="s">
        <v>161</v>
      </c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1">
        <f t="shared" si="61"/>
        <v>0</v>
      </c>
      <c r="W352" s="1"/>
      <c r="X352" s="1"/>
      <c r="Y352" s="1"/>
      <c r="Z352" s="1"/>
    </row>
    <row r="353" spans="1:26" ht="14.25" customHeight="1" x14ac:dyDescent="0.45">
      <c r="A353" s="1"/>
      <c r="C353" s="15"/>
      <c r="D353" s="15"/>
      <c r="E353" s="15"/>
      <c r="F353" s="15"/>
      <c r="G353" s="39"/>
      <c r="H353" s="39"/>
      <c r="I353" s="13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"/>
      <c r="X353" s="1"/>
      <c r="Y353" s="1"/>
      <c r="Z353" s="1"/>
    </row>
    <row r="354" spans="1:26" ht="14.25" customHeight="1" x14ac:dyDescent="0.45">
      <c r="A354" s="1"/>
      <c r="C354" s="15"/>
      <c r="D354" s="15"/>
      <c r="E354" s="15"/>
      <c r="F354" s="15">
        <v>2</v>
      </c>
      <c r="G354" s="96" t="s">
        <v>168</v>
      </c>
      <c r="H354" s="95"/>
      <c r="I354" s="13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"/>
      <c r="X354" s="1"/>
      <c r="Y354" s="1"/>
      <c r="Z354" s="1"/>
    </row>
    <row r="355" spans="1:26" ht="14.25" customHeight="1" x14ac:dyDescent="0.45">
      <c r="A355" s="1"/>
      <c r="B355" s="1" t="s">
        <v>224</v>
      </c>
      <c r="C355" s="15"/>
      <c r="D355" s="15"/>
      <c r="E355" s="15"/>
      <c r="F355" s="15"/>
      <c r="G355" s="33">
        <v>1</v>
      </c>
      <c r="H355" s="39">
        <v>20</v>
      </c>
      <c r="I355" s="16" t="s">
        <v>161</v>
      </c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1">
        <f t="shared" ref="V355:V357" si="62">SUM(J355:U355)</f>
        <v>0</v>
      </c>
      <c r="W355" s="1"/>
      <c r="X355" s="1"/>
      <c r="Y355" s="1"/>
      <c r="Z355" s="1"/>
    </row>
    <row r="356" spans="1:26" ht="14.25" customHeight="1" x14ac:dyDescent="0.45">
      <c r="A356" s="1"/>
      <c r="B356" s="1" t="s">
        <v>225</v>
      </c>
      <c r="C356" s="15"/>
      <c r="D356" s="15"/>
      <c r="E356" s="15"/>
      <c r="F356" s="15"/>
      <c r="G356" s="33">
        <v>2</v>
      </c>
      <c r="H356" s="39">
        <v>40</v>
      </c>
      <c r="I356" s="16" t="s">
        <v>161</v>
      </c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1">
        <f t="shared" si="62"/>
        <v>0</v>
      </c>
      <c r="W356" s="1"/>
      <c r="X356" s="1"/>
      <c r="Y356" s="1"/>
      <c r="Z356" s="1"/>
    </row>
    <row r="357" spans="1:26" ht="14.25" customHeight="1" x14ac:dyDescent="0.45">
      <c r="A357" s="1"/>
      <c r="B357" s="1" t="s">
        <v>226</v>
      </c>
      <c r="C357" s="15"/>
      <c r="D357" s="15"/>
      <c r="E357" s="15"/>
      <c r="F357" s="15"/>
      <c r="G357" s="33">
        <v>3</v>
      </c>
      <c r="H357" s="39">
        <v>45</v>
      </c>
      <c r="I357" s="16" t="s">
        <v>161</v>
      </c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1">
        <f t="shared" si="62"/>
        <v>0</v>
      </c>
      <c r="W357" s="1"/>
      <c r="X357" s="1"/>
      <c r="Y357" s="1"/>
      <c r="Z357" s="1"/>
    </row>
    <row r="358" spans="1:26" ht="14.25" customHeight="1" x14ac:dyDescent="0.45">
      <c r="A358" s="1"/>
      <c r="C358" s="15"/>
      <c r="D358" s="15"/>
      <c r="E358" s="15"/>
      <c r="F358" s="15"/>
      <c r="G358" s="65"/>
      <c r="H358" s="65"/>
      <c r="I358" s="13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"/>
      <c r="X358" s="1"/>
      <c r="Y358" s="1"/>
      <c r="Z358" s="1"/>
    </row>
    <row r="359" spans="1:26" ht="14.25" customHeight="1" x14ac:dyDescent="0.45">
      <c r="A359" s="1"/>
      <c r="C359" s="15"/>
      <c r="D359" s="15"/>
      <c r="E359" s="15"/>
      <c r="F359" s="15">
        <v>3</v>
      </c>
      <c r="G359" s="96" t="s">
        <v>172</v>
      </c>
      <c r="H359" s="95"/>
      <c r="I359" s="13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"/>
      <c r="X359" s="1"/>
      <c r="Y359" s="1"/>
      <c r="Z359" s="1"/>
    </row>
    <row r="360" spans="1:26" ht="14.25" customHeight="1" x14ac:dyDescent="0.45">
      <c r="A360" s="1"/>
      <c r="B360" s="1" t="s">
        <v>227</v>
      </c>
      <c r="C360" s="15"/>
      <c r="D360" s="15"/>
      <c r="E360" s="15"/>
      <c r="F360" s="15"/>
      <c r="G360" s="33">
        <v>1</v>
      </c>
      <c r="H360" s="39">
        <v>20</v>
      </c>
      <c r="I360" s="16" t="s">
        <v>161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1">
        <f t="shared" ref="V360:V362" si="63">SUM(J360:U360)</f>
        <v>0</v>
      </c>
      <c r="W360" s="1"/>
      <c r="X360" s="1"/>
      <c r="Y360" s="1"/>
      <c r="Z360" s="1"/>
    </row>
    <row r="361" spans="1:26" ht="14.25" customHeight="1" x14ac:dyDescent="0.45">
      <c r="A361" s="1"/>
      <c r="B361" s="1" t="s">
        <v>228</v>
      </c>
      <c r="C361" s="15"/>
      <c r="D361" s="15"/>
      <c r="E361" s="15"/>
      <c r="F361" s="15"/>
      <c r="G361" s="33">
        <v>2</v>
      </c>
      <c r="H361" s="39">
        <v>40</v>
      </c>
      <c r="I361" s="16" t="s">
        <v>161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1">
        <f t="shared" si="63"/>
        <v>0</v>
      </c>
      <c r="W361" s="1"/>
      <c r="X361" s="1"/>
      <c r="Y361" s="1"/>
      <c r="Z361" s="1"/>
    </row>
    <row r="362" spans="1:26" ht="14.25" customHeight="1" x14ac:dyDescent="0.45">
      <c r="A362" s="1"/>
      <c r="B362" s="1" t="s">
        <v>229</v>
      </c>
      <c r="C362" s="15"/>
      <c r="D362" s="15"/>
      <c r="E362" s="15"/>
      <c r="F362" s="15"/>
      <c r="G362" s="33">
        <v>3</v>
      </c>
      <c r="H362" s="39">
        <v>45</v>
      </c>
      <c r="I362" s="16" t="s">
        <v>161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1">
        <f t="shared" si="63"/>
        <v>0</v>
      </c>
      <c r="W362" s="1"/>
      <c r="X362" s="1"/>
      <c r="Y362" s="1"/>
      <c r="Z362" s="1"/>
    </row>
    <row r="363" spans="1:26" ht="14.25" customHeight="1" x14ac:dyDescent="0.45">
      <c r="A363" s="1"/>
      <c r="C363" s="15"/>
      <c r="D363" s="15"/>
      <c r="E363" s="15"/>
      <c r="F363" s="15"/>
      <c r="G363" s="39"/>
      <c r="H363" s="39"/>
      <c r="I363" s="13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"/>
      <c r="X363" s="1"/>
      <c r="Y363" s="1"/>
      <c r="Z363" s="1"/>
    </row>
    <row r="364" spans="1:26" ht="14.25" customHeight="1" x14ac:dyDescent="0.45">
      <c r="A364" s="1"/>
      <c r="B364" s="1" t="s">
        <v>230</v>
      </c>
      <c r="C364" s="15"/>
      <c r="D364" s="15"/>
      <c r="E364" s="15"/>
      <c r="F364" s="15">
        <v>4</v>
      </c>
      <c r="G364" s="96" t="s">
        <v>177</v>
      </c>
      <c r="H364" s="95"/>
      <c r="I364" s="16" t="s">
        <v>178</v>
      </c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1">
        <f>SUM(J364:U364)</f>
        <v>0</v>
      </c>
      <c r="W364" s="1"/>
      <c r="X364" s="1"/>
      <c r="Y364" s="1"/>
      <c r="Z364" s="1"/>
    </row>
    <row r="365" spans="1:26" ht="14.25" customHeight="1" x14ac:dyDescent="0.45">
      <c r="A365" s="1"/>
      <c r="C365" s="15"/>
      <c r="D365" s="15"/>
      <c r="E365" s="15"/>
      <c r="F365" s="15"/>
      <c r="G365" s="16"/>
      <c r="H365" s="43"/>
      <c r="I365" s="13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"/>
      <c r="X365" s="1"/>
      <c r="Y365" s="1"/>
      <c r="Z365" s="1"/>
    </row>
    <row r="366" spans="1:26" ht="14.25" customHeight="1" x14ac:dyDescent="0.45">
      <c r="A366" s="1"/>
      <c r="C366" s="15"/>
      <c r="D366" s="15"/>
      <c r="E366" s="15">
        <v>2</v>
      </c>
      <c r="F366" s="101" t="s">
        <v>179</v>
      </c>
      <c r="G366" s="94"/>
      <c r="H366" s="95"/>
      <c r="I366" s="13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"/>
      <c r="X366" s="1"/>
      <c r="Y366" s="1"/>
      <c r="Z366" s="1"/>
    </row>
    <row r="367" spans="1:26" ht="14.25" customHeight="1" x14ac:dyDescent="0.45">
      <c r="A367" s="1"/>
      <c r="B367" s="1" t="s">
        <v>231</v>
      </c>
      <c r="C367" s="15"/>
      <c r="D367" s="15"/>
      <c r="E367" s="15"/>
      <c r="F367" s="15"/>
      <c r="G367" s="33">
        <v>1</v>
      </c>
      <c r="H367" s="39">
        <v>20</v>
      </c>
      <c r="I367" s="16" t="s">
        <v>161</v>
      </c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1">
        <f t="shared" ref="V367:V369" si="64">SUM(J367:U367)</f>
        <v>0</v>
      </c>
      <c r="W367" s="1"/>
      <c r="X367" s="1"/>
      <c r="Y367" s="1"/>
      <c r="Z367" s="1"/>
    </row>
    <row r="368" spans="1:26" ht="14.25" customHeight="1" x14ac:dyDescent="0.45">
      <c r="A368" s="1"/>
      <c r="B368" s="1" t="s">
        <v>232</v>
      </c>
      <c r="C368" s="15"/>
      <c r="D368" s="15"/>
      <c r="E368" s="15"/>
      <c r="F368" s="15"/>
      <c r="G368" s="33">
        <v>2</v>
      </c>
      <c r="H368" s="39">
        <v>40</v>
      </c>
      <c r="I368" s="16" t="s">
        <v>161</v>
      </c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1">
        <f t="shared" si="64"/>
        <v>0</v>
      </c>
      <c r="W368" s="1"/>
      <c r="X368" s="1"/>
      <c r="Y368" s="1"/>
      <c r="Z368" s="1"/>
    </row>
    <row r="369" spans="1:26" ht="14.25" customHeight="1" x14ac:dyDescent="0.45">
      <c r="A369" s="1"/>
      <c r="B369" s="1" t="s">
        <v>233</v>
      </c>
      <c r="C369" s="15"/>
      <c r="D369" s="15"/>
      <c r="E369" s="15"/>
      <c r="F369" s="15"/>
      <c r="G369" s="33">
        <v>3</v>
      </c>
      <c r="H369" s="39">
        <v>45</v>
      </c>
      <c r="I369" s="16" t="s">
        <v>161</v>
      </c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1">
        <f t="shared" si="64"/>
        <v>0</v>
      </c>
      <c r="W369" s="1"/>
      <c r="X369" s="1"/>
      <c r="Y369" s="1"/>
      <c r="Z369" s="1"/>
    </row>
    <row r="370" spans="1:26" ht="14.25" customHeight="1" x14ac:dyDescent="0.45">
      <c r="A370" s="1"/>
      <c r="C370" s="47"/>
      <c r="D370" s="37"/>
      <c r="E370" s="37"/>
      <c r="F370" s="37"/>
      <c r="G370" s="37"/>
      <c r="H370" s="37"/>
      <c r="I370" s="37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"/>
      <c r="X370" s="1"/>
      <c r="Y370" s="1"/>
      <c r="Z370" s="1"/>
    </row>
    <row r="371" spans="1:26" ht="14.25" customHeight="1" x14ac:dyDescent="0.45">
      <c r="A371" s="1"/>
      <c r="C371" s="15"/>
      <c r="D371" s="15">
        <v>2</v>
      </c>
      <c r="E371" s="96" t="s">
        <v>234</v>
      </c>
      <c r="F371" s="94"/>
      <c r="G371" s="94"/>
      <c r="H371" s="95"/>
      <c r="I371" s="13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"/>
      <c r="X371" s="1"/>
      <c r="Y371" s="1"/>
      <c r="Z371" s="1"/>
    </row>
    <row r="372" spans="1:26" ht="14.25" customHeight="1" x14ac:dyDescent="0.45">
      <c r="A372" s="1"/>
      <c r="C372" s="15"/>
      <c r="D372" s="15"/>
      <c r="E372" s="15">
        <v>1</v>
      </c>
      <c r="F372" s="96" t="s">
        <v>158</v>
      </c>
      <c r="G372" s="94"/>
      <c r="H372" s="95"/>
      <c r="I372" s="13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"/>
      <c r="X372" s="1"/>
      <c r="Y372" s="1"/>
      <c r="Z372" s="1"/>
    </row>
    <row r="373" spans="1:26" ht="14.25" customHeight="1" x14ac:dyDescent="0.45">
      <c r="A373" s="1"/>
      <c r="C373" s="15"/>
      <c r="D373" s="15"/>
      <c r="E373" s="15"/>
      <c r="F373" s="15">
        <v>1</v>
      </c>
      <c r="G373" s="96" t="s">
        <v>159</v>
      </c>
      <c r="H373" s="95"/>
      <c r="I373" s="13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"/>
      <c r="X373" s="1"/>
      <c r="Y373" s="1"/>
      <c r="Z373" s="1"/>
    </row>
    <row r="374" spans="1:26" ht="14.25" customHeight="1" x14ac:dyDescent="0.45">
      <c r="A374" s="1"/>
      <c r="B374" s="1" t="s">
        <v>235</v>
      </c>
      <c r="C374" s="15"/>
      <c r="D374" s="15"/>
      <c r="E374" s="15"/>
      <c r="F374" s="15"/>
      <c r="G374" s="33">
        <v>1</v>
      </c>
      <c r="H374" s="39">
        <v>20</v>
      </c>
      <c r="I374" s="16" t="s">
        <v>161</v>
      </c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1">
        <f t="shared" ref="V374:V378" si="65">SUM(J374:U374)</f>
        <v>0</v>
      </c>
      <c r="W374" s="1"/>
      <c r="X374" s="1"/>
      <c r="Y374" s="1"/>
      <c r="Z374" s="1"/>
    </row>
    <row r="375" spans="1:26" ht="14.25" customHeight="1" x14ac:dyDescent="0.45">
      <c r="A375" s="1"/>
      <c r="B375" s="1" t="s">
        <v>236</v>
      </c>
      <c r="C375" s="15"/>
      <c r="D375" s="15"/>
      <c r="E375" s="15"/>
      <c r="F375" s="15"/>
      <c r="G375" s="33">
        <v>2</v>
      </c>
      <c r="H375" s="39">
        <v>40</v>
      </c>
      <c r="I375" s="16" t="s">
        <v>161</v>
      </c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1">
        <f t="shared" si="65"/>
        <v>0</v>
      </c>
      <c r="W375" s="1"/>
      <c r="X375" s="1"/>
      <c r="Y375" s="1"/>
      <c r="Z375" s="1"/>
    </row>
    <row r="376" spans="1:26" ht="14.25" customHeight="1" x14ac:dyDescent="0.45">
      <c r="A376" s="1"/>
      <c r="B376" s="1" t="s">
        <v>237</v>
      </c>
      <c r="C376" s="15"/>
      <c r="D376" s="15"/>
      <c r="E376" s="15"/>
      <c r="F376" s="15"/>
      <c r="G376" s="33">
        <v>3</v>
      </c>
      <c r="H376" s="39">
        <v>45</v>
      </c>
      <c r="I376" s="16" t="s">
        <v>161</v>
      </c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1">
        <f t="shared" si="65"/>
        <v>0</v>
      </c>
      <c r="W376" s="1"/>
      <c r="X376" s="1"/>
      <c r="Y376" s="1"/>
      <c r="Z376" s="1"/>
    </row>
    <row r="377" spans="1:26" ht="14.25" customHeight="1" x14ac:dyDescent="0.45">
      <c r="A377" s="1"/>
      <c r="B377" s="1" t="s">
        <v>238</v>
      </c>
      <c r="C377" s="15"/>
      <c r="D377" s="15"/>
      <c r="E377" s="15"/>
      <c r="F377" s="15"/>
      <c r="G377" s="33">
        <v>4</v>
      </c>
      <c r="H377" s="39" t="s">
        <v>165</v>
      </c>
      <c r="I377" s="16" t="s">
        <v>161</v>
      </c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1">
        <f t="shared" si="65"/>
        <v>0</v>
      </c>
      <c r="W377" s="1"/>
      <c r="X377" s="1"/>
      <c r="Y377" s="1"/>
      <c r="Z377" s="1"/>
    </row>
    <row r="378" spans="1:26" ht="14.25" customHeight="1" x14ac:dyDescent="0.45">
      <c r="A378" s="1"/>
      <c r="B378" s="1" t="s">
        <v>239</v>
      </c>
      <c r="C378" s="15"/>
      <c r="D378" s="15"/>
      <c r="E378" s="15"/>
      <c r="F378" s="15"/>
      <c r="G378" s="33">
        <v>5</v>
      </c>
      <c r="H378" s="39" t="s">
        <v>167</v>
      </c>
      <c r="I378" s="16" t="s">
        <v>161</v>
      </c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1">
        <f t="shared" si="65"/>
        <v>0</v>
      </c>
      <c r="W378" s="1"/>
      <c r="X378" s="1"/>
      <c r="Y378" s="1"/>
      <c r="Z378" s="1"/>
    </row>
    <row r="379" spans="1:26" ht="14.25" customHeight="1" x14ac:dyDescent="0.45">
      <c r="A379" s="1"/>
      <c r="C379" s="15"/>
      <c r="D379" s="15"/>
      <c r="E379" s="15"/>
      <c r="F379" s="15"/>
      <c r="G379" s="39"/>
      <c r="H379" s="39"/>
      <c r="I379" s="13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"/>
      <c r="X379" s="1"/>
      <c r="Y379" s="1"/>
      <c r="Z379" s="1"/>
    </row>
    <row r="380" spans="1:26" ht="14.25" customHeight="1" x14ac:dyDescent="0.45">
      <c r="A380" s="1"/>
      <c r="C380" s="15"/>
      <c r="D380" s="15"/>
      <c r="E380" s="15"/>
      <c r="F380" s="15">
        <v>2</v>
      </c>
      <c r="G380" s="96" t="s">
        <v>168</v>
      </c>
      <c r="H380" s="95"/>
      <c r="I380" s="13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"/>
      <c r="X380" s="1"/>
      <c r="Y380" s="1"/>
      <c r="Z380" s="1"/>
    </row>
    <row r="381" spans="1:26" ht="14.25" customHeight="1" x14ac:dyDescent="0.45">
      <c r="A381" s="1"/>
      <c r="B381" s="1" t="s">
        <v>240</v>
      </c>
      <c r="C381" s="15"/>
      <c r="D381" s="15"/>
      <c r="E381" s="15"/>
      <c r="F381" s="15"/>
      <c r="G381" s="33">
        <v>1</v>
      </c>
      <c r="H381" s="39">
        <v>20</v>
      </c>
      <c r="I381" s="16" t="s">
        <v>161</v>
      </c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1">
        <f t="shared" ref="V381:V383" si="66">SUM(J381:U381)</f>
        <v>0</v>
      </c>
      <c r="W381" s="1"/>
      <c r="X381" s="1"/>
      <c r="Y381" s="1"/>
      <c r="Z381" s="1"/>
    </row>
    <row r="382" spans="1:26" ht="14.25" customHeight="1" x14ac:dyDescent="0.45">
      <c r="A382" s="1"/>
      <c r="B382" s="1" t="s">
        <v>241</v>
      </c>
      <c r="C382" s="15"/>
      <c r="D382" s="15"/>
      <c r="E382" s="15"/>
      <c r="F382" s="15"/>
      <c r="G382" s="33">
        <v>2</v>
      </c>
      <c r="H382" s="39">
        <v>40</v>
      </c>
      <c r="I382" s="16" t="s">
        <v>161</v>
      </c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1">
        <f t="shared" si="66"/>
        <v>0</v>
      </c>
      <c r="W382" s="1"/>
      <c r="X382" s="1"/>
      <c r="Y382" s="1"/>
      <c r="Z382" s="1"/>
    </row>
    <row r="383" spans="1:26" ht="14.25" customHeight="1" x14ac:dyDescent="0.45">
      <c r="A383" s="1"/>
      <c r="B383" s="1" t="s">
        <v>242</v>
      </c>
      <c r="C383" s="15"/>
      <c r="D383" s="15"/>
      <c r="E383" s="15"/>
      <c r="F383" s="15"/>
      <c r="G383" s="33">
        <v>3</v>
      </c>
      <c r="H383" s="39">
        <v>45</v>
      </c>
      <c r="I383" s="16" t="s">
        <v>161</v>
      </c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1">
        <f t="shared" si="66"/>
        <v>0</v>
      </c>
      <c r="W383" s="1"/>
      <c r="X383" s="1"/>
      <c r="Y383" s="1"/>
      <c r="Z383" s="1"/>
    </row>
    <row r="384" spans="1:26" ht="14.25" customHeight="1" x14ac:dyDescent="0.45">
      <c r="A384" s="1"/>
      <c r="C384" s="15"/>
      <c r="D384" s="15"/>
      <c r="E384" s="15"/>
      <c r="F384" s="15"/>
      <c r="G384" s="65"/>
      <c r="H384" s="65"/>
      <c r="I384" s="13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"/>
      <c r="X384" s="1"/>
      <c r="Y384" s="1"/>
      <c r="Z384" s="1"/>
    </row>
    <row r="385" spans="1:26" ht="14.25" customHeight="1" x14ac:dyDescent="0.45">
      <c r="A385" s="1"/>
      <c r="C385" s="15"/>
      <c r="D385" s="15"/>
      <c r="E385" s="15"/>
      <c r="F385" s="15">
        <v>3</v>
      </c>
      <c r="G385" s="96" t="s">
        <v>172</v>
      </c>
      <c r="H385" s="95"/>
      <c r="I385" s="13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"/>
      <c r="X385" s="1"/>
      <c r="Y385" s="1"/>
      <c r="Z385" s="1"/>
    </row>
    <row r="386" spans="1:26" ht="14.25" customHeight="1" x14ac:dyDescent="0.45">
      <c r="A386" s="1"/>
      <c r="B386" s="1" t="s">
        <v>243</v>
      </c>
      <c r="C386" s="15"/>
      <c r="D386" s="15"/>
      <c r="E386" s="15"/>
      <c r="F386" s="15"/>
      <c r="G386" s="33">
        <v>1</v>
      </c>
      <c r="H386" s="39">
        <v>20</v>
      </c>
      <c r="I386" s="16" t="s">
        <v>161</v>
      </c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1">
        <f t="shared" ref="V386:V388" si="67">SUM(J386:U386)</f>
        <v>0</v>
      </c>
      <c r="W386" s="1"/>
      <c r="X386" s="1"/>
      <c r="Y386" s="1"/>
      <c r="Z386" s="1"/>
    </row>
    <row r="387" spans="1:26" ht="14.25" customHeight="1" x14ac:dyDescent="0.45">
      <c r="A387" s="1"/>
      <c r="B387" s="1" t="s">
        <v>244</v>
      </c>
      <c r="C387" s="15"/>
      <c r="D387" s="15"/>
      <c r="E387" s="15"/>
      <c r="F387" s="15"/>
      <c r="G387" s="33">
        <v>2</v>
      </c>
      <c r="H387" s="39">
        <v>40</v>
      </c>
      <c r="I387" s="16" t="s">
        <v>161</v>
      </c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1">
        <f t="shared" si="67"/>
        <v>0</v>
      </c>
      <c r="W387" s="1"/>
      <c r="X387" s="1"/>
      <c r="Y387" s="1"/>
      <c r="Z387" s="1"/>
    </row>
    <row r="388" spans="1:26" ht="14.25" customHeight="1" x14ac:dyDescent="0.45">
      <c r="A388" s="1"/>
      <c r="B388" s="1" t="s">
        <v>245</v>
      </c>
      <c r="C388" s="15"/>
      <c r="D388" s="15"/>
      <c r="E388" s="15"/>
      <c r="F388" s="15"/>
      <c r="G388" s="33">
        <v>3</v>
      </c>
      <c r="H388" s="39">
        <v>45</v>
      </c>
      <c r="I388" s="16" t="s">
        <v>161</v>
      </c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1">
        <f t="shared" si="67"/>
        <v>0</v>
      </c>
      <c r="W388" s="1"/>
      <c r="X388" s="1"/>
      <c r="Y388" s="1"/>
      <c r="Z388" s="1"/>
    </row>
    <row r="389" spans="1:26" ht="14.25" customHeight="1" x14ac:dyDescent="0.45">
      <c r="A389" s="1"/>
      <c r="C389" s="15"/>
      <c r="D389" s="15"/>
      <c r="E389" s="15"/>
      <c r="F389" s="15"/>
      <c r="G389" s="39"/>
      <c r="H389" s="39"/>
      <c r="I389" s="13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"/>
      <c r="X389" s="1"/>
      <c r="Y389" s="1"/>
      <c r="Z389" s="1"/>
    </row>
    <row r="390" spans="1:26" ht="14.25" customHeight="1" x14ac:dyDescent="0.45">
      <c r="A390" s="1"/>
      <c r="B390" s="1" t="s">
        <v>246</v>
      </c>
      <c r="C390" s="15"/>
      <c r="D390" s="15"/>
      <c r="E390" s="15"/>
      <c r="F390" s="15">
        <v>4</v>
      </c>
      <c r="G390" s="96" t="s">
        <v>177</v>
      </c>
      <c r="H390" s="95"/>
      <c r="I390" s="16" t="s">
        <v>178</v>
      </c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1">
        <f>SUM(J390:U390)</f>
        <v>0</v>
      </c>
      <c r="W390" s="1"/>
      <c r="X390" s="1"/>
      <c r="Y390" s="1"/>
      <c r="Z390" s="1"/>
    </row>
    <row r="391" spans="1:26" ht="14.25" customHeight="1" x14ac:dyDescent="0.45">
      <c r="A391" s="1"/>
      <c r="C391" s="15"/>
      <c r="D391" s="15"/>
      <c r="E391" s="15"/>
      <c r="F391" s="15"/>
      <c r="G391" s="16"/>
      <c r="H391" s="43"/>
      <c r="I391" s="13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"/>
      <c r="X391" s="1"/>
      <c r="Y391" s="1"/>
      <c r="Z391" s="1"/>
    </row>
    <row r="392" spans="1:26" ht="14.25" customHeight="1" x14ac:dyDescent="0.45">
      <c r="A392" s="1"/>
      <c r="C392" s="15"/>
      <c r="D392" s="15"/>
      <c r="E392" s="15">
        <v>2</v>
      </c>
      <c r="F392" s="101" t="s">
        <v>179</v>
      </c>
      <c r="G392" s="94"/>
      <c r="H392" s="95"/>
      <c r="I392" s="13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"/>
      <c r="X392" s="1"/>
      <c r="Y392" s="1"/>
      <c r="Z392" s="1"/>
    </row>
    <row r="393" spans="1:26" ht="14.25" customHeight="1" x14ac:dyDescent="0.45">
      <c r="A393" s="1"/>
      <c r="B393" s="1" t="s">
        <v>247</v>
      </c>
      <c r="C393" s="15"/>
      <c r="D393" s="15"/>
      <c r="E393" s="15"/>
      <c r="F393" s="15"/>
      <c r="G393" s="33">
        <v>1</v>
      </c>
      <c r="H393" s="39">
        <v>20</v>
      </c>
      <c r="I393" s="16" t="s">
        <v>161</v>
      </c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1">
        <f t="shared" ref="V393:V395" si="68">SUM(J393:U393)</f>
        <v>0</v>
      </c>
      <c r="W393" s="1"/>
      <c r="X393" s="1"/>
      <c r="Y393" s="1"/>
      <c r="Z393" s="1"/>
    </row>
    <row r="394" spans="1:26" ht="14.25" customHeight="1" x14ac:dyDescent="0.45">
      <c r="A394" s="1"/>
      <c r="B394" s="1" t="s">
        <v>248</v>
      </c>
      <c r="C394" s="15"/>
      <c r="D394" s="15"/>
      <c r="E394" s="15"/>
      <c r="F394" s="15"/>
      <c r="G394" s="33">
        <v>2</v>
      </c>
      <c r="H394" s="39">
        <v>40</v>
      </c>
      <c r="I394" s="16" t="s">
        <v>161</v>
      </c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1">
        <f t="shared" si="68"/>
        <v>0</v>
      </c>
      <c r="W394" s="1"/>
      <c r="X394" s="1"/>
      <c r="Y394" s="1"/>
      <c r="Z394" s="1"/>
    </row>
    <row r="395" spans="1:26" ht="14.25" customHeight="1" x14ac:dyDescent="0.45">
      <c r="A395" s="1"/>
      <c r="B395" s="1" t="s">
        <v>249</v>
      </c>
      <c r="C395" s="15"/>
      <c r="D395" s="15"/>
      <c r="E395" s="15"/>
      <c r="F395" s="15"/>
      <c r="G395" s="33">
        <v>3</v>
      </c>
      <c r="H395" s="39">
        <v>45</v>
      </c>
      <c r="I395" s="16" t="s">
        <v>161</v>
      </c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1">
        <f t="shared" si="68"/>
        <v>0</v>
      </c>
      <c r="W395" s="1"/>
      <c r="X395" s="1"/>
      <c r="Y395" s="1"/>
      <c r="Z395" s="1"/>
    </row>
    <row r="396" spans="1:26" ht="14.25" customHeight="1" x14ac:dyDescent="0.45">
      <c r="A396" s="1"/>
      <c r="C396" s="47"/>
      <c r="D396" s="37"/>
      <c r="E396" s="37"/>
      <c r="F396" s="37"/>
      <c r="G396" s="37"/>
      <c r="H396" s="37"/>
      <c r="I396" s="37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"/>
      <c r="X396" s="1"/>
      <c r="Y396" s="1"/>
      <c r="Z396" s="1"/>
    </row>
    <row r="397" spans="1:26" ht="14.25" customHeight="1" x14ac:dyDescent="0.45">
      <c r="A397" s="1"/>
      <c r="C397" s="15"/>
      <c r="D397" s="15">
        <v>3</v>
      </c>
      <c r="E397" s="101" t="s">
        <v>199</v>
      </c>
      <c r="F397" s="94"/>
      <c r="G397" s="94"/>
      <c r="H397" s="95"/>
      <c r="I397" s="13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"/>
      <c r="X397" s="1"/>
      <c r="Y397" s="1"/>
      <c r="Z397" s="1"/>
    </row>
    <row r="398" spans="1:26" ht="14.25" customHeight="1" x14ac:dyDescent="0.45">
      <c r="A398" s="1"/>
      <c r="C398" s="15"/>
      <c r="D398" s="15"/>
      <c r="E398" s="15">
        <v>1</v>
      </c>
      <c r="F398" s="96" t="s">
        <v>158</v>
      </c>
      <c r="G398" s="94"/>
      <c r="H398" s="95"/>
      <c r="I398" s="13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"/>
      <c r="X398" s="1"/>
      <c r="Y398" s="1"/>
      <c r="Z398" s="1"/>
    </row>
    <row r="399" spans="1:26" ht="14.25" customHeight="1" x14ac:dyDescent="0.45">
      <c r="A399" s="1"/>
      <c r="C399" s="15"/>
      <c r="D399" s="15"/>
      <c r="E399" s="15"/>
      <c r="F399" s="15">
        <v>1</v>
      </c>
      <c r="G399" s="96" t="s">
        <v>159</v>
      </c>
      <c r="H399" s="95"/>
      <c r="I399" s="13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"/>
      <c r="X399" s="1"/>
      <c r="Y399" s="1"/>
      <c r="Z399" s="1"/>
    </row>
    <row r="400" spans="1:26" ht="14.25" customHeight="1" x14ac:dyDescent="0.45">
      <c r="A400" s="1"/>
      <c r="B400" s="1" t="s">
        <v>250</v>
      </c>
      <c r="C400" s="15"/>
      <c r="D400" s="15"/>
      <c r="E400" s="15"/>
      <c r="F400" s="15"/>
      <c r="G400" s="33">
        <v>1</v>
      </c>
      <c r="H400" s="39">
        <v>20</v>
      </c>
      <c r="I400" s="16" t="s">
        <v>161</v>
      </c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1">
        <f t="shared" ref="V400:V404" si="69">SUM(J400:U400)</f>
        <v>0</v>
      </c>
      <c r="W400" s="1"/>
      <c r="X400" s="1"/>
      <c r="Y400" s="1"/>
      <c r="Z400" s="1"/>
    </row>
    <row r="401" spans="1:26" ht="14.25" customHeight="1" x14ac:dyDescent="0.45">
      <c r="A401" s="1"/>
      <c r="B401" s="1" t="s">
        <v>251</v>
      </c>
      <c r="C401" s="15"/>
      <c r="D401" s="15"/>
      <c r="E401" s="15"/>
      <c r="F401" s="15"/>
      <c r="G401" s="33">
        <v>2</v>
      </c>
      <c r="H401" s="39">
        <v>40</v>
      </c>
      <c r="I401" s="16" t="s">
        <v>161</v>
      </c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1">
        <f t="shared" si="69"/>
        <v>0</v>
      </c>
      <c r="W401" s="1"/>
      <c r="X401" s="1"/>
      <c r="Y401" s="1"/>
      <c r="Z401" s="1"/>
    </row>
    <row r="402" spans="1:26" ht="14.25" customHeight="1" x14ac:dyDescent="0.45">
      <c r="A402" s="1"/>
      <c r="B402" s="1" t="s">
        <v>252</v>
      </c>
      <c r="C402" s="15"/>
      <c r="D402" s="15"/>
      <c r="E402" s="15"/>
      <c r="F402" s="15"/>
      <c r="G402" s="33">
        <v>3</v>
      </c>
      <c r="H402" s="39">
        <v>45</v>
      </c>
      <c r="I402" s="16" t="s">
        <v>161</v>
      </c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1">
        <f t="shared" si="69"/>
        <v>0</v>
      </c>
      <c r="W402" s="1"/>
      <c r="X402" s="1"/>
      <c r="Y402" s="1"/>
      <c r="Z402" s="1"/>
    </row>
    <row r="403" spans="1:26" ht="14.25" customHeight="1" x14ac:dyDescent="0.45">
      <c r="A403" s="1"/>
      <c r="B403" s="1" t="s">
        <v>253</v>
      </c>
      <c r="C403" s="15"/>
      <c r="D403" s="15"/>
      <c r="E403" s="15"/>
      <c r="F403" s="15"/>
      <c r="G403" s="33">
        <v>4</v>
      </c>
      <c r="H403" s="39" t="s">
        <v>165</v>
      </c>
      <c r="I403" s="16" t="s">
        <v>161</v>
      </c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1">
        <f t="shared" si="69"/>
        <v>0</v>
      </c>
      <c r="W403" s="1"/>
      <c r="X403" s="1"/>
      <c r="Y403" s="1"/>
      <c r="Z403" s="1"/>
    </row>
    <row r="404" spans="1:26" ht="14.25" customHeight="1" x14ac:dyDescent="0.45">
      <c r="A404" s="1"/>
      <c r="B404" s="1" t="s">
        <v>254</v>
      </c>
      <c r="C404" s="15"/>
      <c r="D404" s="15"/>
      <c r="E404" s="15"/>
      <c r="F404" s="15"/>
      <c r="G404" s="33">
        <v>5</v>
      </c>
      <c r="H404" s="39" t="s">
        <v>167</v>
      </c>
      <c r="I404" s="16" t="s">
        <v>161</v>
      </c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1">
        <f t="shared" si="69"/>
        <v>0</v>
      </c>
      <c r="W404" s="1"/>
      <c r="X404" s="1"/>
      <c r="Y404" s="1"/>
      <c r="Z404" s="1"/>
    </row>
    <row r="405" spans="1:26" ht="14.25" customHeight="1" x14ac:dyDescent="0.45">
      <c r="A405" s="1"/>
      <c r="C405" s="15"/>
      <c r="D405" s="15"/>
      <c r="E405" s="15"/>
      <c r="F405" s="15"/>
      <c r="G405" s="39"/>
      <c r="H405" s="39"/>
      <c r="I405" s="13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"/>
      <c r="X405" s="1"/>
      <c r="Y405" s="1"/>
      <c r="Z405" s="1"/>
    </row>
    <row r="406" spans="1:26" ht="14.25" customHeight="1" x14ac:dyDescent="0.45">
      <c r="A406" s="1"/>
      <c r="C406" s="15"/>
      <c r="D406" s="15"/>
      <c r="E406" s="15"/>
      <c r="F406" s="15">
        <v>2</v>
      </c>
      <c r="G406" s="96" t="s">
        <v>168</v>
      </c>
      <c r="H406" s="95"/>
      <c r="I406" s="13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"/>
      <c r="X406" s="1"/>
      <c r="Y406" s="1"/>
      <c r="Z406" s="1"/>
    </row>
    <row r="407" spans="1:26" ht="14.25" customHeight="1" x14ac:dyDescent="0.45">
      <c r="A407" s="1"/>
      <c r="B407" s="1" t="s">
        <v>255</v>
      </c>
      <c r="C407" s="15"/>
      <c r="D407" s="15"/>
      <c r="E407" s="15"/>
      <c r="F407" s="15"/>
      <c r="G407" s="33">
        <v>1</v>
      </c>
      <c r="H407" s="39">
        <v>20</v>
      </c>
      <c r="I407" s="16" t="s">
        <v>161</v>
      </c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1">
        <f t="shared" ref="V407:V409" si="70">SUM(J407:U407)</f>
        <v>0</v>
      </c>
      <c r="W407" s="1"/>
      <c r="X407" s="1"/>
      <c r="Y407" s="1"/>
      <c r="Z407" s="1"/>
    </row>
    <row r="408" spans="1:26" ht="14.25" customHeight="1" x14ac:dyDescent="0.45">
      <c r="A408" s="1"/>
      <c r="B408" s="1" t="s">
        <v>256</v>
      </c>
      <c r="C408" s="15"/>
      <c r="D408" s="15"/>
      <c r="E408" s="15"/>
      <c r="F408" s="15"/>
      <c r="G408" s="33">
        <v>2</v>
      </c>
      <c r="H408" s="39">
        <v>40</v>
      </c>
      <c r="I408" s="16" t="s">
        <v>161</v>
      </c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1">
        <f t="shared" si="70"/>
        <v>0</v>
      </c>
      <c r="W408" s="1"/>
      <c r="X408" s="1"/>
      <c r="Y408" s="1"/>
      <c r="Z408" s="1"/>
    </row>
    <row r="409" spans="1:26" ht="14.25" customHeight="1" x14ac:dyDescent="0.45">
      <c r="A409" s="1"/>
      <c r="B409" s="1" t="s">
        <v>257</v>
      </c>
      <c r="C409" s="15"/>
      <c r="D409" s="15"/>
      <c r="E409" s="15"/>
      <c r="F409" s="15"/>
      <c r="G409" s="33">
        <v>3</v>
      </c>
      <c r="H409" s="39">
        <v>45</v>
      </c>
      <c r="I409" s="16" t="s">
        <v>161</v>
      </c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1">
        <f t="shared" si="70"/>
        <v>0</v>
      </c>
      <c r="W409" s="1"/>
      <c r="X409" s="1"/>
      <c r="Y409" s="1"/>
      <c r="Z409" s="1"/>
    </row>
    <row r="410" spans="1:26" ht="14.25" customHeight="1" x14ac:dyDescent="0.45">
      <c r="A410" s="1"/>
      <c r="C410" s="15"/>
      <c r="D410" s="15"/>
      <c r="E410" s="15"/>
      <c r="F410" s="15"/>
      <c r="G410" s="65"/>
      <c r="H410" s="65"/>
      <c r="I410" s="13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"/>
      <c r="X410" s="1"/>
      <c r="Y410" s="1"/>
      <c r="Z410" s="1"/>
    </row>
    <row r="411" spans="1:26" ht="14.25" customHeight="1" x14ac:dyDescent="0.45">
      <c r="A411" s="1"/>
      <c r="C411" s="15"/>
      <c r="D411" s="15"/>
      <c r="E411" s="15"/>
      <c r="F411" s="15">
        <v>3</v>
      </c>
      <c r="G411" s="96" t="s">
        <v>172</v>
      </c>
      <c r="H411" s="95"/>
      <c r="I411" s="13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"/>
      <c r="X411" s="1"/>
      <c r="Y411" s="1"/>
      <c r="Z411" s="1"/>
    </row>
    <row r="412" spans="1:26" ht="14.25" customHeight="1" x14ac:dyDescent="0.45">
      <c r="A412" s="1"/>
      <c r="B412" s="1" t="s">
        <v>258</v>
      </c>
      <c r="C412" s="15"/>
      <c r="D412" s="15"/>
      <c r="E412" s="15"/>
      <c r="F412" s="15"/>
      <c r="G412" s="33">
        <v>1</v>
      </c>
      <c r="H412" s="39">
        <v>20</v>
      </c>
      <c r="I412" s="16" t="s">
        <v>161</v>
      </c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1">
        <f t="shared" ref="V412:V414" si="71">SUM(J412:U412)</f>
        <v>0</v>
      </c>
      <c r="W412" s="1"/>
      <c r="X412" s="1"/>
      <c r="Y412" s="1"/>
      <c r="Z412" s="1"/>
    </row>
    <row r="413" spans="1:26" ht="14.25" customHeight="1" x14ac:dyDescent="0.45">
      <c r="A413" s="1"/>
      <c r="B413" s="1" t="s">
        <v>259</v>
      </c>
      <c r="C413" s="15"/>
      <c r="D413" s="15"/>
      <c r="E413" s="15"/>
      <c r="F413" s="15"/>
      <c r="G413" s="33">
        <v>2</v>
      </c>
      <c r="H413" s="39">
        <v>40</v>
      </c>
      <c r="I413" s="16" t="s">
        <v>161</v>
      </c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1">
        <f t="shared" si="71"/>
        <v>0</v>
      </c>
      <c r="W413" s="1"/>
      <c r="X413" s="1"/>
      <c r="Y413" s="1"/>
      <c r="Z413" s="1"/>
    </row>
    <row r="414" spans="1:26" ht="14.25" customHeight="1" x14ac:dyDescent="0.45">
      <c r="A414" s="1"/>
      <c r="B414" s="1" t="s">
        <v>260</v>
      </c>
      <c r="C414" s="15"/>
      <c r="D414" s="15"/>
      <c r="E414" s="15"/>
      <c r="F414" s="15"/>
      <c r="G414" s="33">
        <v>3</v>
      </c>
      <c r="H414" s="39">
        <v>45</v>
      </c>
      <c r="I414" s="16" t="s">
        <v>161</v>
      </c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1">
        <f t="shared" si="71"/>
        <v>0</v>
      </c>
      <c r="W414" s="1"/>
      <c r="X414" s="1"/>
      <c r="Y414" s="1"/>
      <c r="Z414" s="1"/>
    </row>
    <row r="415" spans="1:26" ht="14.25" customHeight="1" x14ac:dyDescent="0.45">
      <c r="A415" s="1"/>
      <c r="C415" s="15"/>
      <c r="D415" s="15"/>
      <c r="E415" s="15"/>
      <c r="F415" s="15"/>
      <c r="G415" s="39"/>
      <c r="H415" s="39"/>
      <c r="I415" s="13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"/>
      <c r="X415" s="1"/>
      <c r="Y415" s="1"/>
      <c r="Z415" s="1"/>
    </row>
    <row r="416" spans="1:26" ht="14.25" customHeight="1" x14ac:dyDescent="0.45">
      <c r="A416" s="1"/>
      <c r="B416" s="1" t="s">
        <v>261</v>
      </c>
      <c r="C416" s="15"/>
      <c r="D416" s="15"/>
      <c r="E416" s="15"/>
      <c r="F416" s="15">
        <v>4</v>
      </c>
      <c r="G416" s="96" t="s">
        <v>177</v>
      </c>
      <c r="H416" s="95"/>
      <c r="I416" s="16" t="s">
        <v>178</v>
      </c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1">
        <f>SUM(J416:U416)</f>
        <v>0</v>
      </c>
      <c r="W416" s="1"/>
      <c r="X416" s="1"/>
      <c r="Y416" s="1"/>
      <c r="Z416" s="1"/>
    </row>
    <row r="417" spans="1:26" ht="14.25" customHeight="1" x14ac:dyDescent="0.45">
      <c r="A417" s="1"/>
      <c r="C417" s="15"/>
      <c r="D417" s="15"/>
      <c r="E417" s="15"/>
      <c r="F417" s="15"/>
      <c r="G417" s="16"/>
      <c r="H417" s="43"/>
      <c r="I417" s="13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"/>
      <c r="X417" s="1"/>
      <c r="Y417" s="1"/>
      <c r="Z417" s="1"/>
    </row>
    <row r="418" spans="1:26" ht="14.25" customHeight="1" x14ac:dyDescent="0.45">
      <c r="A418" s="1"/>
      <c r="C418" s="15"/>
      <c r="D418" s="15"/>
      <c r="E418" s="15">
        <v>2</v>
      </c>
      <c r="F418" s="101" t="s">
        <v>179</v>
      </c>
      <c r="G418" s="94"/>
      <c r="H418" s="95"/>
      <c r="I418" s="13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"/>
      <c r="X418" s="1"/>
      <c r="Y418" s="1"/>
      <c r="Z418" s="1"/>
    </row>
    <row r="419" spans="1:26" ht="14.25" customHeight="1" x14ac:dyDescent="0.45">
      <c r="A419" s="1"/>
      <c r="B419" s="1" t="s">
        <v>262</v>
      </c>
      <c r="C419" s="15"/>
      <c r="D419" s="15"/>
      <c r="E419" s="15"/>
      <c r="F419" s="15"/>
      <c r="G419" s="33">
        <v>1</v>
      </c>
      <c r="H419" s="39">
        <v>20</v>
      </c>
      <c r="I419" s="16" t="s">
        <v>161</v>
      </c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1">
        <f t="shared" ref="V419:V421" si="72">SUM(J419:U419)</f>
        <v>0</v>
      </c>
      <c r="W419" s="1"/>
      <c r="X419" s="1"/>
      <c r="Y419" s="1"/>
      <c r="Z419" s="1"/>
    </row>
    <row r="420" spans="1:26" ht="14.25" customHeight="1" x14ac:dyDescent="0.45">
      <c r="A420" s="1"/>
      <c r="B420" s="1" t="s">
        <v>263</v>
      </c>
      <c r="C420" s="15"/>
      <c r="D420" s="15"/>
      <c r="E420" s="15"/>
      <c r="F420" s="15"/>
      <c r="G420" s="33">
        <v>2</v>
      </c>
      <c r="H420" s="39">
        <v>40</v>
      </c>
      <c r="I420" s="16" t="s">
        <v>161</v>
      </c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1">
        <f t="shared" si="72"/>
        <v>0</v>
      </c>
      <c r="W420" s="1"/>
      <c r="X420" s="1"/>
      <c r="Y420" s="1"/>
      <c r="Z420" s="1"/>
    </row>
    <row r="421" spans="1:26" ht="14.25" customHeight="1" x14ac:dyDescent="0.45">
      <c r="A421" s="1"/>
      <c r="B421" s="1" t="s">
        <v>264</v>
      </c>
      <c r="C421" s="15"/>
      <c r="D421" s="15"/>
      <c r="E421" s="15"/>
      <c r="F421" s="15"/>
      <c r="G421" s="33">
        <v>3</v>
      </c>
      <c r="H421" s="39">
        <v>45</v>
      </c>
      <c r="I421" s="16" t="s">
        <v>161</v>
      </c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1">
        <f t="shared" si="72"/>
        <v>0</v>
      </c>
      <c r="W421" s="1"/>
      <c r="X421" s="1"/>
      <c r="Y421" s="1"/>
      <c r="Z421" s="1"/>
    </row>
    <row r="422" spans="1:26" ht="14.25" customHeight="1" x14ac:dyDescent="0.45">
      <c r="A422" s="1"/>
      <c r="C422" s="47"/>
      <c r="D422" s="37"/>
      <c r="E422" s="37"/>
      <c r="F422" s="37"/>
      <c r="G422" s="37"/>
      <c r="H422" s="37"/>
      <c r="I422" s="37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"/>
      <c r="X422" s="1"/>
      <c r="Y422" s="1"/>
      <c r="Z422" s="1"/>
    </row>
    <row r="423" spans="1:26" ht="14.25" customHeight="1" x14ac:dyDescent="0.45">
      <c r="A423" s="1"/>
      <c r="C423" s="15"/>
      <c r="D423" s="100" t="s">
        <v>265</v>
      </c>
      <c r="E423" s="81"/>
      <c r="F423" s="81"/>
      <c r="G423" s="81"/>
      <c r="H423" s="82"/>
      <c r="I423" s="16" t="s">
        <v>161</v>
      </c>
      <c r="J423" s="21">
        <f t="shared" ref="J423:V423" ca="1" si="73">SUMIF($I$348:$V$421,$I423,J$348:J$421)</f>
        <v>0</v>
      </c>
      <c r="K423" s="21">
        <f t="shared" ca="1" si="73"/>
        <v>0</v>
      </c>
      <c r="L423" s="21">
        <f t="shared" ca="1" si="73"/>
        <v>0</v>
      </c>
      <c r="M423" s="21">
        <f t="shared" ca="1" si="73"/>
        <v>0</v>
      </c>
      <c r="N423" s="21">
        <f t="shared" ca="1" si="73"/>
        <v>0</v>
      </c>
      <c r="O423" s="21">
        <f t="shared" ca="1" si="73"/>
        <v>0</v>
      </c>
      <c r="P423" s="21">
        <f t="shared" ca="1" si="73"/>
        <v>0</v>
      </c>
      <c r="Q423" s="21">
        <f t="shared" ca="1" si="73"/>
        <v>0</v>
      </c>
      <c r="R423" s="21">
        <f t="shared" ca="1" si="73"/>
        <v>0</v>
      </c>
      <c r="S423" s="21">
        <f t="shared" ca="1" si="73"/>
        <v>0</v>
      </c>
      <c r="T423" s="21">
        <f t="shared" ca="1" si="73"/>
        <v>0</v>
      </c>
      <c r="U423" s="21">
        <f t="shared" ca="1" si="73"/>
        <v>0</v>
      </c>
      <c r="V423" s="21">
        <f t="shared" ca="1" si="73"/>
        <v>0</v>
      </c>
      <c r="W423" s="1"/>
      <c r="X423" s="1"/>
      <c r="Y423" s="1"/>
      <c r="Z423" s="1"/>
    </row>
    <row r="424" spans="1:26" ht="14.25" customHeight="1" x14ac:dyDescent="0.45">
      <c r="A424" s="1"/>
      <c r="C424" s="15"/>
      <c r="D424" s="90"/>
      <c r="E424" s="91"/>
      <c r="F424" s="91"/>
      <c r="G424" s="91"/>
      <c r="H424" s="92"/>
      <c r="I424" s="16" t="s">
        <v>216</v>
      </c>
      <c r="J424" s="21">
        <f t="shared" ref="J424:V424" si="74">(J348+J351+J355+J360+J367+J374+J377+J381+J386+J393+J400+J403+J407+J412+J419) + ((J349+J352+J356+J361+J368+J375+J378+J382+J387+J394+J401+J404+J408+J413+J420)*2) + ((J350+J357+J362+J369+J376+J383+J388+J395+J402+J409+J414+J421)*2.25)</f>
        <v>0</v>
      </c>
      <c r="K424" s="21">
        <f t="shared" si="74"/>
        <v>0</v>
      </c>
      <c r="L424" s="21">
        <f t="shared" si="74"/>
        <v>0</v>
      </c>
      <c r="M424" s="21">
        <f t="shared" si="74"/>
        <v>0</v>
      </c>
      <c r="N424" s="21">
        <f t="shared" si="74"/>
        <v>0</v>
      </c>
      <c r="O424" s="21">
        <f t="shared" si="74"/>
        <v>0</v>
      </c>
      <c r="P424" s="21">
        <f t="shared" si="74"/>
        <v>0</v>
      </c>
      <c r="Q424" s="21">
        <f t="shared" si="74"/>
        <v>0</v>
      </c>
      <c r="R424" s="21">
        <f t="shared" si="74"/>
        <v>0</v>
      </c>
      <c r="S424" s="21">
        <f t="shared" si="74"/>
        <v>0</v>
      </c>
      <c r="T424" s="21">
        <f t="shared" si="74"/>
        <v>0</v>
      </c>
      <c r="U424" s="21">
        <f t="shared" si="74"/>
        <v>0</v>
      </c>
      <c r="V424" s="21">
        <f t="shared" si="74"/>
        <v>0</v>
      </c>
      <c r="W424" s="1"/>
      <c r="X424" s="1"/>
      <c r="Y424" s="1"/>
      <c r="Z424" s="1"/>
    </row>
    <row r="425" spans="1:26" ht="14.25" customHeight="1" x14ac:dyDescent="0.45">
      <c r="A425" s="1"/>
      <c r="C425" s="47"/>
      <c r="D425" s="37"/>
      <c r="E425" s="37"/>
      <c r="F425" s="37"/>
      <c r="G425" s="37"/>
      <c r="H425" s="37"/>
      <c r="I425" s="37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"/>
      <c r="X425" s="1"/>
      <c r="Y425" s="1"/>
      <c r="Z425" s="1"/>
    </row>
    <row r="426" spans="1:26" ht="14.25" customHeight="1" x14ac:dyDescent="0.45">
      <c r="A426" s="1"/>
      <c r="C426" s="100" t="s">
        <v>266</v>
      </c>
      <c r="D426" s="81"/>
      <c r="E426" s="81"/>
      <c r="F426" s="81"/>
      <c r="G426" s="81"/>
      <c r="H426" s="82"/>
      <c r="I426" s="16" t="s">
        <v>161</v>
      </c>
      <c r="J426" s="21">
        <f t="shared" ref="J426:V426" ca="1" si="75">J423+J341</f>
        <v>0</v>
      </c>
      <c r="K426" s="21">
        <f t="shared" ca="1" si="75"/>
        <v>0</v>
      </c>
      <c r="L426" s="21">
        <f t="shared" ca="1" si="75"/>
        <v>0</v>
      </c>
      <c r="M426" s="21">
        <f t="shared" ca="1" si="75"/>
        <v>0</v>
      </c>
      <c r="N426" s="21">
        <f t="shared" ca="1" si="75"/>
        <v>0</v>
      </c>
      <c r="O426" s="21">
        <f t="shared" ca="1" si="75"/>
        <v>0</v>
      </c>
      <c r="P426" s="21">
        <f t="shared" ca="1" si="75"/>
        <v>0</v>
      </c>
      <c r="Q426" s="21">
        <f t="shared" ca="1" si="75"/>
        <v>0</v>
      </c>
      <c r="R426" s="21">
        <f t="shared" ca="1" si="75"/>
        <v>0</v>
      </c>
      <c r="S426" s="21">
        <f t="shared" ca="1" si="75"/>
        <v>0</v>
      </c>
      <c r="T426" s="21">
        <f t="shared" ca="1" si="75"/>
        <v>0</v>
      </c>
      <c r="U426" s="21">
        <f t="shared" ca="1" si="75"/>
        <v>0</v>
      </c>
      <c r="V426" s="21">
        <f t="shared" ca="1" si="75"/>
        <v>0</v>
      </c>
      <c r="W426" s="1"/>
      <c r="X426" s="1"/>
      <c r="Y426" s="1"/>
      <c r="Z426" s="1"/>
    </row>
    <row r="427" spans="1:26" ht="14.25" customHeight="1" x14ac:dyDescent="0.45">
      <c r="A427" s="1"/>
      <c r="C427" s="90"/>
      <c r="D427" s="91"/>
      <c r="E427" s="91"/>
      <c r="F427" s="91"/>
      <c r="G427" s="91"/>
      <c r="H427" s="92"/>
      <c r="I427" s="16" t="s">
        <v>216</v>
      </c>
      <c r="J427" s="21">
        <f t="shared" ref="J427:V427" si="76">J342+J424</f>
        <v>0</v>
      </c>
      <c r="K427" s="21">
        <f t="shared" si="76"/>
        <v>0</v>
      </c>
      <c r="L427" s="21">
        <f t="shared" si="76"/>
        <v>0</v>
      </c>
      <c r="M427" s="21">
        <f t="shared" si="76"/>
        <v>0</v>
      </c>
      <c r="N427" s="21">
        <f t="shared" si="76"/>
        <v>0</v>
      </c>
      <c r="O427" s="21">
        <f t="shared" si="76"/>
        <v>0</v>
      </c>
      <c r="P427" s="21">
        <f t="shared" si="76"/>
        <v>0</v>
      </c>
      <c r="Q427" s="21">
        <f t="shared" si="76"/>
        <v>0</v>
      </c>
      <c r="R427" s="21">
        <f t="shared" si="76"/>
        <v>0</v>
      </c>
      <c r="S427" s="21">
        <f t="shared" si="76"/>
        <v>0</v>
      </c>
      <c r="T427" s="21">
        <f t="shared" si="76"/>
        <v>0</v>
      </c>
      <c r="U427" s="21">
        <f t="shared" si="76"/>
        <v>0</v>
      </c>
      <c r="V427" s="21">
        <f t="shared" si="76"/>
        <v>0</v>
      </c>
      <c r="W427" s="1"/>
      <c r="X427" s="1"/>
      <c r="Y427" s="1"/>
      <c r="Z427" s="1"/>
    </row>
    <row r="428" spans="1:26" ht="14.25" customHeight="1" x14ac:dyDescent="0.45">
      <c r="A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"/>
      <c r="X428" s="1"/>
      <c r="Y428" s="1"/>
      <c r="Z428" s="1"/>
    </row>
    <row r="429" spans="1:26" ht="14.25" customHeight="1" x14ac:dyDescent="0.55000000000000004">
      <c r="A429" s="4">
        <v>3</v>
      </c>
      <c r="B429" s="5"/>
      <c r="C429" s="4" t="s">
        <v>267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"/>
      <c r="X429" s="1"/>
      <c r="Y429" s="1"/>
      <c r="Z429" s="1"/>
    </row>
    <row r="430" spans="1:26" ht="14.25" customHeight="1" x14ac:dyDescent="0.45">
      <c r="A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"/>
      <c r="X430" s="1"/>
      <c r="Y430" s="1"/>
      <c r="Z430" s="1"/>
    </row>
    <row r="431" spans="1:26" ht="14.25" customHeight="1" x14ac:dyDescent="0.45">
      <c r="A431" s="1"/>
      <c r="C431" s="76" t="s">
        <v>8</v>
      </c>
      <c r="D431" s="89" t="s">
        <v>9</v>
      </c>
      <c r="E431" s="81"/>
      <c r="F431" s="81"/>
      <c r="G431" s="81"/>
      <c r="H431" s="82"/>
      <c r="I431" s="79" t="s">
        <v>10</v>
      </c>
      <c r="J431" s="80">
        <f>$H$2</f>
        <v>2026</v>
      </c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2"/>
      <c r="W431" s="1"/>
      <c r="X431" s="1"/>
      <c r="Y431" s="1"/>
      <c r="Z431" s="1"/>
    </row>
    <row r="432" spans="1:26" ht="14.25" customHeight="1" x14ac:dyDescent="0.45">
      <c r="A432" s="1"/>
      <c r="C432" s="77"/>
      <c r="D432" s="83"/>
      <c r="E432" s="84"/>
      <c r="F432" s="84"/>
      <c r="G432" s="84"/>
      <c r="H432" s="85"/>
      <c r="I432" s="77"/>
      <c r="J432" s="83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5"/>
      <c r="W432" s="1"/>
      <c r="X432" s="1"/>
      <c r="Y432" s="1"/>
      <c r="Z432" s="1"/>
    </row>
    <row r="433" spans="1:26" ht="14.25" customHeight="1" x14ac:dyDescent="0.45">
      <c r="A433" s="1"/>
      <c r="C433" s="78"/>
      <c r="D433" s="90"/>
      <c r="E433" s="91"/>
      <c r="F433" s="91"/>
      <c r="G433" s="91"/>
      <c r="H433" s="92"/>
      <c r="I433" s="78"/>
      <c r="J433" s="6" t="s">
        <v>11</v>
      </c>
      <c r="K433" s="6" t="s">
        <v>12</v>
      </c>
      <c r="L433" s="6" t="s">
        <v>13</v>
      </c>
      <c r="M433" s="6" t="s">
        <v>14</v>
      </c>
      <c r="N433" s="6" t="s">
        <v>15</v>
      </c>
      <c r="O433" s="6" t="s">
        <v>16</v>
      </c>
      <c r="P433" s="6" t="s">
        <v>17</v>
      </c>
      <c r="Q433" s="6" t="s">
        <v>18</v>
      </c>
      <c r="R433" s="6" t="s">
        <v>19</v>
      </c>
      <c r="S433" s="6" t="s">
        <v>20</v>
      </c>
      <c r="T433" s="6" t="s">
        <v>21</v>
      </c>
      <c r="U433" s="6" t="s">
        <v>22</v>
      </c>
      <c r="V433" s="6" t="s">
        <v>23</v>
      </c>
      <c r="W433" s="1"/>
      <c r="X433" s="1"/>
      <c r="Y433" s="1"/>
      <c r="Z433" s="1"/>
    </row>
    <row r="434" spans="1:26" ht="14.25" customHeight="1" x14ac:dyDescent="0.45">
      <c r="A434" s="1"/>
      <c r="C434" s="6">
        <v>1</v>
      </c>
      <c r="D434" s="93">
        <v>2</v>
      </c>
      <c r="E434" s="94"/>
      <c r="F434" s="94"/>
      <c r="G434" s="94"/>
      <c r="H434" s="95"/>
      <c r="I434" s="7">
        <v>3</v>
      </c>
      <c r="J434" s="86">
        <v>4</v>
      </c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8"/>
      <c r="V434" s="8">
        <v>5</v>
      </c>
      <c r="W434" s="1"/>
      <c r="X434" s="1"/>
      <c r="Y434" s="1"/>
      <c r="Z434" s="1"/>
    </row>
    <row r="435" spans="1:26" ht="14.25" customHeight="1" x14ac:dyDescent="0.45">
      <c r="A435" s="1"/>
      <c r="C435" s="9"/>
      <c r="D435" s="17"/>
      <c r="E435" s="63"/>
      <c r="F435" s="63"/>
      <c r="G435" s="63"/>
      <c r="H435" s="64"/>
      <c r="I435" s="17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"/>
      <c r="X435" s="1"/>
      <c r="Y435" s="1"/>
      <c r="Z435" s="1"/>
    </row>
    <row r="436" spans="1:26" ht="14.25" customHeight="1" x14ac:dyDescent="0.45">
      <c r="A436" s="1"/>
      <c r="C436" s="33">
        <v>1</v>
      </c>
      <c r="D436" s="96" t="s">
        <v>156</v>
      </c>
      <c r="E436" s="94"/>
      <c r="F436" s="94"/>
      <c r="G436" s="94"/>
      <c r="H436" s="95"/>
      <c r="I436" s="13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"/>
      <c r="X436" s="1"/>
      <c r="Y436" s="1"/>
      <c r="Z436" s="1"/>
    </row>
    <row r="437" spans="1:26" ht="14.25" customHeight="1" x14ac:dyDescent="0.45">
      <c r="A437" s="1"/>
      <c r="C437" s="15"/>
      <c r="D437" s="15">
        <v>1</v>
      </c>
      <c r="E437" s="96" t="s">
        <v>157</v>
      </c>
      <c r="F437" s="94"/>
      <c r="G437" s="94"/>
      <c r="H437" s="95"/>
      <c r="I437" s="13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"/>
      <c r="X437" s="1"/>
      <c r="Y437" s="1"/>
      <c r="Z437" s="1"/>
    </row>
    <row r="438" spans="1:26" ht="14.25" customHeight="1" x14ac:dyDescent="0.45">
      <c r="A438" s="1"/>
      <c r="B438" s="1" t="s">
        <v>268</v>
      </c>
      <c r="C438" s="15"/>
      <c r="D438" s="15"/>
      <c r="E438" s="15">
        <v>1</v>
      </c>
      <c r="F438" s="96" t="s">
        <v>28</v>
      </c>
      <c r="G438" s="94"/>
      <c r="H438" s="95"/>
      <c r="I438" s="16" t="s">
        <v>269</v>
      </c>
      <c r="J438" s="19">
        <v>30154</v>
      </c>
      <c r="K438" s="19">
        <v>77246.27</v>
      </c>
      <c r="L438" s="19">
        <v>50277</v>
      </c>
      <c r="M438" s="19">
        <v>129309</v>
      </c>
      <c r="N438" s="20">
        <v>80748.83</v>
      </c>
      <c r="O438" s="19"/>
      <c r="P438" s="19"/>
      <c r="Q438" s="19"/>
      <c r="R438" s="19"/>
      <c r="S438" s="19"/>
      <c r="T438" s="19"/>
      <c r="U438" s="19"/>
      <c r="V438" s="21">
        <f t="shared" ref="V438:V448" si="77">SUM(J438:U438)</f>
        <v>367735.10000000003</v>
      </c>
      <c r="W438" s="1"/>
      <c r="X438" s="1"/>
      <c r="Y438" s="1"/>
      <c r="Z438" s="1"/>
    </row>
    <row r="439" spans="1:26" ht="14.25" customHeight="1" x14ac:dyDescent="0.45">
      <c r="A439" s="1"/>
      <c r="B439" s="1" t="s">
        <v>268</v>
      </c>
      <c r="C439" s="15"/>
      <c r="D439" s="15"/>
      <c r="E439" s="15"/>
      <c r="F439" s="96"/>
      <c r="G439" s="94"/>
      <c r="H439" s="95"/>
      <c r="I439" s="16" t="s">
        <v>270</v>
      </c>
      <c r="J439" s="19">
        <v>0</v>
      </c>
      <c r="K439" s="19">
        <v>7809</v>
      </c>
      <c r="L439" s="19">
        <v>27000</v>
      </c>
      <c r="M439" s="19">
        <v>0</v>
      </c>
      <c r="N439" s="20">
        <v>0</v>
      </c>
      <c r="O439" s="19"/>
      <c r="P439" s="19"/>
      <c r="Q439" s="19"/>
      <c r="R439" s="19"/>
      <c r="S439" s="19"/>
      <c r="T439" s="19"/>
      <c r="U439" s="19"/>
      <c r="V439" s="21">
        <f t="shared" si="77"/>
        <v>34809</v>
      </c>
      <c r="W439" s="1"/>
      <c r="X439" s="1"/>
      <c r="Y439" s="1"/>
      <c r="Z439" s="1"/>
    </row>
    <row r="440" spans="1:26" ht="14.25" customHeight="1" x14ac:dyDescent="0.45">
      <c r="A440" s="1"/>
      <c r="B440" s="1" t="s">
        <v>271</v>
      </c>
      <c r="C440" s="15"/>
      <c r="D440" s="15"/>
      <c r="E440" s="15">
        <v>2</v>
      </c>
      <c r="F440" s="96" t="s">
        <v>272</v>
      </c>
      <c r="G440" s="94"/>
      <c r="H440" s="95"/>
      <c r="I440" s="16" t="s">
        <v>269</v>
      </c>
      <c r="J440" s="19">
        <v>0</v>
      </c>
      <c r="K440" s="19">
        <v>0</v>
      </c>
      <c r="L440" s="19">
        <v>0</v>
      </c>
      <c r="M440" s="19">
        <v>0</v>
      </c>
      <c r="N440" s="20">
        <v>0</v>
      </c>
      <c r="O440" s="19"/>
      <c r="P440" s="19"/>
      <c r="Q440" s="19"/>
      <c r="R440" s="19"/>
      <c r="S440" s="19"/>
      <c r="T440" s="19"/>
      <c r="U440" s="19"/>
      <c r="V440" s="21">
        <f t="shared" si="77"/>
        <v>0</v>
      </c>
      <c r="W440" s="1"/>
      <c r="X440" s="1"/>
      <c r="Y440" s="1"/>
      <c r="Z440" s="1"/>
    </row>
    <row r="441" spans="1:26" ht="14.25" customHeight="1" x14ac:dyDescent="0.45">
      <c r="A441" s="1"/>
      <c r="B441" s="1" t="s">
        <v>273</v>
      </c>
      <c r="C441" s="15"/>
      <c r="D441" s="15"/>
      <c r="E441" s="15">
        <v>3</v>
      </c>
      <c r="F441" s="96" t="s">
        <v>274</v>
      </c>
      <c r="G441" s="94"/>
      <c r="H441" s="95"/>
      <c r="I441" s="16" t="s">
        <v>269</v>
      </c>
      <c r="J441" s="19">
        <v>17248</v>
      </c>
      <c r="K441" s="19">
        <v>5369</v>
      </c>
      <c r="L441" s="19">
        <v>16040</v>
      </c>
      <c r="M441" s="19">
        <v>16424</v>
      </c>
      <c r="N441" s="20">
        <v>21428</v>
      </c>
      <c r="O441" s="19"/>
      <c r="P441" s="19"/>
      <c r="Q441" s="19"/>
      <c r="R441" s="19"/>
      <c r="S441" s="19"/>
      <c r="T441" s="19"/>
      <c r="U441" s="19"/>
      <c r="V441" s="21">
        <f t="shared" si="77"/>
        <v>76509</v>
      </c>
      <c r="W441" s="1"/>
      <c r="X441" s="1"/>
      <c r="Y441" s="1"/>
      <c r="Z441" s="1"/>
    </row>
    <row r="442" spans="1:26" ht="14.25" customHeight="1" x14ac:dyDescent="0.45">
      <c r="A442" s="1"/>
      <c r="B442" s="1" t="s">
        <v>275</v>
      </c>
      <c r="C442" s="15"/>
      <c r="D442" s="15"/>
      <c r="E442" s="15">
        <v>4</v>
      </c>
      <c r="F442" s="96" t="s">
        <v>38</v>
      </c>
      <c r="G442" s="94"/>
      <c r="H442" s="95"/>
      <c r="I442" s="16" t="s">
        <v>269</v>
      </c>
      <c r="J442" s="19">
        <v>54407</v>
      </c>
      <c r="K442" s="19">
        <v>209818</v>
      </c>
      <c r="L442" s="19">
        <v>130312</v>
      </c>
      <c r="M442" s="19">
        <v>57093</v>
      </c>
      <c r="N442" s="66">
        <v>160728</v>
      </c>
      <c r="O442" s="19"/>
      <c r="P442" s="19"/>
      <c r="Q442" s="19"/>
      <c r="R442" s="19"/>
      <c r="S442" s="19"/>
      <c r="T442" s="19"/>
      <c r="U442" s="19"/>
      <c r="V442" s="21">
        <f t="shared" si="77"/>
        <v>612358</v>
      </c>
      <c r="W442" s="1"/>
      <c r="X442" s="1"/>
      <c r="Y442" s="1"/>
      <c r="Z442" s="1"/>
    </row>
    <row r="443" spans="1:26" ht="14.25" customHeight="1" x14ac:dyDescent="0.45">
      <c r="A443" s="1"/>
      <c r="B443" s="1" t="s">
        <v>276</v>
      </c>
      <c r="C443" s="15"/>
      <c r="D443" s="15"/>
      <c r="E443" s="15">
        <v>5</v>
      </c>
      <c r="F443" s="96" t="s">
        <v>34</v>
      </c>
      <c r="G443" s="94"/>
      <c r="H443" s="95"/>
      <c r="I443" s="16" t="s">
        <v>269</v>
      </c>
      <c r="J443" s="29"/>
      <c r="K443" s="29"/>
      <c r="L443" s="29"/>
      <c r="M443" s="29"/>
      <c r="N443" s="67"/>
      <c r="O443" s="29"/>
      <c r="P443" s="29"/>
      <c r="Q443" s="29"/>
      <c r="R443" s="29"/>
      <c r="S443" s="29"/>
      <c r="T443" s="29"/>
      <c r="U443" s="29"/>
      <c r="V443" s="21">
        <f t="shared" si="77"/>
        <v>0</v>
      </c>
      <c r="W443" s="1"/>
      <c r="X443" s="1"/>
      <c r="Y443" s="1"/>
      <c r="Z443" s="1"/>
    </row>
    <row r="444" spans="1:26" ht="14.25" customHeight="1" x14ac:dyDescent="0.45">
      <c r="A444" s="1"/>
      <c r="B444" s="1" t="s">
        <v>276</v>
      </c>
      <c r="C444" s="15"/>
      <c r="D444" s="15"/>
      <c r="E444" s="15"/>
      <c r="F444" s="16"/>
      <c r="G444" s="42"/>
      <c r="H444" s="43"/>
      <c r="I444" s="16" t="s">
        <v>277</v>
      </c>
      <c r="J444" s="29"/>
      <c r="K444" s="29"/>
      <c r="L444" s="29"/>
      <c r="M444" s="29"/>
      <c r="N444" s="67"/>
      <c r="O444" s="29"/>
      <c r="P444" s="29"/>
      <c r="Q444" s="29"/>
      <c r="R444" s="29"/>
      <c r="S444" s="29"/>
      <c r="T444" s="29"/>
      <c r="U444" s="29"/>
      <c r="V444" s="21">
        <f t="shared" si="77"/>
        <v>0</v>
      </c>
      <c r="W444" s="1"/>
      <c r="X444" s="1"/>
      <c r="Y444" s="1"/>
      <c r="Z444" s="1"/>
    </row>
    <row r="445" spans="1:26" ht="14.25" customHeight="1" x14ac:dyDescent="0.45">
      <c r="A445" s="1"/>
      <c r="B445" s="1" t="s">
        <v>278</v>
      </c>
      <c r="C445" s="15"/>
      <c r="D445" s="15"/>
      <c r="E445" s="15">
        <v>6</v>
      </c>
      <c r="F445" s="96" t="s">
        <v>279</v>
      </c>
      <c r="G445" s="94"/>
      <c r="H445" s="95"/>
      <c r="I445" s="16" t="s">
        <v>269</v>
      </c>
      <c r="J445" s="29"/>
      <c r="K445" s="29"/>
      <c r="L445" s="29"/>
      <c r="M445" s="29"/>
      <c r="N445" s="67"/>
      <c r="O445" s="29"/>
      <c r="P445" s="29"/>
      <c r="Q445" s="29"/>
      <c r="R445" s="29"/>
      <c r="S445" s="29"/>
      <c r="T445" s="29"/>
      <c r="U445" s="29"/>
      <c r="V445" s="21">
        <f t="shared" si="77"/>
        <v>0</v>
      </c>
      <c r="W445" s="1"/>
      <c r="X445" s="1"/>
      <c r="Y445" s="1"/>
      <c r="Z445" s="1"/>
    </row>
    <row r="446" spans="1:26" ht="14.25" customHeight="1" x14ac:dyDescent="0.45">
      <c r="A446" s="1"/>
      <c r="B446" s="1" t="s">
        <v>278</v>
      </c>
      <c r="C446" s="15"/>
      <c r="D446" s="15"/>
      <c r="E446" s="15"/>
      <c r="F446" s="96"/>
      <c r="G446" s="94"/>
      <c r="H446" s="95"/>
      <c r="I446" s="16" t="s">
        <v>178</v>
      </c>
      <c r="J446" s="29"/>
      <c r="K446" s="29"/>
      <c r="L446" s="29"/>
      <c r="M446" s="29"/>
      <c r="N446" s="67"/>
      <c r="O446" s="29"/>
      <c r="P446" s="29"/>
      <c r="Q446" s="29"/>
      <c r="R446" s="29"/>
      <c r="S446" s="29"/>
      <c r="T446" s="29"/>
      <c r="U446" s="29"/>
      <c r="V446" s="21">
        <f t="shared" si="77"/>
        <v>0</v>
      </c>
      <c r="W446" s="1"/>
      <c r="X446" s="1"/>
      <c r="Y446" s="1"/>
      <c r="Z446" s="1"/>
    </row>
    <row r="447" spans="1:26" ht="14.25" customHeight="1" x14ac:dyDescent="0.45">
      <c r="A447" s="1"/>
      <c r="B447" s="1" t="s">
        <v>280</v>
      </c>
      <c r="C447" s="15"/>
      <c r="D447" s="15"/>
      <c r="E447" s="15">
        <v>7</v>
      </c>
      <c r="F447" s="96" t="s">
        <v>44</v>
      </c>
      <c r="G447" s="94"/>
      <c r="H447" s="95"/>
      <c r="I447" s="16" t="s">
        <v>269</v>
      </c>
      <c r="J447" s="29"/>
      <c r="K447" s="29"/>
      <c r="L447" s="29"/>
      <c r="M447" s="29"/>
      <c r="N447" s="67"/>
      <c r="O447" s="29"/>
      <c r="P447" s="29"/>
      <c r="Q447" s="29"/>
      <c r="R447" s="29"/>
      <c r="S447" s="29"/>
      <c r="T447" s="29"/>
      <c r="U447" s="29"/>
      <c r="V447" s="21">
        <f t="shared" si="77"/>
        <v>0</v>
      </c>
      <c r="W447" s="1"/>
      <c r="X447" s="1"/>
      <c r="Y447" s="1"/>
      <c r="Z447" s="1"/>
    </row>
    <row r="448" spans="1:26" ht="14.25" customHeight="1" x14ac:dyDescent="0.45">
      <c r="A448" s="1"/>
      <c r="B448" s="1" t="s">
        <v>280</v>
      </c>
      <c r="C448" s="15"/>
      <c r="D448" s="15"/>
      <c r="E448" s="15"/>
      <c r="F448" s="102"/>
      <c r="G448" s="94"/>
      <c r="H448" s="95"/>
      <c r="I448" s="16" t="s">
        <v>281</v>
      </c>
      <c r="J448" s="29"/>
      <c r="K448" s="29"/>
      <c r="L448" s="29"/>
      <c r="M448" s="29"/>
      <c r="N448" s="67"/>
      <c r="O448" s="29"/>
      <c r="P448" s="29"/>
      <c r="Q448" s="29"/>
      <c r="R448" s="29"/>
      <c r="S448" s="29"/>
      <c r="T448" s="29"/>
      <c r="U448" s="29"/>
      <c r="V448" s="21">
        <f t="shared" si="77"/>
        <v>0</v>
      </c>
      <c r="W448" s="1"/>
      <c r="X448" s="1"/>
      <c r="Y448" s="1"/>
      <c r="Z448" s="1"/>
    </row>
    <row r="449" spans="1:26" ht="14.25" customHeight="1" x14ac:dyDescent="0.45">
      <c r="A449" s="1"/>
      <c r="C449" s="15"/>
      <c r="D449" s="15"/>
      <c r="E449" s="57"/>
      <c r="F449" s="68"/>
      <c r="G449" s="68"/>
      <c r="H449" s="68"/>
      <c r="I449" s="69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"/>
      <c r="X449" s="1"/>
      <c r="Y449" s="1"/>
      <c r="Z449" s="1"/>
    </row>
    <row r="450" spans="1:26" ht="14.25" customHeight="1" x14ac:dyDescent="0.45">
      <c r="A450" s="1"/>
      <c r="C450" s="15"/>
      <c r="D450" s="15">
        <v>2</v>
      </c>
      <c r="E450" s="96" t="s">
        <v>183</v>
      </c>
      <c r="F450" s="94"/>
      <c r="G450" s="94"/>
      <c r="H450" s="95"/>
      <c r="I450" s="13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" t="s">
        <v>282</v>
      </c>
      <c r="X450" s="1"/>
      <c r="Y450" s="1"/>
      <c r="Z450" s="1"/>
    </row>
    <row r="451" spans="1:26" ht="14.25" customHeight="1" x14ac:dyDescent="0.45">
      <c r="A451" s="1"/>
      <c r="B451" s="1" t="s">
        <v>283</v>
      </c>
      <c r="C451" s="15"/>
      <c r="D451" s="15"/>
      <c r="E451" s="15">
        <v>1</v>
      </c>
      <c r="F451" s="96" t="s">
        <v>28</v>
      </c>
      <c r="G451" s="94"/>
      <c r="H451" s="95"/>
      <c r="I451" s="16" t="s">
        <v>269</v>
      </c>
      <c r="J451" s="19"/>
      <c r="K451" s="19">
        <v>0</v>
      </c>
      <c r="L451" s="19">
        <v>0</v>
      </c>
      <c r="M451" s="29"/>
      <c r="N451" s="20">
        <v>2365</v>
      </c>
      <c r="O451" s="19"/>
      <c r="P451" s="19"/>
      <c r="Q451" s="19"/>
      <c r="R451" s="19"/>
      <c r="S451" s="19"/>
      <c r="T451" s="19"/>
      <c r="U451" s="19"/>
      <c r="V451" s="21">
        <f t="shared" ref="V451:V461" si="78">SUM(J451:U451)</f>
        <v>2365</v>
      </c>
      <c r="W451" s="1"/>
      <c r="X451" s="1"/>
      <c r="Y451" s="1"/>
      <c r="Z451" s="1"/>
    </row>
    <row r="452" spans="1:26" ht="14.25" customHeight="1" x14ac:dyDescent="0.45">
      <c r="A452" s="1"/>
      <c r="B452" s="1" t="s">
        <v>283</v>
      </c>
      <c r="C452" s="15"/>
      <c r="D452" s="15"/>
      <c r="E452" s="15"/>
      <c r="F452" s="96"/>
      <c r="G452" s="94"/>
      <c r="H452" s="95"/>
      <c r="I452" s="16" t="s">
        <v>270</v>
      </c>
      <c r="J452" s="29">
        <v>61865</v>
      </c>
      <c r="K452" s="19">
        <v>14554</v>
      </c>
      <c r="L452" s="19">
        <v>61134</v>
      </c>
      <c r="M452" s="19"/>
      <c r="N452" s="20">
        <v>14772</v>
      </c>
      <c r="O452" s="19"/>
      <c r="P452" s="19"/>
      <c r="Q452" s="19"/>
      <c r="R452" s="19"/>
      <c r="S452" s="19"/>
      <c r="T452" s="19"/>
      <c r="U452" s="19"/>
      <c r="V452" s="21">
        <f t="shared" si="78"/>
        <v>152325</v>
      </c>
      <c r="W452" s="1"/>
      <c r="X452" s="1"/>
      <c r="Y452" s="1"/>
      <c r="Z452" s="1"/>
    </row>
    <row r="453" spans="1:26" ht="14.25" customHeight="1" x14ac:dyDescent="0.45">
      <c r="A453" s="1"/>
      <c r="B453" s="1" t="s">
        <v>284</v>
      </c>
      <c r="C453" s="15"/>
      <c r="D453" s="15"/>
      <c r="E453" s="15">
        <v>2</v>
      </c>
      <c r="F453" s="96" t="s">
        <v>272</v>
      </c>
      <c r="G453" s="94"/>
      <c r="H453" s="95"/>
      <c r="I453" s="16" t="s">
        <v>269</v>
      </c>
      <c r="J453" s="29"/>
      <c r="K453" s="19">
        <v>0</v>
      </c>
      <c r="L453" s="19">
        <v>0</v>
      </c>
      <c r="M453" s="27"/>
      <c r="N453" s="20">
        <v>0</v>
      </c>
      <c r="O453" s="19"/>
      <c r="P453" s="19"/>
      <c r="Q453" s="19"/>
      <c r="R453" s="19"/>
      <c r="S453" s="29"/>
      <c r="T453" s="19"/>
      <c r="U453" s="19"/>
      <c r="V453" s="21">
        <f t="shared" si="78"/>
        <v>0</v>
      </c>
      <c r="W453" s="1"/>
      <c r="X453" s="1"/>
      <c r="Y453" s="1"/>
      <c r="Z453" s="1"/>
    </row>
    <row r="454" spans="1:26" ht="14.25" customHeight="1" x14ac:dyDescent="0.45">
      <c r="A454" s="1"/>
      <c r="B454" s="1" t="s">
        <v>285</v>
      </c>
      <c r="C454" s="15"/>
      <c r="D454" s="15"/>
      <c r="E454" s="15">
        <v>3</v>
      </c>
      <c r="F454" s="96" t="s">
        <v>274</v>
      </c>
      <c r="G454" s="94"/>
      <c r="H454" s="95"/>
      <c r="I454" s="16" t="s">
        <v>269</v>
      </c>
      <c r="J454" s="29"/>
      <c r="K454" s="19">
        <v>0</v>
      </c>
      <c r="L454" s="19">
        <v>0</v>
      </c>
      <c r="M454" s="27"/>
      <c r="N454" s="20">
        <v>0</v>
      </c>
      <c r="O454" s="19"/>
      <c r="P454" s="19"/>
      <c r="Q454" s="19"/>
      <c r="R454" s="19"/>
      <c r="S454" s="19"/>
      <c r="T454" s="19"/>
      <c r="U454" s="19"/>
      <c r="V454" s="21">
        <f t="shared" si="78"/>
        <v>0</v>
      </c>
      <c r="W454" s="1"/>
      <c r="X454" s="1"/>
      <c r="Y454" s="1"/>
      <c r="Z454" s="1"/>
    </row>
    <row r="455" spans="1:26" ht="14.25" customHeight="1" x14ac:dyDescent="0.45">
      <c r="A455" s="1"/>
      <c r="B455" s="1" t="s">
        <v>286</v>
      </c>
      <c r="C455" s="15"/>
      <c r="D455" s="15"/>
      <c r="E455" s="15">
        <v>4</v>
      </c>
      <c r="F455" s="96" t="s">
        <v>38</v>
      </c>
      <c r="G455" s="94"/>
      <c r="H455" s="95"/>
      <c r="I455" s="16" t="s">
        <v>269</v>
      </c>
      <c r="J455" s="29"/>
      <c r="K455" s="19">
        <v>13300</v>
      </c>
      <c r="L455" s="19">
        <v>0</v>
      </c>
      <c r="M455" s="27"/>
      <c r="N455" s="20">
        <v>0</v>
      </c>
      <c r="O455" s="19"/>
      <c r="P455" s="19"/>
      <c r="Q455" s="19"/>
      <c r="R455" s="19"/>
      <c r="S455" s="19"/>
      <c r="T455" s="19"/>
      <c r="U455" s="19"/>
      <c r="V455" s="21">
        <f t="shared" si="78"/>
        <v>13300</v>
      </c>
      <c r="W455" s="1"/>
      <c r="X455" s="1"/>
      <c r="Y455" s="1"/>
      <c r="Z455" s="1"/>
    </row>
    <row r="456" spans="1:26" ht="14.25" customHeight="1" x14ac:dyDescent="0.45">
      <c r="A456" s="1"/>
      <c r="B456" s="1" t="s">
        <v>287</v>
      </c>
      <c r="C456" s="15"/>
      <c r="D456" s="15"/>
      <c r="E456" s="15">
        <v>5</v>
      </c>
      <c r="F456" s="96" t="s">
        <v>34</v>
      </c>
      <c r="G456" s="94"/>
      <c r="H456" s="95"/>
      <c r="I456" s="16" t="s">
        <v>269</v>
      </c>
      <c r="J456" s="29"/>
      <c r="K456" s="29"/>
      <c r="L456" s="29"/>
      <c r="M456" s="29"/>
      <c r="N456" s="29"/>
      <c r="O456" s="67"/>
      <c r="P456" s="29"/>
      <c r="Q456" s="29"/>
      <c r="R456" s="29"/>
      <c r="S456" s="29"/>
      <c r="T456" s="29"/>
      <c r="U456" s="29"/>
      <c r="V456" s="21">
        <f t="shared" si="78"/>
        <v>0</v>
      </c>
      <c r="W456" s="1"/>
      <c r="X456" s="1"/>
      <c r="Y456" s="1"/>
      <c r="Z456" s="1"/>
    </row>
    <row r="457" spans="1:26" ht="14.25" customHeight="1" x14ac:dyDescent="0.45">
      <c r="A457" s="1"/>
      <c r="B457" s="1" t="s">
        <v>287</v>
      </c>
      <c r="C457" s="15"/>
      <c r="D457" s="15"/>
      <c r="E457" s="15"/>
      <c r="F457" s="16"/>
      <c r="G457" s="42"/>
      <c r="H457" s="43"/>
      <c r="I457" s="16" t="s">
        <v>277</v>
      </c>
      <c r="J457" s="29"/>
      <c r="K457" s="29"/>
      <c r="L457" s="29"/>
      <c r="M457" s="29"/>
      <c r="N457" s="29"/>
      <c r="O457" s="67"/>
      <c r="P457" s="29"/>
      <c r="Q457" s="29"/>
      <c r="R457" s="29"/>
      <c r="S457" s="29"/>
      <c r="T457" s="29"/>
      <c r="U457" s="29"/>
      <c r="V457" s="21">
        <f t="shared" si="78"/>
        <v>0</v>
      </c>
      <c r="W457" s="1"/>
      <c r="X457" s="1"/>
      <c r="Y457" s="1"/>
      <c r="Z457" s="1"/>
    </row>
    <row r="458" spans="1:26" ht="14.25" customHeight="1" x14ac:dyDescent="0.45">
      <c r="A458" s="1"/>
      <c r="B458" s="1" t="s">
        <v>288</v>
      </c>
      <c r="C458" s="15"/>
      <c r="D458" s="15"/>
      <c r="E458" s="15">
        <v>6</v>
      </c>
      <c r="F458" s="96" t="s">
        <v>279</v>
      </c>
      <c r="G458" s="94"/>
      <c r="H458" s="95"/>
      <c r="I458" s="16" t="s">
        <v>269</v>
      </c>
      <c r="J458" s="29"/>
      <c r="K458" s="29"/>
      <c r="L458" s="29"/>
      <c r="M458" s="29"/>
      <c r="N458" s="29"/>
      <c r="O458" s="67"/>
      <c r="P458" s="29"/>
      <c r="Q458" s="29"/>
      <c r="R458" s="29"/>
      <c r="S458" s="29"/>
      <c r="T458" s="29"/>
      <c r="U458" s="29"/>
      <c r="V458" s="21">
        <f t="shared" si="78"/>
        <v>0</v>
      </c>
      <c r="W458" s="1"/>
      <c r="X458" s="1"/>
      <c r="Y458" s="1"/>
      <c r="Z458" s="1"/>
    </row>
    <row r="459" spans="1:26" ht="14.25" customHeight="1" x14ac:dyDescent="0.45">
      <c r="A459" s="1"/>
      <c r="B459" s="1" t="s">
        <v>288</v>
      </c>
      <c r="C459" s="15"/>
      <c r="D459" s="15"/>
      <c r="E459" s="15"/>
      <c r="F459" s="96"/>
      <c r="G459" s="94"/>
      <c r="H459" s="95"/>
      <c r="I459" s="16" t="s">
        <v>178</v>
      </c>
      <c r="J459" s="29"/>
      <c r="K459" s="29"/>
      <c r="L459" s="29"/>
      <c r="M459" s="29"/>
      <c r="N459" s="29"/>
      <c r="O459" s="67"/>
      <c r="P459" s="29"/>
      <c r="Q459" s="29"/>
      <c r="R459" s="29"/>
      <c r="S459" s="29"/>
      <c r="T459" s="29"/>
      <c r="U459" s="29"/>
      <c r="V459" s="21">
        <f t="shared" si="78"/>
        <v>0</v>
      </c>
      <c r="W459" s="1"/>
      <c r="X459" s="1"/>
      <c r="Y459" s="1"/>
      <c r="Z459" s="1"/>
    </row>
    <row r="460" spans="1:26" ht="14.25" customHeight="1" x14ac:dyDescent="0.45">
      <c r="A460" s="1"/>
      <c r="B460" s="1" t="s">
        <v>289</v>
      </c>
      <c r="C460" s="15"/>
      <c r="D460" s="15"/>
      <c r="E460" s="15">
        <v>7</v>
      </c>
      <c r="F460" s="96" t="s">
        <v>44</v>
      </c>
      <c r="G460" s="94"/>
      <c r="H460" s="95"/>
      <c r="I460" s="16" t="s">
        <v>269</v>
      </c>
      <c r="J460" s="29"/>
      <c r="K460" s="29"/>
      <c r="L460" s="29"/>
      <c r="M460" s="29"/>
      <c r="N460" s="29"/>
      <c r="O460" s="67"/>
      <c r="P460" s="29"/>
      <c r="Q460" s="29"/>
      <c r="R460" s="29"/>
      <c r="S460" s="29"/>
      <c r="T460" s="29"/>
      <c r="U460" s="29"/>
      <c r="V460" s="21">
        <f t="shared" si="78"/>
        <v>0</v>
      </c>
      <c r="W460" s="1"/>
      <c r="X460" s="1"/>
      <c r="Y460" s="1"/>
      <c r="Z460" s="1"/>
    </row>
    <row r="461" spans="1:26" ht="14.25" customHeight="1" x14ac:dyDescent="0.45">
      <c r="A461" s="1"/>
      <c r="B461" s="1" t="s">
        <v>289</v>
      </c>
      <c r="C461" s="15"/>
      <c r="D461" s="15"/>
      <c r="E461" s="15"/>
      <c r="F461" s="96"/>
      <c r="G461" s="94"/>
      <c r="H461" s="95"/>
      <c r="I461" s="16" t="s">
        <v>281</v>
      </c>
      <c r="J461" s="29"/>
      <c r="K461" s="29"/>
      <c r="L461" s="29"/>
      <c r="M461" s="29"/>
      <c r="N461" s="29"/>
      <c r="O461" s="67"/>
      <c r="P461" s="29"/>
      <c r="Q461" s="29"/>
      <c r="R461" s="29"/>
      <c r="S461" s="29"/>
      <c r="T461" s="29"/>
      <c r="U461" s="29"/>
      <c r="V461" s="21">
        <f t="shared" si="78"/>
        <v>0</v>
      </c>
      <c r="W461" s="1"/>
      <c r="X461" s="1"/>
      <c r="Y461" s="1"/>
      <c r="Z461" s="1"/>
    </row>
    <row r="462" spans="1:26" ht="14.25" customHeight="1" x14ac:dyDescent="0.45">
      <c r="A462" s="1"/>
      <c r="C462" s="15"/>
      <c r="D462" s="15"/>
      <c r="E462" s="47"/>
      <c r="F462" s="11"/>
      <c r="G462" s="11"/>
      <c r="H462" s="11"/>
      <c r="I462" s="11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"/>
      <c r="X462" s="1"/>
      <c r="Y462" s="1"/>
      <c r="Z462" s="1"/>
    </row>
    <row r="463" spans="1:26" ht="14.25" customHeight="1" x14ac:dyDescent="0.45">
      <c r="A463" s="1"/>
      <c r="C463" s="15"/>
      <c r="D463" s="100" t="s">
        <v>290</v>
      </c>
      <c r="E463" s="81"/>
      <c r="F463" s="81"/>
      <c r="G463" s="81"/>
      <c r="H463" s="82"/>
      <c r="I463" s="16" t="s">
        <v>269</v>
      </c>
      <c r="J463" s="21">
        <f t="shared" ref="J463:V463" ca="1" si="79">(SUMIF($I$438:$V$448,$I463,J$438:J$448))+(SUMIF($I$451:$V$461,$I463,J$451:J$461))</f>
        <v>101809</v>
      </c>
      <c r="K463" s="21">
        <f t="shared" ca="1" si="79"/>
        <v>305733.27</v>
      </c>
      <c r="L463" s="21">
        <f t="shared" ca="1" si="79"/>
        <v>196629</v>
      </c>
      <c r="M463" s="21">
        <f t="shared" ca="1" si="79"/>
        <v>202826</v>
      </c>
      <c r="N463" s="21">
        <f t="shared" ca="1" si="79"/>
        <v>265269.83</v>
      </c>
      <c r="O463" s="21">
        <f t="shared" ca="1" si="79"/>
        <v>0</v>
      </c>
      <c r="P463" s="21">
        <f t="shared" ca="1" si="79"/>
        <v>0</v>
      </c>
      <c r="Q463" s="21">
        <f t="shared" ca="1" si="79"/>
        <v>0</v>
      </c>
      <c r="R463" s="21">
        <f t="shared" ca="1" si="79"/>
        <v>0</v>
      </c>
      <c r="S463" s="21">
        <f t="shared" ca="1" si="79"/>
        <v>0</v>
      </c>
      <c r="T463" s="21">
        <f t="shared" ca="1" si="79"/>
        <v>0</v>
      </c>
      <c r="U463" s="21">
        <f t="shared" ca="1" si="79"/>
        <v>0</v>
      </c>
      <c r="V463" s="21">
        <f t="shared" ca="1" si="79"/>
        <v>1072267.1000000001</v>
      </c>
      <c r="W463" s="1"/>
      <c r="X463" s="1"/>
      <c r="Y463" s="1"/>
      <c r="Z463" s="1"/>
    </row>
    <row r="464" spans="1:26" ht="14.25" customHeight="1" x14ac:dyDescent="0.45">
      <c r="A464" s="1"/>
      <c r="C464" s="15"/>
      <c r="D464" s="83"/>
      <c r="E464" s="84"/>
      <c r="F464" s="84"/>
      <c r="G464" s="84"/>
      <c r="H464" s="85"/>
      <c r="I464" s="16" t="s">
        <v>270</v>
      </c>
      <c r="J464" s="21">
        <f t="shared" ref="J464:V464" ca="1" si="80">(SUMIF($I$438:$V$448,$I464,J$438:J$448))+(SUMIF($I$451:$V$461,$I464,J$451:J$461))</f>
        <v>61865</v>
      </c>
      <c r="K464" s="21">
        <f t="shared" ca="1" si="80"/>
        <v>22363</v>
      </c>
      <c r="L464" s="21">
        <f t="shared" ca="1" si="80"/>
        <v>88134</v>
      </c>
      <c r="M464" s="21">
        <f t="shared" ca="1" si="80"/>
        <v>0</v>
      </c>
      <c r="N464" s="21">
        <f t="shared" ca="1" si="80"/>
        <v>14772</v>
      </c>
      <c r="O464" s="21">
        <f t="shared" ca="1" si="80"/>
        <v>0</v>
      </c>
      <c r="P464" s="21">
        <f t="shared" ca="1" si="80"/>
        <v>0</v>
      </c>
      <c r="Q464" s="21">
        <f t="shared" ca="1" si="80"/>
        <v>0</v>
      </c>
      <c r="R464" s="21">
        <f t="shared" ca="1" si="80"/>
        <v>0</v>
      </c>
      <c r="S464" s="21">
        <f t="shared" ca="1" si="80"/>
        <v>0</v>
      </c>
      <c r="T464" s="21">
        <f t="shared" ca="1" si="80"/>
        <v>0</v>
      </c>
      <c r="U464" s="21">
        <f t="shared" ca="1" si="80"/>
        <v>0</v>
      </c>
      <c r="V464" s="21">
        <f t="shared" ca="1" si="80"/>
        <v>187134</v>
      </c>
      <c r="W464" s="1"/>
      <c r="X464" s="1"/>
      <c r="Y464" s="1"/>
      <c r="Z464" s="1"/>
    </row>
    <row r="465" spans="1:26" ht="14.25" customHeight="1" x14ac:dyDescent="0.45">
      <c r="A465" s="1"/>
      <c r="C465" s="15"/>
      <c r="D465" s="83"/>
      <c r="E465" s="84"/>
      <c r="F465" s="84"/>
      <c r="G465" s="84"/>
      <c r="H465" s="85"/>
      <c r="I465" s="16" t="s">
        <v>277</v>
      </c>
      <c r="J465" s="21">
        <f t="shared" ref="J465:V465" ca="1" si="81">(SUMIF($I$438:$V$448,$I465,J$438:J$448))+(SUMIF($I$451:$V$461,$I465,J$451:J$461))</f>
        <v>0</v>
      </c>
      <c r="K465" s="21">
        <f t="shared" ca="1" si="81"/>
        <v>0</v>
      </c>
      <c r="L465" s="21">
        <f t="shared" ca="1" si="81"/>
        <v>0</v>
      </c>
      <c r="M465" s="21">
        <f t="shared" ca="1" si="81"/>
        <v>0</v>
      </c>
      <c r="N465" s="21">
        <f t="shared" ca="1" si="81"/>
        <v>0</v>
      </c>
      <c r="O465" s="21">
        <f t="shared" ca="1" si="81"/>
        <v>0</v>
      </c>
      <c r="P465" s="21">
        <f t="shared" ca="1" si="81"/>
        <v>0</v>
      </c>
      <c r="Q465" s="21">
        <f t="shared" ca="1" si="81"/>
        <v>0</v>
      </c>
      <c r="R465" s="21">
        <f t="shared" ca="1" si="81"/>
        <v>0</v>
      </c>
      <c r="S465" s="21">
        <f t="shared" ca="1" si="81"/>
        <v>0</v>
      </c>
      <c r="T465" s="21">
        <f t="shared" ca="1" si="81"/>
        <v>0</v>
      </c>
      <c r="U465" s="21">
        <f t="shared" ca="1" si="81"/>
        <v>0</v>
      </c>
      <c r="V465" s="21">
        <f t="shared" ca="1" si="81"/>
        <v>0</v>
      </c>
      <c r="W465" s="1"/>
      <c r="X465" s="1"/>
      <c r="Y465" s="1"/>
      <c r="Z465" s="1"/>
    </row>
    <row r="466" spans="1:26" ht="14.25" customHeight="1" x14ac:dyDescent="0.45">
      <c r="A466" s="1"/>
      <c r="C466" s="15"/>
      <c r="D466" s="83"/>
      <c r="E466" s="84"/>
      <c r="F466" s="84"/>
      <c r="G466" s="84"/>
      <c r="H466" s="85"/>
      <c r="I466" s="16" t="s">
        <v>178</v>
      </c>
      <c r="J466" s="21">
        <f t="shared" ref="J466:V466" ca="1" si="82">(SUMIF($I$438:$V$448,$I466,J$438:J$448))+(SUMIF($I$451:$V$461,$I466,J$451:J$461))</f>
        <v>0</v>
      </c>
      <c r="K466" s="21">
        <f t="shared" ca="1" si="82"/>
        <v>0</v>
      </c>
      <c r="L466" s="21">
        <f t="shared" ca="1" si="82"/>
        <v>0</v>
      </c>
      <c r="M466" s="21">
        <f t="shared" ca="1" si="82"/>
        <v>0</v>
      </c>
      <c r="N466" s="21">
        <f t="shared" ca="1" si="82"/>
        <v>0</v>
      </c>
      <c r="O466" s="21">
        <f t="shared" ca="1" si="82"/>
        <v>0</v>
      </c>
      <c r="P466" s="21">
        <f t="shared" ca="1" si="82"/>
        <v>0</v>
      </c>
      <c r="Q466" s="21">
        <f t="shared" ca="1" si="82"/>
        <v>0</v>
      </c>
      <c r="R466" s="21">
        <f t="shared" ca="1" si="82"/>
        <v>0</v>
      </c>
      <c r="S466" s="21">
        <f t="shared" ca="1" si="82"/>
        <v>0</v>
      </c>
      <c r="T466" s="21">
        <f t="shared" ca="1" si="82"/>
        <v>0</v>
      </c>
      <c r="U466" s="21">
        <f t="shared" ca="1" si="82"/>
        <v>0</v>
      </c>
      <c r="V466" s="21">
        <f t="shared" ca="1" si="82"/>
        <v>0</v>
      </c>
      <c r="W466" s="1"/>
      <c r="X466" s="1"/>
      <c r="Y466" s="1"/>
      <c r="Z466" s="1"/>
    </row>
    <row r="467" spans="1:26" ht="14.25" customHeight="1" x14ac:dyDescent="0.45">
      <c r="A467" s="1"/>
      <c r="C467" s="15"/>
      <c r="D467" s="90"/>
      <c r="E467" s="91"/>
      <c r="F467" s="91"/>
      <c r="G467" s="91"/>
      <c r="H467" s="92"/>
      <c r="I467" s="16" t="s">
        <v>281</v>
      </c>
      <c r="J467" s="21">
        <f t="shared" ref="J467:V467" ca="1" si="83">(SUMIF($I$438:$V$448,$I467,J$438:J$448))+(SUMIF($I$451:$V$461,$I467,J$451:J$461))</f>
        <v>0</v>
      </c>
      <c r="K467" s="21">
        <f t="shared" ca="1" si="83"/>
        <v>0</v>
      </c>
      <c r="L467" s="21">
        <f t="shared" ca="1" si="83"/>
        <v>0</v>
      </c>
      <c r="M467" s="21">
        <f t="shared" ca="1" si="83"/>
        <v>0</v>
      </c>
      <c r="N467" s="21">
        <f t="shared" ca="1" si="83"/>
        <v>0</v>
      </c>
      <c r="O467" s="21">
        <f t="shared" ca="1" si="83"/>
        <v>0</v>
      </c>
      <c r="P467" s="21">
        <f t="shared" ca="1" si="83"/>
        <v>0</v>
      </c>
      <c r="Q467" s="21">
        <f t="shared" ca="1" si="83"/>
        <v>0</v>
      </c>
      <c r="R467" s="21">
        <f t="shared" ca="1" si="83"/>
        <v>0</v>
      </c>
      <c r="S467" s="21">
        <f t="shared" ca="1" si="83"/>
        <v>0</v>
      </c>
      <c r="T467" s="21">
        <f t="shared" ca="1" si="83"/>
        <v>0</v>
      </c>
      <c r="U467" s="21">
        <f t="shared" ca="1" si="83"/>
        <v>0</v>
      </c>
      <c r="V467" s="21">
        <f t="shared" ca="1" si="83"/>
        <v>0</v>
      </c>
      <c r="W467" s="1"/>
      <c r="X467" s="1"/>
      <c r="Y467" s="1"/>
      <c r="Z467" s="1"/>
    </row>
    <row r="468" spans="1:26" ht="14.25" customHeight="1" x14ac:dyDescent="0.45">
      <c r="A468" s="1"/>
      <c r="C468" s="15"/>
      <c r="D468" s="17"/>
      <c r="E468" s="63"/>
      <c r="F468" s="63"/>
      <c r="G468" s="63"/>
      <c r="H468" s="64"/>
      <c r="I468" s="17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"/>
      <c r="X468" s="1"/>
      <c r="Y468" s="1"/>
      <c r="Z468" s="1"/>
    </row>
    <row r="469" spans="1:26" ht="14.25" customHeight="1" x14ac:dyDescent="0.45">
      <c r="A469" s="1"/>
      <c r="C469" s="33">
        <v>2</v>
      </c>
      <c r="D469" s="96" t="s">
        <v>217</v>
      </c>
      <c r="E469" s="94"/>
      <c r="F469" s="94"/>
      <c r="G469" s="94"/>
      <c r="H469" s="95"/>
      <c r="I469" s="13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"/>
      <c r="X469" s="1"/>
      <c r="Y469" s="1"/>
      <c r="Z469" s="1"/>
    </row>
    <row r="470" spans="1:26" ht="14.25" customHeight="1" x14ac:dyDescent="0.45">
      <c r="A470" s="1"/>
      <c r="C470" s="15"/>
      <c r="D470" s="15">
        <v>1</v>
      </c>
      <c r="E470" s="96" t="s">
        <v>218</v>
      </c>
      <c r="F470" s="94"/>
      <c r="G470" s="94"/>
      <c r="H470" s="95"/>
      <c r="I470" s="13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"/>
      <c r="X470" s="1"/>
      <c r="Y470" s="1"/>
      <c r="Z470" s="1"/>
    </row>
    <row r="471" spans="1:26" ht="14.25" customHeight="1" x14ac:dyDescent="0.45">
      <c r="A471" s="1"/>
      <c r="B471" s="1" t="s">
        <v>291</v>
      </c>
      <c r="C471" s="15"/>
      <c r="D471" s="15"/>
      <c r="E471" s="15">
        <v>1</v>
      </c>
      <c r="F471" s="96" t="s">
        <v>28</v>
      </c>
      <c r="G471" s="94"/>
      <c r="H471" s="95"/>
      <c r="I471" s="16" t="s">
        <v>269</v>
      </c>
      <c r="J471" s="19"/>
      <c r="K471" s="19">
        <v>0</v>
      </c>
      <c r="L471" s="19">
        <v>0</v>
      </c>
      <c r="M471" s="19">
        <v>3286</v>
      </c>
      <c r="N471" s="20">
        <v>4160</v>
      </c>
      <c r="O471" s="19"/>
      <c r="P471" s="19"/>
      <c r="Q471" s="19"/>
      <c r="R471" s="19"/>
      <c r="S471" s="19"/>
      <c r="T471" s="19"/>
      <c r="U471" s="19"/>
      <c r="V471" s="21">
        <f t="shared" ref="V471:V481" si="84">SUM(J471:U471)</f>
        <v>7446</v>
      </c>
      <c r="W471" s="1"/>
      <c r="X471" s="1"/>
      <c r="Y471" s="1"/>
      <c r="Z471" s="1"/>
    </row>
    <row r="472" spans="1:26" ht="14.25" customHeight="1" x14ac:dyDescent="0.45">
      <c r="A472" s="1"/>
      <c r="B472" s="1" t="s">
        <v>291</v>
      </c>
      <c r="C472" s="15"/>
      <c r="D472" s="15"/>
      <c r="E472" s="15"/>
      <c r="F472" s="96"/>
      <c r="G472" s="94"/>
      <c r="H472" s="95"/>
      <c r="I472" s="16" t="s">
        <v>270</v>
      </c>
      <c r="J472" s="27"/>
      <c r="K472" s="19">
        <v>939</v>
      </c>
      <c r="L472" s="19">
        <v>0</v>
      </c>
      <c r="M472" s="19">
        <v>0</v>
      </c>
      <c r="N472" s="20">
        <v>0</v>
      </c>
      <c r="O472" s="19"/>
      <c r="P472" s="19"/>
      <c r="Q472" s="19"/>
      <c r="R472" s="19"/>
      <c r="S472" s="19"/>
      <c r="T472" s="19"/>
      <c r="U472" s="19"/>
      <c r="V472" s="21">
        <f t="shared" si="84"/>
        <v>939</v>
      </c>
      <c r="W472" s="1"/>
      <c r="X472" s="1"/>
      <c r="Y472" s="1"/>
      <c r="Z472" s="1"/>
    </row>
    <row r="473" spans="1:26" ht="14.25" customHeight="1" x14ac:dyDescent="0.45">
      <c r="A473" s="1"/>
      <c r="B473" s="1" t="s">
        <v>292</v>
      </c>
      <c r="C473" s="15"/>
      <c r="D473" s="15"/>
      <c r="E473" s="15">
        <v>2</v>
      </c>
      <c r="F473" s="96" t="s">
        <v>272</v>
      </c>
      <c r="G473" s="94"/>
      <c r="H473" s="95"/>
      <c r="I473" s="16" t="s">
        <v>269</v>
      </c>
      <c r="J473" s="30"/>
      <c r="K473" s="19">
        <v>3358</v>
      </c>
      <c r="L473" s="19">
        <v>0</v>
      </c>
      <c r="M473" s="19">
        <v>2076</v>
      </c>
      <c r="N473" s="20">
        <v>0</v>
      </c>
      <c r="O473" s="19"/>
      <c r="P473" s="19"/>
      <c r="Q473" s="19"/>
      <c r="R473" s="19"/>
      <c r="S473" s="19"/>
      <c r="T473" s="19"/>
      <c r="U473" s="19"/>
      <c r="V473" s="21">
        <f t="shared" si="84"/>
        <v>5434</v>
      </c>
      <c r="W473" s="1"/>
      <c r="X473" s="1"/>
      <c r="Y473" s="1"/>
      <c r="Z473" s="1"/>
    </row>
    <row r="474" spans="1:26" ht="14.25" customHeight="1" x14ac:dyDescent="0.45">
      <c r="A474" s="1"/>
      <c r="B474" s="1" t="s">
        <v>293</v>
      </c>
      <c r="C474" s="15"/>
      <c r="D474" s="15"/>
      <c r="E474" s="15">
        <v>3</v>
      </c>
      <c r="F474" s="96" t="s">
        <v>274</v>
      </c>
      <c r="G474" s="94"/>
      <c r="H474" s="95"/>
      <c r="I474" s="16" t="s">
        <v>269</v>
      </c>
      <c r="J474" s="19">
        <v>29105</v>
      </c>
      <c r="K474" s="19">
        <v>21460</v>
      </c>
      <c r="L474" s="19">
        <v>34378</v>
      </c>
      <c r="M474" s="19">
        <v>24415</v>
      </c>
      <c r="N474" s="20">
        <v>24461</v>
      </c>
      <c r="O474" s="19"/>
      <c r="P474" s="19"/>
      <c r="Q474" s="19"/>
      <c r="R474" s="19"/>
      <c r="S474" s="19"/>
      <c r="T474" s="19"/>
      <c r="U474" s="19"/>
      <c r="V474" s="21">
        <f t="shared" si="84"/>
        <v>133819</v>
      </c>
      <c r="W474" s="1"/>
      <c r="X474" s="1"/>
      <c r="Y474" s="1"/>
      <c r="Z474" s="1"/>
    </row>
    <row r="475" spans="1:26" ht="14.25" customHeight="1" x14ac:dyDescent="0.45">
      <c r="A475" s="1"/>
      <c r="B475" s="1" t="s">
        <v>294</v>
      </c>
      <c r="C475" s="15"/>
      <c r="D475" s="15"/>
      <c r="E475" s="15">
        <v>4</v>
      </c>
      <c r="F475" s="96" t="s">
        <v>38</v>
      </c>
      <c r="G475" s="94"/>
      <c r="H475" s="95"/>
      <c r="I475" s="16" t="s">
        <v>269</v>
      </c>
      <c r="J475" s="19">
        <v>64162.8</v>
      </c>
      <c r="K475" s="19">
        <v>39326.480000000003</v>
      </c>
      <c r="L475" s="19">
        <v>40519</v>
      </c>
      <c r="M475" s="19">
        <v>76223.13</v>
      </c>
      <c r="N475" s="20">
        <v>94862</v>
      </c>
      <c r="O475" s="19"/>
      <c r="P475" s="19"/>
      <c r="Q475" s="19"/>
      <c r="R475" s="19"/>
      <c r="S475" s="19"/>
      <c r="T475" s="29"/>
      <c r="U475" s="19"/>
      <c r="V475" s="21">
        <f t="shared" si="84"/>
        <v>315093.41000000003</v>
      </c>
      <c r="W475" s="1"/>
      <c r="X475" s="1"/>
      <c r="Y475" s="1"/>
      <c r="Z475" s="1"/>
    </row>
    <row r="476" spans="1:26" ht="14.25" customHeight="1" x14ac:dyDescent="0.45">
      <c r="A476" s="1"/>
      <c r="B476" s="1" t="s">
        <v>295</v>
      </c>
      <c r="C476" s="15"/>
      <c r="D476" s="15"/>
      <c r="E476" s="15">
        <v>5</v>
      </c>
      <c r="F476" s="96" t="s">
        <v>34</v>
      </c>
      <c r="G476" s="94"/>
      <c r="H476" s="95"/>
      <c r="I476" s="16" t="s">
        <v>269</v>
      </c>
      <c r="J476" s="29"/>
      <c r="K476" s="29"/>
      <c r="L476" s="29"/>
      <c r="M476" s="29"/>
      <c r="N476" s="67"/>
      <c r="O476" s="35"/>
      <c r="P476" s="29"/>
      <c r="Q476" s="29"/>
      <c r="R476" s="29"/>
      <c r="S476" s="29"/>
      <c r="T476" s="29"/>
      <c r="U476" s="29"/>
      <c r="V476" s="21">
        <f t="shared" si="84"/>
        <v>0</v>
      </c>
      <c r="W476" s="1"/>
      <c r="X476" s="1"/>
      <c r="Y476" s="1"/>
      <c r="Z476" s="1"/>
    </row>
    <row r="477" spans="1:26" ht="14.25" customHeight="1" x14ac:dyDescent="0.45">
      <c r="A477" s="1"/>
      <c r="B477" s="1" t="s">
        <v>295</v>
      </c>
      <c r="C477" s="15"/>
      <c r="D477" s="15"/>
      <c r="E477" s="15"/>
      <c r="F477" s="16"/>
      <c r="G477" s="42"/>
      <c r="H477" s="43"/>
      <c r="I477" s="16" t="s">
        <v>277</v>
      </c>
      <c r="J477" s="29"/>
      <c r="K477" s="29"/>
      <c r="L477" s="29"/>
      <c r="M477" s="29"/>
      <c r="N477" s="67"/>
      <c r="O477" s="67"/>
      <c r="P477" s="29"/>
      <c r="Q477" s="29"/>
      <c r="R477" s="29"/>
      <c r="S477" s="29"/>
      <c r="T477" s="29"/>
      <c r="U477" s="29"/>
      <c r="V477" s="21">
        <f t="shared" si="84"/>
        <v>0</v>
      </c>
      <c r="W477" s="1"/>
      <c r="X477" s="1"/>
      <c r="Y477" s="1"/>
      <c r="Z477" s="1"/>
    </row>
    <row r="478" spans="1:26" ht="14.25" customHeight="1" x14ac:dyDescent="0.45">
      <c r="A478" s="1"/>
      <c r="B478" s="1" t="s">
        <v>296</v>
      </c>
      <c r="C478" s="15"/>
      <c r="D478" s="15"/>
      <c r="E478" s="15">
        <v>6</v>
      </c>
      <c r="F478" s="96" t="s">
        <v>279</v>
      </c>
      <c r="G478" s="94"/>
      <c r="H478" s="95"/>
      <c r="I478" s="16" t="s">
        <v>269</v>
      </c>
      <c r="J478" s="29"/>
      <c r="K478" s="29"/>
      <c r="L478" s="29"/>
      <c r="M478" s="29"/>
      <c r="N478" s="67"/>
      <c r="O478" s="67"/>
      <c r="P478" s="29"/>
      <c r="Q478" s="29"/>
      <c r="R478" s="29"/>
      <c r="S478" s="29"/>
      <c r="T478" s="29"/>
      <c r="U478" s="29"/>
      <c r="V478" s="21">
        <f t="shared" si="84"/>
        <v>0</v>
      </c>
      <c r="W478" s="1"/>
      <c r="X478" s="1"/>
      <c r="Y478" s="1"/>
      <c r="Z478" s="1"/>
    </row>
    <row r="479" spans="1:26" ht="14.25" customHeight="1" x14ac:dyDescent="0.45">
      <c r="A479" s="1"/>
      <c r="B479" s="1" t="s">
        <v>296</v>
      </c>
      <c r="C479" s="15"/>
      <c r="D479" s="15"/>
      <c r="E479" s="15"/>
      <c r="F479" s="96"/>
      <c r="G479" s="94"/>
      <c r="H479" s="95"/>
      <c r="I479" s="16" t="s">
        <v>178</v>
      </c>
      <c r="J479" s="29"/>
      <c r="K479" s="29"/>
      <c r="L479" s="29"/>
      <c r="M479" s="29"/>
      <c r="N479" s="67"/>
      <c r="O479" s="67"/>
      <c r="P479" s="29"/>
      <c r="Q479" s="29"/>
      <c r="R479" s="29"/>
      <c r="S479" s="29"/>
      <c r="T479" s="29"/>
      <c r="U479" s="29"/>
      <c r="V479" s="21">
        <f t="shared" si="84"/>
        <v>0</v>
      </c>
      <c r="W479" s="1"/>
      <c r="X479" s="1"/>
      <c r="Y479" s="1"/>
      <c r="Z479" s="1"/>
    </row>
    <row r="480" spans="1:26" ht="14.25" customHeight="1" x14ac:dyDescent="0.45">
      <c r="A480" s="1"/>
      <c r="B480" s="1" t="s">
        <v>297</v>
      </c>
      <c r="C480" s="15"/>
      <c r="D480" s="15"/>
      <c r="E480" s="15">
        <v>7</v>
      </c>
      <c r="F480" s="96" t="s">
        <v>44</v>
      </c>
      <c r="G480" s="94"/>
      <c r="H480" s="95"/>
      <c r="I480" s="16" t="s">
        <v>269</v>
      </c>
      <c r="J480" s="29"/>
      <c r="K480" s="29"/>
      <c r="L480" s="29"/>
      <c r="M480" s="29"/>
      <c r="N480" s="67"/>
      <c r="O480" s="67"/>
      <c r="P480" s="29"/>
      <c r="Q480" s="70"/>
      <c r="R480" s="29"/>
      <c r="S480" s="29"/>
      <c r="T480" s="29"/>
      <c r="U480" s="29"/>
      <c r="V480" s="21">
        <f t="shared" si="84"/>
        <v>0</v>
      </c>
      <c r="W480" s="1"/>
      <c r="X480" s="1"/>
      <c r="Y480" s="1"/>
      <c r="Z480" s="1"/>
    </row>
    <row r="481" spans="1:26" ht="14.25" customHeight="1" x14ac:dyDescent="0.45">
      <c r="A481" s="1"/>
      <c r="B481" s="1" t="s">
        <v>297</v>
      </c>
      <c r="C481" s="15"/>
      <c r="D481" s="15"/>
      <c r="E481" s="15"/>
      <c r="F481" s="102"/>
      <c r="G481" s="94"/>
      <c r="H481" s="95"/>
      <c r="I481" s="16" t="s">
        <v>281</v>
      </c>
      <c r="J481" s="29"/>
      <c r="K481" s="29"/>
      <c r="L481" s="29"/>
      <c r="M481" s="29"/>
      <c r="N481" s="67"/>
      <c r="O481" s="67"/>
      <c r="P481" s="29"/>
      <c r="Q481" s="70"/>
      <c r="R481" s="29"/>
      <c r="S481" s="29"/>
      <c r="T481" s="29"/>
      <c r="U481" s="29"/>
      <c r="V481" s="21">
        <f t="shared" si="84"/>
        <v>0</v>
      </c>
      <c r="W481" s="1"/>
      <c r="X481" s="1"/>
      <c r="Y481" s="1"/>
      <c r="Z481" s="1"/>
    </row>
    <row r="482" spans="1:26" ht="14.25" customHeight="1" x14ac:dyDescent="0.45">
      <c r="A482" s="1"/>
      <c r="C482" s="15"/>
      <c r="D482" s="15"/>
      <c r="E482" s="47"/>
      <c r="F482" s="11"/>
      <c r="G482" s="11"/>
      <c r="H482" s="11"/>
      <c r="I482" s="11"/>
      <c r="J482" s="14"/>
      <c r="K482" s="14"/>
      <c r="L482" s="14"/>
      <c r="M482" s="14"/>
      <c r="N482" s="14"/>
      <c r="O482" s="14"/>
      <c r="P482" s="14"/>
      <c r="Q482" s="71"/>
      <c r="R482" s="14"/>
      <c r="S482" s="14"/>
      <c r="T482" s="14"/>
      <c r="U482" s="14"/>
      <c r="V482" s="14"/>
      <c r="W482" s="1"/>
      <c r="X482" s="1"/>
      <c r="Y482" s="1"/>
      <c r="Z482" s="1"/>
    </row>
    <row r="483" spans="1:26" ht="14.25" customHeight="1" x14ac:dyDescent="0.45">
      <c r="A483" s="1"/>
      <c r="C483" s="15"/>
      <c r="D483" s="15">
        <v>2</v>
      </c>
      <c r="E483" s="96" t="s">
        <v>234</v>
      </c>
      <c r="F483" s="94"/>
      <c r="G483" s="94"/>
      <c r="H483" s="95"/>
      <c r="I483" s="13"/>
      <c r="J483" s="14"/>
      <c r="K483" s="14"/>
      <c r="L483" s="14"/>
      <c r="M483" s="14"/>
      <c r="N483" s="14"/>
      <c r="O483" s="14"/>
      <c r="P483" s="14"/>
      <c r="Q483" s="71"/>
      <c r="R483" s="14"/>
      <c r="S483" s="14"/>
      <c r="T483" s="14"/>
      <c r="U483" s="14"/>
      <c r="V483" s="14"/>
      <c r="W483" s="1"/>
      <c r="X483" s="1"/>
      <c r="Y483" s="1"/>
      <c r="Z483" s="1"/>
    </row>
    <row r="484" spans="1:26" ht="14.25" customHeight="1" x14ac:dyDescent="0.45">
      <c r="A484" s="1"/>
      <c r="B484" s="1" t="s">
        <v>298</v>
      </c>
      <c r="C484" s="15"/>
      <c r="D484" s="15"/>
      <c r="E484" s="15">
        <v>1</v>
      </c>
      <c r="F484" s="96" t="s">
        <v>28</v>
      </c>
      <c r="G484" s="94"/>
      <c r="H484" s="95"/>
      <c r="I484" s="16" t="s">
        <v>269</v>
      </c>
      <c r="J484" s="29">
        <v>1019</v>
      </c>
      <c r="K484" s="19">
        <v>0</v>
      </c>
      <c r="L484" s="19">
        <v>0</v>
      </c>
      <c r="M484" s="19">
        <v>3627</v>
      </c>
      <c r="N484" s="20">
        <v>7090</v>
      </c>
      <c r="O484" s="19"/>
      <c r="P484" s="19"/>
      <c r="Q484" s="19"/>
      <c r="R484" s="19"/>
      <c r="S484" s="19"/>
      <c r="T484" s="19"/>
      <c r="U484" s="19"/>
      <c r="V484" s="21">
        <f t="shared" ref="V484:V494" si="85">SUM(J484:U484)</f>
        <v>11736</v>
      </c>
      <c r="W484" s="1"/>
      <c r="X484" s="1"/>
      <c r="Y484" s="1"/>
      <c r="Z484" s="1"/>
    </row>
    <row r="485" spans="1:26" ht="14.25" customHeight="1" x14ac:dyDescent="0.45">
      <c r="A485" s="1"/>
      <c r="B485" s="1" t="s">
        <v>298</v>
      </c>
      <c r="C485" s="15"/>
      <c r="D485" s="15"/>
      <c r="E485" s="15"/>
      <c r="F485" s="96"/>
      <c r="G485" s="94"/>
      <c r="H485" s="95"/>
      <c r="I485" s="16" t="s">
        <v>270</v>
      </c>
      <c r="J485" s="19">
        <v>911</v>
      </c>
      <c r="K485" s="19">
        <v>374</v>
      </c>
      <c r="L485" s="19">
        <v>672</v>
      </c>
      <c r="M485" s="19">
        <v>1464</v>
      </c>
      <c r="N485" s="20">
        <v>0</v>
      </c>
      <c r="O485" s="19"/>
      <c r="P485" s="19"/>
      <c r="Q485" s="19"/>
      <c r="R485" s="19"/>
      <c r="S485" s="19"/>
      <c r="T485" s="19"/>
      <c r="U485" s="19"/>
      <c r="V485" s="21">
        <f t="shared" si="85"/>
        <v>3421</v>
      </c>
      <c r="W485" s="1"/>
      <c r="X485" s="1"/>
      <c r="Y485" s="1"/>
      <c r="Z485" s="1"/>
    </row>
    <row r="486" spans="1:26" ht="14.25" customHeight="1" x14ac:dyDescent="0.45">
      <c r="A486" s="1"/>
      <c r="B486" s="1" t="s">
        <v>299</v>
      </c>
      <c r="C486" s="15"/>
      <c r="D486" s="15"/>
      <c r="E486" s="15">
        <v>2</v>
      </c>
      <c r="F486" s="96" t="s">
        <v>272</v>
      </c>
      <c r="G486" s="94"/>
      <c r="H486" s="95"/>
      <c r="I486" s="16" t="s">
        <v>269</v>
      </c>
      <c r="J486" s="19">
        <v>1025</v>
      </c>
      <c r="K486" s="19">
        <v>1025</v>
      </c>
      <c r="L486" s="19">
        <v>3751</v>
      </c>
      <c r="M486" s="19">
        <v>1727</v>
      </c>
      <c r="N486" s="20">
        <v>2145</v>
      </c>
      <c r="O486" s="19"/>
      <c r="P486" s="19"/>
      <c r="Q486" s="19"/>
      <c r="R486" s="19"/>
      <c r="S486" s="19"/>
      <c r="T486" s="19"/>
      <c r="U486" s="19"/>
      <c r="V486" s="21">
        <f t="shared" si="85"/>
        <v>9673</v>
      </c>
      <c r="W486" s="1"/>
      <c r="X486" s="1"/>
      <c r="Y486" s="1"/>
      <c r="Z486" s="1"/>
    </row>
    <row r="487" spans="1:26" ht="14.25" customHeight="1" x14ac:dyDescent="0.45">
      <c r="A487" s="1"/>
      <c r="B487" s="1" t="s">
        <v>300</v>
      </c>
      <c r="C487" s="15"/>
      <c r="D487" s="15"/>
      <c r="E487" s="15">
        <v>3</v>
      </c>
      <c r="F487" s="96" t="s">
        <v>274</v>
      </c>
      <c r="G487" s="94"/>
      <c r="H487" s="95"/>
      <c r="I487" s="16" t="s">
        <v>269</v>
      </c>
      <c r="J487" s="19">
        <v>697</v>
      </c>
      <c r="K487" s="19">
        <v>0</v>
      </c>
      <c r="L487" s="19">
        <v>376</v>
      </c>
      <c r="M487" s="19">
        <v>417</v>
      </c>
      <c r="N487" s="20">
        <v>0</v>
      </c>
      <c r="O487" s="19"/>
      <c r="P487" s="19"/>
      <c r="Q487" s="19"/>
      <c r="R487" s="19"/>
      <c r="S487" s="19"/>
      <c r="T487" s="19"/>
      <c r="U487" s="19"/>
      <c r="V487" s="21">
        <f t="shared" si="85"/>
        <v>1490</v>
      </c>
      <c r="W487" s="1"/>
      <c r="X487" s="1"/>
      <c r="Y487" s="1"/>
      <c r="Z487" s="1"/>
    </row>
    <row r="488" spans="1:26" ht="14.25" customHeight="1" x14ac:dyDescent="0.45">
      <c r="A488" s="1"/>
      <c r="B488" s="1" t="s">
        <v>301</v>
      </c>
      <c r="C488" s="15"/>
      <c r="D488" s="15"/>
      <c r="E488" s="15">
        <v>4</v>
      </c>
      <c r="F488" s="96" t="s">
        <v>38</v>
      </c>
      <c r="G488" s="94"/>
      <c r="H488" s="95"/>
      <c r="I488" s="16" t="s">
        <v>269</v>
      </c>
      <c r="J488" s="19">
        <v>35570</v>
      </c>
      <c r="K488" s="19">
        <v>36653</v>
      </c>
      <c r="L488" s="19">
        <v>7193</v>
      </c>
      <c r="M488" s="19">
        <v>15224</v>
      </c>
      <c r="N488" s="20">
        <v>7470</v>
      </c>
      <c r="O488" s="19"/>
      <c r="P488" s="19"/>
      <c r="Q488" s="19"/>
      <c r="R488" s="19"/>
      <c r="S488" s="19"/>
      <c r="T488" s="19"/>
      <c r="U488" s="19"/>
      <c r="V488" s="21">
        <f t="shared" si="85"/>
        <v>102110</v>
      </c>
      <c r="W488" s="1"/>
      <c r="X488" s="1"/>
      <c r="Y488" s="1"/>
      <c r="Z488" s="1"/>
    </row>
    <row r="489" spans="1:26" ht="14.25" customHeight="1" x14ac:dyDescent="0.45">
      <c r="A489" s="1"/>
      <c r="B489" s="1" t="s">
        <v>302</v>
      </c>
      <c r="C489" s="15"/>
      <c r="D489" s="15"/>
      <c r="E489" s="15">
        <v>5</v>
      </c>
      <c r="F489" s="96" t="s">
        <v>34</v>
      </c>
      <c r="G489" s="94"/>
      <c r="H489" s="95"/>
      <c r="I489" s="16" t="s">
        <v>269</v>
      </c>
      <c r="J489" s="29"/>
      <c r="K489" s="29"/>
      <c r="L489" s="29"/>
      <c r="M489" s="29"/>
      <c r="N489" s="67"/>
      <c r="O489" s="67"/>
      <c r="P489" s="29"/>
      <c r="Q489" s="29"/>
      <c r="R489" s="29"/>
      <c r="S489" s="29"/>
      <c r="T489" s="29"/>
      <c r="U489" s="29"/>
      <c r="V489" s="21">
        <f t="shared" si="85"/>
        <v>0</v>
      </c>
      <c r="W489" s="1"/>
      <c r="X489" s="1"/>
      <c r="Y489" s="1"/>
      <c r="Z489" s="1"/>
    </row>
    <row r="490" spans="1:26" ht="14.25" customHeight="1" x14ac:dyDescent="0.45">
      <c r="A490" s="1"/>
      <c r="B490" s="1" t="s">
        <v>302</v>
      </c>
      <c r="C490" s="15"/>
      <c r="D490" s="15"/>
      <c r="E490" s="15"/>
      <c r="F490" s="16"/>
      <c r="G490" s="42"/>
      <c r="H490" s="43"/>
      <c r="I490" s="16" t="s">
        <v>277</v>
      </c>
      <c r="J490" s="29"/>
      <c r="K490" s="29"/>
      <c r="L490" s="29"/>
      <c r="M490" s="29"/>
      <c r="N490" s="67"/>
      <c r="O490" s="67"/>
      <c r="P490" s="29"/>
      <c r="Q490" s="29"/>
      <c r="R490" s="29"/>
      <c r="S490" s="29"/>
      <c r="T490" s="29"/>
      <c r="U490" s="29"/>
      <c r="V490" s="21">
        <f t="shared" si="85"/>
        <v>0</v>
      </c>
      <c r="W490" s="1"/>
      <c r="X490" s="1"/>
      <c r="Y490" s="1"/>
      <c r="Z490" s="1"/>
    </row>
    <row r="491" spans="1:26" ht="14.25" customHeight="1" x14ac:dyDescent="0.45">
      <c r="A491" s="1"/>
      <c r="B491" s="1" t="s">
        <v>303</v>
      </c>
      <c r="C491" s="15"/>
      <c r="D491" s="15"/>
      <c r="E491" s="15">
        <v>6</v>
      </c>
      <c r="F491" s="96" t="s">
        <v>279</v>
      </c>
      <c r="G491" s="94"/>
      <c r="H491" s="95"/>
      <c r="I491" s="16" t="s">
        <v>269</v>
      </c>
      <c r="J491" s="29"/>
      <c r="K491" s="29"/>
      <c r="L491" s="29"/>
      <c r="M491" s="29"/>
      <c r="N491" s="67"/>
      <c r="O491" s="67"/>
      <c r="P491" s="29"/>
      <c r="Q491" s="29"/>
      <c r="R491" s="29"/>
      <c r="S491" s="29"/>
      <c r="T491" s="29"/>
      <c r="U491" s="29"/>
      <c r="V491" s="21">
        <f t="shared" si="85"/>
        <v>0</v>
      </c>
      <c r="W491" s="1"/>
      <c r="X491" s="1"/>
      <c r="Y491" s="1"/>
      <c r="Z491" s="1"/>
    </row>
    <row r="492" spans="1:26" ht="14.25" customHeight="1" x14ac:dyDescent="0.45">
      <c r="A492" s="1"/>
      <c r="B492" s="1" t="s">
        <v>303</v>
      </c>
      <c r="C492" s="15"/>
      <c r="D492" s="15"/>
      <c r="E492" s="15"/>
      <c r="F492" s="96"/>
      <c r="G492" s="94"/>
      <c r="H492" s="95"/>
      <c r="I492" s="16" t="s">
        <v>178</v>
      </c>
      <c r="J492" s="29"/>
      <c r="K492" s="29"/>
      <c r="L492" s="29"/>
      <c r="M492" s="29"/>
      <c r="N492" s="67"/>
      <c r="O492" s="67"/>
      <c r="P492" s="29"/>
      <c r="Q492" s="29"/>
      <c r="R492" s="29"/>
      <c r="S492" s="29"/>
      <c r="T492" s="29"/>
      <c r="U492" s="29"/>
      <c r="V492" s="21">
        <f t="shared" si="85"/>
        <v>0</v>
      </c>
      <c r="W492" s="1"/>
      <c r="X492" s="1"/>
      <c r="Y492" s="1"/>
      <c r="Z492" s="1"/>
    </row>
    <row r="493" spans="1:26" ht="14.25" customHeight="1" x14ac:dyDescent="0.45">
      <c r="A493" s="1"/>
      <c r="B493" s="1" t="s">
        <v>304</v>
      </c>
      <c r="C493" s="15"/>
      <c r="D493" s="15"/>
      <c r="E493" s="15">
        <v>7</v>
      </c>
      <c r="F493" s="96" t="s">
        <v>44</v>
      </c>
      <c r="G493" s="94"/>
      <c r="H493" s="95"/>
      <c r="I493" s="16" t="s">
        <v>269</v>
      </c>
      <c r="J493" s="29"/>
      <c r="K493" s="29"/>
      <c r="L493" s="29"/>
      <c r="M493" s="29"/>
      <c r="N493" s="67"/>
      <c r="O493" s="67"/>
      <c r="P493" s="29"/>
      <c r="Q493" s="29"/>
      <c r="R493" s="29"/>
      <c r="S493" s="29"/>
      <c r="T493" s="29"/>
      <c r="U493" s="29"/>
      <c r="V493" s="21">
        <f t="shared" si="85"/>
        <v>0</v>
      </c>
      <c r="W493" s="1"/>
      <c r="X493" s="1"/>
      <c r="Y493" s="1"/>
      <c r="Z493" s="1"/>
    </row>
    <row r="494" spans="1:26" ht="14.25" customHeight="1" x14ac:dyDescent="0.45">
      <c r="A494" s="1"/>
      <c r="B494" s="1" t="s">
        <v>304</v>
      </c>
      <c r="C494" s="15"/>
      <c r="D494" s="15"/>
      <c r="E494" s="15"/>
      <c r="F494" s="102"/>
      <c r="G494" s="94"/>
      <c r="H494" s="95"/>
      <c r="I494" s="16" t="s">
        <v>281</v>
      </c>
      <c r="J494" s="29"/>
      <c r="K494" s="29"/>
      <c r="L494" s="29"/>
      <c r="M494" s="29"/>
      <c r="N494" s="67"/>
      <c r="O494" s="67"/>
      <c r="P494" s="29"/>
      <c r="Q494" s="29"/>
      <c r="R494" s="29"/>
      <c r="S494" s="29"/>
      <c r="T494" s="29"/>
      <c r="U494" s="29"/>
      <c r="V494" s="21">
        <f t="shared" si="85"/>
        <v>0</v>
      </c>
      <c r="W494" s="1"/>
      <c r="X494" s="1"/>
      <c r="Y494" s="1"/>
      <c r="Z494" s="1"/>
    </row>
    <row r="495" spans="1:26" ht="14.25" customHeight="1" x14ac:dyDescent="0.45">
      <c r="A495" s="1"/>
      <c r="C495" s="15"/>
      <c r="D495" s="15"/>
      <c r="E495" s="47"/>
      <c r="F495" s="11"/>
      <c r="G495" s="11"/>
      <c r="H495" s="11"/>
      <c r="I495" s="11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"/>
      <c r="X495" s="1"/>
      <c r="Y495" s="1"/>
      <c r="Z495" s="1"/>
    </row>
    <row r="496" spans="1:26" ht="14.25" customHeight="1" x14ac:dyDescent="0.45">
      <c r="A496" s="1"/>
      <c r="C496" s="15"/>
      <c r="D496" s="100" t="s">
        <v>305</v>
      </c>
      <c r="E496" s="81"/>
      <c r="F496" s="81"/>
      <c r="G496" s="81"/>
      <c r="H496" s="82"/>
      <c r="I496" s="16" t="s">
        <v>269</v>
      </c>
      <c r="J496" s="21">
        <f t="shared" ref="J496:V496" ca="1" si="86">(SUMIF($I$471:$V$481,$I496,J$471:J$481))+(SUMIF($I$484:$V$494,$I496,J$484:J$494))</f>
        <v>131578.79999999999</v>
      </c>
      <c r="K496" s="21">
        <f t="shared" ca="1" si="86"/>
        <v>101822.48000000001</v>
      </c>
      <c r="L496" s="21">
        <f t="shared" ca="1" si="86"/>
        <v>86217</v>
      </c>
      <c r="M496" s="21">
        <f t="shared" ca="1" si="86"/>
        <v>126995.13</v>
      </c>
      <c r="N496" s="21">
        <f t="shared" ca="1" si="86"/>
        <v>140188</v>
      </c>
      <c r="O496" s="21">
        <f t="shared" ca="1" si="86"/>
        <v>0</v>
      </c>
      <c r="P496" s="21">
        <f t="shared" ca="1" si="86"/>
        <v>0</v>
      </c>
      <c r="Q496" s="21">
        <f t="shared" ca="1" si="86"/>
        <v>0</v>
      </c>
      <c r="R496" s="21">
        <f t="shared" ca="1" si="86"/>
        <v>0</v>
      </c>
      <c r="S496" s="21">
        <f t="shared" ca="1" si="86"/>
        <v>0</v>
      </c>
      <c r="T496" s="21">
        <f t="shared" ca="1" si="86"/>
        <v>0</v>
      </c>
      <c r="U496" s="21">
        <f t="shared" ca="1" si="86"/>
        <v>0</v>
      </c>
      <c r="V496" s="21">
        <f t="shared" ca="1" si="86"/>
        <v>586801.41</v>
      </c>
      <c r="W496" s="1"/>
      <c r="X496" s="1"/>
      <c r="Y496" s="1"/>
      <c r="Z496" s="1"/>
    </row>
    <row r="497" spans="1:26" ht="14.25" customHeight="1" x14ac:dyDescent="0.45">
      <c r="A497" s="1"/>
      <c r="C497" s="15"/>
      <c r="D497" s="83"/>
      <c r="E497" s="84"/>
      <c r="F497" s="84"/>
      <c r="G497" s="84"/>
      <c r="H497" s="85"/>
      <c r="I497" s="16" t="s">
        <v>270</v>
      </c>
      <c r="J497" s="21">
        <f t="shared" ref="J497:V497" ca="1" si="87">(SUMIF($I$471:$V$481,$I497,J$471:J$481))+(SUMIF($I$484:$V$494,$I497,J$484:J$494))</f>
        <v>911</v>
      </c>
      <c r="K497" s="21">
        <f t="shared" ca="1" si="87"/>
        <v>1313</v>
      </c>
      <c r="L497" s="21">
        <f t="shared" ca="1" si="87"/>
        <v>672</v>
      </c>
      <c r="M497" s="21">
        <f t="shared" ca="1" si="87"/>
        <v>1464</v>
      </c>
      <c r="N497" s="21">
        <f t="shared" ca="1" si="87"/>
        <v>0</v>
      </c>
      <c r="O497" s="21">
        <f t="shared" ca="1" si="87"/>
        <v>0</v>
      </c>
      <c r="P497" s="21">
        <f t="shared" ca="1" si="87"/>
        <v>0</v>
      </c>
      <c r="Q497" s="21">
        <f t="shared" ca="1" si="87"/>
        <v>0</v>
      </c>
      <c r="R497" s="21">
        <f t="shared" ca="1" si="87"/>
        <v>0</v>
      </c>
      <c r="S497" s="21">
        <f t="shared" ca="1" si="87"/>
        <v>0</v>
      </c>
      <c r="T497" s="21">
        <f t="shared" ca="1" si="87"/>
        <v>0</v>
      </c>
      <c r="U497" s="21">
        <f t="shared" ca="1" si="87"/>
        <v>0</v>
      </c>
      <c r="V497" s="21">
        <f t="shared" ca="1" si="87"/>
        <v>4360</v>
      </c>
      <c r="W497" s="1"/>
      <c r="X497" s="1"/>
      <c r="Y497" s="1"/>
      <c r="Z497" s="1"/>
    </row>
    <row r="498" spans="1:26" ht="14.25" customHeight="1" x14ac:dyDescent="0.45">
      <c r="A498" s="1"/>
      <c r="C498" s="15"/>
      <c r="D498" s="83"/>
      <c r="E498" s="84"/>
      <c r="F498" s="84"/>
      <c r="G498" s="84"/>
      <c r="H498" s="85"/>
      <c r="I498" s="16" t="s">
        <v>277</v>
      </c>
      <c r="J498" s="21">
        <f t="shared" ref="J498:V498" ca="1" si="88">(SUMIF($I$471:$V$481,$I498,J$471:J$481))+(SUMIF($I$484:$V$494,$I498,J$484:J$494))</f>
        <v>0</v>
      </c>
      <c r="K498" s="21">
        <f t="shared" ca="1" si="88"/>
        <v>0</v>
      </c>
      <c r="L498" s="21">
        <f t="shared" ca="1" si="88"/>
        <v>0</v>
      </c>
      <c r="M498" s="21">
        <f t="shared" ca="1" si="88"/>
        <v>0</v>
      </c>
      <c r="N498" s="21">
        <f t="shared" ca="1" si="88"/>
        <v>0</v>
      </c>
      <c r="O498" s="21">
        <f t="shared" ca="1" si="88"/>
        <v>0</v>
      </c>
      <c r="P498" s="21">
        <f t="shared" ca="1" si="88"/>
        <v>0</v>
      </c>
      <c r="Q498" s="21">
        <f t="shared" ca="1" si="88"/>
        <v>0</v>
      </c>
      <c r="R498" s="21">
        <f t="shared" ca="1" si="88"/>
        <v>0</v>
      </c>
      <c r="S498" s="21">
        <f t="shared" ca="1" si="88"/>
        <v>0</v>
      </c>
      <c r="T498" s="21">
        <f t="shared" ca="1" si="88"/>
        <v>0</v>
      </c>
      <c r="U498" s="21">
        <f t="shared" ca="1" si="88"/>
        <v>0</v>
      </c>
      <c r="V498" s="21">
        <f t="shared" ca="1" si="88"/>
        <v>0</v>
      </c>
      <c r="W498" s="1"/>
      <c r="X498" s="1"/>
      <c r="Y498" s="1"/>
      <c r="Z498" s="1"/>
    </row>
    <row r="499" spans="1:26" ht="14.25" customHeight="1" x14ac:dyDescent="0.45">
      <c r="A499" s="1"/>
      <c r="C499" s="15"/>
      <c r="D499" s="83"/>
      <c r="E499" s="84"/>
      <c r="F499" s="84"/>
      <c r="G499" s="84"/>
      <c r="H499" s="85"/>
      <c r="I499" s="16" t="s">
        <v>178</v>
      </c>
      <c r="J499" s="21">
        <f t="shared" ref="J499:V499" ca="1" si="89">(SUMIF($I$471:$V$481,$I499,J$471:J$481))+(SUMIF($I$484:$V$494,$I499,J$484:J$494))</f>
        <v>0</v>
      </c>
      <c r="K499" s="21">
        <f t="shared" ca="1" si="89"/>
        <v>0</v>
      </c>
      <c r="L499" s="21">
        <f t="shared" ca="1" si="89"/>
        <v>0</v>
      </c>
      <c r="M499" s="21">
        <f t="shared" ca="1" si="89"/>
        <v>0</v>
      </c>
      <c r="N499" s="21">
        <f t="shared" ca="1" si="89"/>
        <v>0</v>
      </c>
      <c r="O499" s="21">
        <f t="shared" ca="1" si="89"/>
        <v>0</v>
      </c>
      <c r="P499" s="21">
        <f t="shared" ca="1" si="89"/>
        <v>0</v>
      </c>
      <c r="Q499" s="21">
        <f t="shared" ca="1" si="89"/>
        <v>0</v>
      </c>
      <c r="R499" s="21">
        <f t="shared" ca="1" si="89"/>
        <v>0</v>
      </c>
      <c r="S499" s="21">
        <f t="shared" ca="1" si="89"/>
        <v>0</v>
      </c>
      <c r="T499" s="21">
        <f t="shared" ca="1" si="89"/>
        <v>0</v>
      </c>
      <c r="U499" s="21">
        <f t="shared" ca="1" si="89"/>
        <v>0</v>
      </c>
      <c r="V499" s="21">
        <f t="shared" ca="1" si="89"/>
        <v>0</v>
      </c>
      <c r="W499" s="1"/>
      <c r="X499" s="1"/>
      <c r="Y499" s="1"/>
      <c r="Z499" s="1"/>
    </row>
    <row r="500" spans="1:26" ht="14.25" customHeight="1" x14ac:dyDescent="0.45">
      <c r="A500" s="1"/>
      <c r="C500" s="15"/>
      <c r="D500" s="90"/>
      <c r="E500" s="91"/>
      <c r="F500" s="91"/>
      <c r="G500" s="91"/>
      <c r="H500" s="92"/>
      <c r="I500" s="16" t="s">
        <v>281</v>
      </c>
      <c r="J500" s="21">
        <f t="shared" ref="J500:V500" ca="1" si="90">(SUMIF($I$471:$V$481,$I500,J$471:J$481))+(SUMIF($I$484:$V$494,$I500,J$484:J$494))</f>
        <v>0</v>
      </c>
      <c r="K500" s="21">
        <f t="shared" ca="1" si="90"/>
        <v>0</v>
      </c>
      <c r="L500" s="21">
        <f t="shared" ca="1" si="90"/>
        <v>0</v>
      </c>
      <c r="M500" s="21">
        <f t="shared" ca="1" si="90"/>
        <v>0</v>
      </c>
      <c r="N500" s="21">
        <f t="shared" ca="1" si="90"/>
        <v>0</v>
      </c>
      <c r="O500" s="21">
        <f t="shared" ca="1" si="90"/>
        <v>0</v>
      </c>
      <c r="P500" s="21">
        <f t="shared" ca="1" si="90"/>
        <v>0</v>
      </c>
      <c r="Q500" s="21">
        <f t="shared" ca="1" si="90"/>
        <v>0</v>
      </c>
      <c r="R500" s="21">
        <f t="shared" ca="1" si="90"/>
        <v>0</v>
      </c>
      <c r="S500" s="21">
        <f t="shared" ca="1" si="90"/>
        <v>0</v>
      </c>
      <c r="T500" s="21">
        <f t="shared" ca="1" si="90"/>
        <v>0</v>
      </c>
      <c r="U500" s="21">
        <f t="shared" ca="1" si="90"/>
        <v>0</v>
      </c>
      <c r="V500" s="21">
        <f t="shared" ca="1" si="90"/>
        <v>0</v>
      </c>
      <c r="W500" s="1"/>
      <c r="X500" s="1"/>
      <c r="Y500" s="1"/>
      <c r="Z500" s="1"/>
    </row>
    <row r="501" spans="1:26" ht="14.25" customHeight="1" x14ac:dyDescent="0.45">
      <c r="A501" s="1"/>
      <c r="C501" s="102"/>
      <c r="D501" s="94"/>
      <c r="E501" s="94"/>
      <c r="F501" s="94"/>
      <c r="G501" s="94"/>
      <c r="H501" s="95"/>
      <c r="I501" s="13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"/>
      <c r="X501" s="1"/>
      <c r="Y501" s="1"/>
      <c r="Z501" s="1"/>
    </row>
    <row r="502" spans="1:26" ht="14.25" customHeight="1" x14ac:dyDescent="0.45">
      <c r="A502" s="1"/>
      <c r="C502" s="100" t="s">
        <v>306</v>
      </c>
      <c r="D502" s="81"/>
      <c r="E502" s="81"/>
      <c r="F502" s="81"/>
      <c r="G502" s="81"/>
      <c r="H502" s="82"/>
      <c r="I502" s="16" t="s">
        <v>269</v>
      </c>
      <c r="J502" s="21">
        <f t="shared" ref="J502:V502" ca="1" si="91">J463+J496</f>
        <v>233387.8</v>
      </c>
      <c r="K502" s="21">
        <f t="shared" ca="1" si="91"/>
        <v>407555.75</v>
      </c>
      <c r="L502" s="21">
        <f t="shared" ca="1" si="91"/>
        <v>282846</v>
      </c>
      <c r="M502" s="21">
        <f t="shared" ca="1" si="91"/>
        <v>329821.13</v>
      </c>
      <c r="N502" s="21">
        <f t="shared" ca="1" si="91"/>
        <v>405457.83</v>
      </c>
      <c r="O502" s="21">
        <f t="shared" ca="1" si="91"/>
        <v>0</v>
      </c>
      <c r="P502" s="21">
        <f t="shared" ca="1" si="91"/>
        <v>0</v>
      </c>
      <c r="Q502" s="21">
        <f t="shared" ca="1" si="91"/>
        <v>0</v>
      </c>
      <c r="R502" s="21">
        <f t="shared" ca="1" si="91"/>
        <v>0</v>
      </c>
      <c r="S502" s="21">
        <f t="shared" ca="1" si="91"/>
        <v>0</v>
      </c>
      <c r="T502" s="21">
        <f t="shared" ca="1" si="91"/>
        <v>0</v>
      </c>
      <c r="U502" s="21">
        <f t="shared" ca="1" si="91"/>
        <v>0</v>
      </c>
      <c r="V502" s="21">
        <f t="shared" ca="1" si="91"/>
        <v>1659068.5100000002</v>
      </c>
      <c r="W502" s="1"/>
      <c r="X502" s="1"/>
      <c r="Y502" s="1"/>
      <c r="Z502" s="1"/>
    </row>
    <row r="503" spans="1:26" ht="14.25" customHeight="1" x14ac:dyDescent="0.45">
      <c r="A503" s="1"/>
      <c r="C503" s="83"/>
      <c r="D503" s="84"/>
      <c r="E503" s="84"/>
      <c r="F503" s="84"/>
      <c r="G503" s="84"/>
      <c r="H503" s="85"/>
      <c r="I503" s="16" t="s">
        <v>270</v>
      </c>
      <c r="J503" s="21">
        <f t="shared" ref="J503:V503" ca="1" si="92">J464+J497</f>
        <v>62776</v>
      </c>
      <c r="K503" s="21">
        <f t="shared" ca="1" si="92"/>
        <v>23676</v>
      </c>
      <c r="L503" s="21">
        <f t="shared" ca="1" si="92"/>
        <v>88806</v>
      </c>
      <c r="M503" s="21">
        <f t="shared" ca="1" si="92"/>
        <v>1464</v>
      </c>
      <c r="N503" s="21">
        <f t="shared" ca="1" si="92"/>
        <v>14772</v>
      </c>
      <c r="O503" s="21">
        <f t="shared" ca="1" si="92"/>
        <v>0</v>
      </c>
      <c r="P503" s="21">
        <f t="shared" ca="1" si="92"/>
        <v>0</v>
      </c>
      <c r="Q503" s="21">
        <f t="shared" ca="1" si="92"/>
        <v>0</v>
      </c>
      <c r="R503" s="21">
        <f t="shared" ca="1" si="92"/>
        <v>0</v>
      </c>
      <c r="S503" s="21">
        <f t="shared" ca="1" si="92"/>
        <v>0</v>
      </c>
      <c r="T503" s="21">
        <f t="shared" ca="1" si="92"/>
        <v>0</v>
      </c>
      <c r="U503" s="21">
        <f t="shared" ca="1" si="92"/>
        <v>0</v>
      </c>
      <c r="V503" s="21">
        <f t="shared" ca="1" si="92"/>
        <v>191494</v>
      </c>
      <c r="W503" s="1"/>
      <c r="X503" s="1"/>
      <c r="Y503" s="1"/>
      <c r="Z503" s="1"/>
    </row>
    <row r="504" spans="1:26" ht="14.25" customHeight="1" x14ac:dyDescent="0.45">
      <c r="A504" s="1"/>
      <c r="C504" s="83"/>
      <c r="D504" s="84"/>
      <c r="E504" s="84"/>
      <c r="F504" s="84"/>
      <c r="G504" s="84"/>
      <c r="H504" s="85"/>
      <c r="I504" s="16" t="s">
        <v>277</v>
      </c>
      <c r="J504" s="21">
        <f t="shared" ref="J504:V504" ca="1" si="93">J465+J498</f>
        <v>0</v>
      </c>
      <c r="K504" s="21">
        <f t="shared" ca="1" si="93"/>
        <v>0</v>
      </c>
      <c r="L504" s="21">
        <f t="shared" ca="1" si="93"/>
        <v>0</v>
      </c>
      <c r="M504" s="21">
        <f t="shared" ca="1" si="93"/>
        <v>0</v>
      </c>
      <c r="N504" s="21">
        <f t="shared" ca="1" si="93"/>
        <v>0</v>
      </c>
      <c r="O504" s="21">
        <f t="shared" ca="1" si="93"/>
        <v>0</v>
      </c>
      <c r="P504" s="21">
        <f t="shared" ca="1" si="93"/>
        <v>0</v>
      </c>
      <c r="Q504" s="21">
        <f t="shared" ca="1" si="93"/>
        <v>0</v>
      </c>
      <c r="R504" s="21">
        <f t="shared" ca="1" si="93"/>
        <v>0</v>
      </c>
      <c r="S504" s="21">
        <f t="shared" ca="1" si="93"/>
        <v>0</v>
      </c>
      <c r="T504" s="21">
        <f t="shared" ca="1" si="93"/>
        <v>0</v>
      </c>
      <c r="U504" s="21">
        <f t="shared" ca="1" si="93"/>
        <v>0</v>
      </c>
      <c r="V504" s="21">
        <f t="shared" ca="1" si="93"/>
        <v>0</v>
      </c>
      <c r="W504" s="1"/>
      <c r="X504" s="1"/>
      <c r="Y504" s="1"/>
      <c r="Z504" s="1"/>
    </row>
    <row r="505" spans="1:26" ht="14.25" customHeight="1" x14ac:dyDescent="0.45">
      <c r="A505" s="1"/>
      <c r="C505" s="83"/>
      <c r="D505" s="84"/>
      <c r="E505" s="84"/>
      <c r="F505" s="84"/>
      <c r="G505" s="84"/>
      <c r="H505" s="85"/>
      <c r="I505" s="16" t="s">
        <v>178</v>
      </c>
      <c r="J505" s="21">
        <f t="shared" ref="J505:V505" ca="1" si="94">J466+J499</f>
        <v>0</v>
      </c>
      <c r="K505" s="21">
        <f t="shared" ca="1" si="94"/>
        <v>0</v>
      </c>
      <c r="L505" s="21">
        <f t="shared" ca="1" si="94"/>
        <v>0</v>
      </c>
      <c r="M505" s="21">
        <f t="shared" ca="1" si="94"/>
        <v>0</v>
      </c>
      <c r="N505" s="21">
        <f t="shared" ca="1" si="94"/>
        <v>0</v>
      </c>
      <c r="O505" s="21">
        <f t="shared" ca="1" si="94"/>
        <v>0</v>
      </c>
      <c r="P505" s="21">
        <f t="shared" ca="1" si="94"/>
        <v>0</v>
      </c>
      <c r="Q505" s="21">
        <f t="shared" ca="1" si="94"/>
        <v>0</v>
      </c>
      <c r="R505" s="21">
        <f t="shared" ca="1" si="94"/>
        <v>0</v>
      </c>
      <c r="S505" s="21">
        <f t="shared" ca="1" si="94"/>
        <v>0</v>
      </c>
      <c r="T505" s="21">
        <f t="shared" ca="1" si="94"/>
        <v>0</v>
      </c>
      <c r="U505" s="21">
        <f t="shared" ca="1" si="94"/>
        <v>0</v>
      </c>
      <c r="V505" s="21">
        <f t="shared" ca="1" si="94"/>
        <v>0</v>
      </c>
      <c r="W505" s="1"/>
      <c r="X505" s="1"/>
      <c r="Y505" s="1"/>
      <c r="Z505" s="1"/>
    </row>
    <row r="506" spans="1:26" ht="14.25" customHeight="1" x14ac:dyDescent="0.45">
      <c r="A506" s="1"/>
      <c r="C506" s="90"/>
      <c r="D506" s="91"/>
      <c r="E506" s="91"/>
      <c r="F506" s="91"/>
      <c r="G506" s="91"/>
      <c r="H506" s="92"/>
      <c r="I506" s="16" t="s">
        <v>281</v>
      </c>
      <c r="J506" s="21">
        <f t="shared" ref="J506:V506" ca="1" si="95">J467+J500</f>
        <v>0</v>
      </c>
      <c r="K506" s="21">
        <f t="shared" ca="1" si="95"/>
        <v>0</v>
      </c>
      <c r="L506" s="21">
        <f t="shared" ca="1" si="95"/>
        <v>0</v>
      </c>
      <c r="M506" s="21">
        <f t="shared" ca="1" si="95"/>
        <v>0</v>
      </c>
      <c r="N506" s="21">
        <f t="shared" ca="1" si="95"/>
        <v>0</v>
      </c>
      <c r="O506" s="21">
        <f t="shared" ca="1" si="95"/>
        <v>0</v>
      </c>
      <c r="P506" s="21">
        <f t="shared" ca="1" si="95"/>
        <v>0</v>
      </c>
      <c r="Q506" s="21">
        <f t="shared" ca="1" si="95"/>
        <v>0</v>
      </c>
      <c r="R506" s="21">
        <f t="shared" ca="1" si="95"/>
        <v>0</v>
      </c>
      <c r="S506" s="21">
        <f t="shared" ca="1" si="95"/>
        <v>0</v>
      </c>
      <c r="T506" s="21">
        <f t="shared" ca="1" si="95"/>
        <v>0</v>
      </c>
      <c r="U506" s="21">
        <f t="shared" ca="1" si="95"/>
        <v>0</v>
      </c>
      <c r="V506" s="21">
        <f t="shared" ca="1" si="95"/>
        <v>0</v>
      </c>
      <c r="W506" s="1"/>
      <c r="X506" s="1"/>
      <c r="Y506" s="1"/>
      <c r="Z506" s="1"/>
    </row>
    <row r="507" spans="1:26" ht="14.25" customHeight="1" x14ac:dyDescent="0.45">
      <c r="A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"/>
      <c r="X507" s="1"/>
      <c r="Y507" s="1"/>
      <c r="Z507" s="1"/>
    </row>
    <row r="508" spans="1:26" ht="14.25" customHeight="1" x14ac:dyDescent="0.55000000000000004">
      <c r="A508" s="4">
        <v>4</v>
      </c>
      <c r="B508" s="5"/>
      <c r="C508" s="4" t="s">
        <v>307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"/>
      <c r="X508" s="1"/>
      <c r="Y508" s="1"/>
      <c r="Z508" s="1"/>
    </row>
    <row r="509" spans="1:26" ht="14.25" customHeight="1" x14ac:dyDescent="0.45">
      <c r="A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"/>
      <c r="X509" s="1"/>
      <c r="Y509" s="1"/>
      <c r="Z509" s="1"/>
    </row>
    <row r="510" spans="1:26" ht="14.25" customHeight="1" x14ac:dyDescent="0.45">
      <c r="A510" s="1"/>
      <c r="C510" s="76" t="s">
        <v>8</v>
      </c>
      <c r="D510" s="89" t="s">
        <v>9</v>
      </c>
      <c r="E510" s="81"/>
      <c r="F510" s="81"/>
      <c r="G510" s="81"/>
      <c r="H510" s="82"/>
      <c r="I510" s="79" t="s">
        <v>10</v>
      </c>
      <c r="J510" s="80">
        <f>$H$2</f>
        <v>2026</v>
      </c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2"/>
      <c r="W510" s="1"/>
      <c r="X510" s="1"/>
      <c r="Y510" s="1"/>
      <c r="Z510" s="1"/>
    </row>
    <row r="511" spans="1:26" ht="14.25" customHeight="1" x14ac:dyDescent="0.45">
      <c r="A511" s="1"/>
      <c r="C511" s="77"/>
      <c r="D511" s="83"/>
      <c r="E511" s="84"/>
      <c r="F511" s="84"/>
      <c r="G511" s="84"/>
      <c r="H511" s="85"/>
      <c r="I511" s="77"/>
      <c r="J511" s="83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5"/>
      <c r="W511" s="1"/>
      <c r="X511" s="1"/>
      <c r="Y511" s="1"/>
      <c r="Z511" s="1"/>
    </row>
    <row r="512" spans="1:26" ht="14.25" customHeight="1" x14ac:dyDescent="0.45">
      <c r="A512" s="1"/>
      <c r="C512" s="78"/>
      <c r="D512" s="90"/>
      <c r="E512" s="91"/>
      <c r="F512" s="91"/>
      <c r="G512" s="91"/>
      <c r="H512" s="92"/>
      <c r="I512" s="78"/>
      <c r="J512" s="6" t="s">
        <v>11</v>
      </c>
      <c r="K512" s="6" t="s">
        <v>12</v>
      </c>
      <c r="L512" s="6" t="s">
        <v>13</v>
      </c>
      <c r="M512" s="6" t="s">
        <v>14</v>
      </c>
      <c r="N512" s="6" t="s">
        <v>15</v>
      </c>
      <c r="O512" s="6" t="s">
        <v>16</v>
      </c>
      <c r="P512" s="6" t="s">
        <v>17</v>
      </c>
      <c r="Q512" s="6" t="s">
        <v>18</v>
      </c>
      <c r="R512" s="6" t="s">
        <v>19</v>
      </c>
      <c r="S512" s="6" t="s">
        <v>20</v>
      </c>
      <c r="T512" s="6" t="s">
        <v>21</v>
      </c>
      <c r="U512" s="6" t="s">
        <v>22</v>
      </c>
      <c r="V512" s="6" t="s">
        <v>23</v>
      </c>
      <c r="W512" s="1"/>
      <c r="X512" s="1"/>
      <c r="Y512" s="1"/>
      <c r="Z512" s="1"/>
    </row>
    <row r="513" spans="1:26" ht="14.25" customHeight="1" x14ac:dyDescent="0.45">
      <c r="A513" s="1"/>
      <c r="C513" s="6">
        <v>1</v>
      </c>
      <c r="D513" s="93">
        <v>2</v>
      </c>
      <c r="E513" s="94"/>
      <c r="F513" s="94"/>
      <c r="G513" s="94"/>
      <c r="H513" s="95"/>
      <c r="I513" s="7">
        <v>3</v>
      </c>
      <c r="J513" s="86">
        <v>4</v>
      </c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8"/>
      <c r="V513" s="8">
        <v>5</v>
      </c>
      <c r="W513" s="1"/>
      <c r="X513" s="1"/>
      <c r="Y513" s="1"/>
      <c r="Z513" s="1"/>
    </row>
    <row r="514" spans="1:26" ht="14.25" customHeight="1" x14ac:dyDescent="0.45">
      <c r="A514" s="1"/>
      <c r="C514" s="9"/>
      <c r="D514" s="17"/>
      <c r="E514" s="63"/>
      <c r="F514" s="63"/>
      <c r="G514" s="63"/>
      <c r="H514" s="64"/>
      <c r="I514" s="17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"/>
      <c r="X514" s="1"/>
      <c r="Y514" s="1"/>
      <c r="Z514" s="1"/>
    </row>
    <row r="515" spans="1:26" ht="14.25" customHeight="1" x14ac:dyDescent="0.45">
      <c r="A515" s="1"/>
      <c r="C515" s="33">
        <v>1</v>
      </c>
      <c r="D515" s="96" t="s">
        <v>156</v>
      </c>
      <c r="E515" s="94"/>
      <c r="F515" s="94"/>
      <c r="G515" s="94"/>
      <c r="H515" s="95"/>
      <c r="I515" s="13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"/>
      <c r="X515" s="1"/>
      <c r="Y515" s="1"/>
      <c r="Z515" s="1"/>
    </row>
    <row r="516" spans="1:26" ht="14.25" customHeight="1" x14ac:dyDescent="0.45">
      <c r="A516" s="1"/>
      <c r="C516" s="15"/>
      <c r="D516" s="15">
        <v>1</v>
      </c>
      <c r="E516" s="96" t="s">
        <v>157</v>
      </c>
      <c r="F516" s="94"/>
      <c r="G516" s="94"/>
      <c r="H516" s="95"/>
      <c r="I516" s="13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"/>
      <c r="X516" s="1"/>
      <c r="Y516" s="1"/>
      <c r="Z516" s="1"/>
    </row>
    <row r="517" spans="1:26" ht="14.25" customHeight="1" x14ac:dyDescent="0.45">
      <c r="A517" s="1"/>
      <c r="B517" s="1" t="s">
        <v>308</v>
      </c>
      <c r="C517" s="15"/>
      <c r="D517" s="15"/>
      <c r="E517" s="15">
        <v>1</v>
      </c>
      <c r="F517" s="96" t="s">
        <v>28</v>
      </c>
      <c r="G517" s="94"/>
      <c r="H517" s="95"/>
      <c r="I517" s="16" t="s">
        <v>269</v>
      </c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1">
        <f t="shared" ref="V517:V527" si="96">SUM(J517:U517)</f>
        <v>0</v>
      </c>
      <c r="W517" s="1"/>
      <c r="X517" s="1"/>
      <c r="Y517" s="1"/>
      <c r="Z517" s="1"/>
    </row>
    <row r="518" spans="1:26" ht="14.25" customHeight="1" x14ac:dyDescent="0.45">
      <c r="A518" s="1"/>
      <c r="B518" s="1" t="s">
        <v>308</v>
      </c>
      <c r="C518" s="15"/>
      <c r="D518" s="15"/>
      <c r="E518" s="15"/>
      <c r="F518" s="96"/>
      <c r="G518" s="94"/>
      <c r="H518" s="95"/>
      <c r="I518" s="16" t="s">
        <v>270</v>
      </c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1">
        <f t="shared" si="96"/>
        <v>0</v>
      </c>
      <c r="W518" s="1"/>
      <c r="X518" s="1"/>
      <c r="Y518" s="1"/>
      <c r="Z518" s="1"/>
    </row>
    <row r="519" spans="1:26" ht="14.25" customHeight="1" x14ac:dyDescent="0.45">
      <c r="A519" s="1"/>
      <c r="B519" s="1" t="s">
        <v>309</v>
      </c>
      <c r="C519" s="15"/>
      <c r="D519" s="15"/>
      <c r="E519" s="15">
        <v>2</v>
      </c>
      <c r="F519" s="96" t="s">
        <v>272</v>
      </c>
      <c r="G519" s="94"/>
      <c r="H519" s="95"/>
      <c r="I519" s="16" t="s">
        <v>269</v>
      </c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1">
        <f t="shared" si="96"/>
        <v>0</v>
      </c>
      <c r="W519" s="1"/>
      <c r="X519" s="1"/>
      <c r="Y519" s="1"/>
      <c r="Z519" s="1"/>
    </row>
    <row r="520" spans="1:26" ht="14.25" customHeight="1" x14ac:dyDescent="0.45">
      <c r="A520" s="1"/>
      <c r="B520" s="1" t="s">
        <v>310</v>
      </c>
      <c r="C520" s="15"/>
      <c r="D520" s="15"/>
      <c r="E520" s="15">
        <v>3</v>
      </c>
      <c r="F520" s="96" t="s">
        <v>274</v>
      </c>
      <c r="G520" s="94"/>
      <c r="H520" s="95"/>
      <c r="I520" s="16" t="s">
        <v>269</v>
      </c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1">
        <f t="shared" si="96"/>
        <v>0</v>
      </c>
      <c r="W520" s="1"/>
      <c r="X520" s="1"/>
      <c r="Y520" s="1"/>
      <c r="Z520" s="1"/>
    </row>
    <row r="521" spans="1:26" ht="14.25" customHeight="1" x14ac:dyDescent="0.45">
      <c r="A521" s="1"/>
      <c r="B521" s="1" t="s">
        <v>311</v>
      </c>
      <c r="C521" s="15"/>
      <c r="D521" s="15"/>
      <c r="E521" s="15">
        <v>4</v>
      </c>
      <c r="F521" s="96" t="s">
        <v>38</v>
      </c>
      <c r="G521" s="94"/>
      <c r="H521" s="95"/>
      <c r="I521" s="16" t="s">
        <v>269</v>
      </c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1">
        <f t="shared" si="96"/>
        <v>0</v>
      </c>
      <c r="W521" s="1"/>
      <c r="X521" s="1"/>
      <c r="Y521" s="1"/>
      <c r="Z521" s="1"/>
    </row>
    <row r="522" spans="1:26" ht="14.25" customHeight="1" x14ac:dyDescent="0.45">
      <c r="A522" s="1"/>
      <c r="B522" s="1" t="s">
        <v>312</v>
      </c>
      <c r="C522" s="15"/>
      <c r="D522" s="15"/>
      <c r="E522" s="15">
        <v>5</v>
      </c>
      <c r="F522" s="96" t="s">
        <v>34</v>
      </c>
      <c r="G522" s="94"/>
      <c r="H522" s="95"/>
      <c r="I522" s="16" t="s">
        <v>269</v>
      </c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1">
        <f t="shared" si="96"/>
        <v>0</v>
      </c>
      <c r="W522" s="1"/>
      <c r="X522" s="1"/>
      <c r="Y522" s="1"/>
      <c r="Z522" s="1"/>
    </row>
    <row r="523" spans="1:26" ht="14.25" customHeight="1" x14ac:dyDescent="0.45">
      <c r="A523" s="1"/>
      <c r="B523" s="1" t="s">
        <v>312</v>
      </c>
      <c r="C523" s="15"/>
      <c r="D523" s="15"/>
      <c r="E523" s="15"/>
      <c r="F523" s="16"/>
      <c r="G523" s="42"/>
      <c r="H523" s="43"/>
      <c r="I523" s="16" t="s">
        <v>277</v>
      </c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1">
        <f t="shared" si="96"/>
        <v>0</v>
      </c>
      <c r="W523" s="1"/>
      <c r="X523" s="1"/>
      <c r="Y523" s="1"/>
      <c r="Z523" s="1"/>
    </row>
    <row r="524" spans="1:26" ht="14.25" customHeight="1" x14ac:dyDescent="0.45">
      <c r="A524" s="1"/>
      <c r="B524" s="1" t="s">
        <v>313</v>
      </c>
      <c r="C524" s="15"/>
      <c r="D524" s="15"/>
      <c r="E524" s="15">
        <v>6</v>
      </c>
      <c r="F524" s="96" t="s">
        <v>279</v>
      </c>
      <c r="G524" s="94"/>
      <c r="H524" s="95"/>
      <c r="I524" s="16" t="s">
        <v>269</v>
      </c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1">
        <f t="shared" si="96"/>
        <v>0</v>
      </c>
      <c r="W524" s="1"/>
      <c r="X524" s="1"/>
      <c r="Y524" s="1"/>
      <c r="Z524" s="1"/>
    </row>
    <row r="525" spans="1:26" ht="14.25" customHeight="1" x14ac:dyDescent="0.45">
      <c r="A525" s="1"/>
      <c r="B525" s="1" t="s">
        <v>313</v>
      </c>
      <c r="C525" s="15"/>
      <c r="D525" s="15"/>
      <c r="E525" s="15"/>
      <c r="F525" s="96"/>
      <c r="G525" s="94"/>
      <c r="H525" s="95"/>
      <c r="I525" s="16" t="s">
        <v>178</v>
      </c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1">
        <f t="shared" si="96"/>
        <v>0</v>
      </c>
      <c r="W525" s="1"/>
      <c r="X525" s="1"/>
      <c r="Y525" s="1"/>
      <c r="Z525" s="1"/>
    </row>
    <row r="526" spans="1:26" ht="14.25" customHeight="1" x14ac:dyDescent="0.45">
      <c r="A526" s="1"/>
      <c r="B526" s="1" t="s">
        <v>314</v>
      </c>
      <c r="C526" s="15"/>
      <c r="D526" s="15"/>
      <c r="E526" s="15">
        <v>7</v>
      </c>
      <c r="F526" s="96" t="s">
        <v>44</v>
      </c>
      <c r="G526" s="94"/>
      <c r="H526" s="95"/>
      <c r="I526" s="16" t="s">
        <v>269</v>
      </c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1">
        <f t="shared" si="96"/>
        <v>0</v>
      </c>
      <c r="W526" s="1"/>
      <c r="X526" s="1"/>
      <c r="Y526" s="1"/>
      <c r="Z526" s="1"/>
    </row>
    <row r="527" spans="1:26" ht="14.25" customHeight="1" x14ac:dyDescent="0.45">
      <c r="A527" s="1"/>
      <c r="B527" s="1" t="s">
        <v>314</v>
      </c>
      <c r="C527" s="15"/>
      <c r="D527" s="15"/>
      <c r="E527" s="15"/>
      <c r="F527" s="102"/>
      <c r="G527" s="94"/>
      <c r="H527" s="95"/>
      <c r="I527" s="16" t="s">
        <v>281</v>
      </c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1">
        <f t="shared" si="96"/>
        <v>0</v>
      </c>
      <c r="W527" s="1"/>
      <c r="X527" s="1"/>
      <c r="Y527" s="1"/>
      <c r="Z527" s="1"/>
    </row>
    <row r="528" spans="1:26" ht="14.25" customHeight="1" x14ac:dyDescent="0.45">
      <c r="A528" s="1"/>
      <c r="C528" s="15"/>
      <c r="D528" s="15"/>
      <c r="E528" s="57"/>
      <c r="F528" s="68"/>
      <c r="G528" s="68"/>
      <c r="H528" s="68"/>
      <c r="I528" s="69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"/>
      <c r="X528" s="1"/>
      <c r="Y528" s="1"/>
      <c r="Z528" s="1"/>
    </row>
    <row r="529" spans="1:26" ht="14.25" customHeight="1" x14ac:dyDescent="0.45">
      <c r="A529" s="1"/>
      <c r="C529" s="15"/>
      <c r="D529" s="15">
        <v>2</v>
      </c>
      <c r="E529" s="96" t="s">
        <v>183</v>
      </c>
      <c r="F529" s="94"/>
      <c r="G529" s="94"/>
      <c r="H529" s="95"/>
      <c r="I529" s="13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"/>
      <c r="X529" s="1"/>
      <c r="Y529" s="1"/>
      <c r="Z529" s="1"/>
    </row>
    <row r="530" spans="1:26" ht="14.25" customHeight="1" x14ac:dyDescent="0.45">
      <c r="A530" s="1"/>
      <c r="B530" s="1" t="s">
        <v>315</v>
      </c>
      <c r="C530" s="15"/>
      <c r="D530" s="15"/>
      <c r="E530" s="15">
        <v>1</v>
      </c>
      <c r="F530" s="96" t="s">
        <v>28</v>
      </c>
      <c r="G530" s="94"/>
      <c r="H530" s="95"/>
      <c r="I530" s="16" t="s">
        <v>269</v>
      </c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1">
        <f t="shared" ref="V530:V540" si="97">SUM(J530:U530)</f>
        <v>0</v>
      </c>
      <c r="W530" s="1"/>
      <c r="X530" s="1"/>
      <c r="Y530" s="1"/>
      <c r="Z530" s="1"/>
    </row>
    <row r="531" spans="1:26" ht="14.25" customHeight="1" x14ac:dyDescent="0.45">
      <c r="A531" s="1"/>
      <c r="B531" s="1" t="s">
        <v>315</v>
      </c>
      <c r="C531" s="15"/>
      <c r="D531" s="15"/>
      <c r="E531" s="15"/>
      <c r="F531" s="96"/>
      <c r="G531" s="94"/>
      <c r="H531" s="95"/>
      <c r="I531" s="16" t="s">
        <v>270</v>
      </c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1">
        <f t="shared" si="97"/>
        <v>0</v>
      </c>
      <c r="W531" s="1"/>
      <c r="X531" s="1"/>
      <c r="Y531" s="1"/>
      <c r="Z531" s="1"/>
    </row>
    <row r="532" spans="1:26" ht="14.25" customHeight="1" x14ac:dyDescent="0.45">
      <c r="A532" s="1"/>
      <c r="B532" s="1" t="s">
        <v>316</v>
      </c>
      <c r="C532" s="15"/>
      <c r="D532" s="15"/>
      <c r="E532" s="15">
        <v>2</v>
      </c>
      <c r="F532" s="96" t="s">
        <v>272</v>
      </c>
      <c r="G532" s="94"/>
      <c r="H532" s="95"/>
      <c r="I532" s="16" t="s">
        <v>269</v>
      </c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1">
        <f t="shared" si="97"/>
        <v>0</v>
      </c>
      <c r="W532" s="1"/>
      <c r="X532" s="1"/>
      <c r="Y532" s="1"/>
      <c r="Z532" s="1"/>
    </row>
    <row r="533" spans="1:26" ht="14.25" customHeight="1" x14ac:dyDescent="0.45">
      <c r="A533" s="1"/>
      <c r="B533" s="1" t="s">
        <v>317</v>
      </c>
      <c r="C533" s="15"/>
      <c r="D533" s="15"/>
      <c r="E533" s="15">
        <v>3</v>
      </c>
      <c r="F533" s="96" t="s">
        <v>274</v>
      </c>
      <c r="G533" s="94"/>
      <c r="H533" s="95"/>
      <c r="I533" s="16" t="s">
        <v>269</v>
      </c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1">
        <f t="shared" si="97"/>
        <v>0</v>
      </c>
      <c r="W533" s="1"/>
      <c r="X533" s="1"/>
      <c r="Y533" s="1"/>
      <c r="Z533" s="1"/>
    </row>
    <row r="534" spans="1:26" ht="14.25" customHeight="1" x14ac:dyDescent="0.45">
      <c r="A534" s="1"/>
      <c r="B534" s="1" t="s">
        <v>318</v>
      </c>
      <c r="C534" s="15"/>
      <c r="D534" s="15"/>
      <c r="E534" s="15">
        <v>4</v>
      </c>
      <c r="F534" s="96" t="s">
        <v>38</v>
      </c>
      <c r="G534" s="94"/>
      <c r="H534" s="95"/>
      <c r="I534" s="16" t="s">
        <v>269</v>
      </c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1">
        <f t="shared" si="97"/>
        <v>0</v>
      </c>
      <c r="W534" s="1"/>
      <c r="X534" s="1"/>
      <c r="Y534" s="1"/>
      <c r="Z534" s="1"/>
    </row>
    <row r="535" spans="1:26" ht="14.25" customHeight="1" x14ac:dyDescent="0.45">
      <c r="A535" s="1"/>
      <c r="B535" s="1" t="s">
        <v>319</v>
      </c>
      <c r="C535" s="15"/>
      <c r="D535" s="15"/>
      <c r="E535" s="15">
        <v>5</v>
      </c>
      <c r="F535" s="96" t="s">
        <v>34</v>
      </c>
      <c r="G535" s="94"/>
      <c r="H535" s="95"/>
      <c r="I535" s="16" t="s">
        <v>269</v>
      </c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1">
        <f t="shared" si="97"/>
        <v>0</v>
      </c>
      <c r="W535" s="1"/>
      <c r="X535" s="1"/>
      <c r="Y535" s="1"/>
      <c r="Z535" s="1"/>
    </row>
    <row r="536" spans="1:26" ht="14.25" customHeight="1" x14ac:dyDescent="0.45">
      <c r="A536" s="1"/>
      <c r="B536" s="1" t="s">
        <v>319</v>
      </c>
      <c r="C536" s="15"/>
      <c r="D536" s="15"/>
      <c r="E536" s="15"/>
      <c r="F536" s="16"/>
      <c r="G536" s="42"/>
      <c r="H536" s="43"/>
      <c r="I536" s="16" t="s">
        <v>277</v>
      </c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1">
        <f t="shared" si="97"/>
        <v>0</v>
      </c>
      <c r="W536" s="1"/>
      <c r="X536" s="1"/>
      <c r="Y536" s="1"/>
      <c r="Z536" s="1"/>
    </row>
    <row r="537" spans="1:26" ht="14.25" customHeight="1" x14ac:dyDescent="0.45">
      <c r="A537" s="1"/>
      <c r="B537" s="1" t="s">
        <v>320</v>
      </c>
      <c r="C537" s="15"/>
      <c r="D537" s="15"/>
      <c r="E537" s="15">
        <v>6</v>
      </c>
      <c r="F537" s="96" t="s">
        <v>279</v>
      </c>
      <c r="G537" s="94"/>
      <c r="H537" s="95"/>
      <c r="I537" s="16" t="s">
        <v>269</v>
      </c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1">
        <f t="shared" si="97"/>
        <v>0</v>
      </c>
      <c r="W537" s="1"/>
      <c r="X537" s="1"/>
      <c r="Y537" s="1"/>
      <c r="Z537" s="1"/>
    </row>
    <row r="538" spans="1:26" ht="14.25" customHeight="1" x14ac:dyDescent="0.45">
      <c r="A538" s="1"/>
      <c r="B538" s="1" t="s">
        <v>320</v>
      </c>
      <c r="C538" s="15"/>
      <c r="D538" s="15"/>
      <c r="E538" s="15"/>
      <c r="F538" s="96"/>
      <c r="G538" s="94"/>
      <c r="H538" s="95"/>
      <c r="I538" s="16" t="s">
        <v>178</v>
      </c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1">
        <f t="shared" si="97"/>
        <v>0</v>
      </c>
      <c r="W538" s="1"/>
      <c r="X538" s="1"/>
      <c r="Y538" s="1"/>
      <c r="Z538" s="1"/>
    </row>
    <row r="539" spans="1:26" ht="14.25" customHeight="1" x14ac:dyDescent="0.45">
      <c r="A539" s="1"/>
      <c r="B539" s="1" t="s">
        <v>321</v>
      </c>
      <c r="C539" s="15"/>
      <c r="D539" s="15"/>
      <c r="E539" s="15">
        <v>7</v>
      </c>
      <c r="F539" s="96" t="s">
        <v>44</v>
      </c>
      <c r="G539" s="94"/>
      <c r="H539" s="95"/>
      <c r="I539" s="16" t="s">
        <v>269</v>
      </c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1">
        <f t="shared" si="97"/>
        <v>0</v>
      </c>
      <c r="W539" s="1"/>
      <c r="X539" s="1"/>
      <c r="Y539" s="1"/>
      <c r="Z539" s="1"/>
    </row>
    <row r="540" spans="1:26" ht="14.25" customHeight="1" x14ac:dyDescent="0.45">
      <c r="A540" s="1"/>
      <c r="B540" s="1" t="s">
        <v>321</v>
      </c>
      <c r="C540" s="15"/>
      <c r="D540" s="15"/>
      <c r="E540" s="15"/>
      <c r="F540" s="96"/>
      <c r="G540" s="94"/>
      <c r="H540" s="95"/>
      <c r="I540" s="16" t="s">
        <v>281</v>
      </c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1">
        <f t="shared" si="97"/>
        <v>0</v>
      </c>
      <c r="W540" s="1"/>
      <c r="X540" s="1"/>
      <c r="Y540" s="1"/>
      <c r="Z540" s="1"/>
    </row>
    <row r="541" spans="1:26" ht="14.25" customHeight="1" x14ac:dyDescent="0.45">
      <c r="A541" s="1"/>
      <c r="C541" s="15"/>
      <c r="D541" s="15"/>
      <c r="E541" s="47"/>
      <c r="F541" s="11"/>
      <c r="G541" s="11"/>
      <c r="H541" s="11"/>
      <c r="I541" s="11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"/>
      <c r="X541" s="1"/>
      <c r="Y541" s="1"/>
      <c r="Z541" s="1"/>
    </row>
    <row r="542" spans="1:26" ht="14.25" customHeight="1" x14ac:dyDescent="0.45">
      <c r="A542" s="1"/>
      <c r="C542" s="15"/>
      <c r="D542" s="100" t="s">
        <v>290</v>
      </c>
      <c r="E542" s="81"/>
      <c r="F542" s="81"/>
      <c r="G542" s="81"/>
      <c r="H542" s="82"/>
      <c r="I542" s="16" t="s">
        <v>269</v>
      </c>
      <c r="J542" s="21">
        <f t="shared" ref="J542:V542" ca="1" si="98">(SUMIF($I$517:$V$527,$I542,J$517:J$527))+(SUMIF($I$530:$V$540,$I542,J$530:J$540))</f>
        <v>0</v>
      </c>
      <c r="K542" s="21">
        <f t="shared" ca="1" si="98"/>
        <v>0</v>
      </c>
      <c r="L542" s="21">
        <f t="shared" ca="1" si="98"/>
        <v>0</v>
      </c>
      <c r="M542" s="21">
        <f t="shared" ca="1" si="98"/>
        <v>0</v>
      </c>
      <c r="N542" s="21">
        <f t="shared" ca="1" si="98"/>
        <v>0</v>
      </c>
      <c r="O542" s="21">
        <f t="shared" ca="1" si="98"/>
        <v>0</v>
      </c>
      <c r="P542" s="21">
        <f t="shared" ca="1" si="98"/>
        <v>0</v>
      </c>
      <c r="Q542" s="21">
        <f t="shared" ca="1" si="98"/>
        <v>0</v>
      </c>
      <c r="R542" s="21">
        <f t="shared" ca="1" si="98"/>
        <v>0</v>
      </c>
      <c r="S542" s="21">
        <f t="shared" ca="1" si="98"/>
        <v>0</v>
      </c>
      <c r="T542" s="21">
        <f t="shared" ca="1" si="98"/>
        <v>0</v>
      </c>
      <c r="U542" s="21">
        <f t="shared" ca="1" si="98"/>
        <v>0</v>
      </c>
      <c r="V542" s="21">
        <f t="shared" ca="1" si="98"/>
        <v>0</v>
      </c>
      <c r="W542" s="1"/>
      <c r="X542" s="1"/>
      <c r="Y542" s="1"/>
      <c r="Z542" s="1"/>
    </row>
    <row r="543" spans="1:26" ht="14.25" customHeight="1" x14ac:dyDescent="0.45">
      <c r="A543" s="1"/>
      <c r="C543" s="15"/>
      <c r="D543" s="83"/>
      <c r="E543" s="84"/>
      <c r="F543" s="84"/>
      <c r="G543" s="84"/>
      <c r="H543" s="85"/>
      <c r="I543" s="16" t="s">
        <v>270</v>
      </c>
      <c r="J543" s="21">
        <f t="shared" ref="J543:V543" ca="1" si="99">(SUMIF($I$517:$V$527,$I543,J$517:J$527))+(SUMIF($I$530:$V$540,$I543,J$530:J$540))</f>
        <v>0</v>
      </c>
      <c r="K543" s="21">
        <f t="shared" ca="1" si="99"/>
        <v>0</v>
      </c>
      <c r="L543" s="21">
        <f t="shared" ca="1" si="99"/>
        <v>0</v>
      </c>
      <c r="M543" s="21">
        <f t="shared" ca="1" si="99"/>
        <v>0</v>
      </c>
      <c r="N543" s="21">
        <f t="shared" ca="1" si="99"/>
        <v>0</v>
      </c>
      <c r="O543" s="21">
        <f t="shared" ca="1" si="99"/>
        <v>0</v>
      </c>
      <c r="P543" s="21">
        <f t="shared" ca="1" si="99"/>
        <v>0</v>
      </c>
      <c r="Q543" s="21">
        <f t="shared" ca="1" si="99"/>
        <v>0</v>
      </c>
      <c r="R543" s="21">
        <f t="shared" ca="1" si="99"/>
        <v>0</v>
      </c>
      <c r="S543" s="21">
        <f t="shared" ca="1" si="99"/>
        <v>0</v>
      </c>
      <c r="T543" s="21">
        <f t="shared" ca="1" si="99"/>
        <v>0</v>
      </c>
      <c r="U543" s="21">
        <f t="shared" ca="1" si="99"/>
        <v>0</v>
      </c>
      <c r="V543" s="21">
        <f t="shared" ca="1" si="99"/>
        <v>0</v>
      </c>
      <c r="W543" s="1"/>
      <c r="X543" s="1"/>
      <c r="Y543" s="1"/>
      <c r="Z543" s="1"/>
    </row>
    <row r="544" spans="1:26" ht="14.25" customHeight="1" x14ac:dyDescent="0.45">
      <c r="A544" s="1"/>
      <c r="C544" s="15"/>
      <c r="D544" s="83"/>
      <c r="E544" s="84"/>
      <c r="F544" s="84"/>
      <c r="G544" s="84"/>
      <c r="H544" s="85"/>
      <c r="I544" s="16" t="s">
        <v>277</v>
      </c>
      <c r="J544" s="21">
        <f t="shared" ref="J544:V544" ca="1" si="100">(SUMIF($I$517:$V$527,$I544,J$517:J$527))+(SUMIF($I$530:$V$540,$I544,J$530:J$540))</f>
        <v>0</v>
      </c>
      <c r="K544" s="21">
        <f t="shared" ca="1" si="100"/>
        <v>0</v>
      </c>
      <c r="L544" s="21">
        <f t="shared" ca="1" si="100"/>
        <v>0</v>
      </c>
      <c r="M544" s="21">
        <f t="shared" ca="1" si="100"/>
        <v>0</v>
      </c>
      <c r="N544" s="21">
        <f t="shared" ca="1" si="100"/>
        <v>0</v>
      </c>
      <c r="O544" s="21">
        <f t="shared" ca="1" si="100"/>
        <v>0</v>
      </c>
      <c r="P544" s="21">
        <f t="shared" ca="1" si="100"/>
        <v>0</v>
      </c>
      <c r="Q544" s="21">
        <f t="shared" ca="1" si="100"/>
        <v>0</v>
      </c>
      <c r="R544" s="21">
        <f t="shared" ca="1" si="100"/>
        <v>0</v>
      </c>
      <c r="S544" s="21">
        <f t="shared" ca="1" si="100"/>
        <v>0</v>
      </c>
      <c r="T544" s="21">
        <f t="shared" ca="1" si="100"/>
        <v>0</v>
      </c>
      <c r="U544" s="21">
        <f t="shared" ca="1" si="100"/>
        <v>0</v>
      </c>
      <c r="V544" s="21">
        <f t="shared" ca="1" si="100"/>
        <v>0</v>
      </c>
      <c r="W544" s="1"/>
      <c r="X544" s="1"/>
      <c r="Y544" s="1"/>
      <c r="Z544" s="1"/>
    </row>
    <row r="545" spans="1:26" ht="14.25" customHeight="1" x14ac:dyDescent="0.45">
      <c r="A545" s="1"/>
      <c r="C545" s="15"/>
      <c r="D545" s="83"/>
      <c r="E545" s="84"/>
      <c r="F545" s="84"/>
      <c r="G545" s="84"/>
      <c r="H545" s="85"/>
      <c r="I545" s="16" t="s">
        <v>178</v>
      </c>
      <c r="J545" s="21">
        <f t="shared" ref="J545:V545" ca="1" si="101">(SUMIF($I$517:$V$527,$I545,J$517:J$527))+(SUMIF($I$530:$V$540,$I545,J$530:J$540))</f>
        <v>0</v>
      </c>
      <c r="K545" s="21">
        <f t="shared" ca="1" si="101"/>
        <v>0</v>
      </c>
      <c r="L545" s="21">
        <f t="shared" ca="1" si="101"/>
        <v>0</v>
      </c>
      <c r="M545" s="21">
        <f t="shared" ca="1" si="101"/>
        <v>0</v>
      </c>
      <c r="N545" s="21">
        <f t="shared" ca="1" si="101"/>
        <v>0</v>
      </c>
      <c r="O545" s="21">
        <f t="shared" ca="1" si="101"/>
        <v>0</v>
      </c>
      <c r="P545" s="21">
        <f t="shared" ca="1" si="101"/>
        <v>0</v>
      </c>
      <c r="Q545" s="21">
        <f t="shared" ca="1" si="101"/>
        <v>0</v>
      </c>
      <c r="R545" s="21">
        <f t="shared" ca="1" si="101"/>
        <v>0</v>
      </c>
      <c r="S545" s="21">
        <f t="shared" ca="1" si="101"/>
        <v>0</v>
      </c>
      <c r="T545" s="21">
        <f t="shared" ca="1" si="101"/>
        <v>0</v>
      </c>
      <c r="U545" s="21">
        <f t="shared" ca="1" si="101"/>
        <v>0</v>
      </c>
      <c r="V545" s="21">
        <f t="shared" ca="1" si="101"/>
        <v>0</v>
      </c>
      <c r="W545" s="1"/>
      <c r="X545" s="1"/>
      <c r="Y545" s="1"/>
      <c r="Z545" s="1"/>
    </row>
    <row r="546" spans="1:26" ht="14.25" customHeight="1" x14ac:dyDescent="0.45">
      <c r="A546" s="1"/>
      <c r="C546" s="15"/>
      <c r="D546" s="90"/>
      <c r="E546" s="91"/>
      <c r="F546" s="91"/>
      <c r="G546" s="91"/>
      <c r="H546" s="92"/>
      <c r="I546" s="16" t="s">
        <v>281</v>
      </c>
      <c r="J546" s="21">
        <f t="shared" ref="J546:V546" ca="1" si="102">(SUMIF($I$517:$V$527,$I546,J$517:J$527))+(SUMIF($I$530:$V$540,$I546,J$530:J$540))</f>
        <v>0</v>
      </c>
      <c r="K546" s="21">
        <f t="shared" ca="1" si="102"/>
        <v>0</v>
      </c>
      <c r="L546" s="21">
        <f t="shared" ca="1" si="102"/>
        <v>0</v>
      </c>
      <c r="M546" s="21">
        <f t="shared" ca="1" si="102"/>
        <v>0</v>
      </c>
      <c r="N546" s="21">
        <f t="shared" ca="1" si="102"/>
        <v>0</v>
      </c>
      <c r="O546" s="21">
        <f t="shared" ca="1" si="102"/>
        <v>0</v>
      </c>
      <c r="P546" s="21">
        <f t="shared" ca="1" si="102"/>
        <v>0</v>
      </c>
      <c r="Q546" s="21">
        <f t="shared" ca="1" si="102"/>
        <v>0</v>
      </c>
      <c r="R546" s="21">
        <f t="shared" ca="1" si="102"/>
        <v>0</v>
      </c>
      <c r="S546" s="21">
        <f t="shared" ca="1" si="102"/>
        <v>0</v>
      </c>
      <c r="T546" s="21">
        <f t="shared" ca="1" si="102"/>
        <v>0</v>
      </c>
      <c r="U546" s="21">
        <f t="shared" ca="1" si="102"/>
        <v>0</v>
      </c>
      <c r="V546" s="21">
        <f t="shared" ca="1" si="102"/>
        <v>0</v>
      </c>
      <c r="W546" s="1"/>
      <c r="X546" s="1"/>
      <c r="Y546" s="1"/>
      <c r="Z546" s="1"/>
    </row>
    <row r="547" spans="1:26" ht="14.25" customHeight="1" x14ac:dyDescent="0.45">
      <c r="A547" s="1"/>
      <c r="C547" s="15"/>
      <c r="D547" s="17"/>
      <c r="E547" s="63"/>
      <c r="F547" s="63"/>
      <c r="G547" s="63"/>
      <c r="H547" s="64"/>
      <c r="I547" s="17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"/>
      <c r="X547" s="1"/>
      <c r="Y547" s="1"/>
      <c r="Z547" s="1"/>
    </row>
    <row r="548" spans="1:26" ht="14.25" customHeight="1" x14ac:dyDescent="0.45">
      <c r="A548" s="1"/>
      <c r="C548" s="33">
        <v>2</v>
      </c>
      <c r="D548" s="96" t="s">
        <v>217</v>
      </c>
      <c r="E548" s="94"/>
      <c r="F548" s="94"/>
      <c r="G548" s="94"/>
      <c r="H548" s="95"/>
      <c r="I548" s="13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"/>
      <c r="X548" s="1"/>
      <c r="Y548" s="1"/>
      <c r="Z548" s="1"/>
    </row>
    <row r="549" spans="1:26" ht="14.25" customHeight="1" x14ac:dyDescent="0.45">
      <c r="A549" s="1"/>
      <c r="C549" s="15"/>
      <c r="D549" s="15">
        <v>1</v>
      </c>
      <c r="E549" s="96" t="s">
        <v>218</v>
      </c>
      <c r="F549" s="94"/>
      <c r="G549" s="94"/>
      <c r="H549" s="95"/>
      <c r="I549" s="13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"/>
      <c r="X549" s="1"/>
      <c r="Y549" s="1"/>
      <c r="Z549" s="1"/>
    </row>
    <row r="550" spans="1:26" ht="14.25" customHeight="1" x14ac:dyDescent="0.45">
      <c r="A550" s="1"/>
      <c r="B550" s="1" t="s">
        <v>322</v>
      </c>
      <c r="C550" s="15"/>
      <c r="D550" s="15"/>
      <c r="E550" s="15">
        <v>1</v>
      </c>
      <c r="F550" s="96" t="s">
        <v>28</v>
      </c>
      <c r="G550" s="94"/>
      <c r="H550" s="95"/>
      <c r="I550" s="16" t="s">
        <v>269</v>
      </c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1">
        <f t="shared" ref="V550:V560" si="103">SUM(J550:U550)</f>
        <v>0</v>
      </c>
      <c r="W550" s="1"/>
      <c r="X550" s="1"/>
      <c r="Y550" s="1"/>
      <c r="Z550" s="1"/>
    </row>
    <row r="551" spans="1:26" ht="14.25" customHeight="1" x14ac:dyDescent="0.45">
      <c r="A551" s="1"/>
      <c r="B551" s="1" t="s">
        <v>322</v>
      </c>
      <c r="C551" s="15"/>
      <c r="D551" s="15"/>
      <c r="E551" s="15"/>
      <c r="F551" s="96"/>
      <c r="G551" s="94"/>
      <c r="H551" s="95"/>
      <c r="I551" s="16" t="s">
        <v>270</v>
      </c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1">
        <f t="shared" si="103"/>
        <v>0</v>
      </c>
      <c r="W551" s="1"/>
      <c r="X551" s="1"/>
      <c r="Y551" s="1"/>
      <c r="Z551" s="1"/>
    </row>
    <row r="552" spans="1:26" ht="14.25" customHeight="1" x14ac:dyDescent="0.45">
      <c r="A552" s="1"/>
      <c r="B552" s="1" t="s">
        <v>323</v>
      </c>
      <c r="C552" s="15"/>
      <c r="D552" s="15"/>
      <c r="E552" s="15">
        <v>2</v>
      </c>
      <c r="F552" s="96" t="s">
        <v>272</v>
      </c>
      <c r="G552" s="94"/>
      <c r="H552" s="95"/>
      <c r="I552" s="16" t="s">
        <v>269</v>
      </c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1">
        <f t="shared" si="103"/>
        <v>0</v>
      </c>
      <c r="W552" s="1"/>
      <c r="X552" s="1"/>
      <c r="Y552" s="1"/>
      <c r="Z552" s="1"/>
    </row>
    <row r="553" spans="1:26" ht="14.25" customHeight="1" x14ac:dyDescent="0.45">
      <c r="A553" s="1"/>
      <c r="B553" s="1" t="s">
        <v>324</v>
      </c>
      <c r="C553" s="15"/>
      <c r="D553" s="15"/>
      <c r="E553" s="15">
        <v>3</v>
      </c>
      <c r="F553" s="96" t="s">
        <v>274</v>
      </c>
      <c r="G553" s="94"/>
      <c r="H553" s="95"/>
      <c r="I553" s="16" t="s">
        <v>269</v>
      </c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1">
        <f t="shared" si="103"/>
        <v>0</v>
      </c>
      <c r="W553" s="1"/>
      <c r="X553" s="1"/>
      <c r="Y553" s="1"/>
      <c r="Z553" s="1"/>
    </row>
    <row r="554" spans="1:26" ht="14.25" customHeight="1" x14ac:dyDescent="0.45">
      <c r="A554" s="1"/>
      <c r="B554" s="1" t="s">
        <v>325</v>
      </c>
      <c r="C554" s="15"/>
      <c r="D554" s="15"/>
      <c r="E554" s="15">
        <v>4</v>
      </c>
      <c r="F554" s="96" t="s">
        <v>38</v>
      </c>
      <c r="G554" s="94"/>
      <c r="H554" s="95"/>
      <c r="I554" s="16" t="s">
        <v>269</v>
      </c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1">
        <f t="shared" si="103"/>
        <v>0</v>
      </c>
      <c r="W554" s="1"/>
      <c r="X554" s="1"/>
      <c r="Y554" s="1"/>
      <c r="Z554" s="1"/>
    </row>
    <row r="555" spans="1:26" ht="14.25" customHeight="1" x14ac:dyDescent="0.45">
      <c r="A555" s="1"/>
      <c r="B555" s="1" t="s">
        <v>326</v>
      </c>
      <c r="C555" s="15"/>
      <c r="D555" s="15"/>
      <c r="E555" s="15">
        <v>5</v>
      </c>
      <c r="F555" s="96" t="s">
        <v>34</v>
      </c>
      <c r="G555" s="94"/>
      <c r="H555" s="95"/>
      <c r="I555" s="16" t="s">
        <v>269</v>
      </c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1">
        <f t="shared" si="103"/>
        <v>0</v>
      </c>
      <c r="W555" s="1"/>
      <c r="X555" s="1"/>
      <c r="Y555" s="1"/>
      <c r="Z555" s="1"/>
    </row>
    <row r="556" spans="1:26" ht="14.25" customHeight="1" x14ac:dyDescent="0.45">
      <c r="A556" s="1"/>
      <c r="B556" s="1" t="s">
        <v>326</v>
      </c>
      <c r="C556" s="15"/>
      <c r="D556" s="15"/>
      <c r="E556" s="15"/>
      <c r="F556" s="16"/>
      <c r="G556" s="42"/>
      <c r="H556" s="43"/>
      <c r="I556" s="16" t="s">
        <v>277</v>
      </c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1">
        <f t="shared" si="103"/>
        <v>0</v>
      </c>
      <c r="W556" s="1"/>
      <c r="X556" s="1"/>
      <c r="Y556" s="1"/>
      <c r="Z556" s="1"/>
    </row>
    <row r="557" spans="1:26" ht="14.25" customHeight="1" x14ac:dyDescent="0.45">
      <c r="A557" s="1"/>
      <c r="B557" s="1" t="s">
        <v>327</v>
      </c>
      <c r="C557" s="15"/>
      <c r="D557" s="15"/>
      <c r="E557" s="15">
        <v>6</v>
      </c>
      <c r="F557" s="96" t="s">
        <v>279</v>
      </c>
      <c r="G557" s="94"/>
      <c r="H557" s="95"/>
      <c r="I557" s="16" t="s">
        <v>269</v>
      </c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1">
        <f t="shared" si="103"/>
        <v>0</v>
      </c>
      <c r="W557" s="1"/>
      <c r="X557" s="1"/>
      <c r="Y557" s="1"/>
      <c r="Z557" s="1"/>
    </row>
    <row r="558" spans="1:26" ht="14.25" customHeight="1" x14ac:dyDescent="0.45">
      <c r="A558" s="1"/>
      <c r="B558" s="1" t="s">
        <v>327</v>
      </c>
      <c r="C558" s="15"/>
      <c r="D558" s="15"/>
      <c r="E558" s="15"/>
      <c r="F558" s="96"/>
      <c r="G558" s="94"/>
      <c r="H558" s="95"/>
      <c r="I558" s="16" t="s">
        <v>178</v>
      </c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1">
        <f t="shared" si="103"/>
        <v>0</v>
      </c>
      <c r="W558" s="1"/>
      <c r="X558" s="1"/>
      <c r="Y558" s="1"/>
      <c r="Z558" s="1"/>
    </row>
    <row r="559" spans="1:26" ht="14.25" customHeight="1" x14ac:dyDescent="0.45">
      <c r="A559" s="1"/>
      <c r="B559" s="1" t="s">
        <v>328</v>
      </c>
      <c r="C559" s="15"/>
      <c r="D559" s="15"/>
      <c r="E559" s="15">
        <v>7</v>
      </c>
      <c r="F559" s="96" t="s">
        <v>44</v>
      </c>
      <c r="G559" s="94"/>
      <c r="H559" s="95"/>
      <c r="I559" s="16" t="s">
        <v>269</v>
      </c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1">
        <f t="shared" si="103"/>
        <v>0</v>
      </c>
      <c r="W559" s="1"/>
      <c r="X559" s="1"/>
      <c r="Y559" s="1"/>
      <c r="Z559" s="1"/>
    </row>
    <row r="560" spans="1:26" ht="14.25" customHeight="1" x14ac:dyDescent="0.45">
      <c r="A560" s="1"/>
      <c r="B560" s="1" t="s">
        <v>328</v>
      </c>
      <c r="C560" s="15"/>
      <c r="D560" s="15"/>
      <c r="E560" s="15"/>
      <c r="F560" s="102"/>
      <c r="G560" s="94"/>
      <c r="H560" s="95"/>
      <c r="I560" s="16" t="s">
        <v>281</v>
      </c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1">
        <f t="shared" si="103"/>
        <v>0</v>
      </c>
      <c r="W560" s="1"/>
      <c r="X560" s="1"/>
      <c r="Y560" s="1"/>
      <c r="Z560" s="1"/>
    </row>
    <row r="561" spans="1:26" ht="14.25" customHeight="1" x14ac:dyDescent="0.45">
      <c r="A561" s="1"/>
      <c r="C561" s="15"/>
      <c r="D561" s="15"/>
      <c r="E561" s="47"/>
      <c r="F561" s="11"/>
      <c r="G561" s="11"/>
      <c r="H561" s="11"/>
      <c r="I561" s="11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"/>
      <c r="X561" s="1"/>
      <c r="Y561" s="1"/>
      <c r="Z561" s="1"/>
    </row>
    <row r="562" spans="1:26" ht="14.25" customHeight="1" x14ac:dyDescent="0.45">
      <c r="A562" s="1"/>
      <c r="C562" s="15"/>
      <c r="D562" s="15">
        <v>2</v>
      </c>
      <c r="E562" s="96" t="s">
        <v>234</v>
      </c>
      <c r="F562" s="94"/>
      <c r="G562" s="94"/>
      <c r="H562" s="95"/>
      <c r="I562" s="13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"/>
      <c r="X562" s="1"/>
      <c r="Y562" s="1"/>
      <c r="Z562" s="1"/>
    </row>
    <row r="563" spans="1:26" ht="14.25" customHeight="1" x14ac:dyDescent="0.45">
      <c r="A563" s="1"/>
      <c r="B563" s="1" t="s">
        <v>329</v>
      </c>
      <c r="C563" s="15"/>
      <c r="D563" s="15"/>
      <c r="E563" s="15">
        <v>1</v>
      </c>
      <c r="F563" s="96" t="s">
        <v>28</v>
      </c>
      <c r="G563" s="94"/>
      <c r="H563" s="95"/>
      <c r="I563" s="16" t="s">
        <v>269</v>
      </c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1">
        <f t="shared" ref="V563:V573" si="104">SUM(J563:U563)</f>
        <v>0</v>
      </c>
      <c r="W563" s="1"/>
      <c r="X563" s="1"/>
      <c r="Y563" s="1"/>
      <c r="Z563" s="1"/>
    </row>
    <row r="564" spans="1:26" ht="14.25" customHeight="1" x14ac:dyDescent="0.45">
      <c r="A564" s="1"/>
      <c r="B564" s="1" t="s">
        <v>329</v>
      </c>
      <c r="C564" s="15"/>
      <c r="D564" s="15"/>
      <c r="E564" s="15"/>
      <c r="F564" s="96"/>
      <c r="G564" s="94"/>
      <c r="H564" s="95"/>
      <c r="I564" s="16" t="s">
        <v>270</v>
      </c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1">
        <f t="shared" si="104"/>
        <v>0</v>
      </c>
      <c r="W564" s="1"/>
      <c r="X564" s="1"/>
      <c r="Y564" s="1"/>
      <c r="Z564" s="1"/>
    </row>
    <row r="565" spans="1:26" ht="14.25" customHeight="1" x14ac:dyDescent="0.45">
      <c r="A565" s="1"/>
      <c r="B565" s="1" t="s">
        <v>330</v>
      </c>
      <c r="C565" s="15"/>
      <c r="D565" s="15"/>
      <c r="E565" s="15">
        <v>2</v>
      </c>
      <c r="F565" s="96" t="s">
        <v>272</v>
      </c>
      <c r="G565" s="94"/>
      <c r="H565" s="95"/>
      <c r="I565" s="16" t="s">
        <v>269</v>
      </c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1">
        <f t="shared" si="104"/>
        <v>0</v>
      </c>
      <c r="W565" s="1"/>
      <c r="X565" s="1"/>
      <c r="Y565" s="1"/>
      <c r="Z565" s="1"/>
    </row>
    <row r="566" spans="1:26" ht="14.25" customHeight="1" x14ac:dyDescent="0.45">
      <c r="A566" s="1"/>
      <c r="B566" s="1" t="s">
        <v>331</v>
      </c>
      <c r="C566" s="15"/>
      <c r="D566" s="15"/>
      <c r="E566" s="15">
        <v>3</v>
      </c>
      <c r="F566" s="96" t="s">
        <v>274</v>
      </c>
      <c r="G566" s="94"/>
      <c r="H566" s="95"/>
      <c r="I566" s="16" t="s">
        <v>269</v>
      </c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1">
        <f t="shared" si="104"/>
        <v>0</v>
      </c>
      <c r="W566" s="1"/>
      <c r="X566" s="1"/>
      <c r="Y566" s="1"/>
      <c r="Z566" s="1"/>
    </row>
    <row r="567" spans="1:26" ht="14.25" customHeight="1" x14ac:dyDescent="0.45">
      <c r="A567" s="1"/>
      <c r="B567" s="1" t="s">
        <v>332</v>
      </c>
      <c r="C567" s="15"/>
      <c r="D567" s="15"/>
      <c r="E567" s="15">
        <v>4</v>
      </c>
      <c r="F567" s="96" t="s">
        <v>38</v>
      </c>
      <c r="G567" s="94"/>
      <c r="H567" s="95"/>
      <c r="I567" s="16" t="s">
        <v>269</v>
      </c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1">
        <f t="shared" si="104"/>
        <v>0</v>
      </c>
      <c r="W567" s="1"/>
      <c r="X567" s="1"/>
      <c r="Y567" s="1"/>
      <c r="Z567" s="1"/>
    </row>
    <row r="568" spans="1:26" ht="14.25" customHeight="1" x14ac:dyDescent="0.45">
      <c r="A568" s="1"/>
      <c r="B568" s="1" t="s">
        <v>333</v>
      </c>
      <c r="C568" s="15"/>
      <c r="D568" s="15"/>
      <c r="E568" s="15">
        <v>5</v>
      </c>
      <c r="F568" s="96" t="s">
        <v>34</v>
      </c>
      <c r="G568" s="94"/>
      <c r="H568" s="95"/>
      <c r="I568" s="16" t="s">
        <v>269</v>
      </c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1">
        <f t="shared" si="104"/>
        <v>0</v>
      </c>
      <c r="W568" s="1"/>
      <c r="X568" s="1"/>
      <c r="Y568" s="1"/>
      <c r="Z568" s="1"/>
    </row>
    <row r="569" spans="1:26" ht="14.25" customHeight="1" x14ac:dyDescent="0.45">
      <c r="A569" s="1"/>
      <c r="B569" s="1" t="s">
        <v>333</v>
      </c>
      <c r="C569" s="15"/>
      <c r="D569" s="15"/>
      <c r="E569" s="15"/>
      <c r="F569" s="16"/>
      <c r="G569" s="42"/>
      <c r="H569" s="43"/>
      <c r="I569" s="16" t="s">
        <v>277</v>
      </c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1">
        <f t="shared" si="104"/>
        <v>0</v>
      </c>
      <c r="W569" s="1"/>
      <c r="X569" s="1"/>
      <c r="Y569" s="1"/>
      <c r="Z569" s="1"/>
    </row>
    <row r="570" spans="1:26" ht="14.25" customHeight="1" x14ac:dyDescent="0.45">
      <c r="A570" s="1"/>
      <c r="B570" s="1" t="s">
        <v>334</v>
      </c>
      <c r="C570" s="15"/>
      <c r="D570" s="15"/>
      <c r="E570" s="15">
        <v>6</v>
      </c>
      <c r="F570" s="96" t="s">
        <v>279</v>
      </c>
      <c r="G570" s="94"/>
      <c r="H570" s="95"/>
      <c r="I570" s="16" t="s">
        <v>269</v>
      </c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1">
        <f t="shared" si="104"/>
        <v>0</v>
      </c>
      <c r="W570" s="1"/>
      <c r="X570" s="1"/>
      <c r="Y570" s="1"/>
      <c r="Z570" s="1"/>
    </row>
    <row r="571" spans="1:26" ht="14.25" customHeight="1" x14ac:dyDescent="0.45">
      <c r="A571" s="1"/>
      <c r="B571" s="1" t="s">
        <v>334</v>
      </c>
      <c r="C571" s="15"/>
      <c r="D571" s="15"/>
      <c r="E571" s="15"/>
      <c r="F571" s="96"/>
      <c r="G571" s="94"/>
      <c r="H571" s="95"/>
      <c r="I571" s="16" t="s">
        <v>178</v>
      </c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1">
        <f t="shared" si="104"/>
        <v>0</v>
      </c>
      <c r="W571" s="1"/>
      <c r="X571" s="1"/>
      <c r="Y571" s="1"/>
      <c r="Z571" s="1"/>
    </row>
    <row r="572" spans="1:26" ht="14.25" customHeight="1" x14ac:dyDescent="0.45">
      <c r="A572" s="1"/>
      <c r="B572" s="1" t="s">
        <v>335</v>
      </c>
      <c r="C572" s="15"/>
      <c r="D572" s="15"/>
      <c r="E572" s="15">
        <v>7</v>
      </c>
      <c r="F572" s="96" t="s">
        <v>44</v>
      </c>
      <c r="G572" s="94"/>
      <c r="H572" s="95"/>
      <c r="I572" s="16" t="s">
        <v>269</v>
      </c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1">
        <f t="shared" si="104"/>
        <v>0</v>
      </c>
      <c r="W572" s="1"/>
      <c r="X572" s="1"/>
      <c r="Y572" s="1"/>
      <c r="Z572" s="1"/>
    </row>
    <row r="573" spans="1:26" ht="14.25" customHeight="1" x14ac:dyDescent="0.45">
      <c r="A573" s="1"/>
      <c r="B573" s="1" t="s">
        <v>335</v>
      </c>
      <c r="C573" s="15"/>
      <c r="D573" s="15"/>
      <c r="E573" s="15"/>
      <c r="F573" s="102"/>
      <c r="G573" s="94"/>
      <c r="H573" s="95"/>
      <c r="I573" s="16" t="s">
        <v>281</v>
      </c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1">
        <f t="shared" si="104"/>
        <v>0</v>
      </c>
      <c r="W573" s="1"/>
      <c r="X573" s="1"/>
      <c r="Y573" s="1"/>
      <c r="Z573" s="1"/>
    </row>
    <row r="574" spans="1:26" ht="14.25" customHeight="1" x14ac:dyDescent="0.45">
      <c r="A574" s="1"/>
      <c r="C574" s="15"/>
      <c r="D574" s="15"/>
      <c r="E574" s="47"/>
      <c r="F574" s="11"/>
      <c r="G574" s="11"/>
      <c r="H574" s="11"/>
      <c r="I574" s="11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"/>
      <c r="X574" s="1"/>
      <c r="Y574" s="1"/>
      <c r="Z574" s="1"/>
    </row>
    <row r="575" spans="1:26" ht="14.25" customHeight="1" x14ac:dyDescent="0.45">
      <c r="A575" s="1"/>
      <c r="C575" s="15"/>
      <c r="D575" s="100" t="s">
        <v>305</v>
      </c>
      <c r="E575" s="81"/>
      <c r="F575" s="81"/>
      <c r="G575" s="81"/>
      <c r="H575" s="82"/>
      <c r="I575" s="16" t="s">
        <v>269</v>
      </c>
      <c r="J575" s="21">
        <f t="shared" ref="J575:V575" ca="1" si="105">(SUMIF($I$550:$V$560,$I575,J$550:J$560))+(SUMIF($I$563:$V$573,$I575,J$563:J$573))</f>
        <v>0</v>
      </c>
      <c r="K575" s="21">
        <f t="shared" ca="1" si="105"/>
        <v>0</v>
      </c>
      <c r="L575" s="21">
        <f t="shared" ca="1" si="105"/>
        <v>0</v>
      </c>
      <c r="M575" s="21">
        <f t="shared" ca="1" si="105"/>
        <v>0</v>
      </c>
      <c r="N575" s="21">
        <f t="shared" ca="1" si="105"/>
        <v>0</v>
      </c>
      <c r="O575" s="21">
        <f t="shared" ca="1" si="105"/>
        <v>0</v>
      </c>
      <c r="P575" s="21">
        <f t="shared" ca="1" si="105"/>
        <v>0</v>
      </c>
      <c r="Q575" s="21">
        <f t="shared" ca="1" si="105"/>
        <v>0</v>
      </c>
      <c r="R575" s="21">
        <f t="shared" ca="1" si="105"/>
        <v>0</v>
      </c>
      <c r="S575" s="21">
        <f t="shared" ca="1" si="105"/>
        <v>0</v>
      </c>
      <c r="T575" s="21">
        <f t="shared" ca="1" si="105"/>
        <v>0</v>
      </c>
      <c r="U575" s="21">
        <f t="shared" ca="1" si="105"/>
        <v>0</v>
      </c>
      <c r="V575" s="21">
        <f t="shared" ca="1" si="105"/>
        <v>0</v>
      </c>
      <c r="W575" s="1"/>
      <c r="X575" s="1"/>
      <c r="Y575" s="1"/>
      <c r="Z575" s="1"/>
    </row>
    <row r="576" spans="1:26" ht="14.25" customHeight="1" x14ac:dyDescent="0.45">
      <c r="A576" s="1"/>
      <c r="C576" s="15"/>
      <c r="D576" s="83"/>
      <c r="E576" s="84"/>
      <c r="F576" s="84"/>
      <c r="G576" s="84"/>
      <c r="H576" s="85"/>
      <c r="I576" s="16" t="s">
        <v>270</v>
      </c>
      <c r="J576" s="21">
        <f t="shared" ref="J576:V576" ca="1" si="106">(SUMIF($I$550:$V$560,$I576,J$550:J$560))+(SUMIF($I$563:$V$573,$I576,J$563:J$573))</f>
        <v>0</v>
      </c>
      <c r="K576" s="21">
        <f t="shared" ca="1" si="106"/>
        <v>0</v>
      </c>
      <c r="L576" s="21">
        <f t="shared" ca="1" si="106"/>
        <v>0</v>
      </c>
      <c r="M576" s="21">
        <f t="shared" ca="1" si="106"/>
        <v>0</v>
      </c>
      <c r="N576" s="21">
        <f t="shared" ca="1" si="106"/>
        <v>0</v>
      </c>
      <c r="O576" s="21">
        <f t="shared" ca="1" si="106"/>
        <v>0</v>
      </c>
      <c r="P576" s="21">
        <f t="shared" ca="1" si="106"/>
        <v>0</v>
      </c>
      <c r="Q576" s="21">
        <f t="shared" ca="1" si="106"/>
        <v>0</v>
      </c>
      <c r="R576" s="21">
        <f t="shared" ca="1" si="106"/>
        <v>0</v>
      </c>
      <c r="S576" s="21">
        <f t="shared" ca="1" si="106"/>
        <v>0</v>
      </c>
      <c r="T576" s="21">
        <f t="shared" ca="1" si="106"/>
        <v>0</v>
      </c>
      <c r="U576" s="21">
        <f t="shared" ca="1" si="106"/>
        <v>0</v>
      </c>
      <c r="V576" s="21">
        <f t="shared" ca="1" si="106"/>
        <v>0</v>
      </c>
      <c r="W576" s="1"/>
      <c r="X576" s="1"/>
      <c r="Y576" s="1"/>
      <c r="Z576" s="1"/>
    </row>
    <row r="577" spans="1:26" ht="14.25" customHeight="1" x14ac:dyDescent="0.45">
      <c r="A577" s="1"/>
      <c r="C577" s="15"/>
      <c r="D577" s="83"/>
      <c r="E577" s="84"/>
      <c r="F577" s="84"/>
      <c r="G577" s="84"/>
      <c r="H577" s="85"/>
      <c r="I577" s="16" t="s">
        <v>277</v>
      </c>
      <c r="J577" s="21">
        <f t="shared" ref="J577:V577" ca="1" si="107">(SUMIF($I$550:$V$560,$I577,J$550:J$560))+(SUMIF($I$563:$V$573,$I577,J$563:J$573))</f>
        <v>0</v>
      </c>
      <c r="K577" s="21">
        <f t="shared" ca="1" si="107"/>
        <v>0</v>
      </c>
      <c r="L577" s="21">
        <f t="shared" ca="1" si="107"/>
        <v>0</v>
      </c>
      <c r="M577" s="21">
        <f t="shared" ca="1" si="107"/>
        <v>0</v>
      </c>
      <c r="N577" s="21">
        <f t="shared" ca="1" si="107"/>
        <v>0</v>
      </c>
      <c r="O577" s="21">
        <f t="shared" ca="1" si="107"/>
        <v>0</v>
      </c>
      <c r="P577" s="21">
        <f t="shared" ca="1" si="107"/>
        <v>0</v>
      </c>
      <c r="Q577" s="21">
        <f t="shared" ca="1" si="107"/>
        <v>0</v>
      </c>
      <c r="R577" s="21">
        <f t="shared" ca="1" si="107"/>
        <v>0</v>
      </c>
      <c r="S577" s="21">
        <f t="shared" ca="1" si="107"/>
        <v>0</v>
      </c>
      <c r="T577" s="21">
        <f t="shared" ca="1" si="107"/>
        <v>0</v>
      </c>
      <c r="U577" s="21">
        <f t="shared" ca="1" si="107"/>
        <v>0</v>
      </c>
      <c r="V577" s="21">
        <f t="shared" ca="1" si="107"/>
        <v>0</v>
      </c>
      <c r="W577" s="1"/>
      <c r="X577" s="1"/>
      <c r="Y577" s="1"/>
      <c r="Z577" s="1"/>
    </row>
    <row r="578" spans="1:26" ht="14.25" customHeight="1" x14ac:dyDescent="0.45">
      <c r="A578" s="1"/>
      <c r="C578" s="15"/>
      <c r="D578" s="83"/>
      <c r="E578" s="84"/>
      <c r="F578" s="84"/>
      <c r="G578" s="84"/>
      <c r="H578" s="85"/>
      <c r="I578" s="16" t="s">
        <v>178</v>
      </c>
      <c r="J578" s="21">
        <f t="shared" ref="J578:V578" ca="1" si="108">(SUMIF($I$550:$V$560,$I578,J$550:J$560))+(SUMIF($I$563:$V$573,$I578,J$563:J$573))</f>
        <v>0</v>
      </c>
      <c r="K578" s="21">
        <f t="shared" ca="1" si="108"/>
        <v>0</v>
      </c>
      <c r="L578" s="21">
        <f t="shared" ca="1" si="108"/>
        <v>0</v>
      </c>
      <c r="M578" s="21">
        <f t="shared" ca="1" si="108"/>
        <v>0</v>
      </c>
      <c r="N578" s="21">
        <f t="shared" ca="1" si="108"/>
        <v>0</v>
      </c>
      <c r="O578" s="21">
        <f t="shared" ca="1" si="108"/>
        <v>0</v>
      </c>
      <c r="P578" s="21">
        <f t="shared" ca="1" si="108"/>
        <v>0</v>
      </c>
      <c r="Q578" s="21">
        <f t="shared" ca="1" si="108"/>
        <v>0</v>
      </c>
      <c r="R578" s="21">
        <f t="shared" ca="1" si="108"/>
        <v>0</v>
      </c>
      <c r="S578" s="21">
        <f t="shared" ca="1" si="108"/>
        <v>0</v>
      </c>
      <c r="T578" s="21">
        <f t="shared" ca="1" si="108"/>
        <v>0</v>
      </c>
      <c r="U578" s="21">
        <f t="shared" ca="1" si="108"/>
        <v>0</v>
      </c>
      <c r="V578" s="21">
        <f t="shared" ca="1" si="108"/>
        <v>0</v>
      </c>
      <c r="W578" s="1"/>
      <c r="X578" s="1"/>
      <c r="Y578" s="1"/>
      <c r="Z578" s="1"/>
    </row>
    <row r="579" spans="1:26" ht="14.25" customHeight="1" x14ac:dyDescent="0.45">
      <c r="A579" s="1"/>
      <c r="C579" s="15"/>
      <c r="D579" s="90"/>
      <c r="E579" s="91"/>
      <c r="F579" s="91"/>
      <c r="G579" s="91"/>
      <c r="H579" s="92"/>
      <c r="I579" s="16" t="s">
        <v>281</v>
      </c>
      <c r="J579" s="21">
        <f t="shared" ref="J579:V579" ca="1" si="109">(SUMIF($I$550:$V$560,$I579,J$550:J$560))+(SUMIF($I$563:$V$573,$I579,J$563:J$573))</f>
        <v>0</v>
      </c>
      <c r="K579" s="21">
        <f t="shared" ca="1" si="109"/>
        <v>0</v>
      </c>
      <c r="L579" s="21">
        <f t="shared" ca="1" si="109"/>
        <v>0</v>
      </c>
      <c r="M579" s="21">
        <f t="shared" ca="1" si="109"/>
        <v>0</v>
      </c>
      <c r="N579" s="21">
        <f t="shared" ca="1" si="109"/>
        <v>0</v>
      </c>
      <c r="O579" s="21">
        <f t="shared" ca="1" si="109"/>
        <v>0</v>
      </c>
      <c r="P579" s="21">
        <f t="shared" ca="1" si="109"/>
        <v>0</v>
      </c>
      <c r="Q579" s="21">
        <f t="shared" ca="1" si="109"/>
        <v>0</v>
      </c>
      <c r="R579" s="21">
        <f t="shared" ca="1" si="109"/>
        <v>0</v>
      </c>
      <c r="S579" s="21">
        <f t="shared" ca="1" si="109"/>
        <v>0</v>
      </c>
      <c r="T579" s="21">
        <f t="shared" ca="1" si="109"/>
        <v>0</v>
      </c>
      <c r="U579" s="21">
        <f t="shared" ca="1" si="109"/>
        <v>0</v>
      </c>
      <c r="V579" s="21">
        <f t="shared" ca="1" si="109"/>
        <v>0</v>
      </c>
      <c r="W579" s="1"/>
      <c r="X579" s="1"/>
      <c r="Y579" s="1"/>
      <c r="Z579" s="1"/>
    </row>
    <row r="580" spans="1:26" ht="14.25" customHeight="1" x14ac:dyDescent="0.45">
      <c r="A580" s="1"/>
      <c r="C580" s="102"/>
      <c r="D580" s="94"/>
      <c r="E580" s="94"/>
      <c r="F580" s="94"/>
      <c r="G580" s="94"/>
      <c r="H580" s="95"/>
      <c r="I580" s="13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"/>
      <c r="X580" s="1"/>
      <c r="Y580" s="1"/>
      <c r="Z580" s="1"/>
    </row>
    <row r="581" spans="1:26" ht="14.25" customHeight="1" x14ac:dyDescent="0.45">
      <c r="A581" s="1"/>
      <c r="C581" s="100" t="s">
        <v>306</v>
      </c>
      <c r="D581" s="81"/>
      <c r="E581" s="81"/>
      <c r="F581" s="81"/>
      <c r="G581" s="81"/>
      <c r="H581" s="82"/>
      <c r="I581" s="16" t="s">
        <v>269</v>
      </c>
      <c r="J581" s="21">
        <f t="shared" ref="J581:V581" ca="1" si="110">J542+J575</f>
        <v>0</v>
      </c>
      <c r="K581" s="21">
        <f t="shared" ca="1" si="110"/>
        <v>0</v>
      </c>
      <c r="L581" s="21">
        <f t="shared" ca="1" si="110"/>
        <v>0</v>
      </c>
      <c r="M581" s="21">
        <f t="shared" ca="1" si="110"/>
        <v>0</v>
      </c>
      <c r="N581" s="21">
        <f t="shared" ca="1" si="110"/>
        <v>0</v>
      </c>
      <c r="O581" s="21">
        <f t="shared" ca="1" si="110"/>
        <v>0</v>
      </c>
      <c r="P581" s="21">
        <f t="shared" ca="1" si="110"/>
        <v>0</v>
      </c>
      <c r="Q581" s="21">
        <f t="shared" ca="1" si="110"/>
        <v>0</v>
      </c>
      <c r="R581" s="21">
        <f t="shared" ca="1" si="110"/>
        <v>0</v>
      </c>
      <c r="S581" s="21">
        <f t="shared" ca="1" si="110"/>
        <v>0</v>
      </c>
      <c r="T581" s="21">
        <f t="shared" ca="1" si="110"/>
        <v>0</v>
      </c>
      <c r="U581" s="21">
        <f t="shared" ca="1" si="110"/>
        <v>0</v>
      </c>
      <c r="V581" s="21">
        <f t="shared" ca="1" si="110"/>
        <v>0</v>
      </c>
      <c r="W581" s="1"/>
      <c r="X581" s="1"/>
      <c r="Y581" s="1"/>
      <c r="Z581" s="1"/>
    </row>
    <row r="582" spans="1:26" ht="14.25" customHeight="1" x14ac:dyDescent="0.45">
      <c r="A582" s="1"/>
      <c r="C582" s="83"/>
      <c r="D582" s="84"/>
      <c r="E582" s="84"/>
      <c r="F582" s="84"/>
      <c r="G582" s="84"/>
      <c r="H582" s="85"/>
      <c r="I582" s="16" t="s">
        <v>270</v>
      </c>
      <c r="J582" s="21">
        <f t="shared" ref="J582:V582" ca="1" si="111">J543+J576</f>
        <v>0</v>
      </c>
      <c r="K582" s="21">
        <f t="shared" ca="1" si="111"/>
        <v>0</v>
      </c>
      <c r="L582" s="21">
        <f t="shared" ca="1" si="111"/>
        <v>0</v>
      </c>
      <c r="M582" s="21">
        <f t="shared" ca="1" si="111"/>
        <v>0</v>
      </c>
      <c r="N582" s="21">
        <f t="shared" ca="1" si="111"/>
        <v>0</v>
      </c>
      <c r="O582" s="21">
        <f t="shared" ca="1" si="111"/>
        <v>0</v>
      </c>
      <c r="P582" s="21">
        <f t="shared" ca="1" si="111"/>
        <v>0</v>
      </c>
      <c r="Q582" s="21">
        <f t="shared" ca="1" si="111"/>
        <v>0</v>
      </c>
      <c r="R582" s="21">
        <f t="shared" ca="1" si="111"/>
        <v>0</v>
      </c>
      <c r="S582" s="21">
        <f t="shared" ca="1" si="111"/>
        <v>0</v>
      </c>
      <c r="T582" s="21">
        <f t="shared" ca="1" si="111"/>
        <v>0</v>
      </c>
      <c r="U582" s="21">
        <f t="shared" ca="1" si="111"/>
        <v>0</v>
      </c>
      <c r="V582" s="21">
        <f t="shared" ca="1" si="111"/>
        <v>0</v>
      </c>
      <c r="W582" s="1"/>
      <c r="X582" s="1"/>
      <c r="Y582" s="1"/>
      <c r="Z582" s="1"/>
    </row>
    <row r="583" spans="1:26" ht="14.25" customHeight="1" x14ac:dyDescent="0.45">
      <c r="A583" s="1"/>
      <c r="C583" s="83"/>
      <c r="D583" s="84"/>
      <c r="E583" s="84"/>
      <c r="F583" s="84"/>
      <c r="G583" s="84"/>
      <c r="H583" s="85"/>
      <c r="I583" s="16" t="s">
        <v>277</v>
      </c>
      <c r="J583" s="21">
        <f t="shared" ref="J583:V583" ca="1" si="112">J544+J577</f>
        <v>0</v>
      </c>
      <c r="K583" s="21">
        <f t="shared" ca="1" si="112"/>
        <v>0</v>
      </c>
      <c r="L583" s="21">
        <f t="shared" ca="1" si="112"/>
        <v>0</v>
      </c>
      <c r="M583" s="21">
        <f t="shared" ca="1" si="112"/>
        <v>0</v>
      </c>
      <c r="N583" s="21">
        <f t="shared" ca="1" si="112"/>
        <v>0</v>
      </c>
      <c r="O583" s="21">
        <f t="shared" ca="1" si="112"/>
        <v>0</v>
      </c>
      <c r="P583" s="21">
        <f t="shared" ca="1" si="112"/>
        <v>0</v>
      </c>
      <c r="Q583" s="21">
        <f t="shared" ca="1" si="112"/>
        <v>0</v>
      </c>
      <c r="R583" s="21">
        <f t="shared" ca="1" si="112"/>
        <v>0</v>
      </c>
      <c r="S583" s="21">
        <f t="shared" ca="1" si="112"/>
        <v>0</v>
      </c>
      <c r="T583" s="21">
        <f t="shared" ca="1" si="112"/>
        <v>0</v>
      </c>
      <c r="U583" s="21">
        <f t="shared" ca="1" si="112"/>
        <v>0</v>
      </c>
      <c r="V583" s="21">
        <f t="shared" ca="1" si="112"/>
        <v>0</v>
      </c>
      <c r="W583" s="1"/>
      <c r="X583" s="1"/>
      <c r="Y583" s="1"/>
      <c r="Z583" s="1"/>
    </row>
    <row r="584" spans="1:26" ht="14.25" customHeight="1" x14ac:dyDescent="0.45">
      <c r="A584" s="1"/>
      <c r="C584" s="83"/>
      <c r="D584" s="84"/>
      <c r="E584" s="84"/>
      <c r="F584" s="84"/>
      <c r="G584" s="84"/>
      <c r="H584" s="85"/>
      <c r="I584" s="16" t="s">
        <v>178</v>
      </c>
      <c r="J584" s="21">
        <f t="shared" ref="J584:V584" ca="1" si="113">J545+J578</f>
        <v>0</v>
      </c>
      <c r="K584" s="21">
        <f t="shared" ca="1" si="113"/>
        <v>0</v>
      </c>
      <c r="L584" s="21">
        <f t="shared" ca="1" si="113"/>
        <v>0</v>
      </c>
      <c r="M584" s="21">
        <f t="shared" ca="1" si="113"/>
        <v>0</v>
      </c>
      <c r="N584" s="21">
        <f t="shared" ca="1" si="113"/>
        <v>0</v>
      </c>
      <c r="O584" s="21">
        <f t="shared" ca="1" si="113"/>
        <v>0</v>
      </c>
      <c r="P584" s="21">
        <f t="shared" ca="1" si="113"/>
        <v>0</v>
      </c>
      <c r="Q584" s="21">
        <f t="shared" ca="1" si="113"/>
        <v>0</v>
      </c>
      <c r="R584" s="21">
        <f t="shared" ca="1" si="113"/>
        <v>0</v>
      </c>
      <c r="S584" s="21">
        <f t="shared" ca="1" si="113"/>
        <v>0</v>
      </c>
      <c r="T584" s="21">
        <f t="shared" ca="1" si="113"/>
        <v>0</v>
      </c>
      <c r="U584" s="21">
        <f t="shared" ca="1" si="113"/>
        <v>0</v>
      </c>
      <c r="V584" s="21">
        <f t="shared" ca="1" si="113"/>
        <v>0</v>
      </c>
      <c r="W584" s="1"/>
      <c r="X584" s="1"/>
      <c r="Y584" s="1"/>
      <c r="Z584" s="1"/>
    </row>
    <row r="585" spans="1:26" ht="14.25" customHeight="1" x14ac:dyDescent="0.45">
      <c r="A585" s="1"/>
      <c r="C585" s="90"/>
      <c r="D585" s="91"/>
      <c r="E585" s="91"/>
      <c r="F585" s="91"/>
      <c r="G585" s="91"/>
      <c r="H585" s="92"/>
      <c r="I585" s="16" t="s">
        <v>281</v>
      </c>
      <c r="J585" s="21">
        <f t="shared" ref="J585:V585" ca="1" si="114">J546+J579</f>
        <v>0</v>
      </c>
      <c r="K585" s="21">
        <f t="shared" ca="1" si="114"/>
        <v>0</v>
      </c>
      <c r="L585" s="21">
        <f t="shared" ca="1" si="114"/>
        <v>0</v>
      </c>
      <c r="M585" s="21">
        <f t="shared" ca="1" si="114"/>
        <v>0</v>
      </c>
      <c r="N585" s="21">
        <f t="shared" ca="1" si="114"/>
        <v>0</v>
      </c>
      <c r="O585" s="21">
        <f t="shared" ca="1" si="114"/>
        <v>0</v>
      </c>
      <c r="P585" s="21">
        <f t="shared" ca="1" si="114"/>
        <v>0</v>
      </c>
      <c r="Q585" s="21">
        <f t="shared" ca="1" si="114"/>
        <v>0</v>
      </c>
      <c r="R585" s="21">
        <f t="shared" ca="1" si="114"/>
        <v>0</v>
      </c>
      <c r="S585" s="21">
        <f t="shared" ca="1" si="114"/>
        <v>0</v>
      </c>
      <c r="T585" s="21">
        <f t="shared" ca="1" si="114"/>
        <v>0</v>
      </c>
      <c r="U585" s="21">
        <f t="shared" ca="1" si="114"/>
        <v>0</v>
      </c>
      <c r="V585" s="21">
        <f t="shared" ca="1" si="114"/>
        <v>0</v>
      </c>
      <c r="W585" s="1"/>
      <c r="X585" s="1"/>
      <c r="Y585" s="1"/>
      <c r="Z585" s="1"/>
    </row>
    <row r="586" spans="1:26" ht="14.25" customHeight="1" x14ac:dyDescent="0.45">
      <c r="A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"/>
      <c r="X586" s="1"/>
      <c r="Y586" s="1"/>
      <c r="Z586" s="1"/>
    </row>
    <row r="587" spans="1:26" ht="14.25" customHeight="1" x14ac:dyDescent="0.55000000000000004">
      <c r="A587" s="4">
        <v>5</v>
      </c>
      <c r="B587" s="5"/>
      <c r="C587" s="4" t="s">
        <v>336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"/>
      <c r="X587" s="1"/>
      <c r="Y587" s="1"/>
      <c r="Z587" s="1"/>
    </row>
    <row r="588" spans="1:26" ht="14.25" customHeight="1" x14ac:dyDescent="0.45">
      <c r="A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"/>
      <c r="X588" s="1"/>
      <c r="Y588" s="1"/>
      <c r="Z588" s="1"/>
    </row>
    <row r="589" spans="1:26" ht="14.25" customHeight="1" x14ac:dyDescent="0.45">
      <c r="A589" s="1"/>
      <c r="C589" s="76" t="s">
        <v>8</v>
      </c>
      <c r="D589" s="89" t="s">
        <v>9</v>
      </c>
      <c r="E589" s="81"/>
      <c r="F589" s="81"/>
      <c r="G589" s="81"/>
      <c r="H589" s="82"/>
      <c r="I589" s="79" t="s">
        <v>10</v>
      </c>
      <c r="J589" s="80">
        <f>$H$2</f>
        <v>2026</v>
      </c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2"/>
      <c r="W589" s="1"/>
      <c r="X589" s="1"/>
      <c r="Y589" s="1"/>
      <c r="Z589" s="1"/>
    </row>
    <row r="590" spans="1:26" ht="14.25" customHeight="1" x14ac:dyDescent="0.45">
      <c r="A590" s="1"/>
      <c r="C590" s="77"/>
      <c r="D590" s="83"/>
      <c r="E590" s="84"/>
      <c r="F590" s="84"/>
      <c r="G590" s="84"/>
      <c r="H590" s="85"/>
      <c r="I590" s="77"/>
      <c r="J590" s="83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5"/>
      <c r="W590" s="1"/>
      <c r="X590" s="1"/>
      <c r="Y590" s="1"/>
      <c r="Z590" s="1"/>
    </row>
    <row r="591" spans="1:26" ht="14.25" customHeight="1" x14ac:dyDescent="0.45">
      <c r="A591" s="1"/>
      <c r="C591" s="78"/>
      <c r="D591" s="90"/>
      <c r="E591" s="91"/>
      <c r="F591" s="91"/>
      <c r="G591" s="91"/>
      <c r="H591" s="92"/>
      <c r="I591" s="78"/>
      <c r="J591" s="6" t="s">
        <v>11</v>
      </c>
      <c r="K591" s="6" t="s">
        <v>12</v>
      </c>
      <c r="L591" s="6" t="s">
        <v>13</v>
      </c>
      <c r="M591" s="6" t="s">
        <v>14</v>
      </c>
      <c r="N591" s="6" t="s">
        <v>15</v>
      </c>
      <c r="O591" s="6" t="s">
        <v>16</v>
      </c>
      <c r="P591" s="6" t="s">
        <v>17</v>
      </c>
      <c r="Q591" s="6" t="s">
        <v>18</v>
      </c>
      <c r="R591" s="6" t="s">
        <v>19</v>
      </c>
      <c r="S591" s="6" t="s">
        <v>20</v>
      </c>
      <c r="T591" s="6" t="s">
        <v>21</v>
      </c>
      <c r="U591" s="6" t="s">
        <v>22</v>
      </c>
      <c r="V591" s="6" t="s">
        <v>23</v>
      </c>
      <c r="W591" s="1"/>
      <c r="X591" s="1"/>
      <c r="Y591" s="1"/>
      <c r="Z591" s="1"/>
    </row>
    <row r="592" spans="1:26" ht="14.25" customHeight="1" x14ac:dyDescent="0.45">
      <c r="A592" s="1"/>
      <c r="C592" s="6">
        <v>1</v>
      </c>
      <c r="D592" s="93">
        <v>2</v>
      </c>
      <c r="E592" s="94"/>
      <c r="F592" s="94"/>
      <c r="G592" s="94"/>
      <c r="H592" s="95"/>
      <c r="I592" s="7">
        <v>3</v>
      </c>
      <c r="J592" s="86">
        <v>4</v>
      </c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8"/>
      <c r="V592" s="8">
        <v>5</v>
      </c>
      <c r="W592" s="1"/>
      <c r="X592" s="1"/>
      <c r="Y592" s="1"/>
      <c r="Z592" s="1"/>
    </row>
    <row r="593" spans="1:26" ht="14.25" customHeight="1" x14ac:dyDescent="0.45">
      <c r="A593" s="1"/>
      <c r="C593" s="9"/>
      <c r="D593" s="17"/>
      <c r="E593" s="63"/>
      <c r="F593" s="63"/>
      <c r="G593" s="63"/>
      <c r="H593" s="64"/>
      <c r="I593" s="17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"/>
      <c r="X593" s="1"/>
      <c r="Y593" s="1"/>
      <c r="Z593" s="1"/>
    </row>
    <row r="594" spans="1:26" ht="14.25" customHeight="1" x14ac:dyDescent="0.45">
      <c r="A594" s="1"/>
      <c r="C594" s="33">
        <v>1</v>
      </c>
      <c r="D594" s="96" t="s">
        <v>156</v>
      </c>
      <c r="E594" s="94"/>
      <c r="F594" s="94"/>
      <c r="G594" s="94"/>
      <c r="H594" s="95"/>
      <c r="I594" s="13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"/>
      <c r="X594" s="1"/>
      <c r="Y594" s="1"/>
      <c r="Z594" s="1"/>
    </row>
    <row r="595" spans="1:26" ht="14.25" customHeight="1" x14ac:dyDescent="0.45">
      <c r="A595" s="1"/>
      <c r="B595" s="1" t="s">
        <v>337</v>
      </c>
      <c r="C595" s="15"/>
      <c r="D595" s="15">
        <v>1</v>
      </c>
      <c r="E595" s="101" t="s">
        <v>338</v>
      </c>
      <c r="F595" s="94"/>
      <c r="G595" s="94"/>
      <c r="H595" s="95"/>
      <c r="I595" s="16" t="s">
        <v>339</v>
      </c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1">
        <f t="shared" ref="V595:V596" si="115">SUM(J595:U595)</f>
        <v>0</v>
      </c>
      <c r="W595" s="1"/>
      <c r="X595" s="1"/>
      <c r="Y595" s="1"/>
      <c r="Z595" s="1"/>
    </row>
    <row r="596" spans="1:26" ht="14.25" customHeight="1" x14ac:dyDescent="0.45">
      <c r="A596" s="1"/>
      <c r="B596" s="1" t="s">
        <v>340</v>
      </c>
      <c r="C596" s="15"/>
      <c r="D596" s="15">
        <v>2</v>
      </c>
      <c r="E596" s="101" t="s">
        <v>341</v>
      </c>
      <c r="F596" s="94"/>
      <c r="G596" s="94"/>
      <c r="H596" s="95"/>
      <c r="I596" s="16" t="s">
        <v>339</v>
      </c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1">
        <f t="shared" si="115"/>
        <v>0</v>
      </c>
      <c r="W596" s="1"/>
      <c r="X596" s="1"/>
      <c r="Y596" s="1"/>
      <c r="Z596" s="1"/>
    </row>
    <row r="597" spans="1:26" ht="14.25" customHeight="1" x14ac:dyDescent="0.45">
      <c r="A597" s="1"/>
      <c r="C597" s="15"/>
      <c r="D597" s="102"/>
      <c r="E597" s="94"/>
      <c r="F597" s="94"/>
      <c r="G597" s="94"/>
      <c r="H597" s="95"/>
      <c r="I597" s="13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"/>
      <c r="X597" s="1"/>
      <c r="Y597" s="1"/>
      <c r="Z597" s="1"/>
    </row>
    <row r="598" spans="1:26" ht="14.25" customHeight="1" x14ac:dyDescent="0.45">
      <c r="A598" s="1"/>
      <c r="C598" s="15"/>
      <c r="D598" s="100" t="s">
        <v>342</v>
      </c>
      <c r="E598" s="81"/>
      <c r="F598" s="81"/>
      <c r="G598" s="81"/>
      <c r="H598" s="82"/>
      <c r="I598" s="16" t="s">
        <v>339</v>
      </c>
      <c r="J598" s="21">
        <f t="shared" ref="J598:V598" si="116">SUM(J595:J596)</f>
        <v>0</v>
      </c>
      <c r="K598" s="21">
        <f t="shared" si="116"/>
        <v>0</v>
      </c>
      <c r="L598" s="21">
        <f t="shared" si="116"/>
        <v>0</v>
      </c>
      <c r="M598" s="21">
        <f t="shared" si="116"/>
        <v>0</v>
      </c>
      <c r="N598" s="21">
        <f t="shared" si="116"/>
        <v>0</v>
      </c>
      <c r="O598" s="21">
        <f t="shared" si="116"/>
        <v>0</v>
      </c>
      <c r="P598" s="21">
        <f t="shared" si="116"/>
        <v>0</v>
      </c>
      <c r="Q598" s="21">
        <f t="shared" si="116"/>
        <v>0</v>
      </c>
      <c r="R598" s="21">
        <f t="shared" si="116"/>
        <v>0</v>
      </c>
      <c r="S598" s="21">
        <f t="shared" si="116"/>
        <v>0</v>
      </c>
      <c r="T598" s="21">
        <f t="shared" si="116"/>
        <v>0</v>
      </c>
      <c r="U598" s="21">
        <f t="shared" si="116"/>
        <v>0</v>
      </c>
      <c r="V598" s="21">
        <f t="shared" si="116"/>
        <v>0</v>
      </c>
      <c r="W598" s="1"/>
      <c r="X598" s="1"/>
      <c r="Y598" s="1"/>
      <c r="Z598" s="1"/>
    </row>
    <row r="599" spans="1:26" ht="14.25" customHeight="1" x14ac:dyDescent="0.45">
      <c r="A599" s="1"/>
      <c r="C599" s="15"/>
      <c r="D599" s="102"/>
      <c r="E599" s="94"/>
      <c r="F599" s="94"/>
      <c r="G599" s="94"/>
      <c r="H599" s="95"/>
      <c r="I599" s="13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"/>
      <c r="X599" s="1"/>
      <c r="Y599" s="1"/>
      <c r="Z599" s="1"/>
    </row>
    <row r="600" spans="1:26" ht="14.25" customHeight="1" x14ac:dyDescent="0.45">
      <c r="A600" s="1"/>
      <c r="C600" s="15">
        <v>2</v>
      </c>
      <c r="D600" s="96" t="s">
        <v>217</v>
      </c>
      <c r="E600" s="94"/>
      <c r="F600" s="94"/>
      <c r="G600" s="94"/>
      <c r="H600" s="95"/>
      <c r="I600" s="13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"/>
      <c r="X600" s="1"/>
      <c r="Y600" s="1"/>
      <c r="Z600" s="1"/>
    </row>
    <row r="601" spans="1:26" ht="14.25" customHeight="1" x14ac:dyDescent="0.45">
      <c r="A601" s="1"/>
      <c r="B601" s="1" t="s">
        <v>343</v>
      </c>
      <c r="C601" s="15"/>
      <c r="D601" s="15">
        <v>1</v>
      </c>
      <c r="E601" s="101" t="s">
        <v>338</v>
      </c>
      <c r="F601" s="94"/>
      <c r="G601" s="94"/>
      <c r="H601" s="95"/>
      <c r="I601" s="16" t="s">
        <v>339</v>
      </c>
      <c r="J601" s="29"/>
      <c r="K601" s="29"/>
      <c r="L601" s="29">
        <v>135002</v>
      </c>
      <c r="M601" s="29"/>
      <c r="N601" s="29"/>
      <c r="O601" s="29"/>
      <c r="P601" s="29"/>
      <c r="Q601" s="29"/>
      <c r="R601" s="29"/>
      <c r="S601" s="29"/>
      <c r="T601" s="29"/>
      <c r="U601" s="29"/>
      <c r="V601" s="21">
        <f t="shared" ref="V601:V602" si="117">SUM(J601:U601)</f>
        <v>135002</v>
      </c>
      <c r="W601" s="1">
        <v>106.854</v>
      </c>
      <c r="X601" s="1"/>
      <c r="Y601" s="1"/>
      <c r="Z601" s="1"/>
    </row>
    <row r="602" spans="1:26" ht="14.25" customHeight="1" x14ac:dyDescent="0.45">
      <c r="A602" s="1"/>
      <c r="B602" s="1" t="s">
        <v>344</v>
      </c>
      <c r="C602" s="15"/>
      <c r="D602" s="15">
        <v>2</v>
      </c>
      <c r="E602" s="101" t="s">
        <v>341</v>
      </c>
      <c r="F602" s="94"/>
      <c r="G602" s="94"/>
      <c r="H602" s="95"/>
      <c r="I602" s="16" t="s">
        <v>339</v>
      </c>
      <c r="J602" s="29"/>
      <c r="K602" s="29"/>
      <c r="L602" s="29">
        <v>255</v>
      </c>
      <c r="M602" s="29"/>
      <c r="N602" s="29"/>
      <c r="O602" s="29"/>
      <c r="P602" s="29"/>
      <c r="Q602" s="29"/>
      <c r="R602" s="29"/>
      <c r="S602" s="29"/>
      <c r="T602" s="29"/>
      <c r="U602" s="29"/>
      <c r="V602" s="21">
        <f t="shared" si="117"/>
        <v>255</v>
      </c>
      <c r="W602" s="1">
        <v>2063</v>
      </c>
      <c r="X602" s="1"/>
      <c r="Y602" s="1"/>
      <c r="Z602" s="1"/>
    </row>
    <row r="603" spans="1:26" ht="14.25" customHeight="1" x14ac:dyDescent="0.45">
      <c r="A603" s="1"/>
      <c r="C603" s="72"/>
      <c r="D603" s="102"/>
      <c r="E603" s="94"/>
      <c r="F603" s="94"/>
      <c r="G603" s="94"/>
      <c r="H603" s="95"/>
      <c r="I603" s="13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"/>
      <c r="X603" s="1"/>
      <c r="Y603" s="1"/>
      <c r="Z603" s="1"/>
    </row>
    <row r="604" spans="1:26" ht="14.25" customHeight="1" x14ac:dyDescent="0.45">
      <c r="A604" s="1"/>
      <c r="C604" s="15"/>
      <c r="D604" s="103" t="s">
        <v>345</v>
      </c>
      <c r="E604" s="94"/>
      <c r="F604" s="94"/>
      <c r="G604" s="94"/>
      <c r="H604" s="95"/>
      <c r="I604" s="16" t="s">
        <v>339</v>
      </c>
      <c r="J604" s="21">
        <f t="shared" ref="J604:V604" si="118">SUM(J601:J602)</f>
        <v>0</v>
      </c>
      <c r="K604" s="21">
        <f t="shared" si="118"/>
        <v>0</v>
      </c>
      <c r="L604" s="21">
        <f t="shared" si="118"/>
        <v>135257</v>
      </c>
      <c r="M604" s="21">
        <f t="shared" si="118"/>
        <v>0</v>
      </c>
      <c r="N604" s="21">
        <f t="shared" si="118"/>
        <v>0</v>
      </c>
      <c r="O604" s="21">
        <f t="shared" si="118"/>
        <v>0</v>
      </c>
      <c r="P604" s="21">
        <f t="shared" si="118"/>
        <v>0</v>
      </c>
      <c r="Q604" s="21">
        <f t="shared" si="118"/>
        <v>0</v>
      </c>
      <c r="R604" s="21">
        <f t="shared" si="118"/>
        <v>0</v>
      </c>
      <c r="S604" s="21">
        <f t="shared" si="118"/>
        <v>0</v>
      </c>
      <c r="T604" s="21">
        <f t="shared" si="118"/>
        <v>0</v>
      </c>
      <c r="U604" s="21">
        <f t="shared" si="118"/>
        <v>0</v>
      </c>
      <c r="V604" s="21">
        <f t="shared" si="118"/>
        <v>135257</v>
      </c>
      <c r="W604" s="1"/>
      <c r="X604" s="1"/>
      <c r="Y604" s="1"/>
      <c r="Z604" s="1"/>
    </row>
    <row r="605" spans="1:26" ht="14.25" customHeight="1" x14ac:dyDescent="0.45">
      <c r="A605" s="1"/>
      <c r="C605" s="72"/>
      <c r="D605" s="102"/>
      <c r="E605" s="94"/>
      <c r="F605" s="94"/>
      <c r="G605" s="94"/>
      <c r="H605" s="95"/>
      <c r="I605" s="13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"/>
      <c r="X605" s="1"/>
      <c r="Y605" s="1"/>
      <c r="Z605" s="1"/>
    </row>
    <row r="606" spans="1:26" ht="14.25" customHeight="1" x14ac:dyDescent="0.45">
      <c r="A606" s="1"/>
      <c r="C606" s="104" t="s">
        <v>346</v>
      </c>
      <c r="D606" s="94"/>
      <c r="E606" s="94"/>
      <c r="F606" s="94"/>
      <c r="G606" s="94"/>
      <c r="H606" s="95"/>
      <c r="I606" s="16" t="s">
        <v>339</v>
      </c>
      <c r="J606" s="21">
        <f t="shared" ref="J606:V606" si="119">J604+J598</f>
        <v>0</v>
      </c>
      <c r="K606" s="21">
        <f t="shared" si="119"/>
        <v>0</v>
      </c>
      <c r="L606" s="21">
        <f t="shared" si="119"/>
        <v>135257</v>
      </c>
      <c r="M606" s="21">
        <f t="shared" si="119"/>
        <v>0</v>
      </c>
      <c r="N606" s="21">
        <f t="shared" si="119"/>
        <v>0</v>
      </c>
      <c r="O606" s="21">
        <f t="shared" si="119"/>
        <v>0</v>
      </c>
      <c r="P606" s="21">
        <f t="shared" si="119"/>
        <v>0</v>
      </c>
      <c r="Q606" s="21">
        <f t="shared" si="119"/>
        <v>0</v>
      </c>
      <c r="R606" s="21">
        <f t="shared" si="119"/>
        <v>0</v>
      </c>
      <c r="S606" s="21">
        <f t="shared" si="119"/>
        <v>0</v>
      </c>
      <c r="T606" s="21">
        <f t="shared" si="119"/>
        <v>0</v>
      </c>
      <c r="U606" s="21">
        <f t="shared" si="119"/>
        <v>0</v>
      </c>
      <c r="V606" s="21">
        <f t="shared" si="119"/>
        <v>135257</v>
      </c>
      <c r="W606" s="1"/>
      <c r="X606" s="1"/>
      <c r="Y606" s="1"/>
      <c r="Z606" s="1"/>
    </row>
    <row r="607" spans="1:26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"/>
      <c r="X607" s="1"/>
      <c r="Y607" s="1"/>
      <c r="Z607" s="1"/>
    </row>
    <row r="608" spans="1:26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"/>
      <c r="X608" s="1"/>
      <c r="Y608" s="1"/>
      <c r="Z608" s="1"/>
    </row>
    <row r="609" spans="1:26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"/>
      <c r="X609" s="1"/>
      <c r="Y609" s="1"/>
      <c r="Z609" s="1"/>
    </row>
    <row r="610" spans="1:26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"/>
      <c r="X610" s="1"/>
      <c r="Y610" s="1"/>
      <c r="Z610" s="1"/>
    </row>
    <row r="611" spans="1:26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"/>
      <c r="X611" s="1"/>
      <c r="Y611" s="1"/>
      <c r="Z611" s="1"/>
    </row>
    <row r="612" spans="1:26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"/>
      <c r="X612" s="1"/>
      <c r="Y612" s="1"/>
      <c r="Z612" s="1"/>
    </row>
    <row r="613" spans="1:26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"/>
      <c r="X613" s="1"/>
      <c r="Y613" s="1"/>
      <c r="Z613" s="1"/>
    </row>
    <row r="614" spans="1:26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"/>
      <c r="X614" s="1"/>
      <c r="Y614" s="1"/>
      <c r="Z614" s="1"/>
    </row>
    <row r="615" spans="1:26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"/>
      <c r="X615" s="1"/>
      <c r="Y615" s="1"/>
      <c r="Z615" s="1"/>
    </row>
    <row r="616" spans="1:26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"/>
      <c r="X616" s="1"/>
      <c r="Y616" s="1"/>
      <c r="Z616" s="1"/>
    </row>
    <row r="617" spans="1:26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"/>
      <c r="X617" s="1"/>
      <c r="Y617" s="1"/>
      <c r="Z617" s="1"/>
    </row>
    <row r="618" spans="1:26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"/>
      <c r="X618" s="1"/>
      <c r="Y618" s="1"/>
      <c r="Z618" s="1"/>
    </row>
    <row r="619" spans="1:26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"/>
      <c r="X619" s="1"/>
      <c r="Y619" s="1"/>
      <c r="Z619" s="1"/>
    </row>
    <row r="620" spans="1:26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"/>
      <c r="X620" s="1"/>
      <c r="Y620" s="1"/>
      <c r="Z620" s="1"/>
    </row>
    <row r="621" spans="1:26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"/>
      <c r="X621" s="1"/>
      <c r="Y621" s="1"/>
      <c r="Z621" s="1"/>
    </row>
    <row r="622" spans="1:26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"/>
      <c r="X622" s="1"/>
      <c r="Y622" s="1"/>
      <c r="Z622" s="1"/>
    </row>
    <row r="623" spans="1:26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"/>
      <c r="X623" s="1"/>
      <c r="Y623" s="1"/>
      <c r="Z623" s="1"/>
    </row>
    <row r="624" spans="1:26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"/>
      <c r="X624" s="1"/>
      <c r="Y624" s="1"/>
      <c r="Z624" s="1"/>
    </row>
    <row r="625" spans="1:26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"/>
      <c r="X625" s="1"/>
      <c r="Y625" s="1"/>
      <c r="Z625" s="1"/>
    </row>
    <row r="626" spans="1:26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"/>
      <c r="X626" s="1"/>
      <c r="Y626" s="1"/>
      <c r="Z626" s="1"/>
    </row>
    <row r="627" spans="1:26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"/>
      <c r="X627" s="1"/>
      <c r="Y627" s="1"/>
      <c r="Z627" s="1"/>
    </row>
    <row r="628" spans="1:26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"/>
      <c r="X628" s="1"/>
      <c r="Y628" s="1"/>
      <c r="Z628" s="1"/>
    </row>
    <row r="629" spans="1:26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"/>
      <c r="X629" s="1"/>
      <c r="Y629" s="1"/>
      <c r="Z629" s="1"/>
    </row>
    <row r="630" spans="1:26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"/>
      <c r="X630" s="1"/>
      <c r="Y630" s="1"/>
      <c r="Z630" s="1"/>
    </row>
    <row r="631" spans="1:26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"/>
      <c r="X631" s="1"/>
      <c r="Y631" s="1"/>
      <c r="Z631" s="1"/>
    </row>
    <row r="632" spans="1:26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"/>
      <c r="X632" s="1"/>
      <c r="Y632" s="1"/>
      <c r="Z632" s="1"/>
    </row>
    <row r="633" spans="1:26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"/>
      <c r="X633" s="1"/>
      <c r="Y633" s="1"/>
      <c r="Z633" s="1"/>
    </row>
    <row r="634" spans="1:26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"/>
      <c r="X634" s="1"/>
      <c r="Y634" s="1"/>
      <c r="Z634" s="1"/>
    </row>
    <row r="635" spans="1:26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"/>
      <c r="X635" s="1"/>
      <c r="Y635" s="1"/>
      <c r="Z635" s="1"/>
    </row>
    <row r="636" spans="1:26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"/>
      <c r="X636" s="1"/>
      <c r="Y636" s="1"/>
      <c r="Z636" s="1"/>
    </row>
    <row r="637" spans="1:26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"/>
      <c r="X637" s="1"/>
      <c r="Y637" s="1"/>
      <c r="Z637" s="1"/>
    </row>
    <row r="638" spans="1:26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"/>
      <c r="X638" s="1"/>
      <c r="Y638" s="1"/>
      <c r="Z638" s="1"/>
    </row>
    <row r="639" spans="1:26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"/>
      <c r="X639" s="1"/>
      <c r="Y639" s="1"/>
      <c r="Z639" s="1"/>
    </row>
    <row r="640" spans="1:26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"/>
      <c r="X640" s="1"/>
      <c r="Y640" s="1"/>
      <c r="Z640" s="1"/>
    </row>
    <row r="641" spans="1:26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"/>
      <c r="X641" s="1"/>
      <c r="Y641" s="1"/>
      <c r="Z641" s="1"/>
    </row>
    <row r="642" spans="1:26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"/>
      <c r="X642" s="1"/>
      <c r="Y642" s="1"/>
      <c r="Z642" s="1"/>
    </row>
    <row r="643" spans="1:26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"/>
      <c r="X643" s="1"/>
      <c r="Y643" s="1"/>
      <c r="Z643" s="1"/>
    </row>
    <row r="644" spans="1:26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"/>
      <c r="X644" s="1"/>
      <c r="Y644" s="1"/>
      <c r="Z644" s="1"/>
    </row>
    <row r="645" spans="1:26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"/>
      <c r="X645" s="1"/>
      <c r="Y645" s="1"/>
      <c r="Z645" s="1"/>
    </row>
    <row r="646" spans="1:26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"/>
      <c r="X646" s="1"/>
      <c r="Y646" s="1"/>
      <c r="Z646" s="1"/>
    </row>
    <row r="647" spans="1:26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"/>
      <c r="X647" s="1"/>
      <c r="Y647" s="1"/>
      <c r="Z647" s="1"/>
    </row>
    <row r="648" spans="1:26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"/>
      <c r="X648" s="1"/>
      <c r="Y648" s="1"/>
      <c r="Z648" s="1"/>
    </row>
    <row r="649" spans="1:26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"/>
      <c r="X649" s="1"/>
      <c r="Y649" s="1"/>
      <c r="Z649" s="1"/>
    </row>
    <row r="650" spans="1:26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"/>
      <c r="X650" s="1"/>
      <c r="Y650" s="1"/>
      <c r="Z650" s="1"/>
    </row>
    <row r="651" spans="1:26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"/>
      <c r="X651" s="1"/>
      <c r="Y651" s="1"/>
      <c r="Z651" s="1"/>
    </row>
    <row r="652" spans="1:26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"/>
      <c r="X652" s="1"/>
      <c r="Y652" s="1"/>
      <c r="Z652" s="1"/>
    </row>
    <row r="653" spans="1:26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"/>
      <c r="X653" s="1"/>
      <c r="Y653" s="1"/>
      <c r="Z653" s="1"/>
    </row>
    <row r="654" spans="1:26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"/>
      <c r="X654" s="1"/>
      <c r="Y654" s="1"/>
      <c r="Z654" s="1"/>
    </row>
    <row r="655" spans="1:26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"/>
      <c r="X655" s="1"/>
      <c r="Y655" s="1"/>
      <c r="Z655" s="1"/>
    </row>
    <row r="656" spans="1:26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"/>
      <c r="X656" s="1"/>
      <c r="Y656" s="1"/>
      <c r="Z656" s="1"/>
    </row>
    <row r="657" spans="1:26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"/>
      <c r="X657" s="1"/>
      <c r="Y657" s="1"/>
      <c r="Z657" s="1"/>
    </row>
    <row r="658" spans="1:26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"/>
      <c r="X658" s="1"/>
      <c r="Y658" s="1"/>
      <c r="Z658" s="1"/>
    </row>
    <row r="659" spans="1:26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"/>
      <c r="X659" s="1"/>
      <c r="Y659" s="1"/>
      <c r="Z659" s="1"/>
    </row>
    <row r="660" spans="1:26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7">
        <v>130</v>
      </c>
      <c r="N660" s="2">
        <f t="shared" ref="N660:N661" si="120">M660*1.05</f>
        <v>136.5</v>
      </c>
      <c r="O660" s="2"/>
      <c r="P660" s="2"/>
      <c r="Q660" s="2"/>
      <c r="R660" s="2"/>
      <c r="S660" s="2"/>
      <c r="T660" s="2"/>
      <c r="U660" s="2"/>
      <c r="V660" s="2"/>
      <c r="W660" s="1"/>
      <c r="X660" s="1"/>
      <c r="Y660" s="1"/>
      <c r="Z660" s="1"/>
    </row>
    <row r="661" spans="1:26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7">
        <v>1068034</v>
      </c>
      <c r="N661" s="2">
        <f t="shared" si="120"/>
        <v>1121435.7</v>
      </c>
      <c r="O661" s="2"/>
      <c r="P661" s="2"/>
      <c r="Q661" s="2"/>
      <c r="R661" s="2"/>
      <c r="S661" s="2"/>
      <c r="T661" s="2"/>
      <c r="U661" s="2"/>
      <c r="V661" s="2"/>
      <c r="W661" s="1"/>
      <c r="X661" s="1"/>
      <c r="Y661" s="1"/>
      <c r="Z661" s="1"/>
    </row>
    <row r="662" spans="1:26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"/>
      <c r="X662" s="1"/>
      <c r="Y662" s="1"/>
      <c r="Z662" s="1"/>
    </row>
    <row r="663" spans="1:26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"/>
      <c r="X663" s="1"/>
      <c r="Y663" s="1"/>
      <c r="Z663" s="1"/>
    </row>
    <row r="664" spans="1:26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"/>
      <c r="X664" s="1"/>
      <c r="Y664" s="1"/>
      <c r="Z664" s="1"/>
    </row>
    <row r="665" spans="1:26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"/>
      <c r="X665" s="1"/>
      <c r="Y665" s="1"/>
      <c r="Z665" s="1"/>
    </row>
    <row r="666" spans="1:26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"/>
      <c r="X666" s="1"/>
      <c r="Y666" s="1"/>
      <c r="Z666" s="1"/>
    </row>
    <row r="667" spans="1:26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"/>
      <c r="X667" s="1"/>
      <c r="Y667" s="1"/>
      <c r="Z667" s="1"/>
    </row>
    <row r="668" spans="1:26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"/>
      <c r="X668" s="1"/>
      <c r="Y668" s="1"/>
      <c r="Z668" s="1"/>
    </row>
    <row r="669" spans="1:26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"/>
      <c r="X669" s="1"/>
      <c r="Y669" s="1"/>
      <c r="Z669" s="1"/>
    </row>
    <row r="670" spans="1:26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"/>
      <c r="X670" s="1"/>
      <c r="Y670" s="1"/>
      <c r="Z670" s="1"/>
    </row>
    <row r="671" spans="1:26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"/>
      <c r="X671" s="1"/>
      <c r="Y671" s="1"/>
      <c r="Z671" s="1"/>
    </row>
    <row r="672" spans="1:26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"/>
      <c r="X672" s="1"/>
      <c r="Y672" s="1"/>
      <c r="Z672" s="1"/>
    </row>
    <row r="673" spans="1:26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"/>
      <c r="X673" s="1"/>
      <c r="Y673" s="1"/>
      <c r="Z673" s="1"/>
    </row>
    <row r="674" spans="1:26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"/>
      <c r="X674" s="1"/>
      <c r="Y674" s="1"/>
      <c r="Z674" s="1"/>
    </row>
    <row r="675" spans="1:26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"/>
      <c r="X675" s="1"/>
      <c r="Y675" s="1"/>
      <c r="Z675" s="1"/>
    </row>
    <row r="676" spans="1:26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"/>
      <c r="X676" s="1"/>
      <c r="Y676" s="1"/>
      <c r="Z676" s="1"/>
    </row>
    <row r="677" spans="1:26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"/>
      <c r="X677" s="1"/>
      <c r="Y677" s="1"/>
      <c r="Z677" s="1"/>
    </row>
    <row r="678" spans="1:26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"/>
      <c r="X678" s="1"/>
      <c r="Y678" s="1"/>
      <c r="Z678" s="1"/>
    </row>
    <row r="679" spans="1:26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"/>
      <c r="X679" s="1"/>
      <c r="Y679" s="1"/>
      <c r="Z679" s="1"/>
    </row>
    <row r="680" spans="1:26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"/>
      <c r="X680" s="1"/>
      <c r="Y680" s="1"/>
      <c r="Z680" s="1"/>
    </row>
    <row r="681" spans="1:26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"/>
      <c r="X681" s="1"/>
      <c r="Y681" s="1"/>
      <c r="Z681" s="1"/>
    </row>
    <row r="682" spans="1:26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"/>
      <c r="X682" s="1"/>
      <c r="Y682" s="1"/>
      <c r="Z682" s="1"/>
    </row>
    <row r="683" spans="1:26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"/>
      <c r="X683" s="1"/>
      <c r="Y683" s="1"/>
      <c r="Z683" s="1"/>
    </row>
    <row r="684" spans="1:26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"/>
      <c r="X684" s="1"/>
      <c r="Y684" s="1"/>
      <c r="Z684" s="1"/>
    </row>
    <row r="685" spans="1:26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"/>
      <c r="X685" s="1"/>
      <c r="Y685" s="1"/>
      <c r="Z685" s="1"/>
    </row>
    <row r="686" spans="1:26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"/>
      <c r="X686" s="1"/>
      <c r="Y686" s="1"/>
      <c r="Z686" s="1"/>
    </row>
    <row r="687" spans="1:26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"/>
      <c r="X687" s="1"/>
      <c r="Y687" s="1"/>
      <c r="Z687" s="1"/>
    </row>
    <row r="688" spans="1:26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"/>
      <c r="X688" s="1"/>
      <c r="Y688" s="1"/>
      <c r="Z688" s="1"/>
    </row>
    <row r="689" spans="1:26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"/>
      <c r="X689" s="1"/>
      <c r="Y689" s="1"/>
      <c r="Z689" s="1"/>
    </row>
    <row r="690" spans="1:26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"/>
      <c r="X690" s="1"/>
      <c r="Y690" s="1"/>
      <c r="Z690" s="1"/>
    </row>
    <row r="691" spans="1:26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"/>
      <c r="X691" s="1"/>
      <c r="Y691" s="1"/>
      <c r="Z691" s="1"/>
    </row>
    <row r="692" spans="1:26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"/>
      <c r="X692" s="1"/>
      <c r="Y692" s="1"/>
      <c r="Z692" s="1"/>
    </row>
    <row r="693" spans="1:26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"/>
      <c r="X693" s="1"/>
      <c r="Y693" s="1"/>
      <c r="Z693" s="1"/>
    </row>
    <row r="694" spans="1:26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"/>
      <c r="X694" s="1"/>
      <c r="Y694" s="1"/>
      <c r="Z694" s="1"/>
    </row>
    <row r="695" spans="1:26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"/>
      <c r="X695" s="1"/>
      <c r="Y695" s="1"/>
      <c r="Z695" s="1"/>
    </row>
    <row r="696" spans="1:26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"/>
      <c r="X696" s="1"/>
      <c r="Y696" s="1"/>
      <c r="Z696" s="1"/>
    </row>
    <row r="697" spans="1:26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"/>
      <c r="X697" s="1"/>
      <c r="Y697" s="1"/>
      <c r="Z697" s="1"/>
    </row>
    <row r="698" spans="1:26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"/>
      <c r="X698" s="1"/>
      <c r="Y698" s="1"/>
      <c r="Z698" s="1"/>
    </row>
    <row r="699" spans="1:26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"/>
      <c r="X699" s="1"/>
      <c r="Y699" s="1"/>
      <c r="Z699" s="1"/>
    </row>
    <row r="700" spans="1:26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"/>
      <c r="X700" s="1"/>
      <c r="Y700" s="1"/>
      <c r="Z700" s="1"/>
    </row>
    <row r="701" spans="1:26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"/>
      <c r="X701" s="1"/>
      <c r="Y701" s="1"/>
      <c r="Z701" s="1"/>
    </row>
    <row r="702" spans="1:26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"/>
      <c r="X702" s="1"/>
      <c r="Y702" s="1"/>
      <c r="Z702" s="1"/>
    </row>
    <row r="703" spans="1:26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"/>
      <c r="X703" s="1"/>
      <c r="Y703" s="1"/>
      <c r="Z703" s="1"/>
    </row>
    <row r="704" spans="1:26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"/>
      <c r="X704" s="1"/>
      <c r="Y704" s="1"/>
      <c r="Z704" s="1"/>
    </row>
    <row r="705" spans="1:26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"/>
      <c r="X705" s="1"/>
      <c r="Y705" s="1"/>
      <c r="Z705" s="1"/>
    </row>
    <row r="706" spans="1:26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"/>
      <c r="X706" s="1"/>
      <c r="Y706" s="1"/>
      <c r="Z706" s="1"/>
    </row>
    <row r="707" spans="1:26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"/>
      <c r="X707" s="1"/>
      <c r="Y707" s="1"/>
      <c r="Z707" s="1"/>
    </row>
    <row r="708" spans="1:26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"/>
      <c r="X708" s="1"/>
      <c r="Y708" s="1"/>
      <c r="Z708" s="1"/>
    </row>
    <row r="709" spans="1:26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"/>
      <c r="X709" s="1"/>
      <c r="Y709" s="1"/>
      <c r="Z709" s="1"/>
    </row>
    <row r="710" spans="1:26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"/>
      <c r="X710" s="1"/>
      <c r="Y710" s="1"/>
      <c r="Z710" s="1"/>
    </row>
    <row r="711" spans="1:26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"/>
      <c r="X711" s="1"/>
      <c r="Y711" s="1"/>
      <c r="Z711" s="1"/>
    </row>
    <row r="712" spans="1:26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"/>
      <c r="X712" s="1"/>
      <c r="Y712" s="1"/>
      <c r="Z712" s="1"/>
    </row>
    <row r="713" spans="1:26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"/>
      <c r="X713" s="1"/>
      <c r="Y713" s="1"/>
      <c r="Z713" s="1"/>
    </row>
    <row r="714" spans="1:26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"/>
      <c r="X714" s="1"/>
      <c r="Y714" s="1"/>
      <c r="Z714" s="1"/>
    </row>
    <row r="715" spans="1:26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"/>
      <c r="X715" s="1"/>
      <c r="Y715" s="1"/>
      <c r="Z715" s="1"/>
    </row>
    <row r="716" spans="1:26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"/>
      <c r="X716" s="1"/>
      <c r="Y716" s="1"/>
      <c r="Z716" s="1"/>
    </row>
    <row r="717" spans="1:26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"/>
      <c r="X717" s="1"/>
      <c r="Y717" s="1"/>
      <c r="Z717" s="1"/>
    </row>
    <row r="718" spans="1:26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"/>
      <c r="X718" s="1"/>
      <c r="Y718" s="1"/>
      <c r="Z718" s="1"/>
    </row>
    <row r="719" spans="1:26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"/>
      <c r="X719" s="1"/>
      <c r="Y719" s="1"/>
      <c r="Z719" s="1"/>
    </row>
    <row r="720" spans="1:26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"/>
      <c r="X720" s="1"/>
      <c r="Y720" s="1"/>
      <c r="Z720" s="1"/>
    </row>
    <row r="721" spans="1:26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"/>
      <c r="X721" s="1"/>
      <c r="Y721" s="1"/>
      <c r="Z721" s="1"/>
    </row>
    <row r="722" spans="1:26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"/>
      <c r="X722" s="1"/>
      <c r="Y722" s="1"/>
      <c r="Z722" s="1"/>
    </row>
    <row r="723" spans="1:26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"/>
      <c r="X723" s="1"/>
      <c r="Y723" s="1"/>
      <c r="Z723" s="1"/>
    </row>
    <row r="724" spans="1:26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"/>
      <c r="X724" s="1"/>
      <c r="Y724" s="1"/>
      <c r="Z724" s="1"/>
    </row>
    <row r="725" spans="1:26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"/>
      <c r="X725" s="1"/>
      <c r="Y725" s="1"/>
      <c r="Z725" s="1"/>
    </row>
    <row r="726" spans="1:26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"/>
      <c r="X726" s="1"/>
      <c r="Y726" s="1"/>
      <c r="Z726" s="1"/>
    </row>
    <row r="727" spans="1:26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"/>
      <c r="X727" s="1"/>
      <c r="Y727" s="1"/>
      <c r="Z727" s="1"/>
    </row>
    <row r="728" spans="1:26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"/>
      <c r="X728" s="1"/>
      <c r="Y728" s="1"/>
      <c r="Z728" s="1"/>
    </row>
    <row r="729" spans="1:26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"/>
      <c r="X729" s="1"/>
      <c r="Y729" s="1"/>
      <c r="Z729" s="1"/>
    </row>
    <row r="730" spans="1:26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"/>
      <c r="X730" s="1"/>
      <c r="Y730" s="1"/>
      <c r="Z730" s="1"/>
    </row>
    <row r="731" spans="1:26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"/>
      <c r="X731" s="1"/>
      <c r="Y731" s="1"/>
      <c r="Z731" s="1"/>
    </row>
    <row r="732" spans="1:26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"/>
      <c r="X732" s="1"/>
      <c r="Y732" s="1"/>
      <c r="Z732" s="1"/>
    </row>
    <row r="733" spans="1:26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"/>
      <c r="X733" s="1"/>
      <c r="Y733" s="1"/>
      <c r="Z733" s="1"/>
    </row>
    <row r="734" spans="1:26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"/>
      <c r="X734" s="1"/>
      <c r="Y734" s="1"/>
      <c r="Z734" s="1"/>
    </row>
    <row r="735" spans="1:26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"/>
      <c r="X735" s="1"/>
      <c r="Y735" s="1"/>
      <c r="Z735" s="1"/>
    </row>
    <row r="736" spans="1:26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"/>
      <c r="X736" s="1"/>
      <c r="Y736" s="1"/>
      <c r="Z736" s="1"/>
    </row>
    <row r="737" spans="1:26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"/>
      <c r="X737" s="1"/>
      <c r="Y737" s="1"/>
      <c r="Z737" s="1"/>
    </row>
    <row r="738" spans="1:26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"/>
      <c r="X738" s="1"/>
      <c r="Y738" s="1"/>
      <c r="Z738" s="1"/>
    </row>
    <row r="739" spans="1:26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"/>
      <c r="X739" s="1"/>
      <c r="Y739" s="1"/>
      <c r="Z739" s="1"/>
    </row>
    <row r="740" spans="1:26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"/>
      <c r="X740" s="1"/>
      <c r="Y740" s="1"/>
      <c r="Z740" s="1"/>
    </row>
    <row r="741" spans="1:26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"/>
      <c r="X741" s="1"/>
      <c r="Y741" s="1"/>
      <c r="Z741" s="1"/>
    </row>
    <row r="742" spans="1:26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"/>
      <c r="X742" s="1"/>
      <c r="Y742" s="1"/>
      <c r="Z742" s="1"/>
    </row>
    <row r="743" spans="1:26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"/>
      <c r="X743" s="1"/>
      <c r="Y743" s="1"/>
      <c r="Z743" s="1"/>
    </row>
    <row r="744" spans="1:26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"/>
      <c r="X744" s="1"/>
      <c r="Y744" s="1"/>
      <c r="Z744" s="1"/>
    </row>
    <row r="745" spans="1:26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"/>
      <c r="X745" s="1"/>
      <c r="Y745" s="1"/>
      <c r="Z745" s="1"/>
    </row>
    <row r="746" spans="1:26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"/>
      <c r="X746" s="1"/>
      <c r="Y746" s="1"/>
      <c r="Z746" s="1"/>
    </row>
    <row r="747" spans="1:26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"/>
      <c r="X747" s="1"/>
      <c r="Y747" s="1"/>
      <c r="Z747" s="1"/>
    </row>
    <row r="748" spans="1:26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"/>
      <c r="X748" s="1"/>
      <c r="Y748" s="1"/>
      <c r="Z748" s="1"/>
    </row>
    <row r="749" spans="1:26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"/>
      <c r="X749" s="1"/>
      <c r="Y749" s="1"/>
      <c r="Z749" s="1"/>
    </row>
    <row r="750" spans="1:26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"/>
      <c r="X750" s="1"/>
      <c r="Y750" s="1"/>
      <c r="Z750" s="1"/>
    </row>
    <row r="751" spans="1:26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"/>
      <c r="X751" s="1"/>
      <c r="Y751" s="1"/>
      <c r="Z751" s="1"/>
    </row>
    <row r="752" spans="1:26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"/>
      <c r="X752" s="1"/>
      <c r="Y752" s="1"/>
      <c r="Z752" s="1"/>
    </row>
    <row r="753" spans="1:26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"/>
      <c r="X753" s="1"/>
      <c r="Y753" s="1"/>
      <c r="Z753" s="1"/>
    </row>
    <row r="754" spans="1:26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"/>
      <c r="X754" s="1"/>
      <c r="Y754" s="1"/>
      <c r="Z754" s="1"/>
    </row>
    <row r="755" spans="1:26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"/>
      <c r="X755" s="1"/>
      <c r="Y755" s="1"/>
      <c r="Z755" s="1"/>
    </row>
    <row r="756" spans="1:26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"/>
      <c r="X756" s="1"/>
      <c r="Y756" s="1"/>
      <c r="Z756" s="1"/>
    </row>
    <row r="757" spans="1:26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"/>
      <c r="X757" s="1"/>
      <c r="Y757" s="1"/>
      <c r="Z757" s="1"/>
    </row>
    <row r="758" spans="1:26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"/>
      <c r="X758" s="1"/>
      <c r="Y758" s="1"/>
      <c r="Z758" s="1"/>
    </row>
    <row r="759" spans="1:26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"/>
      <c r="X759" s="1"/>
      <c r="Y759" s="1"/>
      <c r="Z759" s="1"/>
    </row>
    <row r="760" spans="1:26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"/>
      <c r="X760" s="1"/>
      <c r="Y760" s="1"/>
      <c r="Z760" s="1"/>
    </row>
    <row r="761" spans="1:26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"/>
      <c r="X761" s="1"/>
      <c r="Y761" s="1"/>
      <c r="Z761" s="1"/>
    </row>
    <row r="762" spans="1:26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"/>
      <c r="X762" s="1"/>
      <c r="Y762" s="1"/>
      <c r="Z762" s="1"/>
    </row>
    <row r="763" spans="1:26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"/>
      <c r="X763" s="1"/>
      <c r="Y763" s="1"/>
      <c r="Z763" s="1"/>
    </row>
    <row r="764" spans="1:26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"/>
      <c r="X764" s="1"/>
      <c r="Y764" s="1"/>
      <c r="Z764" s="1"/>
    </row>
    <row r="765" spans="1:26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"/>
      <c r="X765" s="1"/>
      <c r="Y765" s="1"/>
      <c r="Z765" s="1"/>
    </row>
    <row r="766" spans="1:26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"/>
      <c r="X766" s="1"/>
      <c r="Y766" s="1"/>
      <c r="Z766" s="1"/>
    </row>
    <row r="767" spans="1:26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"/>
      <c r="X767" s="1"/>
      <c r="Y767" s="1"/>
      <c r="Z767" s="1"/>
    </row>
    <row r="768" spans="1:26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"/>
      <c r="X768" s="1"/>
      <c r="Y768" s="1"/>
      <c r="Z768" s="1"/>
    </row>
    <row r="769" spans="1:26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"/>
      <c r="X769" s="1"/>
      <c r="Y769" s="1"/>
      <c r="Z769" s="1"/>
    </row>
    <row r="770" spans="1:26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"/>
      <c r="X770" s="1"/>
      <c r="Y770" s="1"/>
      <c r="Z770" s="1"/>
    </row>
    <row r="771" spans="1:26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"/>
      <c r="X771" s="1"/>
      <c r="Y771" s="1"/>
      <c r="Z771" s="1"/>
    </row>
    <row r="772" spans="1:26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"/>
      <c r="X772" s="1"/>
      <c r="Y772" s="1"/>
      <c r="Z772" s="1"/>
    </row>
    <row r="773" spans="1:26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"/>
      <c r="X773" s="1"/>
      <c r="Y773" s="1"/>
      <c r="Z773" s="1"/>
    </row>
    <row r="774" spans="1:26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"/>
      <c r="X774" s="1"/>
      <c r="Y774" s="1"/>
      <c r="Z774" s="1"/>
    </row>
    <row r="775" spans="1:26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"/>
      <c r="X775" s="1"/>
      <c r="Y775" s="1"/>
      <c r="Z775" s="1"/>
    </row>
    <row r="776" spans="1:26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"/>
      <c r="X776" s="1"/>
      <c r="Y776" s="1"/>
      <c r="Z776" s="1"/>
    </row>
    <row r="777" spans="1:26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"/>
      <c r="X777" s="1"/>
      <c r="Y777" s="1"/>
      <c r="Z777" s="1"/>
    </row>
    <row r="778" spans="1:26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"/>
      <c r="X778" s="1"/>
      <c r="Y778" s="1"/>
      <c r="Z778" s="1"/>
    </row>
    <row r="779" spans="1:26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"/>
      <c r="X779" s="1"/>
      <c r="Y779" s="1"/>
      <c r="Z779" s="1"/>
    </row>
    <row r="780" spans="1:26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"/>
      <c r="X780" s="1"/>
      <c r="Y780" s="1"/>
      <c r="Z780" s="1"/>
    </row>
    <row r="781" spans="1:26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"/>
      <c r="X781" s="1"/>
      <c r="Y781" s="1"/>
      <c r="Z781" s="1"/>
    </row>
    <row r="782" spans="1:26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"/>
      <c r="X782" s="1"/>
      <c r="Y782" s="1"/>
      <c r="Z782" s="1"/>
    </row>
    <row r="783" spans="1:26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"/>
      <c r="X783" s="1"/>
      <c r="Y783" s="1"/>
      <c r="Z783" s="1"/>
    </row>
    <row r="784" spans="1:26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"/>
      <c r="X784" s="1"/>
      <c r="Y784" s="1"/>
      <c r="Z784" s="1"/>
    </row>
    <row r="785" spans="1:26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"/>
      <c r="X785" s="1"/>
      <c r="Y785" s="1"/>
      <c r="Z785" s="1"/>
    </row>
    <row r="786" spans="1:26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"/>
      <c r="X786" s="1"/>
      <c r="Y786" s="1"/>
      <c r="Z786" s="1"/>
    </row>
    <row r="787" spans="1:26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"/>
      <c r="X787" s="1"/>
      <c r="Y787" s="1"/>
      <c r="Z787" s="1"/>
    </row>
    <row r="788" spans="1:26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"/>
      <c r="X788" s="1"/>
      <c r="Y788" s="1"/>
      <c r="Z788" s="1"/>
    </row>
    <row r="789" spans="1:26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"/>
      <c r="X789" s="1"/>
      <c r="Y789" s="1"/>
      <c r="Z789" s="1"/>
    </row>
    <row r="790" spans="1:26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"/>
      <c r="X790" s="1"/>
      <c r="Y790" s="1"/>
      <c r="Z790" s="1"/>
    </row>
    <row r="791" spans="1:26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"/>
      <c r="X791" s="1"/>
      <c r="Y791" s="1"/>
      <c r="Z791" s="1"/>
    </row>
    <row r="792" spans="1:26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"/>
      <c r="X792" s="1"/>
      <c r="Y792" s="1"/>
      <c r="Z792" s="1"/>
    </row>
    <row r="793" spans="1:26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"/>
      <c r="X793" s="1"/>
      <c r="Y793" s="1"/>
      <c r="Z793" s="1"/>
    </row>
    <row r="794" spans="1:26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"/>
      <c r="X794" s="1"/>
      <c r="Y794" s="1"/>
      <c r="Z794" s="1"/>
    </row>
    <row r="795" spans="1:26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"/>
      <c r="X795" s="1"/>
      <c r="Y795" s="1"/>
      <c r="Z795" s="1"/>
    </row>
    <row r="796" spans="1:26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"/>
      <c r="X796" s="1"/>
      <c r="Y796" s="1"/>
      <c r="Z796" s="1"/>
    </row>
    <row r="797" spans="1:26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"/>
      <c r="X797" s="1"/>
      <c r="Y797" s="1"/>
      <c r="Z797" s="1"/>
    </row>
    <row r="798" spans="1:26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"/>
      <c r="X798" s="1"/>
      <c r="Y798" s="1"/>
      <c r="Z798" s="1"/>
    </row>
    <row r="799" spans="1:26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"/>
      <c r="X799" s="1"/>
      <c r="Y799" s="1"/>
      <c r="Z799" s="1"/>
    </row>
    <row r="800" spans="1:26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"/>
      <c r="X800" s="1"/>
      <c r="Y800" s="1"/>
      <c r="Z800" s="1"/>
    </row>
    <row r="801" spans="1:26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"/>
      <c r="X801" s="1"/>
      <c r="Y801" s="1"/>
      <c r="Z801" s="1"/>
    </row>
    <row r="802" spans="1:26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"/>
      <c r="X802" s="1"/>
      <c r="Y802" s="1"/>
      <c r="Z802" s="1"/>
    </row>
    <row r="803" spans="1:26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"/>
      <c r="X803" s="1"/>
      <c r="Y803" s="1"/>
      <c r="Z803" s="1"/>
    </row>
    <row r="804" spans="1:26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"/>
      <c r="X804" s="1"/>
      <c r="Y804" s="1"/>
      <c r="Z804" s="1"/>
    </row>
    <row r="805" spans="1:26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"/>
      <c r="X805" s="1"/>
      <c r="Y805" s="1"/>
      <c r="Z805" s="1"/>
    </row>
    <row r="806" spans="1:26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"/>
      <c r="X806" s="1"/>
      <c r="Y806" s="1"/>
      <c r="Z806" s="1"/>
    </row>
    <row r="807" spans="1:26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"/>
      <c r="X807" s="1"/>
      <c r="Y807" s="1"/>
      <c r="Z807" s="1"/>
    </row>
    <row r="808" spans="1:26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"/>
      <c r="X808" s="1"/>
      <c r="Y808" s="1"/>
      <c r="Z808" s="1"/>
    </row>
    <row r="809" spans="1:26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"/>
      <c r="X809" s="1"/>
      <c r="Y809" s="1"/>
      <c r="Z809" s="1"/>
    </row>
    <row r="810" spans="1:26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"/>
      <c r="X810" s="1"/>
      <c r="Y810" s="1"/>
      <c r="Z810" s="1"/>
    </row>
    <row r="811" spans="1:26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"/>
      <c r="X811" s="1"/>
      <c r="Y811" s="1"/>
      <c r="Z811" s="1"/>
    </row>
    <row r="812" spans="1:26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"/>
      <c r="X812" s="1"/>
      <c r="Y812" s="1"/>
      <c r="Z812" s="1"/>
    </row>
    <row r="813" spans="1:26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"/>
      <c r="X813" s="1"/>
      <c r="Y813" s="1"/>
      <c r="Z813" s="1"/>
    </row>
    <row r="814" spans="1:26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"/>
      <c r="X814" s="1"/>
      <c r="Y814" s="1"/>
      <c r="Z814" s="1"/>
    </row>
    <row r="815" spans="1:26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"/>
      <c r="X815" s="1"/>
      <c r="Y815" s="1"/>
      <c r="Z815" s="1"/>
    </row>
    <row r="816" spans="1:26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"/>
      <c r="X816" s="1"/>
      <c r="Y816" s="1"/>
      <c r="Z816" s="1"/>
    </row>
    <row r="817" spans="1:26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"/>
      <c r="X817" s="1"/>
      <c r="Y817" s="1"/>
      <c r="Z817" s="1"/>
    </row>
    <row r="818" spans="1:26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"/>
      <c r="X818" s="1"/>
      <c r="Y818" s="1"/>
      <c r="Z818" s="1"/>
    </row>
    <row r="819" spans="1:26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"/>
      <c r="X819" s="1"/>
      <c r="Y819" s="1"/>
      <c r="Z819" s="1"/>
    </row>
    <row r="820" spans="1:26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"/>
      <c r="X820" s="1"/>
      <c r="Y820" s="1"/>
      <c r="Z820" s="1"/>
    </row>
    <row r="821" spans="1:26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"/>
      <c r="X821" s="1"/>
      <c r="Y821" s="1"/>
      <c r="Z821" s="1"/>
    </row>
    <row r="822" spans="1:26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"/>
      <c r="X822" s="1"/>
      <c r="Y822" s="1"/>
      <c r="Z822" s="1"/>
    </row>
    <row r="823" spans="1:26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"/>
      <c r="X823" s="1"/>
      <c r="Y823" s="1"/>
      <c r="Z823" s="1"/>
    </row>
    <row r="824" spans="1:26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"/>
      <c r="X824" s="1"/>
      <c r="Y824" s="1"/>
      <c r="Z824" s="1"/>
    </row>
    <row r="825" spans="1:26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"/>
      <c r="X825" s="1"/>
      <c r="Y825" s="1"/>
      <c r="Z825" s="1"/>
    </row>
    <row r="826" spans="1:26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"/>
      <c r="X826" s="1"/>
      <c r="Y826" s="1"/>
      <c r="Z826" s="1"/>
    </row>
    <row r="827" spans="1:26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"/>
      <c r="X827" s="1"/>
      <c r="Y827" s="1"/>
      <c r="Z827" s="1"/>
    </row>
    <row r="828" spans="1:26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"/>
      <c r="X828" s="1"/>
      <c r="Y828" s="1"/>
      <c r="Z828" s="1"/>
    </row>
    <row r="829" spans="1:26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"/>
      <c r="X829" s="1"/>
      <c r="Y829" s="1"/>
      <c r="Z829" s="1"/>
    </row>
    <row r="830" spans="1:26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"/>
      <c r="X830" s="1"/>
      <c r="Y830" s="1"/>
      <c r="Z830" s="1"/>
    </row>
    <row r="831" spans="1:26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"/>
      <c r="X831" s="1"/>
      <c r="Y831" s="1"/>
      <c r="Z831" s="1"/>
    </row>
    <row r="832" spans="1:26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"/>
      <c r="X832" s="1"/>
      <c r="Y832" s="1"/>
      <c r="Z832" s="1"/>
    </row>
    <row r="833" spans="1:26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"/>
      <c r="X833" s="1"/>
      <c r="Y833" s="1"/>
      <c r="Z833" s="1"/>
    </row>
    <row r="834" spans="1:26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"/>
      <c r="X834" s="1"/>
      <c r="Y834" s="1"/>
      <c r="Z834" s="1"/>
    </row>
    <row r="835" spans="1:26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"/>
      <c r="X835" s="1"/>
      <c r="Y835" s="1"/>
      <c r="Z835" s="1"/>
    </row>
    <row r="836" spans="1:26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"/>
      <c r="X836" s="1"/>
      <c r="Y836" s="1"/>
      <c r="Z836" s="1"/>
    </row>
    <row r="837" spans="1:26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"/>
      <c r="X837" s="1"/>
      <c r="Y837" s="1"/>
      <c r="Z837" s="1"/>
    </row>
    <row r="838" spans="1:26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"/>
      <c r="X838" s="1"/>
      <c r="Y838" s="1"/>
      <c r="Z838" s="1"/>
    </row>
    <row r="839" spans="1:26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"/>
      <c r="X839" s="1"/>
      <c r="Y839" s="1"/>
      <c r="Z839" s="1"/>
    </row>
    <row r="840" spans="1:26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"/>
      <c r="X840" s="1"/>
      <c r="Y840" s="1"/>
      <c r="Z840" s="1"/>
    </row>
    <row r="841" spans="1:26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"/>
      <c r="X841" s="1"/>
      <c r="Y841" s="1"/>
      <c r="Z841" s="1"/>
    </row>
    <row r="842" spans="1:26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"/>
      <c r="X842" s="1"/>
      <c r="Y842" s="1"/>
      <c r="Z842" s="1"/>
    </row>
    <row r="843" spans="1:26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"/>
      <c r="X843" s="1"/>
      <c r="Y843" s="1"/>
      <c r="Z843" s="1"/>
    </row>
    <row r="844" spans="1:26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"/>
      <c r="X844" s="1"/>
      <c r="Y844" s="1"/>
      <c r="Z844" s="1"/>
    </row>
    <row r="845" spans="1:26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"/>
      <c r="X845" s="1"/>
      <c r="Y845" s="1"/>
      <c r="Z845" s="1"/>
    </row>
    <row r="846" spans="1:26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"/>
      <c r="X846" s="1"/>
      <c r="Y846" s="1"/>
      <c r="Z846" s="1"/>
    </row>
    <row r="847" spans="1:26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"/>
      <c r="X847" s="1"/>
      <c r="Y847" s="1"/>
      <c r="Z847" s="1"/>
    </row>
    <row r="848" spans="1:26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"/>
      <c r="X848" s="1"/>
      <c r="Y848" s="1"/>
      <c r="Z848" s="1"/>
    </row>
    <row r="849" spans="1:26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"/>
      <c r="X849" s="1"/>
      <c r="Y849" s="1"/>
      <c r="Z849" s="1"/>
    </row>
    <row r="850" spans="1:26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"/>
      <c r="X850" s="1"/>
      <c r="Y850" s="1"/>
      <c r="Z850" s="1"/>
    </row>
    <row r="851" spans="1:26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"/>
      <c r="X851" s="1"/>
      <c r="Y851" s="1"/>
      <c r="Z851" s="1"/>
    </row>
    <row r="852" spans="1:26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"/>
      <c r="X852" s="1"/>
      <c r="Y852" s="1"/>
      <c r="Z852" s="1"/>
    </row>
    <row r="853" spans="1:26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"/>
      <c r="X853" s="1"/>
      <c r="Y853" s="1"/>
      <c r="Z853" s="1"/>
    </row>
    <row r="854" spans="1:26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"/>
      <c r="X854" s="1"/>
      <c r="Y854" s="1"/>
      <c r="Z854" s="1"/>
    </row>
    <row r="855" spans="1:26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"/>
      <c r="X855" s="1"/>
      <c r="Y855" s="1"/>
      <c r="Z855" s="1"/>
    </row>
    <row r="856" spans="1:26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"/>
      <c r="X856" s="1"/>
      <c r="Y856" s="1"/>
      <c r="Z856" s="1"/>
    </row>
    <row r="857" spans="1:26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"/>
      <c r="X857" s="1"/>
      <c r="Y857" s="1"/>
      <c r="Z857" s="1"/>
    </row>
    <row r="858" spans="1:26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"/>
      <c r="X858" s="1"/>
      <c r="Y858" s="1"/>
      <c r="Z858" s="1"/>
    </row>
    <row r="859" spans="1:26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"/>
      <c r="X859" s="1"/>
      <c r="Y859" s="1"/>
      <c r="Z859" s="1"/>
    </row>
    <row r="860" spans="1:26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"/>
      <c r="X860" s="1"/>
      <c r="Y860" s="1"/>
      <c r="Z860" s="1"/>
    </row>
    <row r="861" spans="1:26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"/>
      <c r="X861" s="1"/>
      <c r="Y861" s="1"/>
      <c r="Z861" s="1"/>
    </row>
    <row r="862" spans="1:26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"/>
      <c r="X862" s="1"/>
      <c r="Y862" s="1"/>
      <c r="Z862" s="1"/>
    </row>
    <row r="863" spans="1:26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"/>
      <c r="X863" s="1"/>
      <c r="Y863" s="1"/>
      <c r="Z863" s="1"/>
    </row>
    <row r="864" spans="1:26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"/>
      <c r="X864" s="1"/>
      <c r="Y864" s="1"/>
      <c r="Z864" s="1"/>
    </row>
    <row r="865" spans="1:26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"/>
      <c r="X865" s="1"/>
      <c r="Y865" s="1"/>
      <c r="Z865" s="1"/>
    </row>
    <row r="866" spans="1:26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"/>
      <c r="X866" s="1"/>
      <c r="Y866" s="1"/>
      <c r="Z866" s="1"/>
    </row>
    <row r="867" spans="1:26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"/>
      <c r="X867" s="1"/>
      <c r="Y867" s="1"/>
      <c r="Z867" s="1"/>
    </row>
    <row r="868" spans="1:26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"/>
      <c r="X868" s="1"/>
      <c r="Y868" s="1"/>
      <c r="Z868" s="1"/>
    </row>
    <row r="869" spans="1:26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"/>
      <c r="X869" s="1"/>
      <c r="Y869" s="1"/>
      <c r="Z869" s="1"/>
    </row>
    <row r="870" spans="1:26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"/>
      <c r="X870" s="1"/>
      <c r="Y870" s="1"/>
      <c r="Z870" s="1"/>
    </row>
    <row r="871" spans="1:26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"/>
      <c r="X871" s="1"/>
      <c r="Y871" s="1"/>
      <c r="Z871" s="1"/>
    </row>
    <row r="872" spans="1:26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"/>
      <c r="X872" s="1"/>
      <c r="Y872" s="1"/>
      <c r="Z872" s="1"/>
    </row>
    <row r="873" spans="1:26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"/>
      <c r="X873" s="1"/>
      <c r="Y873" s="1"/>
      <c r="Z873" s="1"/>
    </row>
    <row r="874" spans="1:26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"/>
      <c r="X874" s="1"/>
      <c r="Y874" s="1"/>
      <c r="Z874" s="1"/>
    </row>
    <row r="875" spans="1:26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"/>
      <c r="X875" s="1"/>
      <c r="Y875" s="1"/>
      <c r="Z875" s="1"/>
    </row>
    <row r="876" spans="1:26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"/>
      <c r="X876" s="1"/>
      <c r="Y876" s="1"/>
      <c r="Z876" s="1"/>
    </row>
    <row r="877" spans="1:26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"/>
      <c r="X877" s="1"/>
      <c r="Y877" s="1"/>
      <c r="Z877" s="1"/>
    </row>
    <row r="878" spans="1:26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"/>
      <c r="X878" s="1"/>
      <c r="Y878" s="1"/>
      <c r="Z878" s="1"/>
    </row>
    <row r="879" spans="1:26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"/>
      <c r="X879" s="1"/>
      <c r="Y879" s="1"/>
      <c r="Z879" s="1"/>
    </row>
    <row r="880" spans="1:26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"/>
      <c r="X880" s="1"/>
      <c r="Y880" s="1"/>
      <c r="Z880" s="1"/>
    </row>
    <row r="881" spans="1:26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"/>
      <c r="X881" s="1"/>
      <c r="Y881" s="1"/>
      <c r="Z881" s="1"/>
    </row>
    <row r="882" spans="1:26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"/>
      <c r="X882" s="1"/>
      <c r="Y882" s="1"/>
      <c r="Z882" s="1"/>
    </row>
    <row r="883" spans="1:26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"/>
      <c r="X883" s="1"/>
      <c r="Y883" s="1"/>
      <c r="Z883" s="1"/>
    </row>
    <row r="884" spans="1:26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"/>
      <c r="X884" s="1"/>
      <c r="Y884" s="1"/>
      <c r="Z884" s="1"/>
    </row>
    <row r="885" spans="1:26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"/>
      <c r="X885" s="1"/>
      <c r="Y885" s="1"/>
      <c r="Z885" s="1"/>
    </row>
    <row r="886" spans="1:26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"/>
      <c r="X886" s="1"/>
      <c r="Y886" s="1"/>
      <c r="Z886" s="1"/>
    </row>
    <row r="887" spans="1:26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"/>
      <c r="X887" s="1"/>
      <c r="Y887" s="1"/>
      <c r="Z887" s="1"/>
    </row>
    <row r="888" spans="1:26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"/>
      <c r="X888" s="1"/>
      <c r="Y888" s="1"/>
      <c r="Z888" s="1"/>
    </row>
    <row r="889" spans="1:26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"/>
      <c r="X889" s="1"/>
      <c r="Y889" s="1"/>
      <c r="Z889" s="1"/>
    </row>
    <row r="890" spans="1:26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"/>
      <c r="X890" s="1"/>
      <c r="Y890" s="1"/>
      <c r="Z890" s="1"/>
    </row>
    <row r="891" spans="1:26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"/>
      <c r="X891" s="1"/>
      <c r="Y891" s="1"/>
      <c r="Z891" s="1"/>
    </row>
    <row r="892" spans="1:26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"/>
      <c r="X892" s="1"/>
      <c r="Y892" s="1"/>
      <c r="Z892" s="1"/>
    </row>
    <row r="893" spans="1:26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"/>
      <c r="X893" s="1"/>
      <c r="Y893" s="1"/>
      <c r="Z893" s="1"/>
    </row>
    <row r="894" spans="1:26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"/>
      <c r="X894" s="1"/>
      <c r="Y894" s="1"/>
      <c r="Z894" s="1"/>
    </row>
    <row r="895" spans="1:26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"/>
      <c r="X895" s="1"/>
      <c r="Y895" s="1"/>
      <c r="Z895" s="1"/>
    </row>
    <row r="896" spans="1:26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"/>
      <c r="X896" s="1"/>
      <c r="Y896" s="1"/>
      <c r="Z896" s="1"/>
    </row>
    <row r="897" spans="1:26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"/>
      <c r="X897" s="1"/>
      <c r="Y897" s="1"/>
      <c r="Z897" s="1"/>
    </row>
    <row r="898" spans="1:26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"/>
      <c r="X898" s="1"/>
      <c r="Y898" s="1"/>
      <c r="Z898" s="1"/>
    </row>
    <row r="899" spans="1:26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"/>
      <c r="X899" s="1"/>
      <c r="Y899" s="1"/>
      <c r="Z899" s="1"/>
    </row>
    <row r="900" spans="1:26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"/>
      <c r="X900" s="1"/>
      <c r="Y900" s="1"/>
      <c r="Z900" s="1"/>
    </row>
    <row r="901" spans="1:26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"/>
      <c r="X901" s="1"/>
      <c r="Y901" s="1"/>
      <c r="Z901" s="1"/>
    </row>
    <row r="902" spans="1:26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"/>
      <c r="X902" s="1"/>
      <c r="Y902" s="1"/>
      <c r="Z902" s="1"/>
    </row>
    <row r="903" spans="1:26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"/>
      <c r="X903" s="1"/>
      <c r="Y903" s="1"/>
      <c r="Z903" s="1"/>
    </row>
    <row r="904" spans="1:26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"/>
      <c r="X904" s="1"/>
      <c r="Y904" s="1"/>
      <c r="Z904" s="1"/>
    </row>
    <row r="905" spans="1:26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"/>
      <c r="X905" s="1"/>
      <c r="Y905" s="1"/>
      <c r="Z905" s="1"/>
    </row>
    <row r="906" spans="1:26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"/>
      <c r="X906" s="1"/>
      <c r="Y906" s="1"/>
      <c r="Z906" s="1"/>
    </row>
    <row r="907" spans="1:26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"/>
      <c r="X907" s="1"/>
      <c r="Y907" s="1"/>
      <c r="Z907" s="1"/>
    </row>
    <row r="908" spans="1:26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"/>
      <c r="X908" s="1"/>
      <c r="Y908" s="1"/>
      <c r="Z908" s="1"/>
    </row>
    <row r="909" spans="1:26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"/>
      <c r="X909" s="1"/>
      <c r="Y909" s="1"/>
      <c r="Z909" s="1"/>
    </row>
    <row r="910" spans="1:26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"/>
      <c r="X910" s="1"/>
      <c r="Y910" s="1"/>
      <c r="Z910" s="1"/>
    </row>
    <row r="911" spans="1:26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"/>
      <c r="X911" s="1"/>
      <c r="Y911" s="1"/>
      <c r="Z911" s="1"/>
    </row>
    <row r="912" spans="1:26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"/>
      <c r="X912" s="1"/>
      <c r="Y912" s="1"/>
      <c r="Z912" s="1"/>
    </row>
    <row r="913" spans="1:26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"/>
      <c r="X913" s="1"/>
      <c r="Y913" s="1"/>
      <c r="Z913" s="1"/>
    </row>
    <row r="914" spans="1:26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"/>
      <c r="X914" s="1"/>
      <c r="Y914" s="1"/>
      <c r="Z914" s="1"/>
    </row>
    <row r="915" spans="1:26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"/>
      <c r="X915" s="1"/>
      <c r="Y915" s="1"/>
      <c r="Z915" s="1"/>
    </row>
    <row r="916" spans="1:26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"/>
      <c r="X916" s="1"/>
      <c r="Y916" s="1"/>
      <c r="Z916" s="1"/>
    </row>
    <row r="917" spans="1:26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"/>
      <c r="X917" s="1"/>
      <c r="Y917" s="1"/>
      <c r="Z917" s="1"/>
    </row>
    <row r="918" spans="1:26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"/>
      <c r="X918" s="1"/>
      <c r="Y918" s="1"/>
      <c r="Z918" s="1"/>
    </row>
    <row r="919" spans="1:26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"/>
      <c r="X919" s="1"/>
      <c r="Y919" s="1"/>
      <c r="Z919" s="1"/>
    </row>
    <row r="920" spans="1:26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"/>
      <c r="X920" s="1"/>
      <c r="Y920" s="1"/>
      <c r="Z920" s="1"/>
    </row>
    <row r="921" spans="1:26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"/>
      <c r="X921" s="1"/>
      <c r="Y921" s="1"/>
      <c r="Z921" s="1"/>
    </row>
    <row r="922" spans="1:26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"/>
      <c r="X922" s="1"/>
      <c r="Y922" s="1"/>
      <c r="Z922" s="1"/>
    </row>
    <row r="923" spans="1:26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"/>
      <c r="X923" s="1"/>
      <c r="Y923" s="1"/>
      <c r="Z923" s="1"/>
    </row>
    <row r="924" spans="1:26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"/>
      <c r="X924" s="1"/>
      <c r="Y924" s="1"/>
      <c r="Z924" s="1"/>
    </row>
    <row r="925" spans="1:26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"/>
      <c r="X925" s="1"/>
      <c r="Y925" s="1"/>
      <c r="Z925" s="1"/>
    </row>
    <row r="926" spans="1:26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"/>
      <c r="X926" s="1"/>
      <c r="Y926" s="1"/>
      <c r="Z926" s="1"/>
    </row>
    <row r="927" spans="1:26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"/>
      <c r="X927" s="1"/>
      <c r="Y927" s="1"/>
      <c r="Z927" s="1"/>
    </row>
    <row r="928" spans="1:26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"/>
      <c r="X928" s="1"/>
      <c r="Y928" s="1"/>
      <c r="Z928" s="1"/>
    </row>
    <row r="929" spans="1:26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"/>
      <c r="X929" s="1"/>
      <c r="Y929" s="1"/>
      <c r="Z929" s="1"/>
    </row>
    <row r="930" spans="1:26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"/>
      <c r="X930" s="1"/>
      <c r="Y930" s="1"/>
      <c r="Z930" s="1"/>
    </row>
    <row r="931" spans="1:26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"/>
      <c r="X931" s="1"/>
      <c r="Y931" s="1"/>
      <c r="Z931" s="1"/>
    </row>
    <row r="932" spans="1:26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"/>
      <c r="X932" s="1"/>
      <c r="Y932" s="1"/>
      <c r="Z932" s="1"/>
    </row>
    <row r="933" spans="1:26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"/>
      <c r="X933" s="1"/>
      <c r="Y933" s="1"/>
      <c r="Z933" s="1"/>
    </row>
    <row r="934" spans="1:26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"/>
      <c r="X934" s="1"/>
      <c r="Y934" s="1"/>
      <c r="Z934" s="1"/>
    </row>
    <row r="935" spans="1:26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"/>
      <c r="X935" s="1"/>
      <c r="Y935" s="1"/>
      <c r="Z935" s="1"/>
    </row>
    <row r="936" spans="1:26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"/>
      <c r="X936" s="1"/>
      <c r="Y936" s="1"/>
      <c r="Z936" s="1"/>
    </row>
    <row r="937" spans="1:26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"/>
      <c r="X937" s="1"/>
      <c r="Y937" s="1"/>
      <c r="Z937" s="1"/>
    </row>
    <row r="938" spans="1:26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"/>
      <c r="X938" s="1"/>
      <c r="Y938" s="1"/>
      <c r="Z938" s="1"/>
    </row>
    <row r="939" spans="1:26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"/>
      <c r="X939" s="1"/>
      <c r="Y939" s="1"/>
      <c r="Z939" s="1"/>
    </row>
    <row r="940" spans="1:26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"/>
      <c r="X940" s="1"/>
      <c r="Y940" s="1"/>
      <c r="Z940" s="1"/>
    </row>
    <row r="941" spans="1:26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"/>
      <c r="X941" s="1"/>
      <c r="Y941" s="1"/>
      <c r="Z941" s="1"/>
    </row>
    <row r="942" spans="1:26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"/>
      <c r="X942" s="1"/>
      <c r="Y942" s="1"/>
      <c r="Z942" s="1"/>
    </row>
    <row r="943" spans="1:26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"/>
      <c r="X943" s="1"/>
      <c r="Y943" s="1"/>
      <c r="Z943" s="1"/>
    </row>
    <row r="944" spans="1:26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"/>
      <c r="X944" s="1"/>
      <c r="Y944" s="1"/>
      <c r="Z944" s="1"/>
    </row>
    <row r="945" spans="1:26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"/>
      <c r="X945" s="1"/>
      <c r="Y945" s="1"/>
      <c r="Z945" s="1"/>
    </row>
    <row r="946" spans="1:26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"/>
      <c r="X946" s="1"/>
      <c r="Y946" s="1"/>
      <c r="Z946" s="1"/>
    </row>
    <row r="947" spans="1:26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"/>
      <c r="X947" s="1"/>
      <c r="Y947" s="1"/>
      <c r="Z947" s="1"/>
    </row>
    <row r="948" spans="1:26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"/>
      <c r="X948" s="1"/>
      <c r="Y948" s="1"/>
      <c r="Z948" s="1"/>
    </row>
    <row r="949" spans="1:26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"/>
      <c r="X949" s="1"/>
      <c r="Y949" s="1"/>
      <c r="Z949" s="1"/>
    </row>
    <row r="950" spans="1:26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"/>
      <c r="X950" s="1"/>
      <c r="Y950" s="1"/>
      <c r="Z950" s="1"/>
    </row>
    <row r="951" spans="1:26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"/>
      <c r="X951" s="1"/>
      <c r="Y951" s="1"/>
      <c r="Z951" s="1"/>
    </row>
    <row r="952" spans="1:26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"/>
      <c r="X952" s="1"/>
      <c r="Y952" s="1"/>
      <c r="Z952" s="1"/>
    </row>
    <row r="953" spans="1:26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"/>
      <c r="X953" s="1"/>
      <c r="Y953" s="1"/>
      <c r="Z953" s="1"/>
    </row>
    <row r="954" spans="1:26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"/>
      <c r="X954" s="1"/>
      <c r="Y954" s="1"/>
      <c r="Z954" s="1"/>
    </row>
    <row r="955" spans="1:26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"/>
      <c r="X955" s="1"/>
      <c r="Y955" s="1"/>
      <c r="Z955" s="1"/>
    </row>
    <row r="956" spans="1:26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"/>
      <c r="X956" s="1"/>
      <c r="Y956" s="1"/>
      <c r="Z956" s="1"/>
    </row>
    <row r="957" spans="1:26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"/>
      <c r="X957" s="1"/>
      <c r="Y957" s="1"/>
      <c r="Z957" s="1"/>
    </row>
    <row r="958" spans="1:26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"/>
      <c r="X958" s="1"/>
      <c r="Y958" s="1"/>
      <c r="Z958" s="1"/>
    </row>
    <row r="959" spans="1:26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"/>
      <c r="X959" s="1"/>
      <c r="Y959" s="1"/>
      <c r="Z959" s="1"/>
    </row>
    <row r="960" spans="1:26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"/>
      <c r="X960" s="1"/>
      <c r="Y960" s="1"/>
      <c r="Z960" s="1"/>
    </row>
    <row r="961" spans="1:26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"/>
      <c r="X961" s="1"/>
      <c r="Y961" s="1"/>
      <c r="Z961" s="1"/>
    </row>
    <row r="962" spans="1:26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"/>
      <c r="X962" s="1"/>
      <c r="Y962" s="1"/>
      <c r="Z962" s="1"/>
    </row>
    <row r="963" spans="1:26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"/>
      <c r="X963" s="1"/>
      <c r="Y963" s="1"/>
      <c r="Z963" s="1"/>
    </row>
    <row r="964" spans="1:26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"/>
      <c r="X964" s="1"/>
      <c r="Y964" s="1"/>
      <c r="Z964" s="1"/>
    </row>
    <row r="965" spans="1:26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"/>
      <c r="X965" s="1"/>
      <c r="Y965" s="1"/>
      <c r="Z965" s="1"/>
    </row>
    <row r="966" spans="1:26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"/>
      <c r="X966" s="1"/>
      <c r="Y966" s="1"/>
      <c r="Z966" s="1"/>
    </row>
    <row r="967" spans="1:26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"/>
      <c r="X967" s="1"/>
      <c r="Y967" s="1"/>
      <c r="Z967" s="1"/>
    </row>
    <row r="968" spans="1:26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"/>
      <c r="X968" s="1"/>
      <c r="Y968" s="1"/>
      <c r="Z968" s="1"/>
    </row>
    <row r="969" spans="1:26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"/>
      <c r="X969" s="1"/>
      <c r="Y969" s="1"/>
      <c r="Z969" s="1"/>
    </row>
    <row r="970" spans="1:26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"/>
      <c r="X970" s="1"/>
      <c r="Y970" s="1"/>
      <c r="Z970" s="1"/>
    </row>
    <row r="971" spans="1:26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"/>
      <c r="X971" s="1"/>
      <c r="Y971" s="1"/>
      <c r="Z971" s="1"/>
    </row>
    <row r="972" spans="1:26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"/>
      <c r="X972" s="1"/>
      <c r="Y972" s="1"/>
      <c r="Z972" s="1"/>
    </row>
    <row r="973" spans="1:26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"/>
      <c r="X973" s="1"/>
      <c r="Y973" s="1"/>
      <c r="Z973" s="1"/>
    </row>
    <row r="974" spans="1:26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"/>
      <c r="X974" s="1"/>
      <c r="Y974" s="1"/>
      <c r="Z974" s="1"/>
    </row>
    <row r="975" spans="1:26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"/>
      <c r="X975" s="1"/>
      <c r="Y975" s="1"/>
      <c r="Z975" s="1"/>
    </row>
    <row r="976" spans="1:26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"/>
      <c r="X976" s="1"/>
      <c r="Y976" s="1"/>
      <c r="Z976" s="1"/>
    </row>
    <row r="977" spans="1:26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"/>
      <c r="X977" s="1"/>
      <c r="Y977" s="1"/>
      <c r="Z977" s="1"/>
    </row>
    <row r="978" spans="1:26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"/>
      <c r="X978" s="1"/>
      <c r="Y978" s="1"/>
      <c r="Z978" s="1"/>
    </row>
    <row r="979" spans="1:26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"/>
      <c r="X979" s="1"/>
      <c r="Y979" s="1"/>
      <c r="Z979" s="1"/>
    </row>
    <row r="980" spans="1:26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"/>
      <c r="X980" s="1"/>
      <c r="Y980" s="1"/>
      <c r="Z980" s="1"/>
    </row>
    <row r="981" spans="1:26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"/>
      <c r="X981" s="1"/>
      <c r="Y981" s="1"/>
      <c r="Z981" s="1"/>
    </row>
    <row r="982" spans="1:26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"/>
      <c r="X982" s="1"/>
      <c r="Y982" s="1"/>
      <c r="Z982" s="1"/>
    </row>
    <row r="983" spans="1:26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"/>
      <c r="X983" s="1"/>
      <c r="Y983" s="1"/>
      <c r="Z983" s="1"/>
    </row>
    <row r="984" spans="1:26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"/>
      <c r="X984" s="1"/>
      <c r="Y984" s="1"/>
      <c r="Z984" s="1"/>
    </row>
    <row r="985" spans="1:26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"/>
      <c r="X985" s="1"/>
      <c r="Y985" s="1"/>
      <c r="Z985" s="1"/>
    </row>
    <row r="986" spans="1:26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"/>
      <c r="X986" s="1"/>
      <c r="Y986" s="1"/>
      <c r="Z986" s="1"/>
    </row>
    <row r="987" spans="1:26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"/>
      <c r="X987" s="1"/>
      <c r="Y987" s="1"/>
      <c r="Z987" s="1"/>
    </row>
    <row r="988" spans="1:26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"/>
      <c r="X988" s="1"/>
      <c r="Y988" s="1"/>
      <c r="Z988" s="1"/>
    </row>
    <row r="989" spans="1:26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"/>
      <c r="X989" s="1"/>
      <c r="Y989" s="1"/>
      <c r="Z989" s="1"/>
    </row>
    <row r="990" spans="1:26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"/>
      <c r="X990" s="1"/>
      <c r="Y990" s="1"/>
      <c r="Z990" s="1"/>
    </row>
    <row r="991" spans="1:26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"/>
      <c r="X991" s="1"/>
      <c r="Y991" s="1"/>
      <c r="Z991" s="1"/>
    </row>
    <row r="992" spans="1:26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"/>
      <c r="X992" s="1"/>
      <c r="Y992" s="1"/>
      <c r="Z992" s="1"/>
    </row>
    <row r="993" spans="1:26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"/>
      <c r="X993" s="1"/>
      <c r="Y993" s="1"/>
      <c r="Z993" s="1"/>
    </row>
    <row r="994" spans="1:26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"/>
      <c r="X994" s="1"/>
      <c r="Y994" s="1"/>
      <c r="Z994" s="1"/>
    </row>
    <row r="995" spans="1:26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"/>
      <c r="X995" s="1"/>
      <c r="Y995" s="1"/>
      <c r="Z995" s="1"/>
    </row>
    <row r="996" spans="1:26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"/>
      <c r="X996" s="1"/>
      <c r="Y996" s="1"/>
      <c r="Z996" s="1"/>
    </row>
    <row r="997" spans="1:26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"/>
      <c r="X997" s="1"/>
      <c r="Y997" s="1"/>
      <c r="Z997" s="1"/>
    </row>
    <row r="998" spans="1:26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"/>
      <c r="X998" s="1"/>
      <c r="Y998" s="1"/>
      <c r="Z998" s="1"/>
    </row>
    <row r="999" spans="1:26" ht="14.2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"/>
      <c r="X999" s="1"/>
      <c r="Y999" s="1"/>
      <c r="Z999" s="1"/>
    </row>
    <row r="1000" spans="1:26" ht="14.2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"/>
      <c r="X1000" s="1"/>
      <c r="Y1000" s="1"/>
      <c r="Z1000" s="1"/>
    </row>
  </sheetData>
  <mergeCells count="326">
    <mergeCell ref="D589:H591"/>
    <mergeCell ref="I589:I591"/>
    <mergeCell ref="J589:V590"/>
    <mergeCell ref="J592:U592"/>
    <mergeCell ref="F560:H560"/>
    <mergeCell ref="E562:H562"/>
    <mergeCell ref="F563:H563"/>
    <mergeCell ref="F564:H564"/>
    <mergeCell ref="F565:H565"/>
    <mergeCell ref="F566:H566"/>
    <mergeCell ref="F567:H567"/>
    <mergeCell ref="F568:H568"/>
    <mergeCell ref="F570:H570"/>
    <mergeCell ref="F550:H550"/>
    <mergeCell ref="F551:H551"/>
    <mergeCell ref="F552:H552"/>
    <mergeCell ref="F553:H553"/>
    <mergeCell ref="F554:H554"/>
    <mergeCell ref="F555:H555"/>
    <mergeCell ref="F557:H557"/>
    <mergeCell ref="F558:H558"/>
    <mergeCell ref="F559:H559"/>
    <mergeCell ref="F534:H534"/>
    <mergeCell ref="F535:H535"/>
    <mergeCell ref="F537:H537"/>
    <mergeCell ref="F538:H538"/>
    <mergeCell ref="F539:H539"/>
    <mergeCell ref="F540:H540"/>
    <mergeCell ref="D542:H546"/>
    <mergeCell ref="D548:H548"/>
    <mergeCell ref="E549:H549"/>
    <mergeCell ref="D600:H600"/>
    <mergeCell ref="E601:H601"/>
    <mergeCell ref="E602:H602"/>
    <mergeCell ref="D603:H603"/>
    <mergeCell ref="D604:H604"/>
    <mergeCell ref="D605:H605"/>
    <mergeCell ref="C606:H606"/>
    <mergeCell ref="D592:H592"/>
    <mergeCell ref="D594:H594"/>
    <mergeCell ref="E595:H595"/>
    <mergeCell ref="E596:H596"/>
    <mergeCell ref="D597:H597"/>
    <mergeCell ref="D598:H598"/>
    <mergeCell ref="D599:H599"/>
    <mergeCell ref="D515:H515"/>
    <mergeCell ref="E516:H516"/>
    <mergeCell ref="F571:H571"/>
    <mergeCell ref="F572:H572"/>
    <mergeCell ref="F573:H573"/>
    <mergeCell ref="D575:H579"/>
    <mergeCell ref="C580:H580"/>
    <mergeCell ref="C581:H585"/>
    <mergeCell ref="C589:C591"/>
    <mergeCell ref="F517:H517"/>
    <mergeCell ref="F518:H518"/>
    <mergeCell ref="F519:H519"/>
    <mergeCell ref="F520:H520"/>
    <mergeCell ref="F521:H521"/>
    <mergeCell ref="F522:H522"/>
    <mergeCell ref="F524:H524"/>
    <mergeCell ref="F525:H525"/>
    <mergeCell ref="F526:H526"/>
    <mergeCell ref="F527:H527"/>
    <mergeCell ref="E529:H529"/>
    <mergeCell ref="F530:H530"/>
    <mergeCell ref="F531:H531"/>
    <mergeCell ref="F532:H532"/>
    <mergeCell ref="F533:H533"/>
    <mergeCell ref="E470:H470"/>
    <mergeCell ref="F471:H471"/>
    <mergeCell ref="F472:H472"/>
    <mergeCell ref="F473:H473"/>
    <mergeCell ref="F474:H474"/>
    <mergeCell ref="F475:H475"/>
    <mergeCell ref="F476:H476"/>
    <mergeCell ref="F478:H478"/>
    <mergeCell ref="F479:H479"/>
    <mergeCell ref="F454:H454"/>
    <mergeCell ref="F455:H455"/>
    <mergeCell ref="F456:H456"/>
    <mergeCell ref="F458:H458"/>
    <mergeCell ref="F459:H459"/>
    <mergeCell ref="F460:H460"/>
    <mergeCell ref="F461:H461"/>
    <mergeCell ref="D463:H467"/>
    <mergeCell ref="D469:H469"/>
    <mergeCell ref="G411:H411"/>
    <mergeCell ref="G416:H416"/>
    <mergeCell ref="F418:H418"/>
    <mergeCell ref="D423:H424"/>
    <mergeCell ref="C426:H427"/>
    <mergeCell ref="C431:C433"/>
    <mergeCell ref="D431:H433"/>
    <mergeCell ref="D434:H434"/>
    <mergeCell ref="D436:H436"/>
    <mergeCell ref="F487:H487"/>
    <mergeCell ref="I510:I512"/>
    <mergeCell ref="J510:V511"/>
    <mergeCell ref="J513:U513"/>
    <mergeCell ref="F488:H488"/>
    <mergeCell ref="F489:H489"/>
    <mergeCell ref="F491:H491"/>
    <mergeCell ref="F492:H492"/>
    <mergeCell ref="F493:H493"/>
    <mergeCell ref="F494:H494"/>
    <mergeCell ref="D496:H500"/>
    <mergeCell ref="C501:H501"/>
    <mergeCell ref="C502:H506"/>
    <mergeCell ref="C510:C512"/>
    <mergeCell ref="D510:H512"/>
    <mergeCell ref="D513:H513"/>
    <mergeCell ref="I431:I433"/>
    <mergeCell ref="J431:V432"/>
    <mergeCell ref="J434:U434"/>
    <mergeCell ref="F480:H480"/>
    <mergeCell ref="F481:H481"/>
    <mergeCell ref="E483:H483"/>
    <mergeCell ref="F484:H484"/>
    <mergeCell ref="F485:H485"/>
    <mergeCell ref="F486:H486"/>
    <mergeCell ref="E437:H437"/>
    <mergeCell ref="F438:H438"/>
    <mergeCell ref="F439:H439"/>
    <mergeCell ref="F440:H440"/>
    <mergeCell ref="F441:H441"/>
    <mergeCell ref="F442:H442"/>
    <mergeCell ref="F443:H443"/>
    <mergeCell ref="F445:H445"/>
    <mergeCell ref="F446:H446"/>
    <mergeCell ref="F447:H447"/>
    <mergeCell ref="F448:H448"/>
    <mergeCell ref="E450:H450"/>
    <mergeCell ref="F451:H451"/>
    <mergeCell ref="F452:H452"/>
    <mergeCell ref="F453:H453"/>
    <mergeCell ref="G373:H373"/>
    <mergeCell ref="G380:H380"/>
    <mergeCell ref="G385:H385"/>
    <mergeCell ref="G390:H390"/>
    <mergeCell ref="F392:H392"/>
    <mergeCell ref="E397:H397"/>
    <mergeCell ref="F398:H398"/>
    <mergeCell ref="G399:H399"/>
    <mergeCell ref="G406:H406"/>
    <mergeCell ref="E345:H345"/>
    <mergeCell ref="F346:H346"/>
    <mergeCell ref="G347:H347"/>
    <mergeCell ref="G354:H354"/>
    <mergeCell ref="G359:H359"/>
    <mergeCell ref="G364:H364"/>
    <mergeCell ref="F366:H366"/>
    <mergeCell ref="E371:H371"/>
    <mergeCell ref="F372:H372"/>
    <mergeCell ref="E315:H315"/>
    <mergeCell ref="F316:H316"/>
    <mergeCell ref="G317:H317"/>
    <mergeCell ref="G324:H324"/>
    <mergeCell ref="G329:H329"/>
    <mergeCell ref="G334:H334"/>
    <mergeCell ref="F336:H336"/>
    <mergeCell ref="D341:H342"/>
    <mergeCell ref="D344:H344"/>
    <mergeCell ref="G282:H282"/>
    <mergeCell ref="F284:H284"/>
    <mergeCell ref="E289:H289"/>
    <mergeCell ref="F290:H290"/>
    <mergeCell ref="G291:H291"/>
    <mergeCell ref="G298:H298"/>
    <mergeCell ref="G303:H303"/>
    <mergeCell ref="G308:H308"/>
    <mergeCell ref="F310:H310"/>
    <mergeCell ref="J257:V258"/>
    <mergeCell ref="D260:H260"/>
    <mergeCell ref="J260:U260"/>
    <mergeCell ref="D262:H262"/>
    <mergeCell ref="E263:H263"/>
    <mergeCell ref="F264:H264"/>
    <mergeCell ref="G265:H265"/>
    <mergeCell ref="G272:H272"/>
    <mergeCell ref="G277:H277"/>
    <mergeCell ref="G242:H242"/>
    <mergeCell ref="G244:H244"/>
    <mergeCell ref="G246:H246"/>
    <mergeCell ref="E248:H248"/>
    <mergeCell ref="D249:H250"/>
    <mergeCell ref="C252:H253"/>
    <mergeCell ref="C257:C259"/>
    <mergeCell ref="D257:H259"/>
    <mergeCell ref="I257:I259"/>
    <mergeCell ref="E227:H227"/>
    <mergeCell ref="E228:H228"/>
    <mergeCell ref="F229:H229"/>
    <mergeCell ref="G230:H230"/>
    <mergeCell ref="G232:H232"/>
    <mergeCell ref="G234:H234"/>
    <mergeCell ref="G236:H236"/>
    <mergeCell ref="G238:H238"/>
    <mergeCell ref="G240:H240"/>
    <mergeCell ref="G210:H210"/>
    <mergeCell ref="G212:H212"/>
    <mergeCell ref="G214:H214"/>
    <mergeCell ref="G216:H216"/>
    <mergeCell ref="G218:H218"/>
    <mergeCell ref="G220:H220"/>
    <mergeCell ref="G222:H222"/>
    <mergeCell ref="G224:H224"/>
    <mergeCell ref="G226:H226"/>
    <mergeCell ref="G195:H195"/>
    <mergeCell ref="G197:H197"/>
    <mergeCell ref="G199:H199"/>
    <mergeCell ref="G201:H201"/>
    <mergeCell ref="E203:H203"/>
    <mergeCell ref="D204:H205"/>
    <mergeCell ref="D207:H207"/>
    <mergeCell ref="E208:H208"/>
    <mergeCell ref="F209:H209"/>
    <mergeCell ref="G181:H181"/>
    <mergeCell ref="E182:H182"/>
    <mergeCell ref="E183:H183"/>
    <mergeCell ref="F184:H184"/>
    <mergeCell ref="G185:H185"/>
    <mergeCell ref="G187:H187"/>
    <mergeCell ref="G189:H189"/>
    <mergeCell ref="G191:H191"/>
    <mergeCell ref="G193:H193"/>
    <mergeCell ref="F164:H164"/>
    <mergeCell ref="G165:H165"/>
    <mergeCell ref="G167:H167"/>
    <mergeCell ref="G169:H169"/>
    <mergeCell ref="G171:H171"/>
    <mergeCell ref="G173:H173"/>
    <mergeCell ref="G175:H175"/>
    <mergeCell ref="G177:H177"/>
    <mergeCell ref="G179:H179"/>
    <mergeCell ref="G146:H146"/>
    <mergeCell ref="G148:H148"/>
    <mergeCell ref="G150:H150"/>
    <mergeCell ref="G152:H152"/>
    <mergeCell ref="G154:H154"/>
    <mergeCell ref="G156:H156"/>
    <mergeCell ref="D159:H160"/>
    <mergeCell ref="D162:H162"/>
    <mergeCell ref="E163:H163"/>
    <mergeCell ref="G132:H132"/>
    <mergeCell ref="G134:H134"/>
    <mergeCell ref="G136:H136"/>
    <mergeCell ref="E137:H137"/>
    <mergeCell ref="E138:H138"/>
    <mergeCell ref="F139:H139"/>
    <mergeCell ref="G140:H140"/>
    <mergeCell ref="G142:H142"/>
    <mergeCell ref="G144:H144"/>
    <mergeCell ref="D117:H117"/>
    <mergeCell ref="E118:H118"/>
    <mergeCell ref="F119:H119"/>
    <mergeCell ref="G120:H120"/>
    <mergeCell ref="G122:H122"/>
    <mergeCell ref="G124:H124"/>
    <mergeCell ref="G126:H126"/>
    <mergeCell ref="G128:H128"/>
    <mergeCell ref="G130:H130"/>
    <mergeCell ref="E98:H98"/>
    <mergeCell ref="E101:H101"/>
    <mergeCell ref="E104:H104"/>
    <mergeCell ref="F105:H105"/>
    <mergeCell ref="F107:H107"/>
    <mergeCell ref="F109:H109"/>
    <mergeCell ref="F111:H111"/>
    <mergeCell ref="E113:H113"/>
    <mergeCell ref="D114:H115"/>
    <mergeCell ref="G81:H81"/>
    <mergeCell ref="G83:H83"/>
    <mergeCell ref="G85:H85"/>
    <mergeCell ref="G87:H87"/>
    <mergeCell ref="G89:H89"/>
    <mergeCell ref="G91:H91"/>
    <mergeCell ref="G93:H93"/>
    <mergeCell ref="G95:H95"/>
    <mergeCell ref="G96:H96"/>
    <mergeCell ref="G63:H63"/>
    <mergeCell ref="G65:H65"/>
    <mergeCell ref="G67:H67"/>
    <mergeCell ref="G69:H69"/>
    <mergeCell ref="G71:H71"/>
    <mergeCell ref="G73:H73"/>
    <mergeCell ref="G75:H75"/>
    <mergeCell ref="G77:H77"/>
    <mergeCell ref="F80:H80"/>
    <mergeCell ref="G50:H50"/>
    <mergeCell ref="G52:H52"/>
    <mergeCell ref="G54:H54"/>
    <mergeCell ref="G56:H56"/>
    <mergeCell ref="G57:H57"/>
    <mergeCell ref="E58:H58"/>
    <mergeCell ref="E59:H59"/>
    <mergeCell ref="F60:H60"/>
    <mergeCell ref="G61:H61"/>
    <mergeCell ref="G32:H32"/>
    <mergeCell ref="G34:H34"/>
    <mergeCell ref="G36:H36"/>
    <mergeCell ref="G38:H38"/>
    <mergeCell ref="F41:H41"/>
    <mergeCell ref="G42:H42"/>
    <mergeCell ref="G44:H44"/>
    <mergeCell ref="G46:H46"/>
    <mergeCell ref="G48:H48"/>
    <mergeCell ref="D17:H17"/>
    <mergeCell ref="E18:H18"/>
    <mergeCell ref="F19:H19"/>
    <mergeCell ref="G20:H20"/>
    <mergeCell ref="G22:H22"/>
    <mergeCell ref="G24:H24"/>
    <mergeCell ref="G26:H26"/>
    <mergeCell ref="G28:H28"/>
    <mergeCell ref="G30:H30"/>
    <mergeCell ref="C1:G1"/>
    <mergeCell ref="C2:G2"/>
    <mergeCell ref="C4:G4"/>
    <mergeCell ref="C6:G6"/>
    <mergeCell ref="C12:C14"/>
    <mergeCell ref="I12:I14"/>
    <mergeCell ref="J12:V13"/>
    <mergeCell ref="J15:U15"/>
    <mergeCell ref="D12:H14"/>
    <mergeCell ref="D15:H15"/>
  </mergeCells>
  <dataValidations count="2">
    <dataValidation type="decimal" allowBlank="1" showErrorMessage="1" sqref="H2" xr:uid="{00000000-0002-0000-0100-000000000000}">
      <formula1>2010</formula1>
      <formula2>2030</formula2>
    </dataValidation>
    <dataValidation type="list" allowBlank="1" showInputMessage="1" showErrorMessage="1" prompt="Cek - Pilih data yang sesuai" sqref="H6" xr:uid="{00000000-0002-0000-0100-000002000000}">
      <formula1>INDIRECT(H4)</formula1>
    </dataValidation>
  </dataValidations>
  <pageMargins left="0.7" right="0.7" top="0.75" bottom="0.75" header="0" footer="0"/>
  <pageSetup paperSize="9"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#REF!</xm:f>
          </x14:formula1>
          <xm:sqref>H4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Fadilah</dc:creator>
  <cp:lastModifiedBy>Bradley Ganap</cp:lastModifiedBy>
  <dcterms:created xsi:type="dcterms:W3CDTF">2021-08-22T08:56:02Z</dcterms:created>
  <dcterms:modified xsi:type="dcterms:W3CDTF">2026-07-12T06:20:05Z</dcterms:modified>
</cp:coreProperties>
</file>