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 GREEI GANAP\Downloads\"/>
    </mc:Choice>
  </mc:AlternateContent>
  <xr:revisionPtr revIDLastSave="0" documentId="8_{EE7F5431-F9C5-464A-BD66-FE931D89FCBC}" xr6:coauthVersionLast="45" xr6:coauthVersionMax="45" xr10:uidLastSave="{00000000-0000-0000-0000-000000000000}"/>
  <bookViews>
    <workbookView xWindow="-108" yWindow="-108" windowWidth="23256" windowHeight="12456" xr2:uid="{D2985B3E-5C09-461D-86FA-C456A168C289}"/>
  </bookViews>
  <sheets>
    <sheet name="BRG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63" i="2" l="1"/>
  <c r="AP63" i="2"/>
  <c r="P63" i="2"/>
  <c r="U62" i="2"/>
  <c r="AZ61" i="2"/>
  <c r="AY61" i="2"/>
  <c r="AW61" i="2"/>
  <c r="AV61" i="2"/>
  <c r="AU61" i="2"/>
  <c r="AT61" i="2"/>
  <c r="AS61" i="2"/>
  <c r="AR61" i="2"/>
  <c r="AQ61" i="2"/>
  <c r="AQ62" i="2" s="1"/>
  <c r="AP61" i="2"/>
  <c r="AO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AM61" i="2" s="1"/>
  <c r="F61" i="2" s="1"/>
  <c r="W61" i="2"/>
  <c r="V61" i="2"/>
  <c r="U61" i="2"/>
  <c r="T61" i="2"/>
  <c r="S61" i="2"/>
  <c r="R61" i="2"/>
  <c r="Q61" i="2"/>
  <c r="P61" i="2"/>
  <c r="X61" i="2" s="1"/>
  <c r="O61" i="2"/>
  <c r="N61" i="2"/>
  <c r="M61" i="2"/>
  <c r="L61" i="2"/>
  <c r="AZ60" i="2"/>
  <c r="AY60" i="2"/>
  <c r="AX60" i="2"/>
  <c r="AW60" i="2"/>
  <c r="AV60" i="2"/>
  <c r="AU60" i="2"/>
  <c r="AT60" i="2"/>
  <c r="AS60" i="2"/>
  <c r="BA60" i="2" s="1"/>
  <c r="AR60" i="2"/>
  <c r="AQ60" i="2"/>
  <c r="AP60" i="2"/>
  <c r="AO60" i="2"/>
  <c r="AK60" i="2"/>
  <c r="AJ60" i="2"/>
  <c r="AI60" i="2"/>
  <c r="AH60" i="2"/>
  <c r="AG60" i="2"/>
  <c r="AF60" i="2"/>
  <c r="AE60" i="2"/>
  <c r="AD60" i="2"/>
  <c r="AC60" i="2"/>
  <c r="AB60" i="2"/>
  <c r="AL60" i="2" s="1"/>
  <c r="AA60" i="2"/>
  <c r="Z60" i="2"/>
  <c r="W60" i="2"/>
  <c r="V60" i="2"/>
  <c r="U60" i="2"/>
  <c r="T60" i="2"/>
  <c r="S60" i="2"/>
  <c r="R60" i="2"/>
  <c r="Q60" i="2"/>
  <c r="P60" i="2"/>
  <c r="X60" i="2" s="1"/>
  <c r="O60" i="2"/>
  <c r="N60" i="2"/>
  <c r="M60" i="2"/>
  <c r="L60" i="2"/>
  <c r="AZ59" i="2"/>
  <c r="AY59" i="2"/>
  <c r="AX59" i="2"/>
  <c r="AW59" i="2"/>
  <c r="AV59" i="2"/>
  <c r="AU59" i="2"/>
  <c r="AT59" i="2"/>
  <c r="AS59" i="2"/>
  <c r="AR59" i="2"/>
  <c r="AQ59" i="2"/>
  <c r="AP59" i="2"/>
  <c r="BA59" i="2" s="1"/>
  <c r="AO59" i="2"/>
  <c r="BB59" i="2" s="1"/>
  <c r="D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AL59" i="2" s="1"/>
  <c r="W59" i="2"/>
  <c r="V59" i="2"/>
  <c r="U59" i="2"/>
  <c r="T59" i="2"/>
  <c r="S59" i="2"/>
  <c r="R59" i="2"/>
  <c r="Q59" i="2"/>
  <c r="P59" i="2"/>
  <c r="O59" i="2"/>
  <c r="N59" i="2"/>
  <c r="M59" i="2"/>
  <c r="X59" i="2" s="1"/>
  <c r="L59" i="2"/>
  <c r="AZ58" i="2"/>
  <c r="AZ63" i="2" s="1"/>
  <c r="AY58" i="2"/>
  <c r="AY63" i="2" s="1"/>
  <c r="AX58" i="2"/>
  <c r="AW58" i="2"/>
  <c r="AW63" i="2" s="1"/>
  <c r="AV58" i="2"/>
  <c r="AV63" i="2" s="1"/>
  <c r="AU58" i="2"/>
  <c r="AU63" i="2" s="1"/>
  <c r="AT58" i="2"/>
  <c r="AT63" i="2" s="1"/>
  <c r="AS58" i="2"/>
  <c r="AS63" i="2" s="1"/>
  <c r="AR58" i="2"/>
  <c r="AR63" i="2" s="1"/>
  <c r="AQ58" i="2"/>
  <c r="AQ63" i="2" s="1"/>
  <c r="AP58" i="2"/>
  <c r="AO58" i="2"/>
  <c r="AK58" i="2"/>
  <c r="AK63" i="2" s="1"/>
  <c r="AJ58" i="2"/>
  <c r="AJ63" i="2" s="1"/>
  <c r="AI58" i="2"/>
  <c r="AI63" i="2" s="1"/>
  <c r="AH58" i="2"/>
  <c r="AH63" i="2" s="1"/>
  <c r="AG58" i="2"/>
  <c r="AG63" i="2" s="1"/>
  <c r="AF58" i="2"/>
  <c r="AF63" i="2" s="1"/>
  <c r="AE58" i="2"/>
  <c r="AE63" i="2" s="1"/>
  <c r="AD58" i="2"/>
  <c r="AD63" i="2" s="1"/>
  <c r="AC58" i="2"/>
  <c r="AC63" i="2" s="1"/>
  <c r="AB58" i="2"/>
  <c r="AB63" i="2" s="1"/>
  <c r="AA58" i="2"/>
  <c r="AA63" i="2" s="1"/>
  <c r="Z58" i="2"/>
  <c r="AM58" i="2" s="1"/>
  <c r="F58" i="2" s="1"/>
  <c r="F63" i="2" s="1"/>
  <c r="W58" i="2"/>
  <c r="V58" i="2"/>
  <c r="V63" i="2" s="1"/>
  <c r="U58" i="2"/>
  <c r="U63" i="2" s="1"/>
  <c r="T58" i="2"/>
  <c r="T63" i="2" s="1"/>
  <c r="S58" i="2"/>
  <c r="S63" i="2" s="1"/>
  <c r="R58" i="2"/>
  <c r="R63" i="2" s="1"/>
  <c r="Q58" i="2"/>
  <c r="Q63" i="2" s="1"/>
  <c r="P58" i="2"/>
  <c r="X58" i="2" s="1"/>
  <c r="X63" i="2" s="1"/>
  <c r="O58" i="2"/>
  <c r="O63" i="2" s="1"/>
  <c r="N58" i="2"/>
  <c r="N63" i="2" s="1"/>
  <c r="M58" i="2"/>
  <c r="M63" i="2" s="1"/>
  <c r="L58" i="2"/>
  <c r="L63" i="2" s="1"/>
  <c r="AZ57" i="2"/>
  <c r="AZ62" i="2" s="1"/>
  <c r="AY57" i="2"/>
  <c r="AY62" i="2" s="1"/>
  <c r="AX57" i="2"/>
  <c r="AW57" i="2"/>
  <c r="AW62" i="2" s="1"/>
  <c r="AV57" i="2"/>
  <c r="AV62" i="2" s="1"/>
  <c r="AU57" i="2"/>
  <c r="AU62" i="2" s="1"/>
  <c r="AT57" i="2"/>
  <c r="AT62" i="2" s="1"/>
  <c r="AS57" i="2"/>
  <c r="AR57" i="2"/>
  <c r="AR62" i="2" s="1"/>
  <c r="AQ57" i="2"/>
  <c r="AP57" i="2"/>
  <c r="BA57" i="2" s="1"/>
  <c r="AO57" i="2"/>
  <c r="AK57" i="2"/>
  <c r="AK62" i="2" s="1"/>
  <c r="AJ57" i="2"/>
  <c r="AI57" i="2"/>
  <c r="AI62" i="2" s="1"/>
  <c r="AH57" i="2"/>
  <c r="AH62" i="2" s="1"/>
  <c r="AG57" i="2"/>
  <c r="AG62" i="2" s="1"/>
  <c r="AF57" i="2"/>
  <c r="AF62" i="2" s="1"/>
  <c r="AE57" i="2"/>
  <c r="AE62" i="2" s="1"/>
  <c r="AD57" i="2"/>
  <c r="AD62" i="2" s="1"/>
  <c r="AC57" i="2"/>
  <c r="AC62" i="2" s="1"/>
  <c r="AB57" i="2"/>
  <c r="AA57" i="2"/>
  <c r="AA62" i="2" s="1"/>
  <c r="Z57" i="2"/>
  <c r="Z62" i="2" s="1"/>
  <c r="W57" i="2"/>
  <c r="W62" i="2" s="1"/>
  <c r="V57" i="2"/>
  <c r="V62" i="2" s="1"/>
  <c r="U57" i="2"/>
  <c r="T57" i="2"/>
  <c r="T62" i="2" s="1"/>
  <c r="S57" i="2"/>
  <c r="R57" i="2"/>
  <c r="R62" i="2" s="1"/>
  <c r="Q57" i="2"/>
  <c r="Q62" i="2" s="1"/>
  <c r="P57" i="2"/>
  <c r="P62" i="2" s="1"/>
  <c r="O57" i="2"/>
  <c r="O62" i="2" s="1"/>
  <c r="N57" i="2"/>
  <c r="N62" i="2" s="1"/>
  <c r="M57" i="2"/>
  <c r="M62" i="2" s="1"/>
  <c r="L57" i="2"/>
  <c r="L62" i="2" s="1"/>
  <c r="BA54" i="2"/>
  <c r="AU54" i="2"/>
  <c r="AS54" i="2"/>
  <c r="AJ54" i="2"/>
  <c r="AD54" i="2"/>
  <c r="AB54" i="2"/>
  <c r="S54" i="2"/>
  <c r="M54" i="2"/>
  <c r="AX53" i="2"/>
  <c r="AU53" i="2"/>
  <c r="AS53" i="2"/>
  <c r="AJ53" i="2"/>
  <c r="AG53" i="2"/>
  <c r="AD53" i="2"/>
  <c r="AB53" i="2"/>
  <c r="S53" i="2"/>
  <c r="P53" i="2"/>
  <c r="M53" i="2"/>
  <c r="BB52" i="2"/>
  <c r="AM52" i="2"/>
  <c r="F52" i="2" s="1"/>
  <c r="D52" i="2"/>
  <c r="BB51" i="2"/>
  <c r="AZ51" i="2"/>
  <c r="AY51" i="2"/>
  <c r="AY54" i="2" s="1"/>
  <c r="AX51" i="2"/>
  <c r="AW51" i="2"/>
  <c r="AV51" i="2"/>
  <c r="AU51" i="2"/>
  <c r="AT51" i="2"/>
  <c r="AS51" i="2"/>
  <c r="AR51" i="2"/>
  <c r="AQ51" i="2"/>
  <c r="AQ54" i="2" s="1"/>
  <c r="AP51" i="2"/>
  <c r="AO51" i="2"/>
  <c r="AK51" i="2"/>
  <c r="AK54" i="2" s="1"/>
  <c r="AJ51" i="2"/>
  <c r="AI51" i="2"/>
  <c r="AI54" i="2" s="1"/>
  <c r="AH51" i="2"/>
  <c r="AH54" i="2" s="1"/>
  <c r="AG51" i="2"/>
  <c r="AF51" i="2"/>
  <c r="AF54" i="2" s="1"/>
  <c r="AE51" i="2"/>
  <c r="AE54" i="2" s="1"/>
  <c r="AD51" i="2"/>
  <c r="AC51" i="2"/>
  <c r="AC54" i="2" s="1"/>
  <c r="AB51" i="2"/>
  <c r="AA51" i="2"/>
  <c r="AA54" i="2" s="1"/>
  <c r="Z51" i="2"/>
  <c r="AM51" i="2" s="1"/>
  <c r="W51" i="2"/>
  <c r="V51" i="2"/>
  <c r="U51" i="2"/>
  <c r="T51" i="2"/>
  <c r="S51" i="2"/>
  <c r="R51" i="2"/>
  <c r="Q51" i="2"/>
  <c r="Q54" i="2" s="1"/>
  <c r="P51" i="2"/>
  <c r="O51" i="2"/>
  <c r="N51" i="2"/>
  <c r="M51" i="2"/>
  <c r="L51" i="2"/>
  <c r="F51" i="2"/>
  <c r="D51" i="2"/>
  <c r="BB50" i="2"/>
  <c r="AZ50" i="2"/>
  <c r="AY50" i="2"/>
  <c r="AY53" i="2" s="1"/>
  <c r="AW50" i="2"/>
  <c r="AV50" i="2"/>
  <c r="AU50" i="2"/>
  <c r="AT50" i="2"/>
  <c r="AS50" i="2"/>
  <c r="AR50" i="2"/>
  <c r="AQ50" i="2"/>
  <c r="AQ53" i="2" s="1"/>
  <c r="AP50" i="2"/>
  <c r="AO50" i="2"/>
  <c r="AL50" i="2"/>
  <c r="AK50" i="2"/>
  <c r="AJ50" i="2"/>
  <c r="AI50" i="2"/>
  <c r="AH50" i="2"/>
  <c r="AH53" i="2" s="1"/>
  <c r="AG50" i="2"/>
  <c r="AF50" i="2"/>
  <c r="AE50" i="2"/>
  <c r="AD50" i="2"/>
  <c r="AC50" i="2"/>
  <c r="AB50" i="2"/>
  <c r="AA50" i="2"/>
  <c r="Z50" i="2"/>
  <c r="AM50" i="2" s="1"/>
  <c r="W50" i="2"/>
  <c r="V50" i="2"/>
  <c r="U50" i="2"/>
  <c r="T50" i="2"/>
  <c r="S50" i="2"/>
  <c r="R50" i="2"/>
  <c r="Q50" i="2"/>
  <c r="Q53" i="2" s="1"/>
  <c r="P50" i="2"/>
  <c r="O50" i="2"/>
  <c r="N50" i="2"/>
  <c r="M50" i="2"/>
  <c r="L50" i="2"/>
  <c r="D50" i="2"/>
  <c r="BB49" i="2"/>
  <c r="D49" i="2" s="1"/>
  <c r="AX49" i="2"/>
  <c r="AX50" i="2" s="1"/>
  <c r="AM49" i="2"/>
  <c r="F49" i="2" s="1"/>
  <c r="AL49" i="2"/>
  <c r="X49" i="2"/>
  <c r="G49" i="2" s="1"/>
  <c r="J49" i="2" s="1"/>
  <c r="E49" i="2"/>
  <c r="BB48" i="2"/>
  <c r="BA48" i="2"/>
  <c r="AM48" i="2"/>
  <c r="F48" i="2" s="1"/>
  <c r="AL48" i="2"/>
  <c r="X48" i="2"/>
  <c r="G48" i="2"/>
  <c r="E48" i="2"/>
  <c r="D48" i="2"/>
  <c r="BB47" i="2"/>
  <c r="D47" i="2" s="1"/>
  <c r="BA47" i="2"/>
  <c r="AM47" i="2"/>
  <c r="F47" i="2" s="1"/>
  <c r="AL47" i="2"/>
  <c r="X47" i="2"/>
  <c r="G47" i="2" s="1"/>
  <c r="H47" i="2"/>
  <c r="E47" i="2"/>
  <c r="I47" i="2" s="1"/>
  <c r="BB46" i="2"/>
  <c r="BA46" i="2"/>
  <c r="BA51" i="2" s="1"/>
  <c r="AM46" i="2"/>
  <c r="F46" i="2" s="1"/>
  <c r="AL46" i="2"/>
  <c r="AL51" i="2" s="1"/>
  <c r="AL54" i="2" s="1"/>
  <c r="X46" i="2"/>
  <c r="X51" i="2" s="1"/>
  <c r="G46" i="2"/>
  <c r="D46" i="2"/>
  <c r="BB45" i="2"/>
  <c r="D45" i="2" s="1"/>
  <c r="BA45" i="2"/>
  <c r="AM45" i="2"/>
  <c r="F45" i="2" s="1"/>
  <c r="F50" i="2" s="1"/>
  <c r="AL45" i="2"/>
  <c r="X45" i="2"/>
  <c r="E45" i="2"/>
  <c r="F44" i="2"/>
  <c r="D44" i="2"/>
  <c r="F43" i="2"/>
  <c r="D43" i="2"/>
  <c r="AZ42" i="2"/>
  <c r="AZ54" i="2" s="1"/>
  <c r="AY42" i="2"/>
  <c r="AX42" i="2"/>
  <c r="AX54" i="2" s="1"/>
  <c r="AW42" i="2"/>
  <c r="AV42" i="2"/>
  <c r="AV54" i="2" s="1"/>
  <c r="AU42" i="2"/>
  <c r="AT42" i="2"/>
  <c r="AT54" i="2" s="1"/>
  <c r="AS42" i="2"/>
  <c r="AR42" i="2"/>
  <c r="AR54" i="2" s="1"/>
  <c r="AQ42" i="2"/>
  <c r="AP42" i="2"/>
  <c r="AP54" i="2" s="1"/>
  <c r="AO42" i="2"/>
  <c r="AL42" i="2"/>
  <c r="AK42" i="2"/>
  <c r="AJ42" i="2"/>
  <c r="AI42" i="2"/>
  <c r="AH42" i="2"/>
  <c r="AG42" i="2"/>
  <c r="AG54" i="2" s="1"/>
  <c r="AF42" i="2"/>
  <c r="AE42" i="2"/>
  <c r="AD42" i="2"/>
  <c r="AC42" i="2"/>
  <c r="AB42" i="2"/>
  <c r="AA42" i="2"/>
  <c r="AM42" i="2" s="1"/>
  <c r="Z42" i="2"/>
  <c r="X42" i="2"/>
  <c r="X54" i="2" s="1"/>
  <c r="W42" i="2"/>
  <c r="W54" i="2" s="1"/>
  <c r="V42" i="2"/>
  <c r="V54" i="2" s="1"/>
  <c r="U42" i="2"/>
  <c r="U54" i="2" s="1"/>
  <c r="T42" i="2"/>
  <c r="T54" i="2" s="1"/>
  <c r="S42" i="2"/>
  <c r="R42" i="2"/>
  <c r="R54" i="2" s="1"/>
  <c r="Q42" i="2"/>
  <c r="P42" i="2"/>
  <c r="P54" i="2" s="1"/>
  <c r="O42" i="2"/>
  <c r="O54" i="2" s="1"/>
  <c r="N42" i="2"/>
  <c r="N54" i="2" s="1"/>
  <c r="M42" i="2"/>
  <c r="L42" i="2"/>
  <c r="L54" i="2" s="1"/>
  <c r="G42" i="2"/>
  <c r="E42" i="2"/>
  <c r="D42" i="2"/>
  <c r="D54" i="2" s="1"/>
  <c r="AZ41" i="2"/>
  <c r="AZ53" i="2" s="1"/>
  <c r="AY41" i="2"/>
  <c r="AX41" i="2"/>
  <c r="AW41" i="2"/>
  <c r="AW53" i="2" s="1"/>
  <c r="AV41" i="2"/>
  <c r="AV53" i="2" s="1"/>
  <c r="AU41" i="2"/>
  <c r="AT41" i="2"/>
  <c r="AT53" i="2" s="1"/>
  <c r="AS41" i="2"/>
  <c r="AR41" i="2"/>
  <c r="AR53" i="2" s="1"/>
  <c r="AQ41" i="2"/>
  <c r="AP41" i="2"/>
  <c r="AP53" i="2" s="1"/>
  <c r="AO41" i="2"/>
  <c r="AO53" i="2" s="1"/>
  <c r="AK41" i="2"/>
  <c r="AK53" i="2" s="1"/>
  <c r="AJ41" i="2"/>
  <c r="AI41" i="2"/>
  <c r="AI53" i="2" s="1"/>
  <c r="AH41" i="2"/>
  <c r="AG41" i="2"/>
  <c r="AF41" i="2"/>
  <c r="AF53" i="2" s="1"/>
  <c r="AE41" i="2"/>
  <c r="AE53" i="2" s="1"/>
  <c r="AD41" i="2"/>
  <c r="AC41" i="2"/>
  <c r="AC53" i="2" s="1"/>
  <c r="AB41" i="2"/>
  <c r="AA41" i="2"/>
  <c r="AA53" i="2" s="1"/>
  <c r="Z41" i="2"/>
  <c r="X41" i="2"/>
  <c r="W41" i="2"/>
  <c r="W53" i="2" s="1"/>
  <c r="V41" i="2"/>
  <c r="V53" i="2" s="1"/>
  <c r="U41" i="2"/>
  <c r="U53" i="2" s="1"/>
  <c r="T41" i="2"/>
  <c r="T53" i="2" s="1"/>
  <c r="S41" i="2"/>
  <c r="R41" i="2"/>
  <c r="R53" i="2" s="1"/>
  <c r="Q41" i="2"/>
  <c r="P41" i="2"/>
  <c r="O41" i="2"/>
  <c r="O53" i="2" s="1"/>
  <c r="N41" i="2"/>
  <c r="N53" i="2" s="1"/>
  <c r="M41" i="2"/>
  <c r="L41" i="2"/>
  <c r="L53" i="2" s="1"/>
  <c r="BB40" i="2"/>
  <c r="AX40" i="2"/>
  <c r="BA40" i="2" s="1"/>
  <c r="AM40" i="2"/>
  <c r="AL40" i="2"/>
  <c r="E40" i="2" s="1"/>
  <c r="I40" i="2" s="1"/>
  <c r="X40" i="2"/>
  <c r="G40" i="2"/>
  <c r="H40" i="2" s="1"/>
  <c r="F40" i="2"/>
  <c r="J40" i="2" s="1"/>
  <c r="D40" i="2"/>
  <c r="BB39" i="2"/>
  <c r="D39" i="2" s="1"/>
  <c r="BA39" i="2"/>
  <c r="AM39" i="2"/>
  <c r="F39" i="2" s="1"/>
  <c r="J39" i="2" s="1"/>
  <c r="AL39" i="2"/>
  <c r="X39" i="2"/>
  <c r="G39" i="2" s="1"/>
  <c r="H39" i="2"/>
  <c r="E39" i="2"/>
  <c r="BB38" i="2"/>
  <c r="BA38" i="2"/>
  <c r="AM38" i="2"/>
  <c r="AL38" i="2"/>
  <c r="E38" i="2" s="1"/>
  <c r="I38" i="2" s="1"/>
  <c r="X38" i="2"/>
  <c r="G38" i="2"/>
  <c r="F38" i="2"/>
  <c r="J38" i="2" s="1"/>
  <c r="D38" i="2"/>
  <c r="BB37" i="2"/>
  <c r="D37" i="2" s="1"/>
  <c r="BA37" i="2"/>
  <c r="BA42" i="2" s="1"/>
  <c r="AM37" i="2"/>
  <c r="AL37" i="2"/>
  <c r="X37" i="2"/>
  <c r="G37" i="2" s="1"/>
  <c r="I37" i="2" s="1"/>
  <c r="J37" i="2"/>
  <c r="H37" i="2"/>
  <c r="F37" i="2"/>
  <c r="F42" i="2" s="1"/>
  <c r="F54" i="2" s="1"/>
  <c r="E37" i="2"/>
  <c r="BB36" i="2"/>
  <c r="BA36" i="2"/>
  <c r="AM36" i="2"/>
  <c r="AL36" i="2"/>
  <c r="E36" i="2" s="1"/>
  <c r="E41" i="2" s="1"/>
  <c r="X36" i="2"/>
  <c r="J36" i="2"/>
  <c r="I36" i="2"/>
  <c r="G36" i="2"/>
  <c r="F36" i="2"/>
  <c r="D36" i="2"/>
  <c r="D41" i="2" s="1"/>
  <c r="D53" i="2" s="1"/>
  <c r="F35" i="2"/>
  <c r="D35" i="2"/>
  <c r="F34" i="2"/>
  <c r="D34" i="2"/>
  <c r="F33" i="2"/>
  <c r="D33" i="2"/>
  <c r="F32" i="2"/>
  <c r="D32" i="2"/>
  <c r="AZ31" i="2"/>
  <c r="AW31" i="2"/>
  <c r="AU31" i="2"/>
  <c r="AR31" i="2"/>
  <c r="AJ31" i="2"/>
  <c r="AI31" i="2"/>
  <c r="AF31" i="2"/>
  <c r="AD31" i="2"/>
  <c r="AB31" i="2"/>
  <c r="AA31" i="2"/>
  <c r="U31" i="2"/>
  <c r="S31" i="2"/>
  <c r="M31" i="2"/>
  <c r="AU30" i="2"/>
  <c r="AS30" i="2"/>
  <c r="AJ30" i="2"/>
  <c r="AD30" i="2"/>
  <c r="AB30" i="2"/>
  <c r="U30" i="2"/>
  <c r="S30" i="2"/>
  <c r="M30" i="2"/>
  <c r="BB29" i="2"/>
  <c r="D29" i="2" s="1"/>
  <c r="AM29" i="2"/>
  <c r="F2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M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W28" i="2"/>
  <c r="V28" i="2"/>
  <c r="U28" i="2"/>
  <c r="T28" i="2"/>
  <c r="S28" i="2"/>
  <c r="R28" i="2"/>
  <c r="R31" i="2" s="1"/>
  <c r="Q28" i="2"/>
  <c r="P28" i="2"/>
  <c r="P31" i="2" s="1"/>
  <c r="O28" i="2"/>
  <c r="N28" i="2"/>
  <c r="M28" i="2"/>
  <c r="L28" i="2"/>
  <c r="AZ27" i="2"/>
  <c r="AZ30" i="2" s="1"/>
  <c r="AY27" i="2"/>
  <c r="AX27" i="2"/>
  <c r="AX30" i="2" s="1"/>
  <c r="AW27" i="2"/>
  <c r="AW30" i="2" s="1"/>
  <c r="AV27" i="2"/>
  <c r="AU27" i="2"/>
  <c r="AT27" i="2"/>
  <c r="AS27" i="2"/>
  <c r="AR27" i="2"/>
  <c r="AR30" i="2" s="1"/>
  <c r="AQ27" i="2"/>
  <c r="AP27" i="2"/>
  <c r="AP30" i="2" s="1"/>
  <c r="AO27" i="2"/>
  <c r="BB27" i="2" s="1"/>
  <c r="AK27" i="2"/>
  <c r="AJ27" i="2"/>
  <c r="AI27" i="2"/>
  <c r="AI30" i="2" s="1"/>
  <c r="AH27" i="2"/>
  <c r="AG27" i="2"/>
  <c r="AG30" i="2" s="1"/>
  <c r="AF27" i="2"/>
  <c r="AF30" i="2" s="1"/>
  <c r="AE27" i="2"/>
  <c r="AD27" i="2"/>
  <c r="AC27" i="2"/>
  <c r="AB27" i="2"/>
  <c r="AA27" i="2"/>
  <c r="AA30" i="2" s="1"/>
  <c r="Z27" i="2"/>
  <c r="W27" i="2"/>
  <c r="V27" i="2"/>
  <c r="U27" i="2"/>
  <c r="T27" i="2"/>
  <c r="S27" i="2"/>
  <c r="R27" i="2"/>
  <c r="R30" i="2" s="1"/>
  <c r="Q27" i="2"/>
  <c r="P27" i="2"/>
  <c r="P30" i="2" s="1"/>
  <c r="O27" i="2"/>
  <c r="N27" i="2"/>
  <c r="M27" i="2"/>
  <c r="L27" i="2"/>
  <c r="BB26" i="2"/>
  <c r="D26" i="2" s="1"/>
  <c r="BA26" i="2"/>
  <c r="AM26" i="2"/>
  <c r="F26" i="2" s="1"/>
  <c r="AL26" i="2"/>
  <c r="X26" i="2"/>
  <c r="G26" i="2" s="1"/>
  <c r="E26" i="2"/>
  <c r="BB25" i="2"/>
  <c r="D25" i="2" s="1"/>
  <c r="BA25" i="2"/>
  <c r="AM25" i="2"/>
  <c r="AL25" i="2"/>
  <c r="E25" i="2" s="1"/>
  <c r="X25" i="2"/>
  <c r="G25" i="2" s="1"/>
  <c r="F25" i="2"/>
  <c r="F27" i="2" s="1"/>
  <c r="BB24" i="2"/>
  <c r="D24" i="2" s="1"/>
  <c r="BA24" i="2"/>
  <c r="AM24" i="2"/>
  <c r="F24" i="2" s="1"/>
  <c r="AL24" i="2"/>
  <c r="X24" i="2"/>
  <c r="G24" i="2" s="1"/>
  <c r="E24" i="2"/>
  <c r="BB23" i="2"/>
  <c r="D23" i="2" s="1"/>
  <c r="D28" i="2" s="1"/>
  <c r="BA23" i="2"/>
  <c r="AM23" i="2"/>
  <c r="AL23" i="2"/>
  <c r="AL28" i="2" s="1"/>
  <c r="X23" i="2"/>
  <c r="G23" i="2" s="1"/>
  <c r="F23" i="2"/>
  <c r="F28" i="2" s="1"/>
  <c r="BB22" i="2"/>
  <c r="D22" i="2" s="1"/>
  <c r="D27" i="2" s="1"/>
  <c r="BA22" i="2"/>
  <c r="BA27" i="2" s="1"/>
  <c r="BA30" i="2" s="1"/>
  <c r="AM22" i="2"/>
  <c r="F22" i="2" s="1"/>
  <c r="AL22" i="2"/>
  <c r="AL27" i="2" s="1"/>
  <c r="X22" i="2"/>
  <c r="G22" i="2" s="1"/>
  <c r="E22" i="2"/>
  <c r="BA19" i="2"/>
  <c r="BA31" i="2" s="1"/>
  <c r="AZ19" i="2"/>
  <c r="AY19" i="2"/>
  <c r="AY31" i="2" s="1"/>
  <c r="AX19" i="2"/>
  <c r="AX31" i="2" s="1"/>
  <c r="AW19" i="2"/>
  <c r="AV19" i="2"/>
  <c r="AU19" i="2"/>
  <c r="AT19" i="2"/>
  <c r="AT31" i="2" s="1"/>
  <c r="AS19" i="2"/>
  <c r="AS31" i="2" s="1"/>
  <c r="AR19" i="2"/>
  <c r="AQ19" i="2"/>
  <c r="AQ31" i="2" s="1"/>
  <c r="AP19" i="2"/>
  <c r="AP31" i="2" s="1"/>
  <c r="AO19" i="2"/>
  <c r="AK19" i="2"/>
  <c r="AK31" i="2" s="1"/>
  <c r="AJ19" i="2"/>
  <c r="AI19" i="2"/>
  <c r="AH19" i="2"/>
  <c r="AG19" i="2"/>
  <c r="AG31" i="2" s="1"/>
  <c r="AF19" i="2"/>
  <c r="AE19" i="2"/>
  <c r="AE31" i="2" s="1"/>
  <c r="AD19" i="2"/>
  <c r="AC19" i="2"/>
  <c r="AC31" i="2" s="1"/>
  <c r="AB19" i="2"/>
  <c r="AM19" i="2" s="1"/>
  <c r="AM31" i="2" s="1"/>
  <c r="AA19" i="2"/>
  <c r="Z19" i="2"/>
  <c r="Y19" i="2"/>
  <c r="W19" i="2"/>
  <c r="W31" i="2" s="1"/>
  <c r="V19" i="2"/>
  <c r="V31" i="2" s="1"/>
  <c r="U19" i="2"/>
  <c r="T19" i="2"/>
  <c r="S19" i="2"/>
  <c r="R19" i="2"/>
  <c r="Q19" i="2"/>
  <c r="Q31" i="2" s="1"/>
  <c r="P19" i="2"/>
  <c r="O19" i="2"/>
  <c r="O31" i="2" s="1"/>
  <c r="N19" i="2"/>
  <c r="N31" i="2" s="1"/>
  <c r="M19" i="2"/>
  <c r="L19" i="2"/>
  <c r="AZ18" i="2"/>
  <c r="AY18" i="2"/>
  <c r="AY30" i="2" s="1"/>
  <c r="AX18" i="2"/>
  <c r="AW18" i="2"/>
  <c r="AV18" i="2"/>
  <c r="AV30" i="2" s="1"/>
  <c r="AU18" i="2"/>
  <c r="AT18" i="2"/>
  <c r="AT30" i="2" s="1"/>
  <c r="AS18" i="2"/>
  <c r="AR18" i="2"/>
  <c r="AQ18" i="2"/>
  <c r="AQ30" i="2" s="1"/>
  <c r="AP18" i="2"/>
  <c r="AO18" i="2"/>
  <c r="AO30" i="2" s="1"/>
  <c r="AK18" i="2"/>
  <c r="AJ18" i="2"/>
  <c r="AI18" i="2"/>
  <c r="AH18" i="2"/>
  <c r="AH30" i="2" s="1"/>
  <c r="AG18" i="2"/>
  <c r="AF18" i="2"/>
  <c r="AE18" i="2"/>
  <c r="AE30" i="2" s="1"/>
  <c r="AD18" i="2"/>
  <c r="AC18" i="2"/>
  <c r="AB18" i="2"/>
  <c r="AA18" i="2"/>
  <c r="Z18" i="2"/>
  <c r="W18" i="2"/>
  <c r="W30" i="2" s="1"/>
  <c r="V18" i="2"/>
  <c r="V30" i="2" s="1"/>
  <c r="U18" i="2"/>
  <c r="T18" i="2"/>
  <c r="S18" i="2"/>
  <c r="R18" i="2"/>
  <c r="Q18" i="2"/>
  <c r="Q30" i="2" s="1"/>
  <c r="P18" i="2"/>
  <c r="O18" i="2"/>
  <c r="O30" i="2" s="1"/>
  <c r="N18" i="2"/>
  <c r="N30" i="2" s="1"/>
  <c r="M18" i="2"/>
  <c r="L18" i="2"/>
  <c r="BB17" i="2"/>
  <c r="BA17" i="2"/>
  <c r="AM17" i="2"/>
  <c r="F17" i="2" s="1"/>
  <c r="AL17" i="2"/>
  <c r="E17" i="2" s="1"/>
  <c r="X17" i="2"/>
  <c r="J17" i="2"/>
  <c r="G17" i="2"/>
  <c r="I17" i="2" s="1"/>
  <c r="D17" i="2"/>
  <c r="BB16" i="2"/>
  <c r="BA16" i="2"/>
  <c r="AM16" i="2"/>
  <c r="AL16" i="2"/>
  <c r="E16" i="2" s="1"/>
  <c r="X16" i="2"/>
  <c r="G16" i="2" s="1"/>
  <c r="H16" i="2" s="1"/>
  <c r="F16" i="2"/>
  <c r="D16" i="2"/>
  <c r="BB15" i="2"/>
  <c r="BA15" i="2"/>
  <c r="AM15" i="2"/>
  <c r="F15" i="2" s="1"/>
  <c r="AL15" i="2"/>
  <c r="E15" i="2" s="1"/>
  <c r="E59" i="2" s="1"/>
  <c r="X15" i="2"/>
  <c r="G15" i="2"/>
  <c r="I15" i="2" s="1"/>
  <c r="D15" i="2"/>
  <c r="D18" i="2" s="1"/>
  <c r="D30" i="2" s="1"/>
  <c r="BB14" i="2"/>
  <c r="BA14" i="2"/>
  <c r="AM14" i="2"/>
  <c r="AL14" i="2"/>
  <c r="X14" i="2"/>
  <c r="F14" i="2"/>
  <c r="F19" i="2" s="1"/>
  <c r="F31" i="2" s="1"/>
  <c r="D14" i="2"/>
  <c r="D19" i="2" s="1"/>
  <c r="D31" i="2" s="1"/>
  <c r="BB13" i="2"/>
  <c r="BA13" i="2"/>
  <c r="BA18" i="2" s="1"/>
  <c r="AM13" i="2"/>
  <c r="F13" i="2" s="1"/>
  <c r="F18" i="2" s="1"/>
  <c r="AL13" i="2"/>
  <c r="E13" i="2" s="1"/>
  <c r="X13" i="2"/>
  <c r="H13" i="2"/>
  <c r="G13" i="2"/>
  <c r="D13" i="2"/>
  <c r="H26" i="2" l="1"/>
  <c r="I26" i="2"/>
  <c r="J26" i="2"/>
  <c r="AX62" i="2"/>
  <c r="J25" i="2"/>
  <c r="H25" i="2"/>
  <c r="I25" i="2"/>
  <c r="H22" i="2"/>
  <c r="I22" i="2"/>
  <c r="G27" i="2"/>
  <c r="J22" i="2"/>
  <c r="H24" i="2"/>
  <c r="I24" i="2"/>
  <c r="J24" i="2"/>
  <c r="F30" i="2"/>
  <c r="J23" i="2"/>
  <c r="H23" i="2"/>
  <c r="G28" i="2"/>
  <c r="G18" i="2"/>
  <c r="I13" i="2"/>
  <c r="E46" i="2"/>
  <c r="E51" i="2" s="1"/>
  <c r="E54" i="2" s="1"/>
  <c r="AM54" i="2"/>
  <c r="S62" i="2"/>
  <c r="AB62" i="2"/>
  <c r="AM62" i="2" s="1"/>
  <c r="AJ62" i="2"/>
  <c r="BA61" i="2"/>
  <c r="BA62" i="2" s="1"/>
  <c r="AX61" i="2"/>
  <c r="AP62" i="2"/>
  <c r="J13" i="2"/>
  <c r="H15" i="2"/>
  <c r="BB18" i="2"/>
  <c r="BB30" i="2" s="1"/>
  <c r="H38" i="2"/>
  <c r="AL41" i="2"/>
  <c r="AL53" i="2" s="1"/>
  <c r="J42" i="2"/>
  <c r="H42" i="2"/>
  <c r="X50" i="2"/>
  <c r="X53" i="2" s="1"/>
  <c r="G45" i="2"/>
  <c r="G57" i="2" s="1"/>
  <c r="J48" i="2"/>
  <c r="H48" i="2"/>
  <c r="H49" i="2"/>
  <c r="AL57" i="2"/>
  <c r="AL62" i="2" s="1"/>
  <c r="BA58" i="2"/>
  <c r="BA63" i="2" s="1"/>
  <c r="G61" i="2"/>
  <c r="AM18" i="2"/>
  <c r="Z30" i="2"/>
  <c r="J46" i="2"/>
  <c r="G51" i="2"/>
  <c r="G54" i="2" s="1"/>
  <c r="H46" i="2"/>
  <c r="X18" i="2"/>
  <c r="X30" i="2" s="1"/>
  <c r="X19" i="2"/>
  <c r="G14" i="2"/>
  <c r="J15" i="2"/>
  <c r="H17" i="2"/>
  <c r="Z31" i="2"/>
  <c r="AH31" i="2"/>
  <c r="AM41" i="2"/>
  <c r="AM53" i="2" s="1"/>
  <c r="I42" i="2"/>
  <c r="J47" i="2"/>
  <c r="I48" i="2"/>
  <c r="I49" i="2"/>
  <c r="BB57" i="2"/>
  <c r="E57" i="2"/>
  <c r="E18" i="2"/>
  <c r="AL19" i="2"/>
  <c r="AL31" i="2" s="1"/>
  <c r="E14" i="2"/>
  <c r="I16" i="2"/>
  <c r="J16" i="2"/>
  <c r="AK30" i="2"/>
  <c r="G59" i="2"/>
  <c r="AM59" i="2"/>
  <c r="F59" i="2" s="1"/>
  <c r="BB60" i="2"/>
  <c r="D60" i="2" s="1"/>
  <c r="E60" i="2"/>
  <c r="L30" i="2"/>
  <c r="T30" i="2"/>
  <c r="AL18" i="2"/>
  <c r="AL30" i="2" s="1"/>
  <c r="BB19" i="2"/>
  <c r="BB31" i="2" s="1"/>
  <c r="X27" i="2"/>
  <c r="BB28" i="2"/>
  <c r="BA41" i="2"/>
  <c r="BA50" i="2"/>
  <c r="X57" i="2"/>
  <c r="X62" i="2" s="1"/>
  <c r="X65" i="2" s="1"/>
  <c r="AL58" i="2"/>
  <c r="AL63" i="2" s="1"/>
  <c r="Z63" i="2"/>
  <c r="AM63" i="2" s="1"/>
  <c r="AC30" i="2"/>
  <c r="E61" i="2"/>
  <c r="L31" i="2"/>
  <c r="T31" i="2"/>
  <c r="E27" i="2"/>
  <c r="AM27" i="2"/>
  <c r="X28" i="2"/>
  <c r="AO31" i="2"/>
  <c r="F41" i="2"/>
  <c r="F53" i="2" s="1"/>
  <c r="I39" i="2"/>
  <c r="AM57" i="2"/>
  <c r="F57" i="2" s="1"/>
  <c r="F62" i="2" s="1"/>
  <c r="BB58" i="2"/>
  <c r="AL61" i="2"/>
  <c r="AV31" i="2"/>
  <c r="H36" i="2"/>
  <c r="G41" i="2"/>
  <c r="AO54" i="2"/>
  <c r="AW54" i="2"/>
  <c r="E50" i="2"/>
  <c r="E53" i="2" s="1"/>
  <c r="Z53" i="2"/>
  <c r="Z54" i="2"/>
  <c r="AS62" i="2"/>
  <c r="W63" i="2"/>
  <c r="G60" i="2"/>
  <c r="AM60" i="2"/>
  <c r="F60" i="2" s="1"/>
  <c r="BB61" i="2"/>
  <c r="D61" i="2" s="1"/>
  <c r="E23" i="2"/>
  <c r="E28" i="2" s="1"/>
  <c r="BB41" i="2"/>
  <c r="BB53" i="2" s="1"/>
  <c r="BB42" i="2"/>
  <c r="BB54" i="2" s="1"/>
  <c r="BA49" i="2"/>
  <c r="AO62" i="2"/>
  <c r="AO63" i="2"/>
  <c r="I54" i="2" l="1"/>
  <c r="H54" i="2"/>
  <c r="J54" i="2"/>
  <c r="I57" i="2"/>
  <c r="G62" i="2"/>
  <c r="J57" i="2"/>
  <c r="BB63" i="2"/>
  <c r="D58" i="2"/>
  <c r="D63" i="2" s="1"/>
  <c r="E58" i="2"/>
  <c r="E63" i="2" s="1"/>
  <c r="E19" i="2"/>
  <c r="E31" i="2" s="1"/>
  <c r="E62" i="2"/>
  <c r="J28" i="2"/>
  <c r="H28" i="2"/>
  <c r="I28" i="2"/>
  <c r="I46" i="2"/>
  <c r="BA53" i="2"/>
  <c r="E30" i="2"/>
  <c r="I51" i="2"/>
  <c r="J51" i="2"/>
  <c r="H51" i="2"/>
  <c r="I23" i="2"/>
  <c r="I60" i="2"/>
  <c r="J60" i="2"/>
  <c r="H60" i="2"/>
  <c r="J41" i="2"/>
  <c r="H41" i="2"/>
  <c r="G53" i="2"/>
  <c r="I41" i="2"/>
  <c r="I59" i="2"/>
  <c r="J59" i="2"/>
  <c r="H59" i="2"/>
  <c r="BB62" i="2"/>
  <c r="D57" i="2"/>
  <c r="D62" i="2" s="1"/>
  <c r="I14" i="2"/>
  <c r="G19" i="2"/>
  <c r="J14" i="2"/>
  <c r="G58" i="2"/>
  <c r="H14" i="2"/>
  <c r="AM30" i="2"/>
  <c r="G50" i="2"/>
  <c r="J45" i="2"/>
  <c r="I45" i="2"/>
  <c r="H45" i="2"/>
  <c r="J27" i="2"/>
  <c r="H27" i="2"/>
  <c r="I27" i="2"/>
  <c r="X31" i="2"/>
  <c r="I61" i="2"/>
  <c r="J61" i="2"/>
  <c r="H61" i="2"/>
  <c r="G30" i="2"/>
  <c r="I18" i="2"/>
  <c r="J18" i="2"/>
  <c r="H18" i="2"/>
  <c r="H57" i="2" l="1"/>
  <c r="I58" i="2"/>
  <c r="G63" i="2"/>
  <c r="J58" i="2"/>
  <c r="H58" i="2"/>
  <c r="J62" i="2"/>
  <c r="I62" i="2"/>
  <c r="G64" i="2"/>
  <c r="H62" i="2"/>
  <c r="H30" i="2"/>
  <c r="I30" i="2"/>
  <c r="J30" i="2"/>
  <c r="G31" i="2"/>
  <c r="I19" i="2"/>
  <c r="J19" i="2"/>
  <c r="H19" i="2"/>
  <c r="I53" i="2"/>
  <c r="H53" i="2"/>
  <c r="J53" i="2"/>
  <c r="I50" i="2"/>
  <c r="J50" i="2"/>
  <c r="H50" i="2"/>
  <c r="H31" i="2" l="1"/>
  <c r="I31" i="2"/>
  <c r="J31" i="2"/>
  <c r="J63" i="2"/>
  <c r="I63" i="2"/>
  <c r="H63" i="2"/>
</calcChain>
</file>

<file path=xl/sharedStrings.xml><?xml version="1.0" encoding="utf-8"?>
<sst xmlns="http://schemas.openxmlformats.org/spreadsheetml/2006/main" count="143" uniqueCount="48">
  <si>
    <t>TRAFIK BARANG</t>
  </si>
  <si>
    <t>Uraian</t>
  </si>
  <si>
    <t>Satuan</t>
  </si>
  <si>
    <t>REAL s.d. Mei 2025</t>
  </si>
  <si>
    <t>RKAP 
2026</t>
  </si>
  <si>
    <t>RKAP s.d. Mei 2026</t>
  </si>
  <si>
    <t>REAL s.d. 
Mei 2026</t>
  </si>
  <si>
    <t>Perbandingan (%)</t>
  </si>
  <si>
    <t>REALISASI TAHUN 2026</t>
  </si>
  <si>
    <t>RKAP TAHUN 2026</t>
  </si>
  <si>
    <t>RKAP s/d MEI 2026</t>
  </si>
  <si>
    <t>REALISASI TAHUN 2025</t>
  </si>
  <si>
    <t>REAL s/d MEI 2025</t>
  </si>
  <si>
    <t>1</t>
  </si>
  <si>
    <t>2</t>
  </si>
  <si>
    <t>3</t>
  </si>
  <si>
    <t>4</t>
  </si>
  <si>
    <t>5 = 4 : 1</t>
  </si>
  <si>
    <t>6 = 4 : 2</t>
  </si>
  <si>
    <t>7 = 4 : 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</si>
  <si>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</si>
  <si>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</si>
  <si>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</si>
  <si>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</si>
  <si>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</si>
  <si>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</si>
  <si>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</si>
  <si>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</si>
  <si>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</si>
  <si>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</si>
  <si>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</si>
  <si>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</si>
  <si>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JML</t>
  </si>
  <si>
    <t>LUAR NEGERI</t>
  </si>
  <si>
    <t>IMPOR</t>
  </si>
  <si>
    <t>General Cargo</t>
  </si>
  <si>
    <t>Ton</t>
  </si>
  <si>
    <t>M3</t>
  </si>
  <si>
    <t>Bag Cargo</t>
  </si>
  <si>
    <t>Curah Cair</t>
  </si>
  <si>
    <t>Curah Kering</t>
  </si>
  <si>
    <t>TOTAL</t>
  </si>
  <si>
    <t>EKSPOR</t>
  </si>
  <si>
    <t>TOTAL LUAR NEGERI</t>
  </si>
  <si>
    <t>DALAM NEGERI</t>
  </si>
  <si>
    <t>BONGKAR</t>
  </si>
  <si>
    <t>MUAT</t>
  </si>
  <si>
    <t>TOTAL DALAM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</si>
</sst>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(* #,##0.00_);_(* \(#,##0.00\);_(* &quot;-&quot;_);_(@_)"/>
    <numFmt numFmtId="165" formatCode="_-* #,##0_-;\-* #,##0_-;_-* &quot;-&quot;??_-;_-@"/>
    <numFmt numFmtId="166" formatCode="0.0%"/>
    <numFmt numFmtId="167" formatCode="_-* #,##0_-;\-* #,##0_-;_-* &quot;-&quot;_-;_-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Pragmatica book"/>
    </font>
    <font>
      <b/>
      <sz val="10"/>
      <color theme="1"/>
      <name val="Pragmatica book"/>
    </font>
    <font>
      <sz val="10"/>
      <color theme="0"/>
      <name val="Pragmatica book"/>
    </font>
    <font>
      <sz val="10"/>
      <color rgb="FFFFFFFF"/>
      <name val="Arial"/>
    </font>
    <font>
      <sz val="11"/>
      <name val="Calibri"/>
    </font>
    <font>
      <sz val="10"/>
      <color theme="1"/>
      <name val="Arial"/>
    </font>
    <font>
      <b/>
      <sz val="10"/>
      <color theme="0"/>
      <name val="Pragmatica book"/>
    </font>
    <font>
      <sz val="10"/>
      <color rgb="FF0000FF"/>
      <name val="Pragmatica book"/>
    </font>
    <font>
      <sz val="11"/>
      <color theme="1"/>
      <name val="Calibri"/>
    </font>
    <font>
      <sz val="11"/>
      <color rgb="FF000000"/>
      <name val="Calibri"/>
    </font>
    <font>
      <b/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00FF00"/>
        <bgColor rgb="FF00FF00"/>
      </patternFill>
    </fill>
    <fill>
      <patternFill patternType="solid">
        <fgColor rgb="FF969696"/>
        <bgColor rgb="FF969696"/>
      </patternFill>
    </fill>
    <fill>
      <patternFill patternType="solid">
        <fgColor rgb="FFFFFFCC"/>
        <bgColor rgb="FFFFFFCC"/>
      </patternFill>
    </fill>
    <fill>
      <patternFill patternType="solid">
        <fgColor rgb="FFFFFF99"/>
        <bgColor rgb="FFFFFF99"/>
      </patternFill>
    </fill>
    <fill>
      <patternFill patternType="solid">
        <fgColor theme="7"/>
        <bgColor theme="7"/>
      </patternFill>
    </fill>
    <fill>
      <patternFill patternType="solid">
        <fgColor rgb="FF999999"/>
        <bgColor rgb="FF999999"/>
      </patternFill>
    </fill>
  </fills>
  <borders count="17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/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/>
    <xf numFmtId="0" fontId="3" fillId="2" borderId="1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 wrapText="1"/>
    </xf>
    <xf numFmtId="0" fontId="6" fillId="0" borderId="4" xfId="1" applyFont="1" applyBorder="1"/>
    <xf numFmtId="0" fontId="6" fillId="0" borderId="5" xfId="1" applyFont="1" applyBorder="1"/>
    <xf numFmtId="164" fontId="5" fillId="3" borderId="6" xfId="1" applyNumberFormat="1" applyFont="1" applyFill="1" applyBorder="1" applyAlignment="1">
      <alignment horizontal="center" vertical="center" wrapText="1"/>
    </xf>
    <xf numFmtId="0" fontId="6" fillId="0" borderId="7" xfId="1" applyFont="1" applyBorder="1"/>
    <xf numFmtId="165" fontId="7" fillId="4" borderId="0" xfId="1" applyNumberFormat="1" applyFont="1" applyFill="1" applyAlignment="1">
      <alignment horizontal="center" vertical="center" wrapText="1"/>
    </xf>
    <xf numFmtId="0" fontId="6" fillId="0" borderId="8" xfId="1" applyFont="1" applyBorder="1"/>
    <xf numFmtId="0" fontId="4" fillId="3" borderId="1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4" fillId="3" borderId="9" xfId="1" applyNumberFormat="1" applyFont="1" applyFill="1" applyBorder="1" applyAlignment="1">
      <alignment horizontal="center" vertical="center" wrapText="1"/>
    </xf>
    <xf numFmtId="164" fontId="8" fillId="3" borderId="9" xfId="1" applyNumberFormat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41" fontId="2" fillId="5" borderId="1" xfId="1" applyNumberFormat="1" applyFont="1" applyFill="1" applyBorder="1" applyAlignment="1">
      <alignment vertical="center" wrapText="1"/>
    </xf>
    <xf numFmtId="0" fontId="3" fillId="2" borderId="0" xfId="1" applyFont="1" applyFill="1" applyAlignment="1">
      <alignment vertical="center" wrapText="1"/>
    </xf>
    <xf numFmtId="165" fontId="2" fillId="0" borderId="0" xfId="1" applyNumberFormat="1" applyFont="1" applyAlignment="1">
      <alignment vertical="center" wrapText="1"/>
    </xf>
    <xf numFmtId="165" fontId="3" fillId="0" borderId="0" xfId="1" applyNumberFormat="1" applyFont="1" applyAlignment="1">
      <alignment vertical="center" wrapText="1"/>
    </xf>
    <xf numFmtId="0" fontId="9" fillId="0" borderId="0" xfId="1" applyFont="1" applyAlignment="1">
      <alignment vertical="center" wrapText="1"/>
    </xf>
    <xf numFmtId="165" fontId="2" fillId="5" borderId="0" xfId="1" applyNumberFormat="1" applyFont="1" applyFill="1" applyAlignment="1">
      <alignment vertical="center" wrapText="1"/>
    </xf>
    <xf numFmtId="41" fontId="2" fillId="5" borderId="10" xfId="1" applyNumberFormat="1" applyFont="1" applyFill="1" applyBorder="1" applyAlignment="1">
      <alignment horizontal="left" vertical="center" wrapText="1"/>
    </xf>
    <xf numFmtId="0" fontId="2" fillId="5" borderId="10" xfId="1" applyFont="1" applyFill="1" applyBorder="1" applyAlignment="1">
      <alignment horizontal="center" vertical="center" wrapText="1"/>
    </xf>
    <xf numFmtId="41" fontId="2" fillId="5" borderId="10" xfId="1" applyNumberFormat="1" applyFont="1" applyFill="1" applyBorder="1" applyAlignment="1">
      <alignment vertical="center" wrapText="1"/>
    </xf>
    <xf numFmtId="41" fontId="2" fillId="6" borderId="10" xfId="1" applyNumberFormat="1" applyFont="1" applyFill="1" applyBorder="1" applyAlignment="1">
      <alignment vertical="center" wrapText="1"/>
    </xf>
    <xf numFmtId="166" fontId="2" fillId="5" borderId="10" xfId="1" applyNumberFormat="1" applyFont="1" applyFill="1" applyBorder="1" applyAlignment="1">
      <alignment horizontal="center" vertical="center" wrapText="1"/>
    </xf>
    <xf numFmtId="4" fontId="10" fillId="7" borderId="10" xfId="1" applyNumberFormat="1" applyFont="1" applyFill="1" applyBorder="1" applyAlignment="1">
      <alignment horizontal="right"/>
    </xf>
    <xf numFmtId="3" fontId="10" fillId="8" borderId="10" xfId="1" applyNumberFormat="1" applyFont="1" applyFill="1" applyBorder="1" applyAlignment="1">
      <alignment horizontal="right"/>
    </xf>
    <xf numFmtId="4" fontId="10" fillId="5" borderId="10" xfId="1" applyNumberFormat="1" applyFont="1" applyFill="1" applyBorder="1" applyAlignment="1">
      <alignment horizontal="right"/>
    </xf>
    <xf numFmtId="4" fontId="10" fillId="8" borderId="10" xfId="1" applyNumberFormat="1" applyFont="1" applyFill="1" applyBorder="1" applyAlignment="1">
      <alignment horizontal="right"/>
    </xf>
    <xf numFmtId="165" fontId="3" fillId="9" borderId="10" xfId="1" applyNumberFormat="1" applyFont="1" applyFill="1" applyBorder="1" applyAlignment="1">
      <alignment vertical="center" wrapText="1"/>
    </xf>
    <xf numFmtId="165" fontId="11" fillId="7" borderId="10" xfId="1" applyNumberFormat="1" applyFont="1" applyFill="1" applyBorder="1" applyAlignment="1">
      <alignment horizontal="right"/>
    </xf>
    <xf numFmtId="165" fontId="2" fillId="10" borderId="10" xfId="1" applyNumberFormat="1" applyFont="1" applyFill="1" applyBorder="1" applyAlignment="1">
      <alignment vertical="center" wrapText="1"/>
    </xf>
    <xf numFmtId="165" fontId="7" fillId="0" borderId="10" xfId="1" applyNumberFormat="1" applyFont="1" applyBorder="1" applyAlignment="1">
      <alignment vertical="center" wrapText="1"/>
    </xf>
    <xf numFmtId="165" fontId="7" fillId="0" borderId="11" xfId="1" applyNumberFormat="1" applyFont="1" applyBorder="1" applyAlignment="1">
      <alignment vertical="center" wrapText="1"/>
    </xf>
    <xf numFmtId="165" fontId="2" fillId="0" borderId="10" xfId="1" applyNumberFormat="1" applyFont="1" applyBorder="1" applyAlignment="1">
      <alignment vertical="center" wrapText="1"/>
    </xf>
    <xf numFmtId="0" fontId="7" fillId="5" borderId="10" xfId="1" applyFont="1" applyFill="1" applyBorder="1" applyAlignment="1">
      <alignment horizontal="center" vertical="center" wrapText="1"/>
    </xf>
    <xf numFmtId="165" fontId="2" fillId="8" borderId="10" xfId="1" applyNumberFormat="1" applyFont="1" applyFill="1" applyBorder="1" applyAlignment="1">
      <alignment vertical="center" wrapText="1"/>
    </xf>
    <xf numFmtId="165" fontId="7" fillId="5" borderId="12" xfId="1" applyNumberFormat="1" applyFont="1" applyFill="1" applyBorder="1" applyAlignment="1">
      <alignment vertical="center" wrapText="1"/>
    </xf>
    <xf numFmtId="165" fontId="7" fillId="0" borderId="12" xfId="1" applyNumberFormat="1" applyFont="1" applyBorder="1" applyAlignment="1">
      <alignment vertical="center" wrapText="1"/>
    </xf>
    <xf numFmtId="165" fontId="11" fillId="7" borderId="10" xfId="1" applyNumberFormat="1" applyFont="1" applyFill="1" applyBorder="1"/>
    <xf numFmtId="165" fontId="2" fillId="5" borderId="12" xfId="1" applyNumberFormat="1" applyFont="1" applyFill="1" applyBorder="1" applyAlignment="1">
      <alignment vertical="center" wrapText="1"/>
    </xf>
    <xf numFmtId="165" fontId="2" fillId="0" borderId="12" xfId="1" applyNumberFormat="1" applyFont="1" applyBorder="1" applyAlignment="1">
      <alignment vertical="center" wrapText="1"/>
    </xf>
    <xf numFmtId="3" fontId="10" fillId="7" borderId="10" xfId="1" applyNumberFormat="1" applyFont="1" applyFill="1" applyBorder="1" applyAlignment="1">
      <alignment horizontal="right"/>
    </xf>
    <xf numFmtId="0" fontId="3" fillId="11" borderId="10" xfId="1" applyFont="1" applyFill="1" applyBorder="1" applyAlignment="1">
      <alignment horizontal="center" vertical="center" wrapText="1"/>
    </xf>
    <xf numFmtId="41" fontId="3" fillId="11" borderId="10" xfId="1" applyNumberFormat="1" applyFont="1" applyFill="1" applyBorder="1" applyAlignment="1">
      <alignment vertical="center" wrapText="1"/>
    </xf>
    <xf numFmtId="166" fontId="3" fillId="11" borderId="10" xfId="1" applyNumberFormat="1" applyFont="1" applyFill="1" applyBorder="1" applyAlignment="1">
      <alignment horizontal="center" vertical="center" wrapText="1"/>
    </xf>
    <xf numFmtId="41" fontId="3" fillId="12" borderId="10" xfId="1" applyNumberFormat="1" applyFont="1" applyFill="1" applyBorder="1" applyAlignment="1">
      <alignment vertical="center" wrapText="1"/>
    </xf>
    <xf numFmtId="0" fontId="12" fillId="11" borderId="10" xfId="1" applyFont="1" applyFill="1" applyBorder="1" applyAlignment="1">
      <alignment horizontal="center" vertical="center" wrapText="1"/>
    </xf>
    <xf numFmtId="165" fontId="3" fillId="5" borderId="10" xfId="1" applyNumberFormat="1" applyFont="1" applyFill="1" applyBorder="1" applyAlignment="1">
      <alignment vertical="center" wrapText="1"/>
    </xf>
    <xf numFmtId="41" fontId="2" fillId="5" borderId="8" xfId="1" applyNumberFormat="1" applyFont="1" applyFill="1" applyBorder="1" applyAlignment="1">
      <alignment vertical="center" wrapText="1"/>
    </xf>
    <xf numFmtId="41" fontId="2" fillId="5" borderId="2" xfId="1" applyNumberFormat="1" applyFont="1" applyFill="1" applyBorder="1" applyAlignment="1">
      <alignment vertical="center" wrapText="1"/>
    </xf>
    <xf numFmtId="4" fontId="10" fillId="7" borderId="10" xfId="1" applyNumberFormat="1" applyFont="1" applyFill="1" applyBorder="1"/>
    <xf numFmtId="4" fontId="10" fillId="7" borderId="13" xfId="1" applyNumberFormat="1" applyFont="1" applyFill="1" applyBorder="1"/>
    <xf numFmtId="0" fontId="2" fillId="0" borderId="10" xfId="1" applyFont="1" applyBorder="1" applyAlignment="1">
      <alignment horizontal="right" vertical="center" wrapText="1"/>
    </xf>
    <xf numFmtId="165" fontId="2" fillId="0" borderId="11" xfId="1" applyNumberFormat="1" applyFont="1" applyBorder="1" applyAlignment="1">
      <alignment vertical="center" wrapText="1"/>
    </xf>
    <xf numFmtId="165" fontId="7" fillId="8" borderId="10" xfId="1" applyNumberFormat="1" applyFont="1" applyFill="1" applyBorder="1" applyAlignment="1">
      <alignment vertical="center" wrapText="1"/>
    </xf>
    <xf numFmtId="3" fontId="7" fillId="0" borderId="10" xfId="1" applyNumberFormat="1" applyFont="1" applyBorder="1" applyAlignment="1">
      <alignment horizontal="right" vertical="center" wrapText="1"/>
    </xf>
    <xf numFmtId="41" fontId="2" fillId="5" borderId="14" xfId="1" applyNumberFormat="1" applyFont="1" applyFill="1" applyBorder="1" applyAlignment="1">
      <alignment vertical="center" wrapText="1"/>
    </xf>
    <xf numFmtId="165" fontId="3" fillId="0" borderId="10" xfId="1" applyNumberFormat="1" applyFont="1" applyBorder="1" applyAlignment="1">
      <alignment vertical="center" wrapText="1"/>
    </xf>
    <xf numFmtId="0" fontId="3" fillId="13" borderId="10" xfId="1" applyFont="1" applyFill="1" applyBorder="1" applyAlignment="1">
      <alignment horizontal="center" vertical="center" wrapText="1"/>
    </xf>
    <xf numFmtId="41" fontId="3" fillId="13" borderId="10" xfId="1" applyNumberFormat="1" applyFont="1" applyFill="1" applyBorder="1" applyAlignment="1">
      <alignment vertical="center" wrapText="1"/>
    </xf>
    <xf numFmtId="166" fontId="3" fillId="13" borderId="10" xfId="1" applyNumberFormat="1" applyFont="1" applyFill="1" applyBorder="1" applyAlignment="1">
      <alignment horizontal="center" vertical="center" wrapText="1"/>
    </xf>
    <xf numFmtId="165" fontId="3" fillId="10" borderId="10" xfId="1" applyNumberFormat="1" applyFont="1" applyFill="1" applyBorder="1" applyAlignment="1">
      <alignment vertical="center" wrapText="1"/>
    </xf>
    <xf numFmtId="165" fontId="3" fillId="14" borderId="10" xfId="1" applyNumberFormat="1" applyFont="1" applyFill="1" applyBorder="1" applyAlignment="1">
      <alignment vertical="center" wrapText="1"/>
    </xf>
    <xf numFmtId="0" fontId="12" fillId="13" borderId="10" xfId="1" applyFont="1" applyFill="1" applyBorder="1" applyAlignment="1">
      <alignment horizontal="center" vertical="center" wrapText="1"/>
    </xf>
    <xf numFmtId="165" fontId="3" fillId="13" borderId="10" xfId="1" applyNumberFormat="1" applyFont="1" applyFill="1" applyBorder="1" applyAlignment="1">
      <alignment vertical="center" wrapText="1"/>
    </xf>
    <xf numFmtId="41" fontId="2" fillId="5" borderId="0" xfId="1" applyNumberFormat="1" applyFont="1" applyFill="1" applyAlignment="1">
      <alignment vertical="center" wrapText="1"/>
    </xf>
    <xf numFmtId="41" fontId="7" fillId="5" borderId="10" xfId="1" applyNumberFormat="1" applyFont="1" applyFill="1" applyBorder="1" applyAlignment="1">
      <alignment vertical="center" wrapText="1"/>
    </xf>
    <xf numFmtId="41" fontId="11" fillId="7" borderId="10" xfId="1" applyNumberFormat="1" applyFont="1" applyFill="1" applyBorder="1" applyAlignment="1">
      <alignment horizontal="right"/>
    </xf>
    <xf numFmtId="3" fontId="10" fillId="5" borderId="10" xfId="1" applyNumberFormat="1" applyFont="1" applyFill="1" applyBorder="1" applyAlignment="1">
      <alignment horizontal="right"/>
    </xf>
    <xf numFmtId="41" fontId="7" fillId="5" borderId="11" xfId="1" applyNumberFormat="1" applyFont="1" applyFill="1" applyBorder="1" applyAlignment="1">
      <alignment vertical="center" wrapText="1"/>
    </xf>
    <xf numFmtId="3" fontId="10" fillId="5" borderId="10" xfId="1" applyNumberFormat="1" applyFont="1" applyFill="1" applyBorder="1"/>
    <xf numFmtId="0" fontId="10" fillId="0" borderId="10" xfId="1" applyFont="1" applyBorder="1" applyAlignment="1">
      <alignment vertical="center" wrapText="1"/>
    </xf>
    <xf numFmtId="41" fontId="2" fillId="5" borderId="15" xfId="1" applyNumberFormat="1" applyFont="1" applyFill="1" applyBorder="1" applyAlignment="1">
      <alignment vertical="center" wrapText="1"/>
    </xf>
    <xf numFmtId="0" fontId="2" fillId="0" borderId="15" xfId="1" applyFont="1" applyBorder="1" applyAlignment="1">
      <alignment vertical="center" wrapText="1"/>
    </xf>
    <xf numFmtId="4" fontId="10" fillId="5" borderId="10" xfId="1" applyNumberFormat="1" applyFont="1" applyFill="1" applyBorder="1"/>
    <xf numFmtId="41" fontId="3" fillId="10" borderId="10" xfId="1" applyNumberFormat="1" applyFont="1" applyFill="1" applyBorder="1" applyAlignment="1">
      <alignment vertical="center" wrapText="1"/>
    </xf>
    <xf numFmtId="0" fontId="3" fillId="2" borderId="2" xfId="1" applyFont="1" applyFill="1" applyBorder="1" applyAlignment="1">
      <alignment vertical="center" wrapText="1"/>
    </xf>
    <xf numFmtId="165" fontId="12" fillId="9" borderId="10" xfId="1" applyNumberFormat="1" applyFont="1" applyFill="1" applyBorder="1" applyAlignment="1">
      <alignment vertical="center" wrapText="1"/>
    </xf>
    <xf numFmtId="41" fontId="2" fillId="9" borderId="10" xfId="1" applyNumberFormat="1" applyFont="1" applyFill="1" applyBorder="1" applyAlignment="1">
      <alignment vertical="center" wrapText="1"/>
    </xf>
    <xf numFmtId="167" fontId="2" fillId="0" borderId="0" xfId="1" applyNumberFormat="1" applyFont="1" applyAlignment="1">
      <alignment vertical="center" wrapText="1"/>
    </xf>
    <xf numFmtId="0" fontId="12" fillId="11" borderId="16" xfId="1" applyFont="1" applyFill="1" applyBorder="1" applyAlignment="1">
      <alignment horizontal="center" vertical="center" wrapText="1"/>
    </xf>
    <xf numFmtId="41" fontId="3" fillId="6" borderId="10" xfId="1" applyNumberFormat="1" applyFont="1" applyFill="1" applyBorder="1" applyAlignment="1">
      <alignment vertical="center" wrapText="1"/>
    </xf>
    <xf numFmtId="165" fontId="3" fillId="6" borderId="10" xfId="1" applyNumberFormat="1" applyFont="1" applyFill="1" applyBorder="1" applyAlignment="1">
      <alignment vertical="center" wrapText="1"/>
    </xf>
    <xf numFmtId="0" fontId="6" fillId="0" borderId="13" xfId="1" applyFont="1" applyBorder="1"/>
    <xf numFmtId="0" fontId="12" fillId="15" borderId="10" xfId="1" applyFont="1" applyFill="1" applyBorder="1" applyAlignment="1">
      <alignment horizontal="center" vertical="center" wrapText="1"/>
    </xf>
    <xf numFmtId="41" fontId="3" fillId="15" borderId="10" xfId="1" applyNumberFormat="1" applyFont="1" applyFill="1" applyBorder="1" applyAlignment="1">
      <alignment vertical="center" wrapText="1"/>
    </xf>
    <xf numFmtId="165" fontId="2" fillId="6" borderId="10" xfId="1" applyNumberFormat="1" applyFont="1" applyFill="1" applyBorder="1" applyAlignment="1">
      <alignment vertical="center" wrapText="1"/>
    </xf>
    <xf numFmtId="41" fontId="2" fillId="0" borderId="0" xfId="1" applyNumberFormat="1" applyFont="1" applyAlignment="1">
      <alignment vertical="center" wrapText="1"/>
    </xf>
    <xf numFmtId="10" fontId="2" fillId="0" borderId="0" xfId="1" applyNumberFormat="1" applyFont="1" applyAlignment="1">
      <alignment vertical="center" wrapText="1"/>
    </xf>
    <xf numFmtId="41" fontId="3" fillId="0" borderId="0" xfId="1" applyNumberFormat="1" applyFont="1" applyAlignment="1">
      <alignment vertical="center" wrapText="1"/>
    </xf>
  </cellXfs>
  <cellStyles count="2">
    <cellStyle name="Normal" xfId="0" builtinId="0"/>
    <cellStyle name="Normal 2" xfId="1" xr:uid="{C633670A-1618-4A4B-89DE-92F8B9EDFB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94A4-155C-476A-9F28-96AA503C99E9}">
  <sheetPr>
    <tabColor rgb="FF0066CC"/>
  </sheetPr>
  <dimension ref="A1:BP1010"/>
  <sheetViews>
    <sheetView tabSelected="1" workbookViewId="0">
      <pane xSplit="3" ySplit="9" topLeftCell="L21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14.44140625" defaultRowHeight="15" customHeight="1"/>
  <cols>
    <col min="1" max="1" width="1.6640625" style="4" customWidth="1"/>
    <col min="2" max="2" width="21.5546875" style="4" customWidth="1"/>
    <col min="3" max="3" width="8.33203125" style="4" customWidth="1"/>
    <col min="4" max="4" width="14.44140625" style="4"/>
    <col min="5" max="6" width="12.88671875" style="4" customWidth="1"/>
    <col min="7" max="7" width="13.33203125" style="4" customWidth="1"/>
    <col min="8" max="10" width="9.44140625" style="4" customWidth="1"/>
    <col min="11" max="11" width="9.109375" style="4" customWidth="1"/>
    <col min="12" max="19" width="11" style="4" customWidth="1"/>
    <col min="20" max="20" width="10.5546875" style="4" customWidth="1"/>
    <col min="21" max="21" width="11" style="4" customWidth="1"/>
    <col min="22" max="22" width="10.5546875" style="4" customWidth="1"/>
    <col min="23" max="23" width="0.44140625" style="4" customWidth="1"/>
    <col min="24" max="24" width="12.88671875" style="4" customWidth="1"/>
    <col min="25" max="25" width="17.6640625" style="4" customWidth="1"/>
    <col min="26" max="37" width="11.6640625" style="4" customWidth="1"/>
    <col min="38" max="38" width="14.44140625" style="4"/>
    <col min="39" max="39" width="13.109375" style="4" customWidth="1"/>
    <col min="40" max="40" width="1.88671875" style="4" customWidth="1"/>
    <col min="41" max="52" width="11.6640625" style="4" customWidth="1"/>
    <col min="53" max="54" width="12.88671875" style="4" customWidth="1"/>
    <col min="55" max="55" width="14.33203125" style="4" customWidth="1"/>
    <col min="56" max="68" width="9.109375" style="4" customWidth="1"/>
    <col min="69" max="16384" width="14.44140625" style="4"/>
  </cols>
  <sheetData>
    <row r="1" spans="1:68" ht="4.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3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3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4.5" customHeight="1">
      <c r="A2" s="1"/>
      <c r="B2" s="1"/>
      <c r="C2" s="1"/>
      <c r="D2" s="1"/>
      <c r="E2" s="1"/>
      <c r="F2" s="1"/>
      <c r="G2" s="1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3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3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4.5" customHeight="1">
      <c r="A3" s="1"/>
      <c r="B3" s="1"/>
      <c r="C3" s="1"/>
      <c r="D3" s="1"/>
      <c r="E3" s="1"/>
      <c r="F3" s="1"/>
      <c r="G3" s="1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3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3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4.5" customHeight="1">
      <c r="A4" s="1"/>
      <c r="B4" s="1"/>
      <c r="C4" s="1"/>
      <c r="D4" s="1"/>
      <c r="E4" s="1"/>
      <c r="F4" s="1"/>
      <c r="G4" s="1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3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3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3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4.5" customHeight="1">
      <c r="A5" s="1"/>
      <c r="B5" s="1"/>
      <c r="C5" s="1"/>
      <c r="D5" s="1"/>
      <c r="E5" s="1"/>
      <c r="F5" s="1"/>
      <c r="G5" s="1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3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3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3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13.5" customHeight="1">
      <c r="A6" s="1"/>
      <c r="B6" s="1"/>
      <c r="C6" s="1"/>
      <c r="D6" s="1"/>
      <c r="E6" s="1"/>
      <c r="F6" s="1"/>
      <c r="G6" s="1"/>
      <c r="H6" s="2"/>
      <c r="I6" s="2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3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3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3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 ht="13.5" customHeight="1">
      <c r="A7" s="1"/>
      <c r="B7" s="5" t="s">
        <v>0</v>
      </c>
      <c r="C7" s="1"/>
      <c r="D7" s="1"/>
      <c r="E7" s="1"/>
      <c r="F7" s="1"/>
      <c r="G7" s="1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3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3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3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68" ht="25.5" customHeight="1">
      <c r="A8" s="1"/>
      <c r="B8" s="6" t="s">
        <v>1</v>
      </c>
      <c r="C8" s="6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8" t="s">
        <v>7</v>
      </c>
      <c r="I8" s="9"/>
      <c r="J8" s="10"/>
      <c r="K8" s="1"/>
      <c r="L8" s="11" t="s">
        <v>8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"/>
      <c r="Z8" s="11" t="s">
        <v>9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3" t="s">
        <v>10</v>
      </c>
      <c r="AN8" s="1"/>
      <c r="AO8" s="11" t="s">
        <v>11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3" t="s">
        <v>12</v>
      </c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1:68" ht="12.75" customHeight="1">
      <c r="A9" s="1"/>
      <c r="B9" s="14"/>
      <c r="C9" s="14"/>
      <c r="D9" s="15" t="s">
        <v>13</v>
      </c>
      <c r="E9" s="15" t="s">
        <v>14</v>
      </c>
      <c r="F9" s="15" t="s">
        <v>15</v>
      </c>
      <c r="G9" s="15" t="s">
        <v>16</v>
      </c>
      <c r="H9" s="16" t="s">
        <v>17</v>
      </c>
      <c r="I9" s="16" t="s">
        <v>18</v>
      </c>
      <c r="J9" s="16" t="s">
        <v>19</v>
      </c>
      <c r="K9" s="1"/>
      <c r="L9" s="17" t="s">
        <v>20</v>
      </c>
      <c r="M9" s="17" t="s">
        <v>21</v>
      </c>
      <c r="N9" s="17" t="s">
        <v>22</v>
      </c>
      <c r="O9" s="17" t="s">
        <v>23</v>
      </c>
      <c r="P9" s="17" t="s">
        <v>24</v>
      </c>
      <c r="Q9" s="17" t="s">
        <v>25</v>
      </c>
      <c r="R9" s="17" t="s">
        <v>26</v>
      </c>
      <c r="S9" s="17" t="s">
        <v>27</v>
      </c>
      <c r="T9" s="17" t="s">
        <v>28</v>
      </c>
      <c r="U9" s="17" t="s">
        <v>29</v>
      </c>
      <c r="V9" s="17" t="s">
        <v>30</v>
      </c>
      <c r="W9" s="17" t="s">
        <v>31</v>
      </c>
      <c r="X9" s="18" t="s">
        <v>32</v>
      </c>
      <c r="Y9" s="1"/>
      <c r="Z9" s="17" t="s">
        <v>20</v>
      </c>
      <c r="AA9" s="17" t="s">
        <v>21</v>
      </c>
      <c r="AB9" s="17" t="s">
        <v>22</v>
      </c>
      <c r="AC9" s="17" t="s">
        <v>23</v>
      </c>
      <c r="AD9" s="17" t="s">
        <v>24</v>
      </c>
      <c r="AE9" s="17" t="s">
        <v>25</v>
      </c>
      <c r="AF9" s="17" t="s">
        <v>26</v>
      </c>
      <c r="AG9" s="17" t="s">
        <v>27</v>
      </c>
      <c r="AH9" s="17" t="s">
        <v>28</v>
      </c>
      <c r="AI9" s="17" t="s">
        <v>29</v>
      </c>
      <c r="AJ9" s="17" t="s">
        <v>30</v>
      </c>
      <c r="AK9" s="17" t="s">
        <v>31</v>
      </c>
      <c r="AL9" s="18" t="s">
        <v>32</v>
      </c>
      <c r="AM9" s="1"/>
      <c r="AN9" s="1"/>
      <c r="AO9" s="17" t="s">
        <v>20</v>
      </c>
      <c r="AP9" s="17" t="s">
        <v>21</v>
      </c>
      <c r="AQ9" s="17" t="s">
        <v>22</v>
      </c>
      <c r="AR9" s="17" t="s">
        <v>23</v>
      </c>
      <c r="AS9" s="17" t="s">
        <v>24</v>
      </c>
      <c r="AT9" s="17" t="s">
        <v>25</v>
      </c>
      <c r="AU9" s="17" t="s">
        <v>26</v>
      </c>
      <c r="AV9" s="17" t="s">
        <v>27</v>
      </c>
      <c r="AW9" s="17" t="s">
        <v>28</v>
      </c>
      <c r="AX9" s="17" t="s">
        <v>29</v>
      </c>
      <c r="AY9" s="17" t="s">
        <v>30</v>
      </c>
      <c r="AZ9" s="17" t="s">
        <v>31</v>
      </c>
      <c r="BA9" s="18" t="s">
        <v>32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1:68" ht="13.5" customHeight="1">
      <c r="A10" s="1"/>
      <c r="B10" s="1"/>
      <c r="C10" s="19"/>
      <c r="D10" s="20"/>
      <c r="E10" s="20"/>
      <c r="F10" s="20"/>
      <c r="G10" s="20"/>
      <c r="H10" s="19"/>
      <c r="I10" s="19"/>
      <c r="J10" s="1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3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3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3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1:68" ht="13.5" customHeight="1">
      <c r="A11" s="1"/>
      <c r="B11" s="21" t="s">
        <v>33</v>
      </c>
      <c r="C11" s="1"/>
      <c r="D11" s="1"/>
      <c r="E11" s="1"/>
      <c r="F11" s="1"/>
      <c r="G11" s="1"/>
      <c r="H11" s="2"/>
      <c r="I11" s="2"/>
      <c r="J11" s="2"/>
      <c r="K11" s="1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3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3"/>
      <c r="AM11" s="22"/>
      <c r="AN11" s="1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3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</row>
    <row r="12" spans="1:68" ht="12.75" customHeight="1">
      <c r="A12" s="1"/>
      <c r="B12" s="24" t="s">
        <v>34</v>
      </c>
      <c r="C12" s="1"/>
      <c r="D12" s="1"/>
      <c r="E12" s="1"/>
      <c r="F12" s="1"/>
      <c r="G12" s="1"/>
      <c r="H12" s="2"/>
      <c r="I12" s="2"/>
      <c r="J12" s="2"/>
      <c r="K12" s="1"/>
      <c r="L12" s="22"/>
      <c r="M12" s="22"/>
      <c r="N12" s="25"/>
      <c r="O12" s="22"/>
      <c r="P12" s="22"/>
      <c r="Q12" s="22"/>
      <c r="R12" s="22"/>
      <c r="S12" s="22"/>
      <c r="T12" s="22"/>
      <c r="U12" s="22"/>
      <c r="V12" s="22"/>
      <c r="W12" s="22"/>
      <c r="X12" s="23"/>
      <c r="Y12" s="1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3"/>
      <c r="AM12" s="1"/>
      <c r="AN12" s="1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3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</row>
    <row r="13" spans="1:68" ht="13.5" customHeight="1">
      <c r="A13" s="1"/>
      <c r="B13" s="26" t="s">
        <v>35</v>
      </c>
      <c r="C13" s="27" t="s">
        <v>36</v>
      </c>
      <c r="D13" s="28">
        <f t="shared" ref="D13:D17" si="0">BB13</f>
        <v>238104.11000000002</v>
      </c>
      <c r="E13" s="28">
        <f t="shared" ref="E13:F17" si="1">AL13</f>
        <v>391661</v>
      </c>
      <c r="F13" s="28">
        <f t="shared" si="1"/>
        <v>161266</v>
      </c>
      <c r="G13" s="29">
        <f t="shared" ref="G13:G17" si="2">X13</f>
        <v>367735.10000000003</v>
      </c>
      <c r="H13" s="30">
        <f t="shared" ref="H13:H19" si="3">G13/D13</f>
        <v>1.54442987145413</v>
      </c>
      <c r="I13" s="30">
        <f t="shared" ref="I13:I19" si="4">G13/E13</f>
        <v>0.93891171191412992</v>
      </c>
      <c r="J13" s="30">
        <f t="shared" ref="J13:J19" si="5">G13/F13</f>
        <v>2.2803014894646116</v>
      </c>
      <c r="K13" s="1"/>
      <c r="L13" s="31">
        <v>30154</v>
      </c>
      <c r="M13" s="31">
        <v>77246.27</v>
      </c>
      <c r="N13" s="31">
        <v>50277</v>
      </c>
      <c r="O13" s="31">
        <v>129309</v>
      </c>
      <c r="P13" s="31">
        <v>80748.83</v>
      </c>
      <c r="Q13" s="32"/>
      <c r="R13" s="33"/>
      <c r="S13" s="34"/>
      <c r="T13" s="33"/>
      <c r="U13" s="33"/>
      <c r="V13" s="34"/>
      <c r="W13" s="34"/>
      <c r="X13" s="35">
        <f t="shared" ref="X13:X17" si="6">SUM(L13:W13)</f>
        <v>367735.10000000003</v>
      </c>
      <c r="Y13" s="22"/>
      <c r="Z13" s="36">
        <v>30039</v>
      </c>
      <c r="AA13" s="36">
        <v>34112</v>
      </c>
      <c r="AB13" s="36">
        <v>34804</v>
      </c>
      <c r="AC13" s="36">
        <v>29765</v>
      </c>
      <c r="AD13" s="36">
        <v>32546</v>
      </c>
      <c r="AE13" s="36">
        <v>38954</v>
      </c>
      <c r="AF13" s="36">
        <v>26867</v>
      </c>
      <c r="AG13" s="36">
        <v>35992</v>
      </c>
      <c r="AH13" s="36">
        <v>22329</v>
      </c>
      <c r="AI13" s="36">
        <v>37622</v>
      </c>
      <c r="AJ13" s="36">
        <v>34388</v>
      </c>
      <c r="AK13" s="36">
        <v>34243</v>
      </c>
      <c r="AL13" s="35">
        <f t="shared" ref="AL13:AL17" si="7">SUM(Z13:AK13)</f>
        <v>391661</v>
      </c>
      <c r="AM13" s="37">
        <f t="shared" ref="AM13:AM19" si="8">SUM(Z13:AD13)</f>
        <v>161266</v>
      </c>
      <c r="AN13" s="1"/>
      <c r="AO13" s="38">
        <v>109739</v>
      </c>
      <c r="AP13" s="38">
        <v>38141</v>
      </c>
      <c r="AQ13" s="33">
        <v>43258.83</v>
      </c>
      <c r="AR13" s="33">
        <v>10893.1</v>
      </c>
      <c r="AS13" s="39">
        <v>36072.18</v>
      </c>
      <c r="AT13" s="32">
        <v>66791</v>
      </c>
      <c r="AU13" s="33">
        <v>86397</v>
      </c>
      <c r="AV13" s="34">
        <v>8623.34</v>
      </c>
      <c r="AW13" s="33">
        <v>119913.32</v>
      </c>
      <c r="AX13" s="33">
        <v>37360.1</v>
      </c>
      <c r="AY13" s="34">
        <v>82496</v>
      </c>
      <c r="AZ13" s="34">
        <v>29654</v>
      </c>
      <c r="BA13" s="35">
        <f t="shared" ref="BA13:BA17" si="9">SUM(AO13:AZ13)</f>
        <v>669338.87</v>
      </c>
      <c r="BB13" s="40">
        <f t="shared" ref="BB13:BB19" si="10">SUM(AO13:AS13)</f>
        <v>238104.11000000002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</row>
    <row r="14" spans="1:68" ht="13.5" customHeight="1">
      <c r="A14" s="1"/>
      <c r="B14" s="26" t="s">
        <v>35</v>
      </c>
      <c r="C14" s="41" t="s">
        <v>37</v>
      </c>
      <c r="D14" s="28">
        <f t="shared" si="0"/>
        <v>2725</v>
      </c>
      <c r="E14" s="28">
        <f t="shared" si="1"/>
        <v>96869</v>
      </c>
      <c r="F14" s="28">
        <f t="shared" si="1"/>
        <v>36953</v>
      </c>
      <c r="G14" s="29">
        <f t="shared" si="2"/>
        <v>34809</v>
      </c>
      <c r="H14" s="30">
        <f t="shared" si="3"/>
        <v>12.77394495412844</v>
      </c>
      <c r="I14" s="30">
        <f t="shared" si="4"/>
        <v>0.35934096563400053</v>
      </c>
      <c r="J14" s="30">
        <f t="shared" si="5"/>
        <v>0.94198035342191433</v>
      </c>
      <c r="K14" s="1"/>
      <c r="L14" s="31">
        <v>0</v>
      </c>
      <c r="M14" s="31">
        <v>7809</v>
      </c>
      <c r="N14" s="31">
        <v>27000</v>
      </c>
      <c r="O14" s="31">
        <v>0</v>
      </c>
      <c r="P14" s="31">
        <v>0</v>
      </c>
      <c r="Q14" s="32"/>
      <c r="R14" s="33"/>
      <c r="S14" s="34"/>
      <c r="T14" s="33"/>
      <c r="U14" s="33"/>
      <c r="V14" s="42"/>
      <c r="W14" s="34"/>
      <c r="X14" s="35">
        <f t="shared" si="6"/>
        <v>34809</v>
      </c>
      <c r="Y14" s="22"/>
      <c r="Z14" s="36">
        <v>7429</v>
      </c>
      <c r="AA14" s="36">
        <v>9279</v>
      </c>
      <c r="AB14" s="36">
        <v>4834</v>
      </c>
      <c r="AC14" s="36">
        <v>7362</v>
      </c>
      <c r="AD14" s="36">
        <v>8049</v>
      </c>
      <c r="AE14" s="36">
        <v>9638</v>
      </c>
      <c r="AF14" s="36">
        <v>6647</v>
      </c>
      <c r="AG14" s="36">
        <v>8903</v>
      </c>
      <c r="AH14" s="36">
        <v>8447</v>
      </c>
      <c r="AI14" s="36">
        <v>9309</v>
      </c>
      <c r="AJ14" s="36">
        <v>8507</v>
      </c>
      <c r="AK14" s="36">
        <v>8465</v>
      </c>
      <c r="AL14" s="35">
        <f t="shared" si="7"/>
        <v>96869</v>
      </c>
      <c r="AM14" s="37">
        <f t="shared" si="8"/>
        <v>36953</v>
      </c>
      <c r="AN14" s="1"/>
      <c r="AO14" s="38">
        <v>0</v>
      </c>
      <c r="AP14" s="38">
        <v>0</v>
      </c>
      <c r="AQ14" s="43"/>
      <c r="AR14" s="44"/>
      <c r="AS14" s="44">
        <v>2725</v>
      </c>
      <c r="AT14" s="32">
        <v>0</v>
      </c>
      <c r="AU14" s="33">
        <v>3067</v>
      </c>
      <c r="AV14" s="34">
        <v>0</v>
      </c>
      <c r="AW14" s="33">
        <v>0</v>
      </c>
      <c r="AX14" s="33">
        <v>3659</v>
      </c>
      <c r="AY14" s="42"/>
      <c r="AZ14" s="34">
        <v>0</v>
      </c>
      <c r="BA14" s="35">
        <f t="shared" si="9"/>
        <v>9451</v>
      </c>
      <c r="BB14" s="40">
        <f t="shared" si="10"/>
        <v>2725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</row>
    <row r="15" spans="1:68" ht="12.75" customHeight="1">
      <c r="A15" s="1"/>
      <c r="B15" s="28" t="s">
        <v>38</v>
      </c>
      <c r="C15" s="27" t="s">
        <v>36</v>
      </c>
      <c r="D15" s="28">
        <f t="shared" si="0"/>
        <v>0</v>
      </c>
      <c r="E15" s="28">
        <f t="shared" si="1"/>
        <v>0</v>
      </c>
      <c r="F15" s="28">
        <f t="shared" si="1"/>
        <v>0</v>
      </c>
      <c r="G15" s="29">
        <f t="shared" si="2"/>
        <v>0</v>
      </c>
      <c r="H15" s="30" t="e">
        <f t="shared" si="3"/>
        <v>#DIV/0!</v>
      </c>
      <c r="I15" s="30" t="e">
        <f t="shared" si="4"/>
        <v>#DIV/0!</v>
      </c>
      <c r="J15" s="30" t="e">
        <f t="shared" si="5"/>
        <v>#DIV/0!</v>
      </c>
      <c r="K15" s="1"/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2"/>
      <c r="R15" s="38"/>
      <c r="S15" s="34"/>
      <c r="T15" s="33"/>
      <c r="U15" s="33"/>
      <c r="V15" s="42"/>
      <c r="W15" s="34"/>
      <c r="X15" s="35">
        <f t="shared" si="6"/>
        <v>0</v>
      </c>
      <c r="Y15" s="22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35">
        <f t="shared" si="7"/>
        <v>0</v>
      </c>
      <c r="AM15" s="37">
        <f t="shared" si="8"/>
        <v>0</v>
      </c>
      <c r="AN15" s="1"/>
      <c r="AO15" s="38">
        <v>0</v>
      </c>
      <c r="AP15" s="38">
        <v>0</v>
      </c>
      <c r="AQ15" s="46"/>
      <c r="AR15" s="47"/>
      <c r="AS15" s="39"/>
      <c r="AT15" s="32">
        <v>0</v>
      </c>
      <c r="AU15" s="38"/>
      <c r="AV15" s="34">
        <v>0</v>
      </c>
      <c r="AW15" s="33">
        <v>0</v>
      </c>
      <c r="AX15" s="33">
        <v>0</v>
      </c>
      <c r="AY15" s="42"/>
      <c r="AZ15" s="34">
        <v>0</v>
      </c>
      <c r="BA15" s="35">
        <f t="shared" si="9"/>
        <v>0</v>
      </c>
      <c r="BB15" s="40">
        <f t="shared" si="10"/>
        <v>0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</row>
    <row r="16" spans="1:68" ht="12.75" customHeight="1">
      <c r="A16" s="1"/>
      <c r="B16" s="28" t="s">
        <v>39</v>
      </c>
      <c r="C16" s="27" t="s">
        <v>36</v>
      </c>
      <c r="D16" s="28">
        <f t="shared" si="0"/>
        <v>99116</v>
      </c>
      <c r="E16" s="28">
        <f t="shared" si="1"/>
        <v>325782</v>
      </c>
      <c r="F16" s="28">
        <f t="shared" si="1"/>
        <v>124292</v>
      </c>
      <c r="G16" s="29">
        <f t="shared" si="2"/>
        <v>76509</v>
      </c>
      <c r="H16" s="30">
        <f t="shared" si="3"/>
        <v>0.77191371726058355</v>
      </c>
      <c r="I16" s="30">
        <f t="shared" si="4"/>
        <v>0.23484722912868114</v>
      </c>
      <c r="J16" s="30">
        <f t="shared" si="5"/>
        <v>0.6155585234769736</v>
      </c>
      <c r="K16" s="1"/>
      <c r="L16" s="31">
        <v>17248</v>
      </c>
      <c r="M16" s="31">
        <v>5369</v>
      </c>
      <c r="N16" s="31">
        <v>16040</v>
      </c>
      <c r="O16" s="31">
        <v>16424</v>
      </c>
      <c r="P16" s="31">
        <v>21428</v>
      </c>
      <c r="Q16" s="32"/>
      <c r="R16" s="34"/>
      <c r="S16" s="34"/>
      <c r="T16" s="33"/>
      <c r="U16" s="33"/>
      <c r="V16" s="34"/>
      <c r="W16" s="34"/>
      <c r="X16" s="35">
        <f t="shared" si="6"/>
        <v>76509</v>
      </c>
      <c r="Y16" s="22"/>
      <c r="Z16" s="36">
        <v>24990</v>
      </c>
      <c r="AA16" s="36">
        <v>31211</v>
      </c>
      <c r="AB16" s="36">
        <v>16260</v>
      </c>
      <c r="AC16" s="36">
        <v>24758</v>
      </c>
      <c r="AD16" s="36">
        <v>27073</v>
      </c>
      <c r="AE16" s="36">
        <v>32416</v>
      </c>
      <c r="AF16" s="36">
        <v>22348</v>
      </c>
      <c r="AG16" s="36">
        <v>29939</v>
      </c>
      <c r="AH16" s="36">
        <v>28408</v>
      </c>
      <c r="AI16" s="36">
        <v>31307</v>
      </c>
      <c r="AJ16" s="36">
        <v>28599</v>
      </c>
      <c r="AK16" s="36">
        <v>28473</v>
      </c>
      <c r="AL16" s="35">
        <f t="shared" si="7"/>
        <v>325782</v>
      </c>
      <c r="AM16" s="37">
        <f t="shared" si="8"/>
        <v>124292</v>
      </c>
      <c r="AN16" s="1"/>
      <c r="AO16" s="38">
        <v>17968</v>
      </c>
      <c r="AP16" s="38">
        <v>29230</v>
      </c>
      <c r="AQ16" s="33">
        <v>28351</v>
      </c>
      <c r="AR16" s="33">
        <v>7246</v>
      </c>
      <c r="AS16" s="39">
        <v>16321</v>
      </c>
      <c r="AT16" s="32">
        <v>4704</v>
      </c>
      <c r="AU16" s="34">
        <v>18169</v>
      </c>
      <c r="AV16" s="34">
        <v>17290</v>
      </c>
      <c r="AW16" s="33">
        <v>6004</v>
      </c>
      <c r="AX16" s="33">
        <v>6637</v>
      </c>
      <c r="AY16" s="34">
        <v>3951</v>
      </c>
      <c r="AZ16" s="34">
        <v>18287</v>
      </c>
      <c r="BA16" s="35">
        <f t="shared" si="9"/>
        <v>174158</v>
      </c>
      <c r="BB16" s="40">
        <f t="shared" si="10"/>
        <v>99116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</row>
    <row r="17" spans="1:68" ht="12.75" customHeight="1">
      <c r="A17" s="1"/>
      <c r="B17" s="28" t="s">
        <v>40</v>
      </c>
      <c r="C17" s="27" t="s">
        <v>36</v>
      </c>
      <c r="D17" s="28">
        <f t="shared" si="0"/>
        <v>449928</v>
      </c>
      <c r="E17" s="28">
        <f t="shared" si="1"/>
        <v>1803529</v>
      </c>
      <c r="F17" s="28">
        <f t="shared" si="1"/>
        <v>727520</v>
      </c>
      <c r="G17" s="29">
        <f t="shared" si="2"/>
        <v>612358</v>
      </c>
      <c r="H17" s="30">
        <f t="shared" si="3"/>
        <v>1.3610133176863854</v>
      </c>
      <c r="I17" s="30">
        <f t="shared" si="4"/>
        <v>0.33953321515761598</v>
      </c>
      <c r="J17" s="30">
        <f t="shared" si="5"/>
        <v>0.84170606993622166</v>
      </c>
      <c r="K17" s="1"/>
      <c r="L17" s="31">
        <v>54407</v>
      </c>
      <c r="M17" s="31">
        <v>209818</v>
      </c>
      <c r="N17" s="31">
        <v>130312</v>
      </c>
      <c r="O17" s="31">
        <v>57093</v>
      </c>
      <c r="P17" s="48">
        <v>160728</v>
      </c>
      <c r="Q17" s="32"/>
      <c r="R17" s="34"/>
      <c r="S17" s="34"/>
      <c r="T17" s="33"/>
      <c r="U17" s="33"/>
      <c r="V17" s="34"/>
      <c r="W17" s="34"/>
      <c r="X17" s="35">
        <f t="shared" si="6"/>
        <v>612358</v>
      </c>
      <c r="Y17" s="22"/>
      <c r="Z17" s="36">
        <v>166325</v>
      </c>
      <c r="AA17" s="36">
        <v>151222</v>
      </c>
      <c r="AB17" s="36">
        <v>131790</v>
      </c>
      <c r="AC17" s="36">
        <v>136325</v>
      </c>
      <c r="AD17" s="36">
        <v>141858</v>
      </c>
      <c r="AE17" s="36">
        <v>137986</v>
      </c>
      <c r="AF17" s="36">
        <v>157236</v>
      </c>
      <c r="AG17" s="36">
        <v>156887</v>
      </c>
      <c r="AH17" s="36">
        <v>156086</v>
      </c>
      <c r="AI17" s="36">
        <v>160536</v>
      </c>
      <c r="AJ17" s="36">
        <v>154568</v>
      </c>
      <c r="AK17" s="36">
        <v>152710</v>
      </c>
      <c r="AL17" s="35">
        <f t="shared" si="7"/>
        <v>1803529</v>
      </c>
      <c r="AM17" s="37">
        <f t="shared" si="8"/>
        <v>727520</v>
      </c>
      <c r="AN17" s="1"/>
      <c r="AO17" s="38">
        <v>126573</v>
      </c>
      <c r="AP17" s="38">
        <v>160658</v>
      </c>
      <c r="AQ17" s="33">
        <v>50432</v>
      </c>
      <c r="AR17" s="33">
        <v>112265</v>
      </c>
      <c r="AS17" s="39">
        <v>0</v>
      </c>
      <c r="AT17" s="32">
        <v>44544</v>
      </c>
      <c r="AU17" s="34">
        <v>108451</v>
      </c>
      <c r="AV17" s="34">
        <v>65490</v>
      </c>
      <c r="AW17" s="33">
        <v>92407</v>
      </c>
      <c r="AX17" s="33">
        <v>183914</v>
      </c>
      <c r="AY17" s="34">
        <v>192792</v>
      </c>
      <c r="AZ17" s="34">
        <v>91850</v>
      </c>
      <c r="BA17" s="35">
        <f t="shared" si="9"/>
        <v>1229376</v>
      </c>
      <c r="BB17" s="40">
        <f t="shared" si="10"/>
        <v>449928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</row>
    <row r="18" spans="1:68" ht="24.75" customHeight="1">
      <c r="A18" s="1"/>
      <c r="B18" s="49" t="s">
        <v>41</v>
      </c>
      <c r="C18" s="49" t="s">
        <v>36</v>
      </c>
      <c r="D18" s="50">
        <f t="shared" ref="D18:G18" si="11">D13+D15+D16+D17</f>
        <v>787148.11</v>
      </c>
      <c r="E18" s="50">
        <f t="shared" si="11"/>
        <v>2520972</v>
      </c>
      <c r="F18" s="50">
        <f t="shared" si="11"/>
        <v>1013078</v>
      </c>
      <c r="G18" s="50">
        <f t="shared" si="11"/>
        <v>1056602.1000000001</v>
      </c>
      <c r="H18" s="51">
        <f t="shared" si="3"/>
        <v>1.3423167591674712</v>
      </c>
      <c r="I18" s="51">
        <f t="shared" si="4"/>
        <v>0.41912488516334179</v>
      </c>
      <c r="J18" s="51">
        <f t="shared" si="5"/>
        <v>1.0429622398275356</v>
      </c>
      <c r="K18" s="1"/>
      <c r="L18" s="52">
        <f t="shared" ref="L18:V18" si="12">SUM(L13+L16+L17)</f>
        <v>101809</v>
      </c>
      <c r="M18" s="52">
        <f t="shared" si="12"/>
        <v>292433.27</v>
      </c>
      <c r="N18" s="52">
        <f t="shared" si="12"/>
        <v>196629</v>
      </c>
      <c r="O18" s="52">
        <f t="shared" si="12"/>
        <v>202826</v>
      </c>
      <c r="P18" s="52">
        <f t="shared" si="12"/>
        <v>262904.83</v>
      </c>
      <c r="Q18" s="52">
        <f t="shared" si="12"/>
        <v>0</v>
      </c>
      <c r="R18" s="52">
        <f t="shared" si="12"/>
        <v>0</v>
      </c>
      <c r="S18" s="52">
        <f t="shared" si="12"/>
        <v>0</v>
      </c>
      <c r="T18" s="52">
        <f t="shared" si="12"/>
        <v>0</v>
      </c>
      <c r="U18" s="52">
        <f t="shared" si="12"/>
        <v>0</v>
      </c>
      <c r="V18" s="52">
        <f t="shared" si="12"/>
        <v>0</v>
      </c>
      <c r="W18" s="52">
        <f>SUM(W13:W17)</f>
        <v>0</v>
      </c>
      <c r="X18" s="52">
        <f>SUM(X13+X16+X17)</f>
        <v>1056602.1000000001</v>
      </c>
      <c r="Y18" s="22"/>
      <c r="Z18" s="52">
        <f t="shared" ref="Z18:AL18" si="13">SUM(Z13,Z15,Z16,Z17)</f>
        <v>221354</v>
      </c>
      <c r="AA18" s="52">
        <f t="shared" si="13"/>
        <v>216545</v>
      </c>
      <c r="AB18" s="52">
        <f t="shared" si="13"/>
        <v>182854</v>
      </c>
      <c r="AC18" s="52">
        <f t="shared" si="13"/>
        <v>190848</v>
      </c>
      <c r="AD18" s="52">
        <f t="shared" si="13"/>
        <v>201477</v>
      </c>
      <c r="AE18" s="52">
        <f t="shared" si="13"/>
        <v>209356</v>
      </c>
      <c r="AF18" s="52">
        <f t="shared" si="13"/>
        <v>206451</v>
      </c>
      <c r="AG18" s="52">
        <f t="shared" si="13"/>
        <v>222818</v>
      </c>
      <c r="AH18" s="52">
        <f t="shared" si="13"/>
        <v>206823</v>
      </c>
      <c r="AI18" s="52">
        <f t="shared" si="13"/>
        <v>229465</v>
      </c>
      <c r="AJ18" s="52">
        <f t="shared" si="13"/>
        <v>217555</v>
      </c>
      <c r="AK18" s="52">
        <f t="shared" si="13"/>
        <v>215426</v>
      </c>
      <c r="AL18" s="52">
        <f t="shared" si="13"/>
        <v>2520972</v>
      </c>
      <c r="AM18" s="37">
        <f t="shared" si="8"/>
        <v>1013078</v>
      </c>
      <c r="AN18" s="1"/>
      <c r="AO18" s="52">
        <f t="shared" ref="AO18:BA18" si="14">SUM(AO13,AO16,AO17)</f>
        <v>254280</v>
      </c>
      <c r="AP18" s="52">
        <f t="shared" si="14"/>
        <v>228029</v>
      </c>
      <c r="AQ18" s="52">
        <f t="shared" si="14"/>
        <v>122041.83</v>
      </c>
      <c r="AR18" s="52">
        <f t="shared" si="14"/>
        <v>130404.1</v>
      </c>
      <c r="AS18" s="52">
        <f t="shared" si="14"/>
        <v>52393.18</v>
      </c>
      <c r="AT18" s="52">
        <f t="shared" si="14"/>
        <v>116039</v>
      </c>
      <c r="AU18" s="52">
        <f t="shared" si="14"/>
        <v>213017</v>
      </c>
      <c r="AV18" s="52">
        <f t="shared" si="14"/>
        <v>91403.34</v>
      </c>
      <c r="AW18" s="52">
        <f t="shared" si="14"/>
        <v>218324.32</v>
      </c>
      <c r="AX18" s="52">
        <f t="shared" si="14"/>
        <v>227911.1</v>
      </c>
      <c r="AY18" s="52">
        <f t="shared" si="14"/>
        <v>279239</v>
      </c>
      <c r="AZ18" s="52">
        <f t="shared" si="14"/>
        <v>139791</v>
      </c>
      <c r="BA18" s="52">
        <f t="shared" si="14"/>
        <v>2072872.87</v>
      </c>
      <c r="BB18" s="40">
        <f t="shared" si="10"/>
        <v>787148.11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</row>
    <row r="19" spans="1:68" ht="24.75" customHeight="1">
      <c r="A19" s="1"/>
      <c r="B19" s="49" t="s">
        <v>41</v>
      </c>
      <c r="C19" s="53" t="s">
        <v>37</v>
      </c>
      <c r="D19" s="50">
        <f t="shared" ref="D19:G19" si="15">D14</f>
        <v>2725</v>
      </c>
      <c r="E19" s="50">
        <f t="shared" si="15"/>
        <v>96869</v>
      </c>
      <c r="F19" s="50">
        <f t="shared" si="15"/>
        <v>36953</v>
      </c>
      <c r="G19" s="50">
        <f t="shared" si="15"/>
        <v>34809</v>
      </c>
      <c r="H19" s="51">
        <f t="shared" si="3"/>
        <v>12.77394495412844</v>
      </c>
      <c r="I19" s="51">
        <f t="shared" si="4"/>
        <v>0.35934096563400053</v>
      </c>
      <c r="J19" s="51">
        <f t="shared" si="5"/>
        <v>0.94198035342191433</v>
      </c>
      <c r="K19" s="1"/>
      <c r="L19" s="52">
        <f t="shared" ref="L19:AL19" si="16">L14</f>
        <v>0</v>
      </c>
      <c r="M19" s="52">
        <f t="shared" si="16"/>
        <v>7809</v>
      </c>
      <c r="N19" s="52">
        <f t="shared" si="16"/>
        <v>27000</v>
      </c>
      <c r="O19" s="52">
        <f t="shared" si="16"/>
        <v>0</v>
      </c>
      <c r="P19" s="52">
        <f t="shared" si="16"/>
        <v>0</v>
      </c>
      <c r="Q19" s="52">
        <f t="shared" si="16"/>
        <v>0</v>
      </c>
      <c r="R19" s="52">
        <f t="shared" si="16"/>
        <v>0</v>
      </c>
      <c r="S19" s="52">
        <f t="shared" si="16"/>
        <v>0</v>
      </c>
      <c r="T19" s="52">
        <f t="shared" si="16"/>
        <v>0</v>
      </c>
      <c r="U19" s="52">
        <f t="shared" si="16"/>
        <v>0</v>
      </c>
      <c r="V19" s="52">
        <f t="shared" si="16"/>
        <v>0</v>
      </c>
      <c r="W19" s="52">
        <f t="shared" si="16"/>
        <v>0</v>
      </c>
      <c r="X19" s="52">
        <f t="shared" si="16"/>
        <v>34809</v>
      </c>
      <c r="Y19" s="54">
        <f t="shared" si="16"/>
        <v>0</v>
      </c>
      <c r="Z19" s="52">
        <f t="shared" si="16"/>
        <v>7429</v>
      </c>
      <c r="AA19" s="52">
        <f t="shared" si="16"/>
        <v>9279</v>
      </c>
      <c r="AB19" s="52">
        <f t="shared" si="16"/>
        <v>4834</v>
      </c>
      <c r="AC19" s="52">
        <f t="shared" si="16"/>
        <v>7362</v>
      </c>
      <c r="AD19" s="52">
        <f t="shared" si="16"/>
        <v>8049</v>
      </c>
      <c r="AE19" s="52">
        <f t="shared" si="16"/>
        <v>9638</v>
      </c>
      <c r="AF19" s="52">
        <f t="shared" si="16"/>
        <v>6647</v>
      </c>
      <c r="AG19" s="52">
        <f t="shared" si="16"/>
        <v>8903</v>
      </c>
      <c r="AH19" s="52">
        <f t="shared" si="16"/>
        <v>8447</v>
      </c>
      <c r="AI19" s="52">
        <f t="shared" si="16"/>
        <v>9309</v>
      </c>
      <c r="AJ19" s="52">
        <f t="shared" si="16"/>
        <v>8507</v>
      </c>
      <c r="AK19" s="52">
        <f t="shared" si="16"/>
        <v>8465</v>
      </c>
      <c r="AL19" s="52">
        <f t="shared" si="16"/>
        <v>96869</v>
      </c>
      <c r="AM19" s="37">
        <f t="shared" si="8"/>
        <v>36953</v>
      </c>
      <c r="AN19" s="1"/>
      <c r="AO19" s="52">
        <f t="shared" ref="AO19:BA19" si="17">AO14</f>
        <v>0</v>
      </c>
      <c r="AP19" s="52">
        <f t="shared" si="17"/>
        <v>0</v>
      </c>
      <c r="AQ19" s="52">
        <f t="shared" si="17"/>
        <v>0</v>
      </c>
      <c r="AR19" s="52">
        <f t="shared" si="17"/>
        <v>0</v>
      </c>
      <c r="AS19" s="52">
        <f t="shared" si="17"/>
        <v>2725</v>
      </c>
      <c r="AT19" s="52">
        <f t="shared" si="17"/>
        <v>0</v>
      </c>
      <c r="AU19" s="52">
        <f t="shared" si="17"/>
        <v>3067</v>
      </c>
      <c r="AV19" s="52">
        <f t="shared" si="17"/>
        <v>0</v>
      </c>
      <c r="AW19" s="52">
        <f t="shared" si="17"/>
        <v>0</v>
      </c>
      <c r="AX19" s="52">
        <f t="shared" si="17"/>
        <v>3659</v>
      </c>
      <c r="AY19" s="52">
        <f t="shared" si="17"/>
        <v>0</v>
      </c>
      <c r="AZ19" s="52">
        <f t="shared" si="17"/>
        <v>0</v>
      </c>
      <c r="BA19" s="52">
        <f t="shared" si="17"/>
        <v>9451</v>
      </c>
      <c r="BB19" s="40">
        <f t="shared" si="10"/>
        <v>2725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</row>
    <row r="20" spans="1:68" ht="13.5" customHeight="1">
      <c r="A20" s="1"/>
      <c r="B20" s="1"/>
      <c r="C20" s="1"/>
      <c r="D20" s="55"/>
      <c r="E20" s="1"/>
      <c r="F20" s="55"/>
      <c r="G20" s="1"/>
      <c r="H20" s="2"/>
      <c r="I20" s="2"/>
      <c r="J20" s="2"/>
      <c r="K20" s="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3"/>
      <c r="Y20" s="25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3"/>
      <c r="AM20" s="22"/>
      <c r="AN20" s="1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3"/>
      <c r="BB20" s="40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</row>
    <row r="21" spans="1:68" ht="12.75" customHeight="1">
      <c r="A21" s="1"/>
      <c r="B21" s="24" t="s">
        <v>42</v>
      </c>
      <c r="C21" s="1"/>
      <c r="D21" s="56"/>
      <c r="E21" s="1"/>
      <c r="F21" s="56"/>
      <c r="G21" s="1"/>
      <c r="H21" s="2"/>
      <c r="I21" s="2"/>
      <c r="J21" s="2"/>
      <c r="K21" s="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3"/>
      <c r="Y21" s="25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3"/>
      <c r="AM21" s="22"/>
      <c r="AN21" s="1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3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</row>
    <row r="22" spans="1:68" ht="13.5" customHeight="1">
      <c r="A22" s="1"/>
      <c r="B22" s="26" t="s">
        <v>35</v>
      </c>
      <c r="C22" s="27" t="s">
        <v>36</v>
      </c>
      <c r="D22" s="28">
        <f t="shared" ref="D22:D26" si="18">BB22</f>
        <v>43618</v>
      </c>
      <c r="E22" s="28">
        <f t="shared" ref="E22:F26" si="19">AL22</f>
        <v>93879</v>
      </c>
      <c r="F22" s="28">
        <f t="shared" si="19"/>
        <v>38654</v>
      </c>
      <c r="G22" s="29">
        <f t="shared" ref="G22:G26" si="20">X22</f>
        <v>2365</v>
      </c>
      <c r="H22" s="30">
        <f t="shared" ref="H22:H28" si="21">G22/D22</f>
        <v>5.4220734559126967E-2</v>
      </c>
      <c r="I22" s="30">
        <f t="shared" ref="I22:I28" si="22">G22/E22</f>
        <v>2.5192002471266205E-2</v>
      </c>
      <c r="J22" s="30">
        <f t="shared" ref="J22:J28" si="23">G22/F22</f>
        <v>6.1183836084234493E-2</v>
      </c>
      <c r="K22" s="1"/>
      <c r="L22" s="57"/>
      <c r="M22" s="31">
        <v>0</v>
      </c>
      <c r="N22" s="31">
        <v>0</v>
      </c>
      <c r="O22" s="57"/>
      <c r="P22" s="31">
        <v>2365</v>
      </c>
      <c r="Q22" s="32"/>
      <c r="R22" s="34"/>
      <c r="S22" s="33"/>
      <c r="T22" s="38"/>
      <c r="U22" s="38"/>
      <c r="V22" s="38"/>
      <c r="W22" s="34"/>
      <c r="X22" s="35">
        <f t="shared" ref="X22:X26" si="24">SUM(L22:W22)</f>
        <v>2365</v>
      </c>
      <c r="Y22" s="25"/>
      <c r="Z22" s="36">
        <v>7200</v>
      </c>
      <c r="AA22" s="36">
        <v>8176</v>
      </c>
      <c r="AB22" s="36">
        <v>8342</v>
      </c>
      <c r="AC22" s="36">
        <v>7135</v>
      </c>
      <c r="AD22" s="36">
        <v>7801</v>
      </c>
      <c r="AE22" s="36">
        <v>9337</v>
      </c>
      <c r="AF22" s="36">
        <v>6440</v>
      </c>
      <c r="AG22" s="36">
        <v>8627</v>
      </c>
      <c r="AH22" s="36">
        <v>5352</v>
      </c>
      <c r="AI22" s="36">
        <v>9018</v>
      </c>
      <c r="AJ22" s="36">
        <v>8243</v>
      </c>
      <c r="AK22" s="36">
        <v>8208</v>
      </c>
      <c r="AL22" s="35">
        <f t="shared" ref="AL22:AL26" si="25">SUM(Z22:AK22)</f>
        <v>93879</v>
      </c>
      <c r="AM22" s="37">
        <f t="shared" ref="AM22:AM28" si="26">SUM(Z22:AD22)</f>
        <v>38654</v>
      </c>
      <c r="AN22" s="1"/>
      <c r="AO22" s="38">
        <v>43618</v>
      </c>
      <c r="AP22" s="38">
        <v>0</v>
      </c>
      <c r="AQ22" s="43">
        <v>0</v>
      </c>
      <c r="AR22" s="44">
        <v>0</v>
      </c>
      <c r="AS22" s="39">
        <v>0</v>
      </c>
      <c r="AT22" s="32">
        <v>1188</v>
      </c>
      <c r="AU22" s="34">
        <v>42943.83</v>
      </c>
      <c r="AV22" s="33">
        <v>0</v>
      </c>
      <c r="AW22" s="38"/>
      <c r="AX22" s="38"/>
      <c r="AY22" s="38"/>
      <c r="AZ22" s="34">
        <v>2414</v>
      </c>
      <c r="BA22" s="35">
        <f t="shared" ref="BA22:BA26" si="27">SUM(AO22:AZ22)</f>
        <v>90163.83</v>
      </c>
      <c r="BB22" s="40">
        <f t="shared" ref="BB22:BB28" si="28">SUM(AO22:AS22)</f>
        <v>43618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</row>
    <row r="23" spans="1:68" ht="13.5" customHeight="1">
      <c r="A23" s="1"/>
      <c r="B23" s="26" t="s">
        <v>35</v>
      </c>
      <c r="C23" s="41" t="s">
        <v>37</v>
      </c>
      <c r="D23" s="28">
        <f t="shared" si="18"/>
        <v>242969</v>
      </c>
      <c r="E23" s="28">
        <f t="shared" si="19"/>
        <v>488158</v>
      </c>
      <c r="F23" s="28">
        <f t="shared" si="19"/>
        <v>186227</v>
      </c>
      <c r="G23" s="29">
        <f t="shared" si="20"/>
        <v>152325</v>
      </c>
      <c r="H23" s="30">
        <f t="shared" si="21"/>
        <v>0.62693183080969173</v>
      </c>
      <c r="I23" s="30">
        <f t="shared" si="22"/>
        <v>0.31204036398051449</v>
      </c>
      <c r="J23" s="30">
        <f t="shared" si="23"/>
        <v>0.81795335799857161</v>
      </c>
      <c r="K23" s="1"/>
      <c r="L23" s="31">
        <v>61865</v>
      </c>
      <c r="M23" s="31">
        <v>14554</v>
      </c>
      <c r="N23" s="31">
        <v>61134</v>
      </c>
      <c r="O23" s="57"/>
      <c r="P23" s="31">
        <v>14772</v>
      </c>
      <c r="Q23" s="32"/>
      <c r="R23" s="38"/>
      <c r="S23" s="33"/>
      <c r="T23" s="38"/>
      <c r="U23" s="38"/>
      <c r="V23" s="38"/>
      <c r="W23" s="38"/>
      <c r="X23" s="35">
        <f t="shared" si="24"/>
        <v>152325</v>
      </c>
      <c r="Y23" s="25"/>
      <c r="Z23" s="36">
        <v>37440</v>
      </c>
      <c r="AA23" s="36">
        <v>46766</v>
      </c>
      <c r="AB23" s="36">
        <v>24357</v>
      </c>
      <c r="AC23" s="36">
        <v>37099</v>
      </c>
      <c r="AD23" s="36">
        <v>40565</v>
      </c>
      <c r="AE23" s="36">
        <v>48574</v>
      </c>
      <c r="AF23" s="36">
        <v>33495</v>
      </c>
      <c r="AG23" s="36">
        <v>44864</v>
      </c>
      <c r="AH23" s="36">
        <v>42565</v>
      </c>
      <c r="AI23" s="36">
        <v>46914</v>
      </c>
      <c r="AJ23" s="36">
        <v>42860</v>
      </c>
      <c r="AK23" s="36">
        <v>42659</v>
      </c>
      <c r="AL23" s="35">
        <f t="shared" si="25"/>
        <v>488158</v>
      </c>
      <c r="AM23" s="37">
        <f t="shared" si="26"/>
        <v>186227</v>
      </c>
      <c r="AN23" s="1"/>
      <c r="AO23" s="38">
        <v>60315</v>
      </c>
      <c r="AP23" s="38">
        <v>35512</v>
      </c>
      <c r="AQ23" s="33">
        <v>82243</v>
      </c>
      <c r="AR23" s="33">
        <v>12013</v>
      </c>
      <c r="AS23" s="39">
        <v>52886</v>
      </c>
      <c r="AT23" s="32">
        <v>44297</v>
      </c>
      <c r="AU23" s="38"/>
      <c r="AV23" s="33">
        <v>60271</v>
      </c>
      <c r="AW23" s="38">
        <v>963</v>
      </c>
      <c r="AX23" s="38"/>
      <c r="AY23" s="38"/>
      <c r="AZ23" s="38"/>
      <c r="BA23" s="35">
        <f t="shared" si="27"/>
        <v>348500</v>
      </c>
      <c r="BB23" s="40">
        <f t="shared" si="28"/>
        <v>242969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</row>
    <row r="24" spans="1:68" ht="12.75" customHeight="1">
      <c r="A24" s="1"/>
      <c r="B24" s="28" t="s">
        <v>38</v>
      </c>
      <c r="C24" s="27" t="s">
        <v>36</v>
      </c>
      <c r="D24" s="28">
        <f t="shared" si="18"/>
        <v>0</v>
      </c>
      <c r="E24" s="28">
        <f t="shared" si="19"/>
        <v>0</v>
      </c>
      <c r="F24" s="28">
        <f t="shared" si="19"/>
        <v>0</v>
      </c>
      <c r="G24" s="29">
        <f t="shared" si="20"/>
        <v>0</v>
      </c>
      <c r="H24" s="30" t="e">
        <f t="shared" si="21"/>
        <v>#DIV/0!</v>
      </c>
      <c r="I24" s="30" t="e">
        <f t="shared" si="22"/>
        <v>#DIV/0!</v>
      </c>
      <c r="J24" s="30" t="e">
        <f t="shared" si="23"/>
        <v>#DIV/0!</v>
      </c>
      <c r="K24" s="1"/>
      <c r="L24" s="57"/>
      <c r="M24" s="31">
        <v>0</v>
      </c>
      <c r="N24" s="31">
        <v>0</v>
      </c>
      <c r="O24" s="58"/>
      <c r="P24" s="31">
        <v>0</v>
      </c>
      <c r="Q24" s="32"/>
      <c r="R24" s="40"/>
      <c r="S24" s="33"/>
      <c r="T24" s="40"/>
      <c r="U24" s="40"/>
      <c r="V24" s="34"/>
      <c r="W24" s="38"/>
      <c r="X24" s="35">
        <f t="shared" si="24"/>
        <v>0</v>
      </c>
      <c r="Y24" s="2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35">
        <f t="shared" si="25"/>
        <v>0</v>
      </c>
      <c r="AM24" s="37">
        <f t="shared" si="26"/>
        <v>0</v>
      </c>
      <c r="AN24" s="1"/>
      <c r="AO24" s="38">
        <v>0</v>
      </c>
      <c r="AP24" s="38">
        <v>0</v>
      </c>
      <c r="AQ24" s="46"/>
      <c r="AR24" s="59"/>
      <c r="AS24" s="60"/>
      <c r="AT24" s="32"/>
      <c r="AU24" s="40"/>
      <c r="AV24" s="33">
        <v>0</v>
      </c>
      <c r="AW24" s="40"/>
      <c r="AX24" s="40"/>
      <c r="AY24" s="34">
        <v>7800</v>
      </c>
      <c r="AZ24" s="38"/>
      <c r="BA24" s="35">
        <f t="shared" si="27"/>
        <v>7800</v>
      </c>
      <c r="BB24" s="40">
        <f t="shared" si="28"/>
        <v>0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</row>
    <row r="25" spans="1:68" ht="12.75" customHeight="1">
      <c r="A25" s="1"/>
      <c r="B25" s="28" t="s">
        <v>39</v>
      </c>
      <c r="C25" s="27" t="s">
        <v>36</v>
      </c>
      <c r="D25" s="28">
        <f t="shared" si="18"/>
        <v>26893</v>
      </c>
      <c r="E25" s="28">
        <f t="shared" si="19"/>
        <v>78097</v>
      </c>
      <c r="F25" s="28">
        <f t="shared" si="19"/>
        <v>29796</v>
      </c>
      <c r="G25" s="29">
        <f t="shared" si="20"/>
        <v>0</v>
      </c>
      <c r="H25" s="30">
        <f t="shared" si="21"/>
        <v>0</v>
      </c>
      <c r="I25" s="30">
        <f t="shared" si="22"/>
        <v>0</v>
      </c>
      <c r="J25" s="30">
        <f t="shared" si="23"/>
        <v>0</v>
      </c>
      <c r="K25" s="1"/>
      <c r="L25" s="57"/>
      <c r="M25" s="31">
        <v>0</v>
      </c>
      <c r="N25" s="31">
        <v>0</v>
      </c>
      <c r="O25" s="58"/>
      <c r="P25" s="31">
        <v>0</v>
      </c>
      <c r="Q25" s="32"/>
      <c r="R25" s="38"/>
      <c r="S25" s="33"/>
      <c r="T25" s="38"/>
      <c r="U25" s="38"/>
      <c r="V25" s="61"/>
      <c r="W25" s="38"/>
      <c r="X25" s="35">
        <f t="shared" si="24"/>
        <v>0</v>
      </c>
      <c r="Y25" s="25"/>
      <c r="Z25" s="36">
        <v>5991</v>
      </c>
      <c r="AA25" s="36">
        <v>7482</v>
      </c>
      <c r="AB25" s="36">
        <v>3898</v>
      </c>
      <c r="AC25" s="36">
        <v>5935</v>
      </c>
      <c r="AD25" s="36">
        <v>6490</v>
      </c>
      <c r="AE25" s="36">
        <v>7771</v>
      </c>
      <c r="AF25" s="36">
        <v>5357</v>
      </c>
      <c r="AG25" s="36">
        <v>7177</v>
      </c>
      <c r="AH25" s="36">
        <v>6810</v>
      </c>
      <c r="AI25" s="36">
        <v>7505</v>
      </c>
      <c r="AJ25" s="36">
        <v>6856</v>
      </c>
      <c r="AK25" s="36">
        <v>6825</v>
      </c>
      <c r="AL25" s="35">
        <f t="shared" si="25"/>
        <v>78097</v>
      </c>
      <c r="AM25" s="37">
        <f t="shared" si="26"/>
        <v>29796</v>
      </c>
      <c r="AN25" s="1"/>
      <c r="AO25" s="38">
        <v>4528</v>
      </c>
      <c r="AP25" s="38">
        <v>0</v>
      </c>
      <c r="AQ25" s="33">
        <v>22365</v>
      </c>
      <c r="AR25" s="59"/>
      <c r="AS25" s="60"/>
      <c r="AT25" s="32"/>
      <c r="AU25" s="38"/>
      <c r="AV25" s="33">
        <v>0</v>
      </c>
      <c r="AW25" s="38"/>
      <c r="AX25" s="38"/>
      <c r="AY25" s="61"/>
      <c r="AZ25" s="38"/>
      <c r="BA25" s="35">
        <f t="shared" si="27"/>
        <v>26893</v>
      </c>
      <c r="BB25" s="40">
        <f t="shared" si="28"/>
        <v>26893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</row>
    <row r="26" spans="1:68" ht="12.75" customHeight="1">
      <c r="A26" s="1"/>
      <c r="B26" s="28" t="s">
        <v>40</v>
      </c>
      <c r="C26" s="27" t="s">
        <v>36</v>
      </c>
      <c r="D26" s="28">
        <f t="shared" si="18"/>
        <v>24200</v>
      </c>
      <c r="E26" s="28">
        <f t="shared" si="19"/>
        <v>38504</v>
      </c>
      <c r="F26" s="28">
        <f t="shared" si="19"/>
        <v>7421</v>
      </c>
      <c r="G26" s="29">
        <f t="shared" si="20"/>
        <v>13300</v>
      </c>
      <c r="H26" s="30">
        <f t="shared" si="21"/>
        <v>0.54958677685950408</v>
      </c>
      <c r="I26" s="30">
        <f t="shared" si="22"/>
        <v>0.34541865780178682</v>
      </c>
      <c r="J26" s="30">
        <f t="shared" si="23"/>
        <v>1.7922112922786686</v>
      </c>
      <c r="K26" s="1"/>
      <c r="L26" s="57"/>
      <c r="M26" s="31">
        <v>13300</v>
      </c>
      <c r="N26" s="31">
        <v>0</v>
      </c>
      <c r="O26" s="58"/>
      <c r="P26" s="31">
        <v>0</v>
      </c>
      <c r="Q26" s="32"/>
      <c r="R26" s="34"/>
      <c r="S26" s="33"/>
      <c r="T26" s="40"/>
      <c r="U26" s="38"/>
      <c r="V26" s="34"/>
      <c r="W26" s="38"/>
      <c r="X26" s="35">
        <f t="shared" si="24"/>
        <v>13300</v>
      </c>
      <c r="Y26" s="25"/>
      <c r="Z26" s="36">
        <v>7421</v>
      </c>
      <c r="AA26" s="45"/>
      <c r="AB26" s="45"/>
      <c r="AC26" s="45"/>
      <c r="AD26" s="45"/>
      <c r="AE26" s="45"/>
      <c r="AF26" s="36">
        <v>31083</v>
      </c>
      <c r="AG26" s="45"/>
      <c r="AH26" s="45"/>
      <c r="AI26" s="45"/>
      <c r="AJ26" s="45"/>
      <c r="AK26" s="45"/>
      <c r="AL26" s="35">
        <f t="shared" si="25"/>
        <v>38504</v>
      </c>
      <c r="AM26" s="37">
        <f t="shared" si="26"/>
        <v>7421</v>
      </c>
      <c r="AN26" s="1"/>
      <c r="AO26" s="38">
        <v>0</v>
      </c>
      <c r="AP26" s="38">
        <v>0</v>
      </c>
      <c r="AQ26" s="47"/>
      <c r="AR26" s="62"/>
      <c r="AS26" s="39">
        <v>24200</v>
      </c>
      <c r="AT26" s="32"/>
      <c r="AU26" s="34">
        <v>1680</v>
      </c>
      <c r="AV26" s="33">
        <v>6961</v>
      </c>
      <c r="AW26" s="40"/>
      <c r="AX26" s="38"/>
      <c r="AY26" s="34">
        <v>5027</v>
      </c>
      <c r="AZ26" s="38"/>
      <c r="BA26" s="35">
        <f t="shared" si="27"/>
        <v>37868</v>
      </c>
      <c r="BB26" s="40">
        <f t="shared" si="28"/>
        <v>24200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</row>
    <row r="27" spans="1:68" ht="30" customHeight="1">
      <c r="A27" s="1"/>
      <c r="B27" s="49" t="s">
        <v>41</v>
      </c>
      <c r="C27" s="49" t="s">
        <v>36</v>
      </c>
      <c r="D27" s="50">
        <f t="shared" ref="D27:G27" si="29">D22+D24+D25+D26</f>
        <v>94711</v>
      </c>
      <c r="E27" s="50">
        <f t="shared" si="29"/>
        <v>210480</v>
      </c>
      <c r="F27" s="50">
        <f t="shared" si="29"/>
        <v>75871</v>
      </c>
      <c r="G27" s="50">
        <f t="shared" si="29"/>
        <v>15665</v>
      </c>
      <c r="H27" s="51">
        <f t="shared" si="21"/>
        <v>0.16539789464792895</v>
      </c>
      <c r="I27" s="51">
        <f t="shared" si="22"/>
        <v>7.4425123527175979E-2</v>
      </c>
      <c r="J27" s="51">
        <f t="shared" si="23"/>
        <v>0.20646887480064846</v>
      </c>
      <c r="K27" s="1"/>
      <c r="L27" s="52">
        <f t="shared" ref="L27:U27" si="30">SUM(L22+L25+L26)</f>
        <v>0</v>
      </c>
      <c r="M27" s="52">
        <f t="shared" si="30"/>
        <v>13300</v>
      </c>
      <c r="N27" s="52">
        <f t="shared" si="30"/>
        <v>0</v>
      </c>
      <c r="O27" s="52">
        <f t="shared" si="30"/>
        <v>0</v>
      </c>
      <c r="P27" s="52">
        <f t="shared" si="30"/>
        <v>2365</v>
      </c>
      <c r="Q27" s="52">
        <f t="shared" si="30"/>
        <v>0</v>
      </c>
      <c r="R27" s="52">
        <f t="shared" si="30"/>
        <v>0</v>
      </c>
      <c r="S27" s="52">
        <f t="shared" si="30"/>
        <v>0</v>
      </c>
      <c r="T27" s="52">
        <f t="shared" si="30"/>
        <v>0</v>
      </c>
      <c r="U27" s="52">
        <f t="shared" si="30"/>
        <v>0</v>
      </c>
      <c r="V27" s="52">
        <f t="shared" ref="V27:W27" si="31">SUM(V22:V26)</f>
        <v>0</v>
      </c>
      <c r="W27" s="52">
        <f t="shared" si="31"/>
        <v>0</v>
      </c>
      <c r="X27" s="52">
        <f>SUM(X22+X25+X26)</f>
        <v>15665</v>
      </c>
      <c r="Y27" s="25"/>
      <c r="Z27" s="52">
        <f t="shared" ref="Z27:AL27" si="32">SUM(Z22,Z24,Z25,Z26)</f>
        <v>20612</v>
      </c>
      <c r="AA27" s="52">
        <f t="shared" si="32"/>
        <v>15658</v>
      </c>
      <c r="AB27" s="52">
        <f t="shared" si="32"/>
        <v>12240</v>
      </c>
      <c r="AC27" s="52">
        <f t="shared" si="32"/>
        <v>13070</v>
      </c>
      <c r="AD27" s="52">
        <f t="shared" si="32"/>
        <v>14291</v>
      </c>
      <c r="AE27" s="52">
        <f t="shared" si="32"/>
        <v>17108</v>
      </c>
      <c r="AF27" s="52">
        <f t="shared" si="32"/>
        <v>42880</v>
      </c>
      <c r="AG27" s="52">
        <f t="shared" si="32"/>
        <v>15804</v>
      </c>
      <c r="AH27" s="52">
        <f t="shared" si="32"/>
        <v>12162</v>
      </c>
      <c r="AI27" s="52">
        <f t="shared" si="32"/>
        <v>16523</v>
      </c>
      <c r="AJ27" s="52">
        <f t="shared" si="32"/>
        <v>15099</v>
      </c>
      <c r="AK27" s="52">
        <f t="shared" si="32"/>
        <v>15033</v>
      </c>
      <c r="AL27" s="52">
        <f t="shared" si="32"/>
        <v>210480</v>
      </c>
      <c r="AM27" s="37">
        <f t="shared" si="26"/>
        <v>75871</v>
      </c>
      <c r="AN27" s="1"/>
      <c r="AO27" s="52">
        <f t="shared" ref="AO27:AZ27" si="33">SUM(AO22:AO26)</f>
        <v>108461</v>
      </c>
      <c r="AP27" s="52">
        <f t="shared" si="33"/>
        <v>35512</v>
      </c>
      <c r="AQ27" s="52">
        <f t="shared" si="33"/>
        <v>104608</v>
      </c>
      <c r="AR27" s="52">
        <f t="shared" si="33"/>
        <v>12013</v>
      </c>
      <c r="AS27" s="52">
        <f t="shared" si="33"/>
        <v>77086</v>
      </c>
      <c r="AT27" s="52">
        <f t="shared" si="33"/>
        <v>45485</v>
      </c>
      <c r="AU27" s="52">
        <f t="shared" si="33"/>
        <v>44623.83</v>
      </c>
      <c r="AV27" s="52">
        <f t="shared" si="33"/>
        <v>67232</v>
      </c>
      <c r="AW27" s="52">
        <f t="shared" si="33"/>
        <v>963</v>
      </c>
      <c r="AX27" s="52">
        <f t="shared" si="33"/>
        <v>0</v>
      </c>
      <c r="AY27" s="52">
        <f t="shared" si="33"/>
        <v>12827</v>
      </c>
      <c r="AZ27" s="52">
        <f t="shared" si="33"/>
        <v>2414</v>
      </c>
      <c r="BA27" s="52">
        <f>SUM(BA22,BA25,BA26)</f>
        <v>154924.83000000002</v>
      </c>
      <c r="BB27" s="40">
        <f t="shared" si="28"/>
        <v>337680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</row>
    <row r="28" spans="1:68" ht="30" customHeight="1">
      <c r="A28" s="1"/>
      <c r="B28" s="49" t="s">
        <v>41</v>
      </c>
      <c r="C28" s="53" t="s">
        <v>37</v>
      </c>
      <c r="D28" s="50">
        <f t="shared" ref="D28:G28" si="34">D23</f>
        <v>242969</v>
      </c>
      <c r="E28" s="50">
        <f t="shared" si="34"/>
        <v>488158</v>
      </c>
      <c r="F28" s="50">
        <f t="shared" si="34"/>
        <v>186227</v>
      </c>
      <c r="G28" s="50">
        <f t="shared" si="34"/>
        <v>152325</v>
      </c>
      <c r="H28" s="51">
        <f t="shared" si="21"/>
        <v>0.62693183080969173</v>
      </c>
      <c r="I28" s="51">
        <f t="shared" si="22"/>
        <v>0.31204036398051449</v>
      </c>
      <c r="J28" s="51">
        <f t="shared" si="23"/>
        <v>0.81795335799857161</v>
      </c>
      <c r="K28" s="1"/>
      <c r="L28" s="52">
        <f t="shared" ref="L28:AL28" si="35">L23</f>
        <v>61865</v>
      </c>
      <c r="M28" s="52">
        <f t="shared" si="35"/>
        <v>14554</v>
      </c>
      <c r="N28" s="52">
        <f t="shared" si="35"/>
        <v>61134</v>
      </c>
      <c r="O28" s="52">
        <f t="shared" si="35"/>
        <v>0</v>
      </c>
      <c r="P28" s="52">
        <f t="shared" si="35"/>
        <v>14772</v>
      </c>
      <c r="Q28" s="52">
        <f t="shared" si="35"/>
        <v>0</v>
      </c>
      <c r="R28" s="52">
        <f t="shared" si="35"/>
        <v>0</v>
      </c>
      <c r="S28" s="52">
        <f t="shared" si="35"/>
        <v>0</v>
      </c>
      <c r="T28" s="52">
        <f t="shared" si="35"/>
        <v>0</v>
      </c>
      <c r="U28" s="52">
        <f t="shared" si="35"/>
        <v>0</v>
      </c>
      <c r="V28" s="52">
        <f t="shared" si="35"/>
        <v>0</v>
      </c>
      <c r="W28" s="52">
        <f t="shared" si="35"/>
        <v>0</v>
      </c>
      <c r="X28" s="52">
        <f t="shared" si="35"/>
        <v>152325</v>
      </c>
      <c r="Y28" s="54">
        <f t="shared" si="35"/>
        <v>0</v>
      </c>
      <c r="Z28" s="52">
        <f t="shared" si="35"/>
        <v>37440</v>
      </c>
      <c r="AA28" s="52">
        <f t="shared" si="35"/>
        <v>46766</v>
      </c>
      <c r="AB28" s="52">
        <f t="shared" si="35"/>
        <v>24357</v>
      </c>
      <c r="AC28" s="52">
        <f t="shared" si="35"/>
        <v>37099</v>
      </c>
      <c r="AD28" s="52">
        <f t="shared" si="35"/>
        <v>40565</v>
      </c>
      <c r="AE28" s="52">
        <f t="shared" si="35"/>
        <v>48574</v>
      </c>
      <c r="AF28" s="52">
        <f t="shared" si="35"/>
        <v>33495</v>
      </c>
      <c r="AG28" s="52">
        <f t="shared" si="35"/>
        <v>44864</v>
      </c>
      <c r="AH28" s="52">
        <f t="shared" si="35"/>
        <v>42565</v>
      </c>
      <c r="AI28" s="52">
        <f t="shared" si="35"/>
        <v>46914</v>
      </c>
      <c r="AJ28" s="52">
        <f t="shared" si="35"/>
        <v>42860</v>
      </c>
      <c r="AK28" s="52">
        <f t="shared" si="35"/>
        <v>42659</v>
      </c>
      <c r="AL28" s="52">
        <f t="shared" si="35"/>
        <v>488158</v>
      </c>
      <c r="AM28" s="37">
        <f t="shared" si="26"/>
        <v>186227</v>
      </c>
      <c r="AN28" s="1"/>
      <c r="AO28" s="52">
        <f t="shared" ref="AO28:BA28" si="36">AO23</f>
        <v>60315</v>
      </c>
      <c r="AP28" s="52">
        <f t="shared" si="36"/>
        <v>35512</v>
      </c>
      <c r="AQ28" s="52">
        <f t="shared" si="36"/>
        <v>82243</v>
      </c>
      <c r="AR28" s="52">
        <f t="shared" si="36"/>
        <v>12013</v>
      </c>
      <c r="AS28" s="52">
        <f t="shared" si="36"/>
        <v>52886</v>
      </c>
      <c r="AT28" s="52">
        <f t="shared" si="36"/>
        <v>44297</v>
      </c>
      <c r="AU28" s="52">
        <f t="shared" si="36"/>
        <v>0</v>
      </c>
      <c r="AV28" s="52">
        <f t="shared" si="36"/>
        <v>60271</v>
      </c>
      <c r="AW28" s="52">
        <f t="shared" si="36"/>
        <v>963</v>
      </c>
      <c r="AX28" s="52">
        <f t="shared" si="36"/>
        <v>0</v>
      </c>
      <c r="AY28" s="52">
        <f t="shared" si="36"/>
        <v>0</v>
      </c>
      <c r="AZ28" s="52">
        <f t="shared" si="36"/>
        <v>0</v>
      </c>
      <c r="BA28" s="52">
        <f t="shared" si="36"/>
        <v>348500</v>
      </c>
      <c r="BB28" s="40">
        <f t="shared" si="28"/>
        <v>242969</v>
      </c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</row>
    <row r="29" spans="1:68" ht="13.5" customHeight="1">
      <c r="A29" s="1"/>
      <c r="B29" s="1"/>
      <c r="C29" s="1"/>
      <c r="D29" s="63">
        <f>BB29</f>
        <v>0</v>
      </c>
      <c r="E29" s="1"/>
      <c r="F29" s="63">
        <f>AM29</f>
        <v>0</v>
      </c>
      <c r="G29" s="1"/>
      <c r="H29" s="2"/>
      <c r="I29" s="2"/>
      <c r="J29" s="2"/>
      <c r="K29" s="1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3"/>
      <c r="Y29" s="25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64"/>
      <c r="AM29" s="40">
        <f>Z29+AA29+AB29+AC29</f>
        <v>0</v>
      </c>
      <c r="AN29" s="1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64"/>
      <c r="BB29" s="40">
        <f>AO29+AP29+AQ29+AR29</f>
        <v>0</v>
      </c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</row>
    <row r="30" spans="1:68" ht="32.25" customHeight="1">
      <c r="A30" s="1"/>
      <c r="B30" s="65" t="s">
        <v>43</v>
      </c>
      <c r="C30" s="65" t="s">
        <v>36</v>
      </c>
      <c r="D30" s="66">
        <f t="shared" ref="D30:G31" si="37">D18+D27</f>
        <v>881859.11</v>
      </c>
      <c r="E30" s="66">
        <f t="shared" si="37"/>
        <v>2731452</v>
      </c>
      <c r="F30" s="66">
        <f t="shared" si="37"/>
        <v>1088949</v>
      </c>
      <c r="G30" s="66">
        <f t="shared" si="37"/>
        <v>1072267.1000000001</v>
      </c>
      <c r="H30" s="67">
        <f t="shared" ref="H30:H31" si="38">G30/D30</f>
        <v>1.215916565175587</v>
      </c>
      <c r="I30" s="67">
        <f t="shared" ref="I30:I31" si="39">G30/E30</f>
        <v>0.39256303973124917</v>
      </c>
      <c r="J30" s="67">
        <f t="shared" ref="J30:J31" si="40">G30/F30</f>
        <v>0.98468073344114382</v>
      </c>
      <c r="K30" s="1"/>
      <c r="L30" s="66">
        <f t="shared" ref="L30:X31" si="41">L18+L27</f>
        <v>101809</v>
      </c>
      <c r="M30" s="66">
        <f t="shared" si="41"/>
        <v>305733.27</v>
      </c>
      <c r="N30" s="66">
        <f t="shared" si="41"/>
        <v>196629</v>
      </c>
      <c r="O30" s="66">
        <f t="shared" si="41"/>
        <v>202826</v>
      </c>
      <c r="P30" s="66">
        <f t="shared" si="41"/>
        <v>265269.83</v>
      </c>
      <c r="Q30" s="66">
        <f t="shared" si="41"/>
        <v>0</v>
      </c>
      <c r="R30" s="66">
        <f t="shared" si="41"/>
        <v>0</v>
      </c>
      <c r="S30" s="66">
        <f t="shared" si="41"/>
        <v>0</v>
      </c>
      <c r="T30" s="66">
        <f t="shared" si="41"/>
        <v>0</v>
      </c>
      <c r="U30" s="66">
        <f t="shared" si="41"/>
        <v>0</v>
      </c>
      <c r="V30" s="66">
        <f t="shared" si="41"/>
        <v>0</v>
      </c>
      <c r="W30" s="66">
        <f t="shared" si="41"/>
        <v>0</v>
      </c>
      <c r="X30" s="66">
        <f t="shared" si="41"/>
        <v>1072267.1000000001</v>
      </c>
      <c r="Y30" s="22"/>
      <c r="Z30" s="66">
        <f t="shared" ref="Z30:AM31" si="42">Z18+Z27</f>
        <v>241966</v>
      </c>
      <c r="AA30" s="66">
        <f t="shared" si="42"/>
        <v>232203</v>
      </c>
      <c r="AB30" s="66">
        <f t="shared" si="42"/>
        <v>195094</v>
      </c>
      <c r="AC30" s="66">
        <f t="shared" si="42"/>
        <v>203918</v>
      </c>
      <c r="AD30" s="66">
        <f t="shared" si="42"/>
        <v>215768</v>
      </c>
      <c r="AE30" s="66">
        <f t="shared" si="42"/>
        <v>226464</v>
      </c>
      <c r="AF30" s="66">
        <f t="shared" si="42"/>
        <v>249331</v>
      </c>
      <c r="AG30" s="66">
        <f t="shared" si="42"/>
        <v>238622</v>
      </c>
      <c r="AH30" s="66">
        <f t="shared" si="42"/>
        <v>218985</v>
      </c>
      <c r="AI30" s="66">
        <f t="shared" si="42"/>
        <v>245988</v>
      </c>
      <c r="AJ30" s="66">
        <f t="shared" si="42"/>
        <v>232654</v>
      </c>
      <c r="AK30" s="66">
        <f t="shared" si="42"/>
        <v>230459</v>
      </c>
      <c r="AL30" s="66">
        <f t="shared" si="42"/>
        <v>2731452</v>
      </c>
      <c r="AM30" s="68">
        <f t="shared" si="42"/>
        <v>1088949</v>
      </c>
      <c r="AN30" s="1"/>
      <c r="AO30" s="66">
        <f t="shared" ref="AO30:BB31" si="43">AO18+AO27</f>
        <v>362741</v>
      </c>
      <c r="AP30" s="66">
        <f t="shared" si="43"/>
        <v>263541</v>
      </c>
      <c r="AQ30" s="66">
        <f t="shared" si="43"/>
        <v>226649.83000000002</v>
      </c>
      <c r="AR30" s="66">
        <f t="shared" si="43"/>
        <v>142417.1</v>
      </c>
      <c r="AS30" s="66">
        <f t="shared" si="43"/>
        <v>129479.18</v>
      </c>
      <c r="AT30" s="66">
        <f t="shared" si="43"/>
        <v>161524</v>
      </c>
      <c r="AU30" s="66">
        <f t="shared" si="43"/>
        <v>257640.83000000002</v>
      </c>
      <c r="AV30" s="66">
        <f t="shared" si="43"/>
        <v>158635.34</v>
      </c>
      <c r="AW30" s="66">
        <f t="shared" si="43"/>
        <v>219287.32</v>
      </c>
      <c r="AX30" s="66">
        <f t="shared" si="43"/>
        <v>227911.1</v>
      </c>
      <c r="AY30" s="66">
        <f t="shared" si="43"/>
        <v>292066</v>
      </c>
      <c r="AZ30" s="66">
        <f t="shared" si="43"/>
        <v>142205</v>
      </c>
      <c r="BA30" s="66">
        <f t="shared" si="43"/>
        <v>2227797.7000000002</v>
      </c>
      <c r="BB30" s="69">
        <f t="shared" si="43"/>
        <v>1124828.1099999999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</row>
    <row r="31" spans="1:68" ht="13.5" customHeight="1">
      <c r="A31" s="1"/>
      <c r="B31" s="65" t="s">
        <v>43</v>
      </c>
      <c r="C31" s="70" t="s">
        <v>37</v>
      </c>
      <c r="D31" s="66">
        <f t="shared" si="37"/>
        <v>245694</v>
      </c>
      <c r="E31" s="66">
        <f t="shared" si="37"/>
        <v>585027</v>
      </c>
      <c r="F31" s="66">
        <f t="shared" si="37"/>
        <v>223180</v>
      </c>
      <c r="G31" s="66">
        <f t="shared" si="37"/>
        <v>187134</v>
      </c>
      <c r="H31" s="67">
        <f t="shared" si="38"/>
        <v>0.76165474126352295</v>
      </c>
      <c r="I31" s="67">
        <f t="shared" si="39"/>
        <v>0.31987241614489587</v>
      </c>
      <c r="J31" s="67">
        <f t="shared" si="40"/>
        <v>0.83848911192759212</v>
      </c>
      <c r="K31" s="1"/>
      <c r="L31" s="66">
        <f t="shared" si="41"/>
        <v>61865</v>
      </c>
      <c r="M31" s="66">
        <f t="shared" si="41"/>
        <v>22363</v>
      </c>
      <c r="N31" s="66">
        <f t="shared" si="41"/>
        <v>88134</v>
      </c>
      <c r="O31" s="66">
        <f t="shared" si="41"/>
        <v>0</v>
      </c>
      <c r="P31" s="66">
        <f t="shared" si="41"/>
        <v>14772</v>
      </c>
      <c r="Q31" s="66">
        <f t="shared" si="41"/>
        <v>0</v>
      </c>
      <c r="R31" s="66">
        <f t="shared" si="41"/>
        <v>0</v>
      </c>
      <c r="S31" s="66">
        <f t="shared" si="41"/>
        <v>0</v>
      </c>
      <c r="T31" s="66">
        <f t="shared" si="41"/>
        <v>0</v>
      </c>
      <c r="U31" s="66">
        <f t="shared" si="41"/>
        <v>0</v>
      </c>
      <c r="V31" s="66">
        <f t="shared" si="41"/>
        <v>0</v>
      </c>
      <c r="W31" s="66">
        <f t="shared" si="41"/>
        <v>0</v>
      </c>
      <c r="X31" s="66">
        <f t="shared" si="41"/>
        <v>187134</v>
      </c>
      <c r="Y31" s="22"/>
      <c r="Z31" s="71">
        <f t="shared" si="42"/>
        <v>44869</v>
      </c>
      <c r="AA31" s="71">
        <f t="shared" si="42"/>
        <v>56045</v>
      </c>
      <c r="AB31" s="71">
        <f t="shared" si="42"/>
        <v>29191</v>
      </c>
      <c r="AC31" s="71">
        <f t="shared" si="42"/>
        <v>44461</v>
      </c>
      <c r="AD31" s="71">
        <f t="shared" si="42"/>
        <v>48614</v>
      </c>
      <c r="AE31" s="71">
        <f t="shared" si="42"/>
        <v>58212</v>
      </c>
      <c r="AF31" s="71">
        <f t="shared" si="42"/>
        <v>40142</v>
      </c>
      <c r="AG31" s="71">
        <f t="shared" si="42"/>
        <v>53767</v>
      </c>
      <c r="AH31" s="71">
        <f t="shared" si="42"/>
        <v>51012</v>
      </c>
      <c r="AI31" s="71">
        <f t="shared" si="42"/>
        <v>56223</v>
      </c>
      <c r="AJ31" s="71">
        <f t="shared" si="42"/>
        <v>51367</v>
      </c>
      <c r="AK31" s="71">
        <f t="shared" si="42"/>
        <v>51124</v>
      </c>
      <c r="AL31" s="71">
        <f t="shared" si="42"/>
        <v>585027</v>
      </c>
      <c r="AM31" s="68">
        <f t="shared" si="42"/>
        <v>223180</v>
      </c>
      <c r="AN31" s="1"/>
      <c r="AO31" s="71">
        <f t="shared" si="43"/>
        <v>60315</v>
      </c>
      <c r="AP31" s="71">
        <f t="shared" si="43"/>
        <v>35512</v>
      </c>
      <c r="AQ31" s="71">
        <f t="shared" si="43"/>
        <v>82243</v>
      </c>
      <c r="AR31" s="71">
        <f t="shared" si="43"/>
        <v>12013</v>
      </c>
      <c r="AS31" s="71">
        <f t="shared" si="43"/>
        <v>55611</v>
      </c>
      <c r="AT31" s="71">
        <f t="shared" si="43"/>
        <v>44297</v>
      </c>
      <c r="AU31" s="71">
        <f t="shared" si="43"/>
        <v>3067</v>
      </c>
      <c r="AV31" s="71">
        <f t="shared" si="43"/>
        <v>60271</v>
      </c>
      <c r="AW31" s="71">
        <f t="shared" si="43"/>
        <v>963</v>
      </c>
      <c r="AX31" s="71">
        <f t="shared" si="43"/>
        <v>3659</v>
      </c>
      <c r="AY31" s="71">
        <f t="shared" si="43"/>
        <v>0</v>
      </c>
      <c r="AZ31" s="71">
        <f t="shared" si="43"/>
        <v>0</v>
      </c>
      <c r="BA31" s="71">
        <f t="shared" si="43"/>
        <v>357951</v>
      </c>
      <c r="BB31" s="71">
        <f t="shared" si="43"/>
        <v>245694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</row>
    <row r="32" spans="1:68" ht="13.5" customHeight="1">
      <c r="A32" s="1"/>
      <c r="B32" s="1"/>
      <c r="C32" s="1"/>
      <c r="D32" s="72">
        <f t="shared" ref="D32:D40" si="44">BB32</f>
        <v>0</v>
      </c>
      <c r="E32" s="1"/>
      <c r="F32" s="72">
        <f t="shared" ref="F32:F35" si="45">AM32</f>
        <v>0</v>
      </c>
      <c r="G32" s="1"/>
      <c r="H32" s="2"/>
      <c r="I32" s="2"/>
      <c r="J32" s="2"/>
      <c r="K32" s="1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3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3"/>
      <c r="AM32" s="22"/>
      <c r="AN32" s="1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3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</row>
    <row r="33" spans="1:68" ht="13.5" customHeight="1">
      <c r="A33" s="1"/>
      <c r="B33" s="1"/>
      <c r="C33" s="1"/>
      <c r="D33" s="72">
        <f t="shared" si="44"/>
        <v>0</v>
      </c>
      <c r="E33" s="1"/>
      <c r="F33" s="72">
        <f t="shared" si="45"/>
        <v>0</v>
      </c>
      <c r="G33" s="1"/>
      <c r="H33" s="2"/>
      <c r="I33" s="2"/>
      <c r="J33" s="2"/>
      <c r="K33" s="1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3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3"/>
      <c r="AM33" s="22"/>
      <c r="AN33" s="1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3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</row>
    <row r="34" spans="1:68" ht="13.5" customHeight="1">
      <c r="A34" s="1"/>
      <c r="B34" s="21" t="s">
        <v>44</v>
      </c>
      <c r="C34" s="1"/>
      <c r="D34" s="72">
        <f t="shared" si="44"/>
        <v>0</v>
      </c>
      <c r="E34" s="1"/>
      <c r="F34" s="72">
        <f t="shared" si="45"/>
        <v>0</v>
      </c>
      <c r="G34" s="1"/>
      <c r="H34" s="2"/>
      <c r="I34" s="2"/>
      <c r="J34" s="2"/>
      <c r="K34" s="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3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3"/>
      <c r="AM34" s="22"/>
      <c r="AN34" s="1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3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</row>
    <row r="35" spans="1:68" ht="12.75" customHeight="1">
      <c r="A35" s="1"/>
      <c r="B35" s="24" t="s">
        <v>45</v>
      </c>
      <c r="C35" s="1"/>
      <c r="D35" s="72">
        <f t="shared" si="44"/>
        <v>0</v>
      </c>
      <c r="E35" s="1"/>
      <c r="F35" s="72">
        <f t="shared" si="45"/>
        <v>0</v>
      </c>
      <c r="G35" s="1"/>
      <c r="H35" s="2"/>
      <c r="I35" s="2"/>
      <c r="J35" s="2"/>
      <c r="K35" s="1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3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3"/>
      <c r="AM35" s="22"/>
      <c r="AN35" s="1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3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</row>
    <row r="36" spans="1:68" ht="13.5" customHeight="1">
      <c r="A36" s="1"/>
      <c r="B36" s="26" t="s">
        <v>35</v>
      </c>
      <c r="C36" s="27" t="s">
        <v>36</v>
      </c>
      <c r="D36" s="28">
        <f t="shared" si="44"/>
        <v>41153</v>
      </c>
      <c r="E36" s="28">
        <f t="shared" ref="E36:F40" si="46">AL36</f>
        <v>211894</v>
      </c>
      <c r="F36" s="28">
        <f t="shared" si="46"/>
        <v>87247</v>
      </c>
      <c r="G36" s="29">
        <f t="shared" ref="G36:G40" si="47">X36</f>
        <v>7446</v>
      </c>
      <c r="H36" s="30">
        <f t="shared" ref="H36:H42" si="48">G36/D36</f>
        <v>0.18093456127135324</v>
      </c>
      <c r="I36" s="30">
        <f t="shared" ref="I36:I42" si="49">G36/E36</f>
        <v>3.5140211615241584E-2</v>
      </c>
      <c r="J36" s="30">
        <f t="shared" ref="J36:J42" si="50">G36/F36</f>
        <v>8.534390867307759E-2</v>
      </c>
      <c r="K36" s="1"/>
      <c r="L36" s="57"/>
      <c r="M36" s="31">
        <v>0</v>
      </c>
      <c r="N36" s="31">
        <v>0</v>
      </c>
      <c r="O36" s="31">
        <v>3286</v>
      </c>
      <c r="P36" s="31">
        <v>4160</v>
      </c>
      <c r="Q36" s="32"/>
      <c r="R36" s="34"/>
      <c r="S36" s="33"/>
      <c r="T36" s="73"/>
      <c r="U36" s="33"/>
      <c r="V36" s="34"/>
      <c r="W36" s="34"/>
      <c r="X36" s="35">
        <f t="shared" ref="X36:X40" si="51">SUM(L36:W36)</f>
        <v>7446</v>
      </c>
      <c r="Y36" s="22"/>
      <c r="Z36" s="74">
        <v>16252</v>
      </c>
      <c r="AA36" s="74">
        <v>18455</v>
      </c>
      <c r="AB36" s="74">
        <v>18829</v>
      </c>
      <c r="AC36" s="74">
        <v>16103</v>
      </c>
      <c r="AD36" s="74">
        <v>17608</v>
      </c>
      <c r="AE36" s="74">
        <v>21075</v>
      </c>
      <c r="AF36" s="74">
        <v>14536</v>
      </c>
      <c r="AG36" s="74">
        <v>19472</v>
      </c>
      <c r="AH36" s="74">
        <v>12080</v>
      </c>
      <c r="AI36" s="74">
        <v>20354</v>
      </c>
      <c r="AJ36" s="74">
        <v>18604</v>
      </c>
      <c r="AK36" s="74">
        <v>18526</v>
      </c>
      <c r="AL36" s="35">
        <f t="shared" ref="AL36:AL40" si="52">SUM(Z36:AK36)</f>
        <v>211894</v>
      </c>
      <c r="AM36" s="37">
        <f t="shared" ref="AM36:AM42" si="53">SUM(Z36:AD36)</f>
        <v>87247</v>
      </c>
      <c r="AN36" s="1"/>
      <c r="AO36" s="38">
        <v>0</v>
      </c>
      <c r="AP36" s="73">
        <v>22023</v>
      </c>
      <c r="AQ36" s="75">
        <v>19130</v>
      </c>
      <c r="AR36" s="73">
        <v>0</v>
      </c>
      <c r="AS36" s="76">
        <v>0</v>
      </c>
      <c r="AT36" s="32">
        <v>150</v>
      </c>
      <c r="AU36" s="34">
        <v>372</v>
      </c>
      <c r="AV36" s="33">
        <v>0</v>
      </c>
      <c r="AW36" s="73"/>
      <c r="AX36" s="33">
        <v>0</v>
      </c>
      <c r="AY36" s="34">
        <v>34</v>
      </c>
      <c r="AZ36" s="34">
        <v>649</v>
      </c>
      <c r="BA36" s="35">
        <f t="shared" ref="BA36:BA40" si="54">SUM(AO36:AZ36)</f>
        <v>42358</v>
      </c>
      <c r="BB36" s="40">
        <f t="shared" ref="BB36:BB42" si="55">SUM(AO36:AS36)</f>
        <v>41153</v>
      </c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</row>
    <row r="37" spans="1:68" ht="13.5" customHeight="1">
      <c r="A37" s="1"/>
      <c r="B37" s="26" t="s">
        <v>35</v>
      </c>
      <c r="C37" s="41" t="s">
        <v>37</v>
      </c>
      <c r="D37" s="28">
        <f t="shared" si="44"/>
        <v>0</v>
      </c>
      <c r="E37" s="28">
        <f t="shared" si="46"/>
        <v>93415</v>
      </c>
      <c r="F37" s="28">
        <f t="shared" si="46"/>
        <v>35637</v>
      </c>
      <c r="G37" s="29">
        <f t="shared" si="47"/>
        <v>939</v>
      </c>
      <c r="H37" s="30" t="e">
        <f t="shared" si="48"/>
        <v>#DIV/0!</v>
      </c>
      <c r="I37" s="30">
        <f t="shared" si="49"/>
        <v>1.0051918856714661E-2</v>
      </c>
      <c r="J37" s="30">
        <f t="shared" si="50"/>
        <v>2.6349019277716979E-2</v>
      </c>
      <c r="K37" s="1"/>
      <c r="L37" s="58"/>
      <c r="M37" s="31">
        <v>939</v>
      </c>
      <c r="N37" s="31">
        <v>0</v>
      </c>
      <c r="O37" s="31">
        <v>0</v>
      </c>
      <c r="P37" s="31">
        <v>0</v>
      </c>
      <c r="Q37" s="32"/>
      <c r="R37" s="34"/>
      <c r="S37" s="33"/>
      <c r="T37" s="73"/>
      <c r="U37" s="33"/>
      <c r="V37" s="34"/>
      <c r="W37" s="34"/>
      <c r="X37" s="35">
        <f t="shared" si="51"/>
        <v>939</v>
      </c>
      <c r="Y37" s="22"/>
      <c r="Z37" s="74">
        <v>7165</v>
      </c>
      <c r="AA37" s="74">
        <v>8949</v>
      </c>
      <c r="AB37" s="74">
        <v>4661</v>
      </c>
      <c r="AC37" s="74">
        <v>7099</v>
      </c>
      <c r="AD37" s="74">
        <v>7763</v>
      </c>
      <c r="AE37" s="74">
        <v>9295</v>
      </c>
      <c r="AF37" s="74">
        <v>6409</v>
      </c>
      <c r="AG37" s="74">
        <v>8585</v>
      </c>
      <c r="AH37" s="74">
        <v>8146</v>
      </c>
      <c r="AI37" s="74">
        <v>8977</v>
      </c>
      <c r="AJ37" s="74">
        <v>8203</v>
      </c>
      <c r="AK37" s="74">
        <v>8163</v>
      </c>
      <c r="AL37" s="35">
        <f t="shared" si="52"/>
        <v>93415</v>
      </c>
      <c r="AM37" s="37">
        <f t="shared" si="53"/>
        <v>35637</v>
      </c>
      <c r="AN37" s="1"/>
      <c r="AO37" s="38">
        <v>0</v>
      </c>
      <c r="AP37" s="73">
        <v>0</v>
      </c>
      <c r="AQ37" s="77">
        <v>0</v>
      </c>
      <c r="AR37" s="62">
        <v>0</v>
      </c>
      <c r="AS37" s="76">
        <v>0</v>
      </c>
      <c r="AT37" s="32">
        <v>0</v>
      </c>
      <c r="AU37" s="34">
        <v>0</v>
      </c>
      <c r="AV37" s="33">
        <v>0</v>
      </c>
      <c r="AW37" s="73"/>
      <c r="AX37" s="33">
        <v>0</v>
      </c>
      <c r="AY37" s="34">
        <v>414</v>
      </c>
      <c r="AZ37" s="34">
        <v>0</v>
      </c>
      <c r="BA37" s="35">
        <f t="shared" si="54"/>
        <v>414</v>
      </c>
      <c r="BB37" s="40">
        <f t="shared" si="55"/>
        <v>0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</row>
    <row r="38" spans="1:68" ht="15.75" customHeight="1">
      <c r="A38" s="1"/>
      <c r="B38" s="28" t="s">
        <v>38</v>
      </c>
      <c r="C38" s="27" t="s">
        <v>36</v>
      </c>
      <c r="D38" s="28">
        <f t="shared" si="44"/>
        <v>0</v>
      </c>
      <c r="E38" s="28">
        <f t="shared" si="46"/>
        <v>0</v>
      </c>
      <c r="F38" s="28">
        <f t="shared" si="46"/>
        <v>0</v>
      </c>
      <c r="G38" s="29">
        <f t="shared" si="47"/>
        <v>5434</v>
      </c>
      <c r="H38" s="30" t="e">
        <f t="shared" si="48"/>
        <v>#DIV/0!</v>
      </c>
      <c r="I38" s="30" t="e">
        <f t="shared" si="49"/>
        <v>#DIV/0!</v>
      </c>
      <c r="J38" s="30" t="e">
        <f t="shared" si="50"/>
        <v>#DIV/0!</v>
      </c>
      <c r="K38" s="1"/>
      <c r="L38" s="58"/>
      <c r="M38" s="31">
        <v>3358</v>
      </c>
      <c r="N38" s="31">
        <v>0</v>
      </c>
      <c r="O38" s="31">
        <v>2076</v>
      </c>
      <c r="P38" s="31">
        <v>0</v>
      </c>
      <c r="Q38" s="32"/>
      <c r="R38" s="34"/>
      <c r="S38" s="33"/>
      <c r="T38" s="40"/>
      <c r="U38" s="33"/>
      <c r="V38" s="42"/>
      <c r="W38" s="34"/>
      <c r="X38" s="35">
        <f t="shared" si="51"/>
        <v>5434</v>
      </c>
      <c r="Y38" s="1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35">
        <f t="shared" si="52"/>
        <v>0</v>
      </c>
      <c r="AM38" s="37">
        <f t="shared" si="53"/>
        <v>0</v>
      </c>
      <c r="AN38" s="1"/>
      <c r="AO38" s="38">
        <v>0</v>
      </c>
      <c r="AP38" s="38">
        <v>0</v>
      </c>
      <c r="AQ38" s="77"/>
      <c r="AR38" s="78"/>
      <c r="AS38" s="60"/>
      <c r="AT38" s="32">
        <v>0</v>
      </c>
      <c r="AU38" s="34">
        <v>0</v>
      </c>
      <c r="AV38" s="33">
        <v>0</v>
      </c>
      <c r="AW38" s="40"/>
      <c r="AX38" s="33">
        <v>0</v>
      </c>
      <c r="AY38" s="42"/>
      <c r="AZ38" s="34">
        <v>0</v>
      </c>
      <c r="BA38" s="35">
        <f t="shared" si="54"/>
        <v>0</v>
      </c>
      <c r="BB38" s="40">
        <f t="shared" si="55"/>
        <v>0</v>
      </c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spans="1:68" ht="12.75" customHeight="1">
      <c r="A39" s="1"/>
      <c r="B39" s="28" t="s">
        <v>39</v>
      </c>
      <c r="C39" s="27" t="s">
        <v>36</v>
      </c>
      <c r="D39" s="28">
        <f t="shared" si="44"/>
        <v>69766</v>
      </c>
      <c r="E39" s="28">
        <f t="shared" si="46"/>
        <v>176237</v>
      </c>
      <c r="F39" s="28">
        <f t="shared" si="46"/>
        <v>67236</v>
      </c>
      <c r="G39" s="29">
        <f t="shared" si="47"/>
        <v>133819</v>
      </c>
      <c r="H39" s="30">
        <f t="shared" si="48"/>
        <v>1.9181119743141357</v>
      </c>
      <c r="I39" s="30">
        <f t="shared" si="49"/>
        <v>0.75931274363499157</v>
      </c>
      <c r="J39" s="30">
        <f t="shared" si="50"/>
        <v>1.9902879409839966</v>
      </c>
      <c r="K39" s="1"/>
      <c r="L39" s="31">
        <v>29105</v>
      </c>
      <c r="M39" s="31">
        <v>21460</v>
      </c>
      <c r="N39" s="31">
        <v>34378</v>
      </c>
      <c r="O39" s="31">
        <v>24415</v>
      </c>
      <c r="P39" s="31">
        <v>24461</v>
      </c>
      <c r="Q39" s="32"/>
      <c r="R39" s="34"/>
      <c r="S39" s="33"/>
      <c r="T39" s="33"/>
      <c r="U39" s="33"/>
      <c r="V39" s="34"/>
      <c r="W39" s="34"/>
      <c r="X39" s="35">
        <f t="shared" si="51"/>
        <v>133819</v>
      </c>
      <c r="Y39" s="1"/>
      <c r="Z39" s="36">
        <v>13518</v>
      </c>
      <c r="AA39" s="36">
        <v>16884</v>
      </c>
      <c r="AB39" s="36">
        <v>8796</v>
      </c>
      <c r="AC39" s="36">
        <v>13393</v>
      </c>
      <c r="AD39" s="36">
        <v>14645</v>
      </c>
      <c r="AE39" s="36">
        <v>17536</v>
      </c>
      <c r="AF39" s="36">
        <v>12089</v>
      </c>
      <c r="AG39" s="36">
        <v>16196</v>
      </c>
      <c r="AH39" s="36">
        <v>15368</v>
      </c>
      <c r="AI39" s="36">
        <v>16938</v>
      </c>
      <c r="AJ39" s="36">
        <v>15471</v>
      </c>
      <c r="AK39" s="36">
        <v>15403</v>
      </c>
      <c r="AL39" s="35">
        <f t="shared" si="52"/>
        <v>176237</v>
      </c>
      <c r="AM39" s="37">
        <f t="shared" si="53"/>
        <v>67236</v>
      </c>
      <c r="AN39" s="1"/>
      <c r="AO39" s="38">
        <v>6736</v>
      </c>
      <c r="AP39" s="38">
        <v>12387</v>
      </c>
      <c r="AQ39" s="75">
        <v>18778</v>
      </c>
      <c r="AR39" s="33">
        <v>24351</v>
      </c>
      <c r="AS39" s="39">
        <v>7514</v>
      </c>
      <c r="AT39" s="32">
        <v>32147</v>
      </c>
      <c r="AU39" s="34">
        <v>26038</v>
      </c>
      <c r="AV39" s="33">
        <v>19016</v>
      </c>
      <c r="AW39" s="33">
        <v>3556</v>
      </c>
      <c r="AX39" s="33">
        <v>21705</v>
      </c>
      <c r="AY39" s="34">
        <v>23657</v>
      </c>
      <c r="AZ39" s="34">
        <v>41400</v>
      </c>
      <c r="BA39" s="35">
        <f t="shared" si="54"/>
        <v>237285</v>
      </c>
      <c r="BB39" s="40">
        <f t="shared" si="55"/>
        <v>69766</v>
      </c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spans="1:68" ht="12.75" customHeight="1">
      <c r="A40" s="1"/>
      <c r="B40" s="28" t="s">
        <v>40</v>
      </c>
      <c r="C40" s="27" t="s">
        <v>36</v>
      </c>
      <c r="D40" s="28">
        <f t="shared" si="44"/>
        <v>347907</v>
      </c>
      <c r="E40" s="28">
        <f t="shared" si="46"/>
        <v>1170544</v>
      </c>
      <c r="F40" s="28">
        <f t="shared" si="46"/>
        <v>446983</v>
      </c>
      <c r="G40" s="29">
        <f t="shared" si="47"/>
        <v>315093.41000000003</v>
      </c>
      <c r="H40" s="30">
        <f t="shared" si="48"/>
        <v>0.90568286927253561</v>
      </c>
      <c r="I40" s="30">
        <f t="shared" si="49"/>
        <v>0.26918544710835307</v>
      </c>
      <c r="J40" s="30">
        <f t="shared" si="50"/>
        <v>0.70493376705601785</v>
      </c>
      <c r="K40" s="1"/>
      <c r="L40" s="31">
        <v>64162.8</v>
      </c>
      <c r="M40" s="31">
        <v>39326.480000000003</v>
      </c>
      <c r="N40" s="31">
        <v>40519</v>
      </c>
      <c r="O40" s="31">
        <v>76223.13</v>
      </c>
      <c r="P40" s="31">
        <v>94862</v>
      </c>
      <c r="Q40" s="32"/>
      <c r="R40" s="34"/>
      <c r="S40" s="33"/>
      <c r="T40" s="33"/>
      <c r="U40" s="33"/>
      <c r="V40" s="34"/>
      <c r="W40" s="34"/>
      <c r="X40" s="35">
        <f t="shared" si="51"/>
        <v>315093.41000000003</v>
      </c>
      <c r="Y40" s="1"/>
      <c r="Z40" s="36">
        <v>89143</v>
      </c>
      <c r="AA40" s="36">
        <v>74891</v>
      </c>
      <c r="AB40" s="36">
        <v>95002</v>
      </c>
      <c r="AC40" s="36">
        <v>90347</v>
      </c>
      <c r="AD40" s="36">
        <v>97600</v>
      </c>
      <c r="AE40" s="36">
        <v>107419</v>
      </c>
      <c r="AF40" s="36">
        <v>74057</v>
      </c>
      <c r="AG40" s="36">
        <v>119156</v>
      </c>
      <c r="AH40" s="36">
        <v>109937</v>
      </c>
      <c r="AI40" s="36">
        <v>105510</v>
      </c>
      <c r="AJ40" s="36">
        <v>102393</v>
      </c>
      <c r="AK40" s="36">
        <v>105089</v>
      </c>
      <c r="AL40" s="35">
        <f t="shared" si="52"/>
        <v>1170544</v>
      </c>
      <c r="AM40" s="37">
        <f t="shared" si="53"/>
        <v>446983</v>
      </c>
      <c r="AN40" s="1"/>
      <c r="AO40" s="38">
        <v>68842</v>
      </c>
      <c r="AP40" s="38">
        <v>32061</v>
      </c>
      <c r="AQ40" s="75">
        <v>96604</v>
      </c>
      <c r="AR40" s="33">
        <v>65707</v>
      </c>
      <c r="AS40" s="39">
        <v>84693</v>
      </c>
      <c r="AT40" s="32">
        <v>143984.45000000001</v>
      </c>
      <c r="AU40" s="34">
        <v>85780</v>
      </c>
      <c r="AV40" s="33">
        <v>90190</v>
      </c>
      <c r="AW40" s="33">
        <v>86519</v>
      </c>
      <c r="AX40" s="33">
        <f>43458+2819</f>
        <v>46277</v>
      </c>
      <c r="AY40" s="34">
        <v>94259.61</v>
      </c>
      <c r="AZ40" s="34">
        <v>60415.59</v>
      </c>
      <c r="BA40" s="35">
        <f t="shared" si="54"/>
        <v>955332.64999999991</v>
      </c>
      <c r="BB40" s="40">
        <f t="shared" si="55"/>
        <v>347907</v>
      </c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spans="1:68" ht="30" customHeight="1">
      <c r="A41" s="1"/>
      <c r="B41" s="49" t="s">
        <v>41</v>
      </c>
      <c r="C41" s="49" t="s">
        <v>36</v>
      </c>
      <c r="D41" s="50">
        <f t="shared" ref="D41:G41" si="56">D36+D38+D39+D40</f>
        <v>458826</v>
      </c>
      <c r="E41" s="50">
        <f t="shared" si="56"/>
        <v>1558675</v>
      </c>
      <c r="F41" s="50">
        <f t="shared" si="56"/>
        <v>601466</v>
      </c>
      <c r="G41" s="50">
        <f t="shared" si="56"/>
        <v>461792.41000000003</v>
      </c>
      <c r="H41" s="51">
        <f t="shared" si="48"/>
        <v>1.0064652177513917</v>
      </c>
      <c r="I41" s="51">
        <f t="shared" si="49"/>
        <v>0.29627241727749531</v>
      </c>
      <c r="J41" s="51">
        <f t="shared" si="50"/>
        <v>0.76777807889390259</v>
      </c>
      <c r="K41" s="1"/>
      <c r="L41" s="52">
        <f t="shared" ref="L41:U41" si="57">SUM(L36+L39+L40)</f>
        <v>93267.8</v>
      </c>
      <c r="M41" s="52">
        <f t="shared" si="57"/>
        <v>60786.48</v>
      </c>
      <c r="N41" s="52">
        <f t="shared" si="57"/>
        <v>74897</v>
      </c>
      <c r="O41" s="52">
        <f t="shared" si="57"/>
        <v>103924.13</v>
      </c>
      <c r="P41" s="52">
        <f t="shared" si="57"/>
        <v>123483</v>
      </c>
      <c r="Q41" s="52">
        <f t="shared" si="57"/>
        <v>0</v>
      </c>
      <c r="R41" s="52">
        <f t="shared" si="57"/>
        <v>0</v>
      </c>
      <c r="S41" s="52">
        <f t="shared" si="57"/>
        <v>0</v>
      </c>
      <c r="T41" s="52">
        <f t="shared" si="57"/>
        <v>0</v>
      </c>
      <c r="U41" s="52">
        <f t="shared" si="57"/>
        <v>0</v>
      </c>
      <c r="V41" s="52">
        <f t="shared" ref="V41:W41" si="58">SUM(V36:V40)</f>
        <v>0</v>
      </c>
      <c r="W41" s="52">
        <f t="shared" si="58"/>
        <v>0</v>
      </c>
      <c r="X41" s="52">
        <f>SUM(X36+X39+X40+X38)</f>
        <v>461792.41000000003</v>
      </c>
      <c r="Y41" s="1"/>
      <c r="Z41" s="52">
        <f t="shared" ref="Z41:AL41" si="59">SUM(Z36,Z37,Z39,Z40)</f>
        <v>126078</v>
      </c>
      <c r="AA41" s="52">
        <f t="shared" si="59"/>
        <v>119179</v>
      </c>
      <c r="AB41" s="52">
        <f t="shared" si="59"/>
        <v>127288</v>
      </c>
      <c r="AC41" s="52">
        <f t="shared" si="59"/>
        <v>126942</v>
      </c>
      <c r="AD41" s="52">
        <f t="shared" si="59"/>
        <v>137616</v>
      </c>
      <c r="AE41" s="52">
        <f t="shared" si="59"/>
        <v>155325</v>
      </c>
      <c r="AF41" s="52">
        <f t="shared" si="59"/>
        <v>107091</v>
      </c>
      <c r="AG41" s="52">
        <f t="shared" si="59"/>
        <v>163409</v>
      </c>
      <c r="AH41" s="52">
        <f t="shared" si="59"/>
        <v>145531</v>
      </c>
      <c r="AI41" s="52">
        <f t="shared" si="59"/>
        <v>151779</v>
      </c>
      <c r="AJ41" s="52">
        <f t="shared" si="59"/>
        <v>144671</v>
      </c>
      <c r="AK41" s="52">
        <f t="shared" si="59"/>
        <v>147181</v>
      </c>
      <c r="AL41" s="52">
        <f t="shared" si="59"/>
        <v>1652090</v>
      </c>
      <c r="AM41" s="37">
        <f t="shared" si="53"/>
        <v>637103</v>
      </c>
      <c r="AN41" s="1"/>
      <c r="AO41" s="52">
        <f t="shared" ref="AO41:AZ41" si="60">SUM(AO36:AO40)</f>
        <v>75578</v>
      </c>
      <c r="AP41" s="52">
        <f t="shared" si="60"/>
        <v>66471</v>
      </c>
      <c r="AQ41" s="52">
        <f t="shared" si="60"/>
        <v>134512</v>
      </c>
      <c r="AR41" s="52">
        <f t="shared" si="60"/>
        <v>90058</v>
      </c>
      <c r="AS41" s="52">
        <f t="shared" si="60"/>
        <v>92207</v>
      </c>
      <c r="AT41" s="52">
        <f t="shared" si="60"/>
        <v>176281.45</v>
      </c>
      <c r="AU41" s="52">
        <f t="shared" si="60"/>
        <v>112190</v>
      </c>
      <c r="AV41" s="52">
        <f t="shared" si="60"/>
        <v>109206</v>
      </c>
      <c r="AW41" s="52">
        <f t="shared" si="60"/>
        <v>90075</v>
      </c>
      <c r="AX41" s="52">
        <f t="shared" si="60"/>
        <v>67982</v>
      </c>
      <c r="AY41" s="52">
        <f t="shared" si="60"/>
        <v>118364.61</v>
      </c>
      <c r="AZ41" s="52">
        <f t="shared" si="60"/>
        <v>102464.59</v>
      </c>
      <c r="BA41" s="52">
        <f>SUM(BA36,BA39,BA40)</f>
        <v>1234975.6499999999</v>
      </c>
      <c r="BB41" s="40">
        <f t="shared" si="55"/>
        <v>458826</v>
      </c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spans="1:68" ht="30" customHeight="1">
      <c r="A42" s="1"/>
      <c r="B42" s="49" t="s">
        <v>41</v>
      </c>
      <c r="C42" s="53" t="s">
        <v>37</v>
      </c>
      <c r="D42" s="50">
        <f t="shared" ref="D42:G42" si="61">D37</f>
        <v>0</v>
      </c>
      <c r="E42" s="50">
        <f t="shared" si="61"/>
        <v>93415</v>
      </c>
      <c r="F42" s="50">
        <f t="shared" si="61"/>
        <v>35637</v>
      </c>
      <c r="G42" s="50">
        <f t="shared" si="61"/>
        <v>939</v>
      </c>
      <c r="H42" s="51" t="e">
        <f t="shared" si="48"/>
        <v>#DIV/0!</v>
      </c>
      <c r="I42" s="51">
        <f t="shared" si="49"/>
        <v>1.0051918856714661E-2</v>
      </c>
      <c r="J42" s="51">
        <f t="shared" si="50"/>
        <v>2.6349019277716979E-2</v>
      </c>
      <c r="K42" s="1"/>
      <c r="L42" s="52">
        <f t="shared" ref="L42:X42" si="62">L37</f>
        <v>0</v>
      </c>
      <c r="M42" s="52">
        <f t="shared" si="62"/>
        <v>939</v>
      </c>
      <c r="N42" s="52">
        <f t="shared" si="62"/>
        <v>0</v>
      </c>
      <c r="O42" s="52">
        <f t="shared" si="62"/>
        <v>0</v>
      </c>
      <c r="P42" s="52">
        <f t="shared" si="62"/>
        <v>0</v>
      </c>
      <c r="Q42" s="52">
        <f t="shared" si="62"/>
        <v>0</v>
      </c>
      <c r="R42" s="52">
        <f t="shared" si="62"/>
        <v>0</v>
      </c>
      <c r="S42" s="52">
        <f t="shared" si="62"/>
        <v>0</v>
      </c>
      <c r="T42" s="52">
        <f t="shared" si="62"/>
        <v>0</v>
      </c>
      <c r="U42" s="52">
        <f t="shared" si="62"/>
        <v>0</v>
      </c>
      <c r="V42" s="52">
        <f t="shared" si="62"/>
        <v>0</v>
      </c>
      <c r="W42" s="52">
        <f t="shared" si="62"/>
        <v>0</v>
      </c>
      <c r="X42" s="52">
        <f t="shared" si="62"/>
        <v>939</v>
      </c>
      <c r="Y42" s="1"/>
      <c r="Z42" s="52">
        <f t="shared" ref="Z42:AL42" si="63">Z37</f>
        <v>7165</v>
      </c>
      <c r="AA42" s="52">
        <f t="shared" si="63"/>
        <v>8949</v>
      </c>
      <c r="AB42" s="52">
        <f t="shared" si="63"/>
        <v>4661</v>
      </c>
      <c r="AC42" s="52">
        <f t="shared" si="63"/>
        <v>7099</v>
      </c>
      <c r="AD42" s="52">
        <f t="shared" si="63"/>
        <v>7763</v>
      </c>
      <c r="AE42" s="52">
        <f t="shared" si="63"/>
        <v>9295</v>
      </c>
      <c r="AF42" s="52">
        <f t="shared" si="63"/>
        <v>6409</v>
      </c>
      <c r="AG42" s="52">
        <f t="shared" si="63"/>
        <v>8585</v>
      </c>
      <c r="AH42" s="52">
        <f t="shared" si="63"/>
        <v>8146</v>
      </c>
      <c r="AI42" s="52">
        <f t="shared" si="63"/>
        <v>8977</v>
      </c>
      <c r="AJ42" s="52">
        <f t="shared" si="63"/>
        <v>8203</v>
      </c>
      <c r="AK42" s="52">
        <f t="shared" si="63"/>
        <v>8163</v>
      </c>
      <c r="AL42" s="52">
        <f t="shared" si="63"/>
        <v>93415</v>
      </c>
      <c r="AM42" s="37">
        <f t="shared" si="53"/>
        <v>35637</v>
      </c>
      <c r="AN42" s="1"/>
      <c r="AO42" s="52">
        <f t="shared" ref="AO42:BA42" si="64">AO37</f>
        <v>0</v>
      </c>
      <c r="AP42" s="52">
        <f t="shared" si="64"/>
        <v>0</v>
      </c>
      <c r="AQ42" s="52">
        <f t="shared" si="64"/>
        <v>0</v>
      </c>
      <c r="AR42" s="52">
        <f t="shared" si="64"/>
        <v>0</v>
      </c>
      <c r="AS42" s="52">
        <f t="shared" si="64"/>
        <v>0</v>
      </c>
      <c r="AT42" s="52">
        <f t="shared" si="64"/>
        <v>0</v>
      </c>
      <c r="AU42" s="52">
        <f t="shared" si="64"/>
        <v>0</v>
      </c>
      <c r="AV42" s="52">
        <f t="shared" si="64"/>
        <v>0</v>
      </c>
      <c r="AW42" s="52">
        <f t="shared" si="64"/>
        <v>0</v>
      </c>
      <c r="AX42" s="52">
        <f t="shared" si="64"/>
        <v>0</v>
      </c>
      <c r="AY42" s="52">
        <f t="shared" si="64"/>
        <v>414</v>
      </c>
      <c r="AZ42" s="52">
        <f t="shared" si="64"/>
        <v>0</v>
      </c>
      <c r="BA42" s="52">
        <f t="shared" si="64"/>
        <v>414</v>
      </c>
      <c r="BB42" s="40">
        <f t="shared" si="55"/>
        <v>0</v>
      </c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spans="1:68" ht="13.5" customHeight="1">
      <c r="A43" s="1"/>
      <c r="B43" s="1"/>
      <c r="C43" s="1"/>
      <c r="D43" s="79">
        <f t="shared" ref="D43:D49" si="65">BB43</f>
        <v>0</v>
      </c>
      <c r="E43" s="80"/>
      <c r="F43" s="79">
        <f t="shared" ref="F43:F44" si="66">AM43</f>
        <v>0</v>
      </c>
      <c r="G43" s="1"/>
      <c r="H43" s="2"/>
      <c r="I43" s="2"/>
      <c r="J43" s="2"/>
      <c r="K43" s="1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3"/>
      <c r="Y43" s="1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3"/>
      <c r="AM43" s="22"/>
      <c r="AN43" s="1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3"/>
      <c r="BB43" s="22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spans="1:68" ht="12.75" customHeight="1">
      <c r="A44" s="1"/>
      <c r="B44" s="24" t="s">
        <v>46</v>
      </c>
      <c r="C44" s="1"/>
      <c r="D44" s="63">
        <f t="shared" si="65"/>
        <v>0</v>
      </c>
      <c r="E44" s="1"/>
      <c r="F44" s="63">
        <f t="shared" si="66"/>
        <v>0</v>
      </c>
      <c r="G44" s="1"/>
      <c r="H44" s="2"/>
      <c r="I44" s="2"/>
      <c r="J44" s="2"/>
      <c r="K44" s="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3"/>
      <c r="Y44" s="1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3"/>
      <c r="AM44" s="22"/>
      <c r="AN44" s="1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3"/>
      <c r="BB44" s="22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spans="1:68" ht="13.5" customHeight="1">
      <c r="A45" s="1"/>
      <c r="B45" s="26" t="s">
        <v>35</v>
      </c>
      <c r="C45" s="27" t="s">
        <v>36</v>
      </c>
      <c r="D45" s="28">
        <f t="shared" si="65"/>
        <v>18383</v>
      </c>
      <c r="E45" s="28">
        <f t="shared" ref="E45:F49" si="67">AL45</f>
        <v>86200</v>
      </c>
      <c r="F45" s="28">
        <f t="shared" si="67"/>
        <v>35494</v>
      </c>
      <c r="G45" s="29">
        <f t="shared" ref="G45:G49" si="68">X45</f>
        <v>12647</v>
      </c>
      <c r="H45" s="30">
        <f t="shared" ref="H45:H51" si="69">G45/D45</f>
        <v>0.6879725833650655</v>
      </c>
      <c r="I45" s="30">
        <f t="shared" ref="I45:I51" si="70">G45/E45</f>
        <v>0.14671693735498839</v>
      </c>
      <c r="J45" s="30">
        <f t="shared" ref="J45:J51" si="71">G45/F45</f>
        <v>0.35631374316785935</v>
      </c>
      <c r="K45" s="1"/>
      <c r="L45" s="31">
        <v>1930</v>
      </c>
      <c r="M45" s="31">
        <v>0</v>
      </c>
      <c r="N45" s="31">
        <v>0</v>
      </c>
      <c r="O45" s="31">
        <v>3627</v>
      </c>
      <c r="P45" s="31">
        <v>7090</v>
      </c>
      <c r="Q45" s="32"/>
      <c r="R45" s="34"/>
      <c r="S45" s="33"/>
      <c r="T45" s="33"/>
      <c r="U45" s="33"/>
      <c r="V45" s="34"/>
      <c r="W45" s="34"/>
      <c r="X45" s="35">
        <f t="shared" ref="X45:X49" si="72">SUM(L45:W45)</f>
        <v>12647</v>
      </c>
      <c r="Y45" s="1"/>
      <c r="Z45" s="74">
        <v>6612</v>
      </c>
      <c r="AA45" s="74">
        <v>7508</v>
      </c>
      <c r="AB45" s="74">
        <v>7660</v>
      </c>
      <c r="AC45" s="74">
        <v>6551</v>
      </c>
      <c r="AD45" s="74">
        <v>7163</v>
      </c>
      <c r="AE45" s="74">
        <v>8573</v>
      </c>
      <c r="AF45" s="74">
        <v>5913</v>
      </c>
      <c r="AG45" s="74">
        <v>7922</v>
      </c>
      <c r="AH45" s="74">
        <v>4914</v>
      </c>
      <c r="AI45" s="74">
        <v>8280</v>
      </c>
      <c r="AJ45" s="74">
        <v>7568</v>
      </c>
      <c r="AK45" s="74">
        <v>7536</v>
      </c>
      <c r="AL45" s="35">
        <f t="shared" ref="AL45:AL49" si="73">SUM(Z45:AK45)</f>
        <v>86200</v>
      </c>
      <c r="AM45" s="37">
        <f t="shared" ref="AM45:AM51" si="74">SUM(Z45:AD45)</f>
        <v>35494</v>
      </c>
      <c r="AN45" s="1"/>
      <c r="AO45" s="73">
        <v>50</v>
      </c>
      <c r="AP45" s="73">
        <v>1617</v>
      </c>
      <c r="AQ45" s="75">
        <v>9375</v>
      </c>
      <c r="AR45" s="33">
        <v>4044</v>
      </c>
      <c r="AS45" s="76">
        <v>3297</v>
      </c>
      <c r="AT45" s="32">
        <v>7042</v>
      </c>
      <c r="AU45" s="34">
        <v>10853</v>
      </c>
      <c r="AV45" s="33">
        <v>306</v>
      </c>
      <c r="AW45" s="33">
        <v>6305</v>
      </c>
      <c r="AX45" s="33">
        <v>11034</v>
      </c>
      <c r="AY45" s="34">
        <v>2564</v>
      </c>
      <c r="AZ45" s="34">
        <v>8243</v>
      </c>
      <c r="BA45" s="35">
        <f t="shared" ref="BA45:BA49" si="75">SUM(AO45:AZ45)</f>
        <v>64730</v>
      </c>
      <c r="BB45" s="40">
        <f t="shared" ref="BB45:BB51" si="76">SUM(AO45:AS45)</f>
        <v>18383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spans="1:68" ht="13.5" customHeight="1">
      <c r="A46" s="1"/>
      <c r="B46" s="26" t="s">
        <v>35</v>
      </c>
      <c r="C46" s="41" t="s">
        <v>37</v>
      </c>
      <c r="D46" s="28">
        <f t="shared" si="65"/>
        <v>12281</v>
      </c>
      <c r="E46" s="28">
        <f t="shared" si="67"/>
        <v>135908</v>
      </c>
      <c r="F46" s="28">
        <f t="shared" si="67"/>
        <v>51848</v>
      </c>
      <c r="G46" s="29">
        <f t="shared" si="68"/>
        <v>2510</v>
      </c>
      <c r="H46" s="30">
        <f t="shared" si="69"/>
        <v>0.20438075075319601</v>
      </c>
      <c r="I46" s="30">
        <f t="shared" si="70"/>
        <v>1.8468375665891632E-2</v>
      </c>
      <c r="J46" s="30">
        <f t="shared" si="71"/>
        <v>4.841073908347477E-2</v>
      </c>
      <c r="K46" s="1"/>
      <c r="L46" s="31">
        <v>0</v>
      </c>
      <c r="M46" s="31">
        <v>374</v>
      </c>
      <c r="N46" s="31">
        <v>672</v>
      </c>
      <c r="O46" s="31">
        <v>1464</v>
      </c>
      <c r="P46" s="31">
        <v>0</v>
      </c>
      <c r="Q46" s="32"/>
      <c r="R46" s="34"/>
      <c r="S46" s="33"/>
      <c r="T46" s="33"/>
      <c r="U46" s="33"/>
      <c r="V46" s="61"/>
      <c r="W46" s="34"/>
      <c r="X46" s="35">
        <f t="shared" si="72"/>
        <v>2510</v>
      </c>
      <c r="Y46" s="1"/>
      <c r="Z46" s="74">
        <v>10424</v>
      </c>
      <c r="AA46" s="74">
        <v>13019</v>
      </c>
      <c r="AB46" s="74">
        <v>6782</v>
      </c>
      <c r="AC46" s="74">
        <v>10329</v>
      </c>
      <c r="AD46" s="74">
        <v>11294</v>
      </c>
      <c r="AE46" s="74">
        <v>13524</v>
      </c>
      <c r="AF46" s="74">
        <v>9325</v>
      </c>
      <c r="AG46" s="74">
        <v>12490</v>
      </c>
      <c r="AH46" s="74">
        <v>11851</v>
      </c>
      <c r="AI46" s="74">
        <v>13061</v>
      </c>
      <c r="AJ46" s="74">
        <v>11933</v>
      </c>
      <c r="AK46" s="74">
        <v>11876</v>
      </c>
      <c r="AL46" s="35">
        <f t="shared" si="73"/>
        <v>135908</v>
      </c>
      <c r="AM46" s="37">
        <f t="shared" si="74"/>
        <v>51848</v>
      </c>
      <c r="AN46" s="1"/>
      <c r="AO46" s="73">
        <v>1469</v>
      </c>
      <c r="AP46" s="73">
        <v>1270</v>
      </c>
      <c r="AQ46" s="75">
        <v>1128</v>
      </c>
      <c r="AR46" s="81">
        <v>0</v>
      </c>
      <c r="AS46" s="76">
        <v>8414</v>
      </c>
      <c r="AT46" s="32">
        <v>6183</v>
      </c>
      <c r="AU46" s="34">
        <v>578</v>
      </c>
      <c r="AV46" s="33">
        <v>1719</v>
      </c>
      <c r="AW46" s="33">
        <v>1179</v>
      </c>
      <c r="AX46" s="33">
        <v>2030</v>
      </c>
      <c r="AY46" s="61"/>
      <c r="AZ46" s="34">
        <v>0</v>
      </c>
      <c r="BA46" s="35">
        <f t="shared" si="75"/>
        <v>23970</v>
      </c>
      <c r="BB46" s="40">
        <f t="shared" si="76"/>
        <v>12281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spans="1:68" ht="12.75" customHeight="1">
      <c r="A47" s="1"/>
      <c r="B47" s="28" t="s">
        <v>38</v>
      </c>
      <c r="C47" s="27" t="s">
        <v>36</v>
      </c>
      <c r="D47" s="28">
        <f t="shared" si="65"/>
        <v>19678</v>
      </c>
      <c r="E47" s="28">
        <f t="shared" si="67"/>
        <v>63707</v>
      </c>
      <c r="F47" s="28">
        <f t="shared" si="67"/>
        <v>24302</v>
      </c>
      <c r="G47" s="29">
        <f t="shared" si="68"/>
        <v>9673</v>
      </c>
      <c r="H47" s="30">
        <f t="shared" si="69"/>
        <v>0.49156418335196667</v>
      </c>
      <c r="I47" s="30">
        <f t="shared" si="70"/>
        <v>0.15183574803396802</v>
      </c>
      <c r="J47" s="30">
        <f t="shared" si="71"/>
        <v>0.39803308369681506</v>
      </c>
      <c r="K47" s="1"/>
      <c r="L47" s="31">
        <v>1025</v>
      </c>
      <c r="M47" s="31">
        <v>1025</v>
      </c>
      <c r="N47" s="31">
        <v>3751</v>
      </c>
      <c r="O47" s="31">
        <v>1727</v>
      </c>
      <c r="P47" s="31">
        <v>2145</v>
      </c>
      <c r="Q47" s="32"/>
      <c r="R47" s="34"/>
      <c r="S47" s="33"/>
      <c r="T47" s="33"/>
      <c r="U47" s="33"/>
      <c r="V47" s="34"/>
      <c r="W47" s="34"/>
      <c r="X47" s="35">
        <f t="shared" si="72"/>
        <v>9673</v>
      </c>
      <c r="Y47" s="1"/>
      <c r="Z47" s="36">
        <v>4886</v>
      </c>
      <c r="AA47" s="36">
        <v>6103</v>
      </c>
      <c r="AB47" s="36">
        <v>3178</v>
      </c>
      <c r="AC47" s="36">
        <v>4841</v>
      </c>
      <c r="AD47" s="36">
        <v>5294</v>
      </c>
      <c r="AE47" s="36">
        <v>6338</v>
      </c>
      <c r="AF47" s="36">
        <v>4376</v>
      </c>
      <c r="AG47" s="36">
        <v>5854</v>
      </c>
      <c r="AH47" s="36">
        <v>5555</v>
      </c>
      <c r="AI47" s="36">
        <v>6122</v>
      </c>
      <c r="AJ47" s="36">
        <v>5593</v>
      </c>
      <c r="AK47" s="36">
        <v>5567</v>
      </c>
      <c r="AL47" s="35">
        <f t="shared" si="73"/>
        <v>63707</v>
      </c>
      <c r="AM47" s="37">
        <f t="shared" si="74"/>
        <v>24302</v>
      </c>
      <c r="AN47" s="1"/>
      <c r="AO47" s="38">
        <v>6210</v>
      </c>
      <c r="AP47" s="38">
        <v>8106</v>
      </c>
      <c r="AQ47" s="75">
        <v>1776</v>
      </c>
      <c r="AR47" s="33">
        <v>3586</v>
      </c>
      <c r="AS47" s="39">
        <v>0</v>
      </c>
      <c r="AT47" s="32">
        <v>1025</v>
      </c>
      <c r="AU47" s="34">
        <v>6000</v>
      </c>
      <c r="AV47" s="33">
        <v>1025</v>
      </c>
      <c r="AW47" s="33">
        <v>1025</v>
      </c>
      <c r="AX47" s="33">
        <v>0</v>
      </c>
      <c r="AY47" s="34">
        <v>1025</v>
      </c>
      <c r="AZ47" s="34">
        <v>0</v>
      </c>
      <c r="BA47" s="35">
        <f t="shared" si="75"/>
        <v>29778</v>
      </c>
      <c r="BB47" s="40">
        <f t="shared" si="76"/>
        <v>19678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1:68" ht="12.75" customHeight="1">
      <c r="A48" s="1"/>
      <c r="B48" s="28" t="s">
        <v>39</v>
      </c>
      <c r="C48" s="27" t="s">
        <v>36</v>
      </c>
      <c r="D48" s="28">
        <f t="shared" si="65"/>
        <v>15934</v>
      </c>
      <c r="E48" s="28">
        <f t="shared" si="67"/>
        <v>78974</v>
      </c>
      <c r="F48" s="28">
        <f t="shared" si="67"/>
        <v>30131</v>
      </c>
      <c r="G48" s="29">
        <f t="shared" si="68"/>
        <v>1490</v>
      </c>
      <c r="H48" s="30">
        <f t="shared" si="69"/>
        <v>9.3510731768545255E-2</v>
      </c>
      <c r="I48" s="30">
        <f t="shared" si="70"/>
        <v>1.8866968875832554E-2</v>
      </c>
      <c r="J48" s="30">
        <f t="shared" si="71"/>
        <v>4.9450731804453883E-2</v>
      </c>
      <c r="K48" s="1"/>
      <c r="L48" s="31">
        <v>697</v>
      </c>
      <c r="M48" s="31">
        <v>0</v>
      </c>
      <c r="N48" s="31">
        <v>376</v>
      </c>
      <c r="O48" s="31">
        <v>417</v>
      </c>
      <c r="P48" s="31">
        <v>0</v>
      </c>
      <c r="Q48" s="32"/>
      <c r="R48" s="34"/>
      <c r="S48" s="33"/>
      <c r="T48" s="33"/>
      <c r="U48" s="33"/>
      <c r="V48" s="34"/>
      <c r="W48" s="34"/>
      <c r="X48" s="35">
        <f t="shared" si="72"/>
        <v>1490</v>
      </c>
      <c r="Y48" s="1"/>
      <c r="Z48" s="36">
        <v>6058</v>
      </c>
      <c r="AA48" s="36">
        <v>7566</v>
      </c>
      <c r="AB48" s="36">
        <v>3942</v>
      </c>
      <c r="AC48" s="36">
        <v>6002</v>
      </c>
      <c r="AD48" s="36">
        <v>6563</v>
      </c>
      <c r="AE48" s="36">
        <v>7857</v>
      </c>
      <c r="AF48" s="36">
        <v>5419</v>
      </c>
      <c r="AG48" s="36">
        <v>7258</v>
      </c>
      <c r="AH48" s="36">
        <v>6887</v>
      </c>
      <c r="AI48" s="36">
        <v>7588</v>
      </c>
      <c r="AJ48" s="36">
        <v>6932</v>
      </c>
      <c r="AK48" s="36">
        <v>6902</v>
      </c>
      <c r="AL48" s="35">
        <f t="shared" si="73"/>
        <v>78974</v>
      </c>
      <c r="AM48" s="37">
        <f t="shared" si="74"/>
        <v>30131</v>
      </c>
      <c r="AN48" s="1"/>
      <c r="AO48" s="38">
        <v>11603</v>
      </c>
      <c r="AP48" s="38">
        <v>4331</v>
      </c>
      <c r="AQ48" s="77">
        <v>0</v>
      </c>
      <c r="AR48" s="81">
        <v>0</v>
      </c>
      <c r="AS48" s="39">
        <v>0</v>
      </c>
      <c r="AT48" s="32">
        <v>292</v>
      </c>
      <c r="AU48" s="34">
        <v>0</v>
      </c>
      <c r="AV48" s="33">
        <v>0</v>
      </c>
      <c r="AW48" s="33">
        <v>70</v>
      </c>
      <c r="AX48" s="33">
        <v>658</v>
      </c>
      <c r="AY48" s="34">
        <v>841</v>
      </c>
      <c r="AZ48" s="34">
        <v>4733</v>
      </c>
      <c r="BA48" s="35">
        <f t="shared" si="75"/>
        <v>22528</v>
      </c>
      <c r="BB48" s="40">
        <f t="shared" si="76"/>
        <v>15934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spans="1:68" ht="12.75" customHeight="1">
      <c r="A49" s="1"/>
      <c r="B49" s="28" t="s">
        <v>40</v>
      </c>
      <c r="C49" s="27" t="s">
        <v>36</v>
      </c>
      <c r="D49" s="28">
        <f t="shared" si="65"/>
        <v>42838</v>
      </c>
      <c r="E49" s="28">
        <f t="shared" si="67"/>
        <v>202750</v>
      </c>
      <c r="F49" s="28">
        <f t="shared" si="67"/>
        <v>90447</v>
      </c>
      <c r="G49" s="29">
        <f t="shared" si="68"/>
        <v>102110</v>
      </c>
      <c r="H49" s="30">
        <f t="shared" si="69"/>
        <v>2.3836313553387178</v>
      </c>
      <c r="I49" s="30">
        <f t="shared" si="70"/>
        <v>0.50362515413070286</v>
      </c>
      <c r="J49" s="30">
        <f t="shared" si="71"/>
        <v>1.1289484449456588</v>
      </c>
      <c r="K49" s="1"/>
      <c r="L49" s="31">
        <v>35570</v>
      </c>
      <c r="M49" s="31">
        <v>36653</v>
      </c>
      <c r="N49" s="31">
        <v>7193</v>
      </c>
      <c r="O49" s="31">
        <v>15224</v>
      </c>
      <c r="P49" s="31">
        <v>7470</v>
      </c>
      <c r="Q49" s="32"/>
      <c r="R49" s="34"/>
      <c r="S49" s="33"/>
      <c r="T49" s="33"/>
      <c r="U49" s="33"/>
      <c r="V49" s="34"/>
      <c r="W49" s="34"/>
      <c r="X49" s="35">
        <f t="shared" si="72"/>
        <v>102110</v>
      </c>
      <c r="Y49" s="1"/>
      <c r="Z49" s="36">
        <v>16158</v>
      </c>
      <c r="AA49" s="36">
        <v>11569</v>
      </c>
      <c r="AB49" s="36">
        <v>12924</v>
      </c>
      <c r="AC49" s="36">
        <v>32865</v>
      </c>
      <c r="AD49" s="36">
        <v>16931</v>
      </c>
      <c r="AE49" s="36">
        <v>12016</v>
      </c>
      <c r="AF49" s="36">
        <v>12497</v>
      </c>
      <c r="AG49" s="36">
        <v>17994</v>
      </c>
      <c r="AH49" s="36">
        <v>17431</v>
      </c>
      <c r="AI49" s="36">
        <v>18503</v>
      </c>
      <c r="AJ49" s="36">
        <v>10603</v>
      </c>
      <c r="AK49" s="36">
        <v>23259</v>
      </c>
      <c r="AL49" s="35">
        <f t="shared" si="73"/>
        <v>202750</v>
      </c>
      <c r="AM49" s="37">
        <f t="shared" si="74"/>
        <v>90447</v>
      </c>
      <c r="AN49" s="1"/>
      <c r="AO49" s="38">
        <v>7500</v>
      </c>
      <c r="AP49" s="38">
        <v>7500</v>
      </c>
      <c r="AQ49" s="75">
        <v>22500</v>
      </c>
      <c r="AR49" s="33">
        <v>5338</v>
      </c>
      <c r="AS49" s="39">
        <v>0</v>
      </c>
      <c r="AT49" s="32">
        <v>7500</v>
      </c>
      <c r="AU49" s="34">
        <v>15260</v>
      </c>
      <c r="AV49" s="33">
        <v>7500</v>
      </c>
      <c r="AW49" s="33">
        <v>72594</v>
      </c>
      <c r="AX49" s="33">
        <f>15000+4820</f>
        <v>19820</v>
      </c>
      <c r="AY49" s="34">
        <v>11275</v>
      </c>
      <c r="AZ49" s="34">
        <v>29044</v>
      </c>
      <c r="BA49" s="35">
        <f t="shared" si="75"/>
        <v>205831</v>
      </c>
      <c r="BB49" s="40">
        <f t="shared" si="76"/>
        <v>42838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1:68" ht="30" customHeight="1">
      <c r="A50" s="1"/>
      <c r="B50" s="49" t="s">
        <v>41</v>
      </c>
      <c r="C50" s="49" t="s">
        <v>36</v>
      </c>
      <c r="D50" s="50">
        <f t="shared" ref="D50:G50" si="77">D45+D47+D48+D49</f>
        <v>96833</v>
      </c>
      <c r="E50" s="50">
        <f t="shared" si="77"/>
        <v>431631</v>
      </c>
      <c r="F50" s="50">
        <f t="shared" si="77"/>
        <v>180374</v>
      </c>
      <c r="G50" s="50">
        <f t="shared" si="77"/>
        <v>125920</v>
      </c>
      <c r="H50" s="51">
        <f t="shared" si="69"/>
        <v>1.3003831338489977</v>
      </c>
      <c r="I50" s="51">
        <f t="shared" si="70"/>
        <v>0.2917306680938116</v>
      </c>
      <c r="J50" s="51">
        <f t="shared" si="71"/>
        <v>0.69810504839943677</v>
      </c>
      <c r="K50" s="1"/>
      <c r="L50" s="52">
        <f t="shared" ref="L50:V50" si="78">SUM(L45+L48+L49+L47)</f>
        <v>39222</v>
      </c>
      <c r="M50" s="52">
        <f t="shared" si="78"/>
        <v>37678</v>
      </c>
      <c r="N50" s="52">
        <f t="shared" si="78"/>
        <v>11320</v>
      </c>
      <c r="O50" s="52">
        <f t="shared" si="78"/>
        <v>20995</v>
      </c>
      <c r="P50" s="52">
        <f t="shared" si="78"/>
        <v>16705</v>
      </c>
      <c r="Q50" s="52">
        <f t="shared" si="78"/>
        <v>0</v>
      </c>
      <c r="R50" s="52">
        <f t="shared" si="78"/>
        <v>0</v>
      </c>
      <c r="S50" s="52">
        <f t="shared" si="78"/>
        <v>0</v>
      </c>
      <c r="T50" s="52">
        <f t="shared" si="78"/>
        <v>0</v>
      </c>
      <c r="U50" s="52">
        <f t="shared" si="78"/>
        <v>0</v>
      </c>
      <c r="V50" s="52">
        <f t="shared" si="78"/>
        <v>0</v>
      </c>
      <c r="W50" s="52">
        <f>SUM(W45:W49)</f>
        <v>0</v>
      </c>
      <c r="X50" s="52">
        <f>SUM(X45+X48+X49+X47)</f>
        <v>125920</v>
      </c>
      <c r="Y50" s="1"/>
      <c r="Z50" s="52">
        <f t="shared" ref="Z50:AL50" si="79">SUM(Z45,Z47,Z48,Z49)</f>
        <v>33714</v>
      </c>
      <c r="AA50" s="52">
        <f t="shared" si="79"/>
        <v>32746</v>
      </c>
      <c r="AB50" s="52">
        <f t="shared" si="79"/>
        <v>27704</v>
      </c>
      <c r="AC50" s="52">
        <f t="shared" si="79"/>
        <v>50259</v>
      </c>
      <c r="AD50" s="52">
        <f t="shared" si="79"/>
        <v>35951</v>
      </c>
      <c r="AE50" s="52">
        <f t="shared" si="79"/>
        <v>34784</v>
      </c>
      <c r="AF50" s="52">
        <f t="shared" si="79"/>
        <v>28205</v>
      </c>
      <c r="AG50" s="52">
        <f t="shared" si="79"/>
        <v>39028</v>
      </c>
      <c r="AH50" s="52">
        <f t="shared" si="79"/>
        <v>34787</v>
      </c>
      <c r="AI50" s="52">
        <f t="shared" si="79"/>
        <v>40493</v>
      </c>
      <c r="AJ50" s="52">
        <f t="shared" si="79"/>
        <v>30696</v>
      </c>
      <c r="AK50" s="52">
        <f t="shared" si="79"/>
        <v>43264</v>
      </c>
      <c r="AL50" s="52">
        <f t="shared" si="79"/>
        <v>431631</v>
      </c>
      <c r="AM50" s="37">
        <f t="shared" si="74"/>
        <v>180374</v>
      </c>
      <c r="AN50" s="1"/>
      <c r="AO50" s="52">
        <f t="shared" ref="AO50:AZ50" si="80">SUM(AO45:AO49)</f>
        <v>26832</v>
      </c>
      <c r="AP50" s="52">
        <f t="shared" si="80"/>
        <v>22824</v>
      </c>
      <c r="AQ50" s="52">
        <f t="shared" si="80"/>
        <v>34779</v>
      </c>
      <c r="AR50" s="52">
        <f t="shared" si="80"/>
        <v>12968</v>
      </c>
      <c r="AS50" s="52">
        <f t="shared" si="80"/>
        <v>11711</v>
      </c>
      <c r="AT50" s="52">
        <f t="shared" si="80"/>
        <v>22042</v>
      </c>
      <c r="AU50" s="52">
        <f t="shared" si="80"/>
        <v>32691</v>
      </c>
      <c r="AV50" s="52">
        <f t="shared" si="80"/>
        <v>10550</v>
      </c>
      <c r="AW50" s="52">
        <f t="shared" si="80"/>
        <v>81173</v>
      </c>
      <c r="AX50" s="52">
        <f t="shared" si="80"/>
        <v>33542</v>
      </c>
      <c r="AY50" s="52">
        <f t="shared" si="80"/>
        <v>15705</v>
      </c>
      <c r="AZ50" s="52">
        <f t="shared" si="80"/>
        <v>42020</v>
      </c>
      <c r="BA50" s="52">
        <f>SUM(BA45,BA47,BA48,BA49)</f>
        <v>322867</v>
      </c>
      <c r="BB50" s="40">
        <f t="shared" si="76"/>
        <v>109114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1:68" ht="30" customHeight="1">
      <c r="A51" s="1"/>
      <c r="B51" s="49" t="s">
        <v>41</v>
      </c>
      <c r="C51" s="53" t="s">
        <v>37</v>
      </c>
      <c r="D51" s="50">
        <f t="shared" ref="D51:G51" si="81">D46</f>
        <v>12281</v>
      </c>
      <c r="E51" s="50">
        <f t="shared" si="81"/>
        <v>135908</v>
      </c>
      <c r="F51" s="50">
        <f t="shared" si="81"/>
        <v>51848</v>
      </c>
      <c r="G51" s="50">
        <f t="shared" si="81"/>
        <v>2510</v>
      </c>
      <c r="H51" s="51">
        <f t="shared" si="69"/>
        <v>0.20438075075319601</v>
      </c>
      <c r="I51" s="51">
        <f t="shared" si="70"/>
        <v>1.8468375665891632E-2</v>
      </c>
      <c r="J51" s="51">
        <f t="shared" si="71"/>
        <v>4.841073908347477E-2</v>
      </c>
      <c r="K51" s="1"/>
      <c r="L51" s="52">
        <f t="shared" ref="L51:X51" si="82">L46</f>
        <v>0</v>
      </c>
      <c r="M51" s="52">
        <f t="shared" si="82"/>
        <v>374</v>
      </c>
      <c r="N51" s="52">
        <f t="shared" si="82"/>
        <v>672</v>
      </c>
      <c r="O51" s="52">
        <f t="shared" si="82"/>
        <v>1464</v>
      </c>
      <c r="P51" s="52">
        <f t="shared" si="82"/>
        <v>0</v>
      </c>
      <c r="Q51" s="52">
        <f t="shared" si="82"/>
        <v>0</v>
      </c>
      <c r="R51" s="52">
        <f t="shared" si="82"/>
        <v>0</v>
      </c>
      <c r="S51" s="52">
        <f t="shared" si="82"/>
        <v>0</v>
      </c>
      <c r="T51" s="52">
        <f t="shared" si="82"/>
        <v>0</v>
      </c>
      <c r="U51" s="52">
        <f t="shared" si="82"/>
        <v>0</v>
      </c>
      <c r="V51" s="52">
        <f t="shared" si="82"/>
        <v>0</v>
      </c>
      <c r="W51" s="52">
        <f t="shared" si="82"/>
        <v>0</v>
      </c>
      <c r="X51" s="52">
        <f t="shared" si="82"/>
        <v>2510</v>
      </c>
      <c r="Y51" s="1"/>
      <c r="Z51" s="52">
        <f t="shared" ref="Z51:AL51" si="83">Z46</f>
        <v>10424</v>
      </c>
      <c r="AA51" s="52">
        <f t="shared" si="83"/>
        <v>13019</v>
      </c>
      <c r="AB51" s="52">
        <f t="shared" si="83"/>
        <v>6782</v>
      </c>
      <c r="AC51" s="52">
        <f t="shared" si="83"/>
        <v>10329</v>
      </c>
      <c r="AD51" s="52">
        <f t="shared" si="83"/>
        <v>11294</v>
      </c>
      <c r="AE51" s="52">
        <f t="shared" si="83"/>
        <v>13524</v>
      </c>
      <c r="AF51" s="52">
        <f t="shared" si="83"/>
        <v>9325</v>
      </c>
      <c r="AG51" s="52">
        <f t="shared" si="83"/>
        <v>12490</v>
      </c>
      <c r="AH51" s="52">
        <f t="shared" si="83"/>
        <v>11851</v>
      </c>
      <c r="AI51" s="52">
        <f t="shared" si="83"/>
        <v>13061</v>
      </c>
      <c r="AJ51" s="52">
        <f t="shared" si="83"/>
        <v>11933</v>
      </c>
      <c r="AK51" s="52">
        <f t="shared" si="83"/>
        <v>11876</v>
      </c>
      <c r="AL51" s="52">
        <f t="shared" si="83"/>
        <v>135908</v>
      </c>
      <c r="AM51" s="37">
        <f t="shared" si="74"/>
        <v>51848</v>
      </c>
      <c r="AN51" s="1"/>
      <c r="AO51" s="52">
        <f t="shared" ref="AO51:BA51" si="84">AO46</f>
        <v>1469</v>
      </c>
      <c r="AP51" s="52">
        <f t="shared" si="84"/>
        <v>1270</v>
      </c>
      <c r="AQ51" s="52">
        <f t="shared" si="84"/>
        <v>1128</v>
      </c>
      <c r="AR51" s="52">
        <f t="shared" si="84"/>
        <v>0</v>
      </c>
      <c r="AS51" s="52">
        <f t="shared" si="84"/>
        <v>8414</v>
      </c>
      <c r="AT51" s="52">
        <f t="shared" si="84"/>
        <v>6183</v>
      </c>
      <c r="AU51" s="52">
        <f t="shared" si="84"/>
        <v>578</v>
      </c>
      <c r="AV51" s="52">
        <f t="shared" si="84"/>
        <v>1719</v>
      </c>
      <c r="AW51" s="52">
        <f t="shared" si="84"/>
        <v>1179</v>
      </c>
      <c r="AX51" s="52">
        <f t="shared" si="84"/>
        <v>2030</v>
      </c>
      <c r="AY51" s="52">
        <f t="shared" si="84"/>
        <v>0</v>
      </c>
      <c r="AZ51" s="52">
        <f t="shared" si="84"/>
        <v>0</v>
      </c>
      <c r="BA51" s="52">
        <f t="shared" si="84"/>
        <v>23970</v>
      </c>
      <c r="BB51" s="40">
        <f t="shared" si="76"/>
        <v>12281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1:68" ht="13.5" customHeight="1">
      <c r="A52" s="1"/>
      <c r="B52" s="1"/>
      <c r="C52" s="1"/>
      <c r="D52" s="63">
        <f>BB52</f>
        <v>0</v>
      </c>
      <c r="E52" s="1"/>
      <c r="F52" s="63">
        <f>AM52</f>
        <v>0</v>
      </c>
      <c r="G52" s="1"/>
      <c r="H52" s="2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3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3"/>
      <c r="AM52" s="22">
        <f>Z52+AA52+AB52+AC52</f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3"/>
      <c r="BB52" s="22">
        <f>AO52+AP52+AQ52+AR52</f>
        <v>0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1:68" ht="36.75" customHeight="1">
      <c r="A53" s="1"/>
      <c r="B53" s="65" t="s">
        <v>47</v>
      </c>
      <c r="C53" s="65" t="s">
        <v>36</v>
      </c>
      <c r="D53" s="66">
        <f t="shared" ref="D53:G54" si="85">D41+D50</f>
        <v>555659</v>
      </c>
      <c r="E53" s="66">
        <f t="shared" si="85"/>
        <v>1990306</v>
      </c>
      <c r="F53" s="66">
        <f t="shared" si="85"/>
        <v>781840</v>
      </c>
      <c r="G53" s="66">
        <f t="shared" si="85"/>
        <v>587712.41</v>
      </c>
      <c r="H53" s="67">
        <f t="shared" ref="H53:H54" si="86">G53/D53</f>
        <v>1.0576853969790825</v>
      </c>
      <c r="I53" s="67">
        <f t="shared" ref="I53:I54" si="87">G53/E53</f>
        <v>0.29528746333478373</v>
      </c>
      <c r="J53" s="67">
        <f t="shared" ref="J53:J54" si="88">G53/F53</f>
        <v>0.75170419778982911</v>
      </c>
      <c r="K53" s="1"/>
      <c r="L53" s="66">
        <f t="shared" ref="L53:X54" si="89">L41+L50</f>
        <v>132489.79999999999</v>
      </c>
      <c r="M53" s="66">
        <f t="shared" si="89"/>
        <v>98464.48000000001</v>
      </c>
      <c r="N53" s="66">
        <f t="shared" si="89"/>
        <v>86217</v>
      </c>
      <c r="O53" s="66">
        <f t="shared" si="89"/>
        <v>124919.13</v>
      </c>
      <c r="P53" s="66">
        <f t="shared" si="89"/>
        <v>140188</v>
      </c>
      <c r="Q53" s="66">
        <f t="shared" si="89"/>
        <v>0</v>
      </c>
      <c r="R53" s="66">
        <f t="shared" si="89"/>
        <v>0</v>
      </c>
      <c r="S53" s="66">
        <f t="shared" si="89"/>
        <v>0</v>
      </c>
      <c r="T53" s="66">
        <f t="shared" si="89"/>
        <v>0</v>
      </c>
      <c r="U53" s="66">
        <f t="shared" si="89"/>
        <v>0</v>
      </c>
      <c r="V53" s="66">
        <f t="shared" si="89"/>
        <v>0</v>
      </c>
      <c r="W53" s="66">
        <f t="shared" si="89"/>
        <v>0</v>
      </c>
      <c r="X53" s="66">
        <f t="shared" si="89"/>
        <v>587712.41</v>
      </c>
      <c r="Y53" s="1"/>
      <c r="Z53" s="66">
        <f t="shared" ref="Z53:AM53" si="90">Z41+Z50</f>
        <v>159792</v>
      </c>
      <c r="AA53" s="66">
        <f t="shared" si="90"/>
        <v>151925</v>
      </c>
      <c r="AB53" s="66">
        <f t="shared" si="90"/>
        <v>154992</v>
      </c>
      <c r="AC53" s="66">
        <f t="shared" si="90"/>
        <v>177201</v>
      </c>
      <c r="AD53" s="66">
        <f t="shared" si="90"/>
        <v>173567</v>
      </c>
      <c r="AE53" s="66">
        <f t="shared" si="90"/>
        <v>190109</v>
      </c>
      <c r="AF53" s="66">
        <f t="shared" si="90"/>
        <v>135296</v>
      </c>
      <c r="AG53" s="66">
        <f t="shared" si="90"/>
        <v>202437</v>
      </c>
      <c r="AH53" s="66">
        <f t="shared" si="90"/>
        <v>180318</v>
      </c>
      <c r="AI53" s="66">
        <f t="shared" si="90"/>
        <v>192272</v>
      </c>
      <c r="AJ53" s="66">
        <f t="shared" si="90"/>
        <v>175367</v>
      </c>
      <c r="AK53" s="66">
        <f t="shared" si="90"/>
        <v>190445</v>
      </c>
      <c r="AL53" s="66">
        <f t="shared" si="90"/>
        <v>2083721</v>
      </c>
      <c r="AM53" s="68">
        <f t="shared" si="90"/>
        <v>817477</v>
      </c>
      <c r="AN53" s="1"/>
      <c r="AO53" s="66">
        <f t="shared" ref="AO53:BB54" si="91">AO41+AO50</f>
        <v>102410</v>
      </c>
      <c r="AP53" s="66">
        <f t="shared" si="91"/>
        <v>89295</v>
      </c>
      <c r="AQ53" s="66">
        <f t="shared" si="91"/>
        <v>169291</v>
      </c>
      <c r="AR53" s="66">
        <f t="shared" si="91"/>
        <v>103026</v>
      </c>
      <c r="AS53" s="66">
        <f t="shared" si="91"/>
        <v>103918</v>
      </c>
      <c r="AT53" s="66">
        <f t="shared" si="91"/>
        <v>198323.45</v>
      </c>
      <c r="AU53" s="66">
        <f t="shared" si="91"/>
        <v>144881</v>
      </c>
      <c r="AV53" s="66">
        <f t="shared" si="91"/>
        <v>119756</v>
      </c>
      <c r="AW53" s="66">
        <f t="shared" si="91"/>
        <v>171248</v>
      </c>
      <c r="AX53" s="66">
        <f t="shared" si="91"/>
        <v>101524</v>
      </c>
      <c r="AY53" s="66">
        <f t="shared" si="91"/>
        <v>134069.60999999999</v>
      </c>
      <c r="AZ53" s="66">
        <f t="shared" si="91"/>
        <v>144484.59</v>
      </c>
      <c r="BA53" s="66">
        <f t="shared" si="91"/>
        <v>1557842.65</v>
      </c>
      <c r="BB53" s="69">
        <f t="shared" si="91"/>
        <v>567940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1:68" ht="13.5" customHeight="1">
      <c r="A54" s="1"/>
      <c r="B54" s="65" t="s">
        <v>43</v>
      </c>
      <c r="C54" s="70" t="s">
        <v>37</v>
      </c>
      <c r="D54" s="66">
        <f t="shared" si="85"/>
        <v>12281</v>
      </c>
      <c r="E54" s="66">
        <f t="shared" si="85"/>
        <v>229323</v>
      </c>
      <c r="F54" s="66">
        <f t="shared" si="85"/>
        <v>87485</v>
      </c>
      <c r="G54" s="66">
        <f t="shared" si="85"/>
        <v>3449</v>
      </c>
      <c r="H54" s="67">
        <f t="shared" si="86"/>
        <v>0.28084032244931195</v>
      </c>
      <c r="I54" s="67">
        <f t="shared" si="87"/>
        <v>1.5039921856944135E-2</v>
      </c>
      <c r="J54" s="67">
        <f t="shared" si="88"/>
        <v>3.9423901240212611E-2</v>
      </c>
      <c r="K54" s="1"/>
      <c r="L54" s="66">
        <f t="shared" si="89"/>
        <v>0</v>
      </c>
      <c r="M54" s="66">
        <f t="shared" si="89"/>
        <v>1313</v>
      </c>
      <c r="N54" s="66">
        <f t="shared" si="89"/>
        <v>672</v>
      </c>
      <c r="O54" s="66">
        <f t="shared" si="89"/>
        <v>1464</v>
      </c>
      <c r="P54" s="66">
        <f t="shared" si="89"/>
        <v>0</v>
      </c>
      <c r="Q54" s="66">
        <f t="shared" si="89"/>
        <v>0</v>
      </c>
      <c r="R54" s="66">
        <f t="shared" si="89"/>
        <v>0</v>
      </c>
      <c r="S54" s="66">
        <f t="shared" si="89"/>
        <v>0</v>
      </c>
      <c r="T54" s="66">
        <f t="shared" si="89"/>
        <v>0</v>
      </c>
      <c r="U54" s="66">
        <f t="shared" si="89"/>
        <v>0</v>
      </c>
      <c r="V54" s="66">
        <f t="shared" si="89"/>
        <v>0</v>
      </c>
      <c r="W54" s="66">
        <f t="shared" si="89"/>
        <v>0</v>
      </c>
      <c r="X54" s="66">
        <f t="shared" si="89"/>
        <v>3449</v>
      </c>
      <c r="Y54" s="1"/>
      <c r="Z54" s="66">
        <f t="shared" ref="Z54:AM54" si="92">Z51+Z42</f>
        <v>17589</v>
      </c>
      <c r="AA54" s="66">
        <f t="shared" si="92"/>
        <v>21968</v>
      </c>
      <c r="AB54" s="66">
        <f t="shared" si="92"/>
        <v>11443</v>
      </c>
      <c r="AC54" s="66">
        <f t="shared" si="92"/>
        <v>17428</v>
      </c>
      <c r="AD54" s="66">
        <f t="shared" si="92"/>
        <v>19057</v>
      </c>
      <c r="AE54" s="66">
        <f t="shared" si="92"/>
        <v>22819</v>
      </c>
      <c r="AF54" s="66">
        <f t="shared" si="92"/>
        <v>15734</v>
      </c>
      <c r="AG54" s="66">
        <f t="shared" si="92"/>
        <v>21075</v>
      </c>
      <c r="AH54" s="66">
        <f t="shared" si="92"/>
        <v>19997</v>
      </c>
      <c r="AI54" s="66">
        <f t="shared" si="92"/>
        <v>22038</v>
      </c>
      <c r="AJ54" s="66">
        <f t="shared" si="92"/>
        <v>20136</v>
      </c>
      <c r="AK54" s="66">
        <f t="shared" si="92"/>
        <v>20039</v>
      </c>
      <c r="AL54" s="66">
        <f t="shared" si="92"/>
        <v>229323</v>
      </c>
      <c r="AM54" s="82">
        <f t="shared" si="92"/>
        <v>87485</v>
      </c>
      <c r="AN54" s="1"/>
      <c r="AO54" s="66">
        <f t="shared" si="91"/>
        <v>1469</v>
      </c>
      <c r="AP54" s="66">
        <f t="shared" si="91"/>
        <v>1270</v>
      </c>
      <c r="AQ54" s="66">
        <f t="shared" si="91"/>
        <v>1128</v>
      </c>
      <c r="AR54" s="66">
        <f t="shared" si="91"/>
        <v>0</v>
      </c>
      <c r="AS54" s="66">
        <f t="shared" si="91"/>
        <v>8414</v>
      </c>
      <c r="AT54" s="66">
        <f t="shared" si="91"/>
        <v>6183</v>
      </c>
      <c r="AU54" s="66">
        <f t="shared" si="91"/>
        <v>578</v>
      </c>
      <c r="AV54" s="66">
        <f t="shared" si="91"/>
        <v>1719</v>
      </c>
      <c r="AW54" s="66">
        <f t="shared" si="91"/>
        <v>1179</v>
      </c>
      <c r="AX54" s="66">
        <f t="shared" si="91"/>
        <v>2030</v>
      </c>
      <c r="AY54" s="66">
        <f t="shared" si="91"/>
        <v>414</v>
      </c>
      <c r="AZ54" s="66">
        <f t="shared" si="91"/>
        <v>0</v>
      </c>
      <c r="BA54" s="66">
        <f t="shared" si="91"/>
        <v>24384</v>
      </c>
      <c r="BB54" s="69">
        <f t="shared" si="91"/>
        <v>12281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 ht="13.5" customHeight="1">
      <c r="A55" s="1"/>
      <c r="B55" s="1"/>
      <c r="C55" s="1"/>
      <c r="D55" s="72"/>
      <c r="E55" s="1"/>
      <c r="F55" s="72"/>
      <c r="G55" s="1"/>
      <c r="H55" s="2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3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3"/>
      <c r="AM55" s="22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3"/>
      <c r="BB55" s="22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1:68" ht="13.5" customHeight="1">
      <c r="A56" s="1"/>
      <c r="B56" s="83" t="s">
        <v>41</v>
      </c>
      <c r="C56" s="1"/>
      <c r="D56" s="72"/>
      <c r="E56" s="1"/>
      <c r="F56" s="72"/>
      <c r="G56" s="1"/>
      <c r="H56" s="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3"/>
      <c r="AM56" s="2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3"/>
      <c r="BB56" s="22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1:68" ht="13.5" customHeight="1">
      <c r="A57" s="1"/>
      <c r="B57" s="26" t="s">
        <v>35</v>
      </c>
      <c r="C57" s="27" t="s">
        <v>36</v>
      </c>
      <c r="D57" s="28">
        <f t="shared" ref="D57:D61" si="93">BB57</f>
        <v>341258.11</v>
      </c>
      <c r="E57" s="28">
        <f t="shared" ref="E57:E61" si="94">E13+E22+E36+E45</f>
        <v>783634</v>
      </c>
      <c r="F57" s="28">
        <f t="shared" ref="F57:F61" si="95">AM57</f>
        <v>322661</v>
      </c>
      <c r="G57" s="29">
        <f t="shared" ref="G57:G61" si="96">G13+G22+G36+G45</f>
        <v>390193.10000000003</v>
      </c>
      <c r="H57" s="30">
        <f t="shared" ref="H57:H63" si="97">G57/D57</f>
        <v>1.143395830211918</v>
      </c>
      <c r="I57" s="30">
        <f t="shared" ref="I57:I63" si="98">G57/E57</f>
        <v>0.49792773156856396</v>
      </c>
      <c r="J57" s="30">
        <f t="shared" ref="J57:J63" si="99">G57/F57</f>
        <v>1.2092973740241306</v>
      </c>
      <c r="K57" s="1"/>
      <c r="L57" s="28">
        <f t="shared" ref="L57:W61" si="100">L13+L22+L36+L45</f>
        <v>32084</v>
      </c>
      <c r="M57" s="28">
        <f t="shared" si="100"/>
        <v>77246.27</v>
      </c>
      <c r="N57" s="28">
        <f t="shared" si="100"/>
        <v>50277</v>
      </c>
      <c r="O57" s="28">
        <f t="shared" si="100"/>
        <v>136222</v>
      </c>
      <c r="P57" s="28">
        <f t="shared" si="100"/>
        <v>94363.83</v>
      </c>
      <c r="Q57" s="28">
        <f t="shared" si="100"/>
        <v>0</v>
      </c>
      <c r="R57" s="28">
        <f t="shared" si="100"/>
        <v>0</v>
      </c>
      <c r="S57" s="28">
        <f t="shared" si="100"/>
        <v>0</v>
      </c>
      <c r="T57" s="28">
        <f t="shared" si="100"/>
        <v>0</v>
      </c>
      <c r="U57" s="28">
        <f t="shared" si="100"/>
        <v>0</v>
      </c>
      <c r="V57" s="28">
        <f t="shared" si="100"/>
        <v>0</v>
      </c>
      <c r="W57" s="28">
        <f t="shared" si="100"/>
        <v>0</v>
      </c>
      <c r="X57" s="35">
        <f t="shared" ref="X57:X61" si="101">SUM(L57:W57)</f>
        <v>390193.10000000003</v>
      </c>
      <c r="Y57" s="1"/>
      <c r="Z57" s="28">
        <f t="shared" ref="Z57:AK57" si="102">Z13+Z22+Z36+Z45</f>
        <v>60103</v>
      </c>
      <c r="AA57" s="28">
        <f t="shared" si="102"/>
        <v>68251</v>
      </c>
      <c r="AB57" s="28">
        <f t="shared" si="102"/>
        <v>69635</v>
      </c>
      <c r="AC57" s="28">
        <f t="shared" si="102"/>
        <v>59554</v>
      </c>
      <c r="AD57" s="28">
        <f t="shared" si="102"/>
        <v>65118</v>
      </c>
      <c r="AE57" s="28">
        <f t="shared" si="102"/>
        <v>77939</v>
      </c>
      <c r="AF57" s="28">
        <f t="shared" si="102"/>
        <v>53756</v>
      </c>
      <c r="AG57" s="28">
        <f t="shared" si="102"/>
        <v>72013</v>
      </c>
      <c r="AH57" s="28">
        <f t="shared" si="102"/>
        <v>44675</v>
      </c>
      <c r="AI57" s="28">
        <f t="shared" si="102"/>
        <v>75274</v>
      </c>
      <c r="AJ57" s="28">
        <f t="shared" si="102"/>
        <v>68803</v>
      </c>
      <c r="AK57" s="28">
        <f t="shared" si="102"/>
        <v>68513</v>
      </c>
      <c r="AL57" s="84">
        <f>SUM(Z57:AK57)</f>
        <v>783634</v>
      </c>
      <c r="AM57" s="37">
        <f t="shared" ref="AM57:AM63" si="103">SUM(Z57:AD57)</f>
        <v>322661</v>
      </c>
      <c r="AN57" s="1"/>
      <c r="AO57" s="28">
        <f t="shared" ref="AO57:AZ61" si="104">AO13+AO22+AO36+AO45</f>
        <v>153407</v>
      </c>
      <c r="AP57" s="28">
        <f t="shared" si="104"/>
        <v>61781</v>
      </c>
      <c r="AQ57" s="28">
        <f t="shared" si="104"/>
        <v>71763.83</v>
      </c>
      <c r="AR57" s="28">
        <f t="shared" si="104"/>
        <v>14937.1</v>
      </c>
      <c r="AS57" s="28">
        <f t="shared" si="104"/>
        <v>39369.18</v>
      </c>
      <c r="AT57" s="28">
        <f t="shared" si="104"/>
        <v>75171</v>
      </c>
      <c r="AU57" s="28">
        <f t="shared" si="104"/>
        <v>140565.83000000002</v>
      </c>
      <c r="AV57" s="28">
        <f t="shared" si="104"/>
        <v>8929.34</v>
      </c>
      <c r="AW57" s="28">
        <f t="shared" si="104"/>
        <v>126218.32</v>
      </c>
      <c r="AX57" s="28">
        <f t="shared" si="104"/>
        <v>48394.1</v>
      </c>
      <c r="AY57" s="28">
        <f t="shared" si="104"/>
        <v>85094</v>
      </c>
      <c r="AZ57" s="28">
        <f t="shared" si="104"/>
        <v>40960</v>
      </c>
      <c r="BA57" s="35">
        <f t="shared" ref="BA57:BA61" si="105">SUM(AO57:AZ57)</f>
        <v>866590.69999999984</v>
      </c>
      <c r="BB57" s="40">
        <f t="shared" ref="BB57:BB61" si="106">SUM(AO57:AS57)</f>
        <v>341258.11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1:68" ht="13.5" customHeight="1">
      <c r="A58" s="1"/>
      <c r="B58" s="26" t="s">
        <v>35</v>
      </c>
      <c r="C58" s="41" t="s">
        <v>37</v>
      </c>
      <c r="D58" s="28">
        <f t="shared" si="93"/>
        <v>257975</v>
      </c>
      <c r="E58" s="28">
        <f t="shared" si="94"/>
        <v>814350</v>
      </c>
      <c r="F58" s="28">
        <f t="shared" si="95"/>
        <v>310665</v>
      </c>
      <c r="G58" s="29">
        <f t="shared" si="96"/>
        <v>190583</v>
      </c>
      <c r="H58" s="30">
        <f t="shared" si="97"/>
        <v>0.73876538424265914</v>
      </c>
      <c r="I58" s="30">
        <f t="shared" si="98"/>
        <v>0.2340308221280776</v>
      </c>
      <c r="J58" s="30">
        <f t="shared" si="99"/>
        <v>0.61346788341139169</v>
      </c>
      <c r="K58" s="1"/>
      <c r="L58" s="20">
        <f t="shared" si="100"/>
        <v>61865</v>
      </c>
      <c r="M58" s="20">
        <f t="shared" si="100"/>
        <v>23676</v>
      </c>
      <c r="N58" s="20">
        <f t="shared" si="100"/>
        <v>88806</v>
      </c>
      <c r="O58" s="20">
        <f t="shared" si="100"/>
        <v>1464</v>
      </c>
      <c r="P58" s="20">
        <f t="shared" si="100"/>
        <v>14772</v>
      </c>
      <c r="Q58" s="20">
        <f t="shared" si="100"/>
        <v>0</v>
      </c>
      <c r="R58" s="20">
        <f t="shared" si="100"/>
        <v>0</v>
      </c>
      <c r="S58" s="20">
        <f t="shared" si="100"/>
        <v>0</v>
      </c>
      <c r="T58" s="20">
        <f t="shared" si="100"/>
        <v>0</v>
      </c>
      <c r="U58" s="20">
        <f t="shared" si="100"/>
        <v>0</v>
      </c>
      <c r="V58" s="20">
        <f t="shared" si="100"/>
        <v>0</v>
      </c>
      <c r="W58" s="20">
        <f t="shared" si="100"/>
        <v>0</v>
      </c>
      <c r="X58" s="35">
        <f t="shared" si="101"/>
        <v>190583</v>
      </c>
      <c r="Y58" s="1"/>
      <c r="Z58" s="28">
        <f t="shared" ref="Z58:AL58" si="107">SUM(Z14+Z23+Z46+Z37)</f>
        <v>62458</v>
      </c>
      <c r="AA58" s="28">
        <f t="shared" si="107"/>
        <v>78013</v>
      </c>
      <c r="AB58" s="28">
        <f t="shared" si="107"/>
        <v>40634</v>
      </c>
      <c r="AC58" s="28">
        <f t="shared" si="107"/>
        <v>61889</v>
      </c>
      <c r="AD58" s="28">
        <f t="shared" si="107"/>
        <v>67671</v>
      </c>
      <c r="AE58" s="28">
        <f t="shared" si="107"/>
        <v>81031</v>
      </c>
      <c r="AF58" s="28">
        <f t="shared" si="107"/>
        <v>55876</v>
      </c>
      <c r="AG58" s="28">
        <f t="shared" si="107"/>
        <v>74842</v>
      </c>
      <c r="AH58" s="28">
        <f t="shared" si="107"/>
        <v>71009</v>
      </c>
      <c r="AI58" s="28">
        <f t="shared" si="107"/>
        <v>78261</v>
      </c>
      <c r="AJ58" s="28">
        <f t="shared" si="107"/>
        <v>71503</v>
      </c>
      <c r="AK58" s="28">
        <f t="shared" si="107"/>
        <v>71163</v>
      </c>
      <c r="AL58" s="85">
        <f t="shared" si="107"/>
        <v>814350</v>
      </c>
      <c r="AM58" s="37">
        <f t="shared" si="103"/>
        <v>310665</v>
      </c>
      <c r="AN58" s="1"/>
      <c r="AO58" s="28">
        <f t="shared" si="104"/>
        <v>61784</v>
      </c>
      <c r="AP58" s="28">
        <f t="shared" si="104"/>
        <v>36782</v>
      </c>
      <c r="AQ58" s="28">
        <f t="shared" si="104"/>
        <v>83371</v>
      </c>
      <c r="AR58" s="28">
        <f t="shared" si="104"/>
        <v>12013</v>
      </c>
      <c r="AS58" s="28">
        <f t="shared" si="104"/>
        <v>64025</v>
      </c>
      <c r="AT58" s="28">
        <f t="shared" si="104"/>
        <v>50480</v>
      </c>
      <c r="AU58" s="28">
        <f t="shared" si="104"/>
        <v>3645</v>
      </c>
      <c r="AV58" s="28">
        <f t="shared" si="104"/>
        <v>61990</v>
      </c>
      <c r="AW58" s="28">
        <f t="shared" si="104"/>
        <v>2142</v>
      </c>
      <c r="AX58" s="28">
        <f t="shared" si="104"/>
        <v>5689</v>
      </c>
      <c r="AY58" s="28">
        <f t="shared" si="104"/>
        <v>414</v>
      </c>
      <c r="AZ58" s="28">
        <f t="shared" si="104"/>
        <v>0</v>
      </c>
      <c r="BA58" s="35">
        <f t="shared" si="105"/>
        <v>382335</v>
      </c>
      <c r="BB58" s="40">
        <f t="shared" si="106"/>
        <v>257975</v>
      </c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1:68" ht="12.75" customHeight="1">
      <c r="A59" s="1"/>
      <c r="B59" s="28" t="s">
        <v>38</v>
      </c>
      <c r="C59" s="27" t="s">
        <v>36</v>
      </c>
      <c r="D59" s="28">
        <f t="shared" si="93"/>
        <v>19678</v>
      </c>
      <c r="E59" s="28">
        <f t="shared" si="94"/>
        <v>63707</v>
      </c>
      <c r="F59" s="28">
        <f t="shared" si="95"/>
        <v>24302</v>
      </c>
      <c r="G59" s="29">
        <f t="shared" si="96"/>
        <v>15107</v>
      </c>
      <c r="H59" s="30">
        <f t="shared" si="97"/>
        <v>0.76771013314361214</v>
      </c>
      <c r="I59" s="30">
        <f t="shared" si="98"/>
        <v>0.23713249721380697</v>
      </c>
      <c r="J59" s="30">
        <f t="shared" si="99"/>
        <v>0.62163607933503418</v>
      </c>
      <c r="K59" s="1"/>
      <c r="L59" s="28">
        <f t="shared" si="100"/>
        <v>1025</v>
      </c>
      <c r="M59" s="28">
        <f t="shared" si="100"/>
        <v>4383</v>
      </c>
      <c r="N59" s="28">
        <f t="shared" si="100"/>
        <v>3751</v>
      </c>
      <c r="O59" s="28">
        <f t="shared" si="100"/>
        <v>3803</v>
      </c>
      <c r="P59" s="28">
        <f t="shared" si="100"/>
        <v>2145</v>
      </c>
      <c r="Q59" s="28">
        <f t="shared" si="100"/>
        <v>0</v>
      </c>
      <c r="R59" s="28">
        <f t="shared" si="100"/>
        <v>0</v>
      </c>
      <c r="S59" s="28">
        <f t="shared" si="100"/>
        <v>0</v>
      </c>
      <c r="T59" s="28">
        <f t="shared" si="100"/>
        <v>0</v>
      </c>
      <c r="U59" s="28">
        <f t="shared" si="100"/>
        <v>0</v>
      </c>
      <c r="V59" s="28">
        <f t="shared" si="100"/>
        <v>0</v>
      </c>
      <c r="W59" s="28">
        <f t="shared" si="100"/>
        <v>0</v>
      </c>
      <c r="X59" s="35">
        <f t="shared" si="101"/>
        <v>15107</v>
      </c>
      <c r="Y59" s="1"/>
      <c r="Z59" s="28">
        <f t="shared" ref="Z59:AK61" si="108">Z15+Z24+Z38+Z47</f>
        <v>4886</v>
      </c>
      <c r="AA59" s="28">
        <f t="shared" si="108"/>
        <v>6103</v>
      </c>
      <c r="AB59" s="28">
        <f t="shared" si="108"/>
        <v>3178</v>
      </c>
      <c r="AC59" s="28">
        <f t="shared" si="108"/>
        <v>4841</v>
      </c>
      <c r="AD59" s="28">
        <f t="shared" si="108"/>
        <v>5294</v>
      </c>
      <c r="AE59" s="28">
        <f t="shared" si="108"/>
        <v>6338</v>
      </c>
      <c r="AF59" s="28">
        <f t="shared" si="108"/>
        <v>4376</v>
      </c>
      <c r="AG59" s="28">
        <f t="shared" si="108"/>
        <v>5854</v>
      </c>
      <c r="AH59" s="28">
        <f t="shared" si="108"/>
        <v>5555</v>
      </c>
      <c r="AI59" s="28">
        <f t="shared" si="108"/>
        <v>6122</v>
      </c>
      <c r="AJ59" s="28">
        <f t="shared" si="108"/>
        <v>5593</v>
      </c>
      <c r="AK59" s="28">
        <f t="shared" si="108"/>
        <v>5567</v>
      </c>
      <c r="AL59" s="84">
        <f t="shared" ref="AL59:AL61" si="109">SUM(Z59:AK59)</f>
        <v>63707</v>
      </c>
      <c r="AM59" s="37">
        <f t="shared" si="103"/>
        <v>24302</v>
      </c>
      <c r="AN59" s="1"/>
      <c r="AO59" s="28">
        <f t="shared" si="104"/>
        <v>6210</v>
      </c>
      <c r="AP59" s="28">
        <f t="shared" si="104"/>
        <v>8106</v>
      </c>
      <c r="AQ59" s="28">
        <f t="shared" si="104"/>
        <v>1776</v>
      </c>
      <c r="AR59" s="28">
        <f t="shared" si="104"/>
        <v>3586</v>
      </c>
      <c r="AS59" s="28">
        <f t="shared" si="104"/>
        <v>0</v>
      </c>
      <c r="AT59" s="28">
        <f t="shared" si="104"/>
        <v>1025</v>
      </c>
      <c r="AU59" s="28">
        <f t="shared" si="104"/>
        <v>6000</v>
      </c>
      <c r="AV59" s="28">
        <f t="shared" si="104"/>
        <v>1025</v>
      </c>
      <c r="AW59" s="28">
        <f t="shared" si="104"/>
        <v>1025</v>
      </c>
      <c r="AX59" s="28">
        <f t="shared" si="104"/>
        <v>0</v>
      </c>
      <c r="AY59" s="28">
        <f t="shared" si="104"/>
        <v>8825</v>
      </c>
      <c r="AZ59" s="28">
        <f t="shared" si="104"/>
        <v>0</v>
      </c>
      <c r="BA59" s="35">
        <f t="shared" si="105"/>
        <v>37578</v>
      </c>
      <c r="BB59" s="40">
        <f t="shared" si="106"/>
        <v>19678</v>
      </c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1:68" ht="12.75" customHeight="1">
      <c r="A60" s="1"/>
      <c r="B60" s="28" t="s">
        <v>39</v>
      </c>
      <c r="C60" s="27" t="s">
        <v>36</v>
      </c>
      <c r="D60" s="28">
        <f t="shared" si="93"/>
        <v>211709</v>
      </c>
      <c r="E60" s="28">
        <f t="shared" si="94"/>
        <v>659090</v>
      </c>
      <c r="F60" s="28">
        <f t="shared" si="95"/>
        <v>251455</v>
      </c>
      <c r="G60" s="29">
        <f t="shared" si="96"/>
        <v>211818</v>
      </c>
      <c r="H60" s="30">
        <f t="shared" si="97"/>
        <v>1.0005148576583895</v>
      </c>
      <c r="I60" s="30">
        <f t="shared" si="98"/>
        <v>0.32137947776479692</v>
      </c>
      <c r="J60" s="30">
        <f t="shared" si="99"/>
        <v>0.84236941003360444</v>
      </c>
      <c r="K60" s="1"/>
      <c r="L60" s="28">
        <f t="shared" si="100"/>
        <v>47050</v>
      </c>
      <c r="M60" s="28">
        <f t="shared" si="100"/>
        <v>26829</v>
      </c>
      <c r="N60" s="28">
        <f t="shared" si="100"/>
        <v>50794</v>
      </c>
      <c r="O60" s="28">
        <f t="shared" si="100"/>
        <v>41256</v>
      </c>
      <c r="P60" s="28">
        <f t="shared" si="100"/>
        <v>45889</v>
      </c>
      <c r="Q60" s="28">
        <f t="shared" si="100"/>
        <v>0</v>
      </c>
      <c r="R60" s="28">
        <f t="shared" si="100"/>
        <v>0</v>
      </c>
      <c r="S60" s="28">
        <f t="shared" si="100"/>
        <v>0</v>
      </c>
      <c r="T60" s="28">
        <f t="shared" si="100"/>
        <v>0</v>
      </c>
      <c r="U60" s="28">
        <f t="shared" si="100"/>
        <v>0</v>
      </c>
      <c r="V60" s="28">
        <f t="shared" si="100"/>
        <v>0</v>
      </c>
      <c r="W60" s="28">
        <f t="shared" si="100"/>
        <v>0</v>
      </c>
      <c r="X60" s="35">
        <f t="shared" si="101"/>
        <v>211818</v>
      </c>
      <c r="Y60" s="1"/>
      <c r="Z60" s="28">
        <f t="shared" si="108"/>
        <v>50557</v>
      </c>
      <c r="AA60" s="28">
        <f t="shared" si="108"/>
        <v>63143</v>
      </c>
      <c r="AB60" s="28">
        <f t="shared" si="108"/>
        <v>32896</v>
      </c>
      <c r="AC60" s="28">
        <f t="shared" si="108"/>
        <v>50088</v>
      </c>
      <c r="AD60" s="28">
        <f t="shared" si="108"/>
        <v>54771</v>
      </c>
      <c r="AE60" s="28">
        <f t="shared" si="108"/>
        <v>65580</v>
      </c>
      <c r="AF60" s="28">
        <f t="shared" si="108"/>
        <v>45213</v>
      </c>
      <c r="AG60" s="28">
        <f t="shared" si="108"/>
        <v>60570</v>
      </c>
      <c r="AH60" s="28">
        <f t="shared" si="108"/>
        <v>57473</v>
      </c>
      <c r="AI60" s="28">
        <f t="shared" si="108"/>
        <v>63338</v>
      </c>
      <c r="AJ60" s="28">
        <f t="shared" si="108"/>
        <v>57858</v>
      </c>
      <c r="AK60" s="28">
        <f t="shared" si="108"/>
        <v>57603</v>
      </c>
      <c r="AL60" s="84">
        <f t="shared" si="109"/>
        <v>659090</v>
      </c>
      <c r="AM60" s="37">
        <f t="shared" si="103"/>
        <v>251455</v>
      </c>
      <c r="AN60" s="1"/>
      <c r="AO60" s="28">
        <f t="shared" si="104"/>
        <v>40835</v>
      </c>
      <c r="AP60" s="28">
        <f t="shared" si="104"/>
        <v>45948</v>
      </c>
      <c r="AQ60" s="28">
        <f t="shared" si="104"/>
        <v>69494</v>
      </c>
      <c r="AR60" s="28">
        <f t="shared" si="104"/>
        <v>31597</v>
      </c>
      <c r="AS60" s="28">
        <f t="shared" si="104"/>
        <v>23835</v>
      </c>
      <c r="AT60" s="28">
        <f t="shared" si="104"/>
        <v>37143</v>
      </c>
      <c r="AU60" s="28">
        <f t="shared" si="104"/>
        <v>44207</v>
      </c>
      <c r="AV60" s="28">
        <f t="shared" si="104"/>
        <v>36306</v>
      </c>
      <c r="AW60" s="28">
        <f t="shared" si="104"/>
        <v>9630</v>
      </c>
      <c r="AX60" s="28">
        <f t="shared" si="104"/>
        <v>29000</v>
      </c>
      <c r="AY60" s="28">
        <f t="shared" si="104"/>
        <v>28449</v>
      </c>
      <c r="AZ60" s="28">
        <f t="shared" si="104"/>
        <v>64420</v>
      </c>
      <c r="BA60" s="35">
        <f t="shared" si="105"/>
        <v>460864</v>
      </c>
      <c r="BB60" s="40">
        <f t="shared" si="106"/>
        <v>211709</v>
      </c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1:68" ht="12.75" customHeight="1">
      <c r="A61" s="1"/>
      <c r="B61" s="28" t="s">
        <v>40</v>
      </c>
      <c r="C61" s="27" t="s">
        <v>36</v>
      </c>
      <c r="D61" s="28">
        <f t="shared" si="93"/>
        <v>864873</v>
      </c>
      <c r="E61" s="28">
        <f t="shared" si="94"/>
        <v>3215327</v>
      </c>
      <c r="F61" s="28">
        <f t="shared" si="95"/>
        <v>1272371</v>
      </c>
      <c r="G61" s="29">
        <f t="shared" si="96"/>
        <v>1042861.41</v>
      </c>
      <c r="H61" s="30">
        <f t="shared" si="97"/>
        <v>1.205797163282933</v>
      </c>
      <c r="I61" s="30">
        <f t="shared" si="98"/>
        <v>0.32434070002833304</v>
      </c>
      <c r="J61" s="30">
        <f t="shared" si="99"/>
        <v>0.81962054306487653</v>
      </c>
      <c r="K61" s="1"/>
      <c r="L61" s="28">
        <f t="shared" si="100"/>
        <v>154139.79999999999</v>
      </c>
      <c r="M61" s="28">
        <f t="shared" si="100"/>
        <v>299097.48</v>
      </c>
      <c r="N61" s="28">
        <f t="shared" si="100"/>
        <v>178024</v>
      </c>
      <c r="O61" s="28">
        <f t="shared" si="100"/>
        <v>148540.13</v>
      </c>
      <c r="P61" s="28">
        <f t="shared" si="100"/>
        <v>263060</v>
      </c>
      <c r="Q61" s="28">
        <f t="shared" si="100"/>
        <v>0</v>
      </c>
      <c r="R61" s="28">
        <f t="shared" si="100"/>
        <v>0</v>
      </c>
      <c r="S61" s="28">
        <f t="shared" si="100"/>
        <v>0</v>
      </c>
      <c r="T61" s="28">
        <f t="shared" si="100"/>
        <v>0</v>
      </c>
      <c r="U61" s="28">
        <f t="shared" si="100"/>
        <v>0</v>
      </c>
      <c r="V61" s="28">
        <f t="shared" si="100"/>
        <v>0</v>
      </c>
      <c r="W61" s="28">
        <f t="shared" si="100"/>
        <v>0</v>
      </c>
      <c r="X61" s="35">
        <f t="shared" si="101"/>
        <v>1042861.41</v>
      </c>
      <c r="Y61" s="86"/>
      <c r="Z61" s="28">
        <f t="shared" si="108"/>
        <v>279047</v>
      </c>
      <c r="AA61" s="28">
        <f t="shared" si="108"/>
        <v>237682</v>
      </c>
      <c r="AB61" s="28">
        <f t="shared" si="108"/>
        <v>239716</v>
      </c>
      <c r="AC61" s="28">
        <f t="shared" si="108"/>
        <v>259537</v>
      </c>
      <c r="AD61" s="28">
        <f t="shared" si="108"/>
        <v>256389</v>
      </c>
      <c r="AE61" s="28">
        <f t="shared" si="108"/>
        <v>257421</v>
      </c>
      <c r="AF61" s="28">
        <f t="shared" si="108"/>
        <v>274873</v>
      </c>
      <c r="AG61" s="28">
        <f t="shared" si="108"/>
        <v>294037</v>
      </c>
      <c r="AH61" s="28">
        <f t="shared" si="108"/>
        <v>283454</v>
      </c>
      <c r="AI61" s="28">
        <f t="shared" si="108"/>
        <v>284549</v>
      </c>
      <c r="AJ61" s="28">
        <f t="shared" si="108"/>
        <v>267564</v>
      </c>
      <c r="AK61" s="28">
        <f t="shared" si="108"/>
        <v>281058</v>
      </c>
      <c r="AL61" s="84">
        <f t="shared" si="109"/>
        <v>3215327</v>
      </c>
      <c r="AM61" s="37">
        <f t="shared" si="103"/>
        <v>1272371</v>
      </c>
      <c r="AN61" s="1"/>
      <c r="AO61" s="28">
        <f t="shared" si="104"/>
        <v>202915</v>
      </c>
      <c r="AP61" s="28">
        <f t="shared" si="104"/>
        <v>200219</v>
      </c>
      <c r="AQ61" s="28">
        <f t="shared" si="104"/>
        <v>169536</v>
      </c>
      <c r="AR61" s="28">
        <f t="shared" si="104"/>
        <v>183310</v>
      </c>
      <c r="AS61" s="28">
        <f t="shared" si="104"/>
        <v>108893</v>
      </c>
      <c r="AT61" s="28">
        <f t="shared" si="104"/>
        <v>196028.45</v>
      </c>
      <c r="AU61" s="28">
        <f t="shared" si="104"/>
        <v>211171</v>
      </c>
      <c r="AV61" s="28">
        <f t="shared" si="104"/>
        <v>170141</v>
      </c>
      <c r="AW61" s="28">
        <f t="shared" si="104"/>
        <v>251520</v>
      </c>
      <c r="AX61" s="28">
        <f t="shared" si="104"/>
        <v>250011</v>
      </c>
      <c r="AY61" s="28">
        <f t="shared" si="104"/>
        <v>303353.61</v>
      </c>
      <c r="AZ61" s="28">
        <f t="shared" si="104"/>
        <v>181309.59</v>
      </c>
      <c r="BA61" s="35">
        <f t="shared" si="105"/>
        <v>2428407.65</v>
      </c>
      <c r="BB61" s="40">
        <f t="shared" si="106"/>
        <v>864873</v>
      </c>
      <c r="BC61" s="86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1:68" ht="41.25" customHeight="1">
      <c r="A62" s="1"/>
      <c r="B62" s="87" t="s">
        <v>41</v>
      </c>
      <c r="C62" s="49" t="s">
        <v>36</v>
      </c>
      <c r="D62" s="50">
        <f t="shared" ref="D62:G62" si="110">SUM(D57+D59+D60+D61)</f>
        <v>1437518.1099999999</v>
      </c>
      <c r="E62" s="50">
        <f t="shared" si="110"/>
        <v>4721758</v>
      </c>
      <c r="F62" s="50">
        <f t="shared" si="110"/>
        <v>1870789</v>
      </c>
      <c r="G62" s="50">
        <f t="shared" si="110"/>
        <v>1659979.5100000002</v>
      </c>
      <c r="H62" s="51">
        <f t="shared" si="97"/>
        <v>1.1547538068929095</v>
      </c>
      <c r="I62" s="51">
        <f t="shared" si="98"/>
        <v>0.35155963308581256</v>
      </c>
      <c r="J62" s="51">
        <f t="shared" si="99"/>
        <v>0.887315196957006</v>
      </c>
      <c r="K62" s="1"/>
      <c r="L62" s="88">
        <f t="shared" ref="L62:V62" si="111">SUM(L57+L59+L60+L61)</f>
        <v>234298.8</v>
      </c>
      <c r="M62" s="88">
        <f t="shared" si="111"/>
        <v>407555.75</v>
      </c>
      <c r="N62" s="88">
        <f t="shared" si="111"/>
        <v>282846</v>
      </c>
      <c r="O62" s="88">
        <f t="shared" si="111"/>
        <v>329821.13</v>
      </c>
      <c r="P62" s="88">
        <f t="shared" si="111"/>
        <v>405457.83</v>
      </c>
      <c r="Q62" s="88">
        <f t="shared" si="111"/>
        <v>0</v>
      </c>
      <c r="R62" s="88">
        <f t="shared" si="111"/>
        <v>0</v>
      </c>
      <c r="S62" s="88">
        <f t="shared" si="111"/>
        <v>0</v>
      </c>
      <c r="T62" s="88">
        <f t="shared" si="111"/>
        <v>0</v>
      </c>
      <c r="U62" s="88">
        <f t="shared" si="111"/>
        <v>0</v>
      </c>
      <c r="V62" s="88">
        <f t="shared" si="111"/>
        <v>0</v>
      </c>
      <c r="W62" s="88">
        <f t="shared" ref="W62:W63" si="112">SUM(W57:W61)</f>
        <v>0</v>
      </c>
      <c r="X62" s="88">
        <f>SUM(X57+X59+X60+X61)</f>
        <v>1659979.5100000002</v>
      </c>
      <c r="Y62" s="1"/>
      <c r="Z62" s="88">
        <f t="shared" ref="Z62:AL62" si="113">SUM(Z57+Z59+Z60+Z61)</f>
        <v>394593</v>
      </c>
      <c r="AA62" s="88">
        <f t="shared" si="113"/>
        <v>375179</v>
      </c>
      <c r="AB62" s="88">
        <f t="shared" si="113"/>
        <v>345425</v>
      </c>
      <c r="AC62" s="88">
        <f t="shared" si="113"/>
        <v>374020</v>
      </c>
      <c r="AD62" s="88">
        <f t="shared" si="113"/>
        <v>381572</v>
      </c>
      <c r="AE62" s="88">
        <f t="shared" si="113"/>
        <v>407278</v>
      </c>
      <c r="AF62" s="88">
        <f t="shared" si="113"/>
        <v>378218</v>
      </c>
      <c r="AG62" s="88">
        <f t="shared" si="113"/>
        <v>432474</v>
      </c>
      <c r="AH62" s="88">
        <f t="shared" si="113"/>
        <v>391157</v>
      </c>
      <c r="AI62" s="88">
        <f t="shared" si="113"/>
        <v>429283</v>
      </c>
      <c r="AJ62" s="88">
        <f t="shared" si="113"/>
        <v>399818</v>
      </c>
      <c r="AK62" s="88">
        <f t="shared" si="113"/>
        <v>412741</v>
      </c>
      <c r="AL62" s="88">
        <f t="shared" si="113"/>
        <v>4721758</v>
      </c>
      <c r="AM62" s="37">
        <f t="shared" si="103"/>
        <v>1870789</v>
      </c>
      <c r="AN62" s="1"/>
      <c r="AO62" s="88">
        <f t="shared" ref="AO62:AY62" si="114">SUM(AO57+AO59+AO60+AO61)</f>
        <v>403367</v>
      </c>
      <c r="AP62" s="88">
        <f t="shared" si="114"/>
        <v>316054</v>
      </c>
      <c r="AQ62" s="88">
        <f t="shared" si="114"/>
        <v>312569.83</v>
      </c>
      <c r="AR62" s="88">
        <f t="shared" si="114"/>
        <v>233430.1</v>
      </c>
      <c r="AS62" s="88">
        <f t="shared" si="114"/>
        <v>172097.18</v>
      </c>
      <c r="AT62" s="88">
        <f t="shared" si="114"/>
        <v>309367.45</v>
      </c>
      <c r="AU62" s="88">
        <f t="shared" si="114"/>
        <v>401943.83</v>
      </c>
      <c r="AV62" s="88">
        <f t="shared" si="114"/>
        <v>216401.34</v>
      </c>
      <c r="AW62" s="88">
        <f t="shared" si="114"/>
        <v>388393.32</v>
      </c>
      <c r="AX62" s="88">
        <f t="shared" si="114"/>
        <v>327405.09999999998</v>
      </c>
      <c r="AY62" s="88">
        <f t="shared" si="114"/>
        <v>425721.61</v>
      </c>
      <c r="AZ62" s="88">
        <f t="shared" ref="AZ62:AZ63" si="115">SUM(AZ57:AZ61)</f>
        <v>286689.58999999997</v>
      </c>
      <c r="BA62" s="88">
        <f>SUM(BA57+BA59+BA60+BA61)</f>
        <v>3793440.3499999996</v>
      </c>
      <c r="BB62" s="89">
        <f>BB57+BB59+BB60+BB61</f>
        <v>1437518.1099999999</v>
      </c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1:68" ht="33" customHeight="1">
      <c r="A63" s="1"/>
      <c r="B63" s="90"/>
      <c r="C63" s="91" t="s">
        <v>37</v>
      </c>
      <c r="D63" s="92">
        <f t="shared" ref="D63:G63" si="116">D58</f>
        <v>257975</v>
      </c>
      <c r="E63" s="92">
        <f t="shared" si="116"/>
        <v>814350</v>
      </c>
      <c r="F63" s="92">
        <f t="shared" si="116"/>
        <v>310665</v>
      </c>
      <c r="G63" s="92">
        <f t="shared" si="116"/>
        <v>190583</v>
      </c>
      <c r="H63" s="51">
        <f t="shared" si="97"/>
        <v>0.73876538424265914</v>
      </c>
      <c r="I63" s="51">
        <f t="shared" si="98"/>
        <v>0.2340308221280776</v>
      </c>
      <c r="J63" s="51">
        <f t="shared" si="99"/>
        <v>0.61346788341139169</v>
      </c>
      <c r="K63" s="1"/>
      <c r="L63" s="88">
        <f t="shared" ref="L63:V63" si="117">L58</f>
        <v>61865</v>
      </c>
      <c r="M63" s="88">
        <f t="shared" si="117"/>
        <v>23676</v>
      </c>
      <c r="N63" s="88">
        <f t="shared" si="117"/>
        <v>88806</v>
      </c>
      <c r="O63" s="88">
        <f t="shared" si="117"/>
        <v>1464</v>
      </c>
      <c r="P63" s="88">
        <f t="shared" si="117"/>
        <v>14772</v>
      </c>
      <c r="Q63" s="88">
        <f t="shared" si="117"/>
        <v>0</v>
      </c>
      <c r="R63" s="88">
        <f t="shared" si="117"/>
        <v>0</v>
      </c>
      <c r="S63" s="88">
        <f t="shared" si="117"/>
        <v>0</v>
      </c>
      <c r="T63" s="88">
        <f t="shared" si="117"/>
        <v>0</v>
      </c>
      <c r="U63" s="88">
        <f t="shared" si="117"/>
        <v>0</v>
      </c>
      <c r="V63" s="88">
        <f t="shared" si="117"/>
        <v>0</v>
      </c>
      <c r="W63" s="88">
        <f t="shared" si="112"/>
        <v>0</v>
      </c>
      <c r="X63" s="88">
        <f>X58</f>
        <v>190583</v>
      </c>
      <c r="Y63" s="1"/>
      <c r="Z63" s="88">
        <f t="shared" ref="Z63:AL63" si="118">Z58</f>
        <v>62458</v>
      </c>
      <c r="AA63" s="88">
        <f t="shared" si="118"/>
        <v>78013</v>
      </c>
      <c r="AB63" s="88">
        <f t="shared" si="118"/>
        <v>40634</v>
      </c>
      <c r="AC63" s="88">
        <f t="shared" si="118"/>
        <v>61889</v>
      </c>
      <c r="AD63" s="88">
        <f t="shared" si="118"/>
        <v>67671</v>
      </c>
      <c r="AE63" s="88">
        <f t="shared" si="118"/>
        <v>81031</v>
      </c>
      <c r="AF63" s="88">
        <f t="shared" si="118"/>
        <v>55876</v>
      </c>
      <c r="AG63" s="88">
        <f t="shared" si="118"/>
        <v>74842</v>
      </c>
      <c r="AH63" s="88">
        <f t="shared" si="118"/>
        <v>71009</v>
      </c>
      <c r="AI63" s="88">
        <f t="shared" si="118"/>
        <v>78261</v>
      </c>
      <c r="AJ63" s="88">
        <f t="shared" si="118"/>
        <v>71503</v>
      </c>
      <c r="AK63" s="88">
        <f t="shared" si="118"/>
        <v>71163</v>
      </c>
      <c r="AL63" s="88">
        <f t="shared" si="118"/>
        <v>814350</v>
      </c>
      <c r="AM63" s="37">
        <f t="shared" si="103"/>
        <v>310665</v>
      </c>
      <c r="AN63" s="1"/>
      <c r="AO63" s="88">
        <f t="shared" ref="AO63:AY63" si="119">AO58</f>
        <v>61784</v>
      </c>
      <c r="AP63" s="88">
        <f t="shared" si="119"/>
        <v>36782</v>
      </c>
      <c r="AQ63" s="88">
        <f t="shared" si="119"/>
        <v>83371</v>
      </c>
      <c r="AR63" s="88">
        <f t="shared" si="119"/>
        <v>12013</v>
      </c>
      <c r="AS63" s="88">
        <f t="shared" si="119"/>
        <v>64025</v>
      </c>
      <c r="AT63" s="88">
        <f t="shared" si="119"/>
        <v>50480</v>
      </c>
      <c r="AU63" s="88">
        <f t="shared" si="119"/>
        <v>3645</v>
      </c>
      <c r="AV63" s="88">
        <f t="shared" si="119"/>
        <v>61990</v>
      </c>
      <c r="AW63" s="88">
        <f t="shared" si="119"/>
        <v>2142</v>
      </c>
      <c r="AX63" s="88">
        <f t="shared" si="119"/>
        <v>5689</v>
      </c>
      <c r="AY63" s="88">
        <f t="shared" si="119"/>
        <v>414</v>
      </c>
      <c r="AZ63" s="88">
        <f t="shared" si="115"/>
        <v>532419.17999999993</v>
      </c>
      <c r="BA63" s="88">
        <f t="shared" ref="BA63:BB63" si="120">BA58</f>
        <v>382335</v>
      </c>
      <c r="BB63" s="93">
        <f t="shared" si="120"/>
        <v>257975</v>
      </c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1:68" ht="12.75" customHeight="1">
      <c r="A64" s="1"/>
      <c r="B64" s="1"/>
      <c r="C64" s="1"/>
      <c r="D64" s="1"/>
      <c r="E64" s="1"/>
      <c r="F64" s="1"/>
      <c r="G64" s="94">
        <f>G62+G63</f>
        <v>1850562.5100000002</v>
      </c>
      <c r="H64" s="2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3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3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3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1:68" ht="12.75" customHeight="1">
      <c r="A65" s="1"/>
      <c r="B65" s="1"/>
      <c r="C65" s="1"/>
      <c r="D65" s="1"/>
      <c r="E65" s="1"/>
      <c r="F65" s="1"/>
      <c r="G65" s="1"/>
      <c r="H65" s="2"/>
      <c r="I65" s="2"/>
      <c r="J65" s="2"/>
      <c r="K65" s="1"/>
      <c r="L65" s="1"/>
      <c r="M65" s="1"/>
      <c r="N65" s="1"/>
      <c r="O65" s="1"/>
      <c r="P65" s="95"/>
      <c r="Q65" s="1"/>
      <c r="R65" s="1"/>
      <c r="S65" s="1"/>
      <c r="T65" s="1"/>
      <c r="U65" s="1"/>
      <c r="V65" s="1"/>
      <c r="W65" s="1"/>
      <c r="X65" s="96">
        <f>X62+X63</f>
        <v>1850562.5100000002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3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3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1:68" ht="12.75" customHeight="1">
      <c r="A66" s="1"/>
      <c r="B66" s="1"/>
      <c r="C66" s="1"/>
      <c r="D66" s="1"/>
      <c r="E66" s="1"/>
      <c r="F66" s="1"/>
      <c r="G66" s="1"/>
      <c r="H66" s="2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3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3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1:68" ht="12.75" customHeight="1">
      <c r="A67" s="1"/>
      <c r="B67" s="1"/>
      <c r="C67" s="1"/>
      <c r="D67" s="1"/>
      <c r="E67" s="1"/>
      <c r="F67" s="1"/>
      <c r="G67" s="1"/>
      <c r="H67" s="2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3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3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1:68" ht="12.75" customHeight="1">
      <c r="A68" s="1"/>
      <c r="B68" s="1"/>
      <c r="C68" s="1"/>
      <c r="D68" s="1"/>
      <c r="E68" s="1"/>
      <c r="F68" s="1"/>
      <c r="G68" s="1"/>
      <c r="H68" s="2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3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3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1:68" ht="12.75" customHeight="1">
      <c r="A69" s="1"/>
      <c r="B69" s="1"/>
      <c r="C69" s="1"/>
      <c r="D69" s="1"/>
      <c r="E69" s="1"/>
      <c r="F69" s="1"/>
      <c r="G69" s="1"/>
      <c r="H69" s="2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3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3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spans="1:68" ht="12.75" customHeight="1">
      <c r="A70" s="1"/>
      <c r="B70" s="1"/>
      <c r="C70" s="1"/>
      <c r="D70" s="1"/>
      <c r="E70" s="1"/>
      <c r="F70" s="1"/>
      <c r="G70" s="1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3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3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3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spans="1:68" ht="12.75" customHeight="1">
      <c r="A71" s="1"/>
      <c r="B71" s="1"/>
      <c r="C71" s="1"/>
      <c r="D71" s="1"/>
      <c r="E71" s="1"/>
      <c r="F71" s="1"/>
      <c r="G71" s="1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3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3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spans="1:68" ht="12.75" customHeight="1">
      <c r="A72" s="1"/>
      <c r="B72" s="1"/>
      <c r="C72" s="1"/>
      <c r="D72" s="1"/>
      <c r="E72" s="1"/>
      <c r="F72" s="1"/>
      <c r="G72" s="1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3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3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spans="1:68" ht="12.75" customHeight="1">
      <c r="A73" s="1"/>
      <c r="B73" s="1"/>
      <c r="C73" s="1"/>
      <c r="D73" s="1"/>
      <c r="E73" s="1"/>
      <c r="F73" s="1"/>
      <c r="G73" s="1"/>
      <c r="H73" s="2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3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3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spans="1:68" ht="12.75" customHeight="1">
      <c r="A74" s="1"/>
      <c r="B74" s="1"/>
      <c r="C74" s="1"/>
      <c r="D74" s="1"/>
      <c r="E74" s="1"/>
      <c r="F74" s="1"/>
      <c r="G74" s="1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3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3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1:68" ht="12.75" customHeight="1">
      <c r="A75" s="1"/>
      <c r="B75" s="1"/>
      <c r="C75" s="1"/>
      <c r="D75" s="1"/>
      <c r="E75" s="1"/>
      <c r="F75" s="1"/>
      <c r="G75" s="1"/>
      <c r="H75" s="2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3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3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3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spans="1:68" ht="12.75" customHeight="1">
      <c r="A76" s="1"/>
      <c r="B76" s="1"/>
      <c r="C76" s="1"/>
      <c r="D76" s="1"/>
      <c r="E76" s="1"/>
      <c r="F76" s="1"/>
      <c r="G76" s="1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3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3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3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1:68" ht="12.75" customHeight="1">
      <c r="A77" s="1"/>
      <c r="B77" s="1"/>
      <c r="C77" s="1"/>
      <c r="D77" s="1"/>
      <c r="E77" s="1"/>
      <c r="F77" s="1"/>
      <c r="G77" s="1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3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3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3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1:68" ht="12.75" customHeight="1">
      <c r="A78" s="1"/>
      <c r="B78" s="1"/>
      <c r="C78" s="1"/>
      <c r="D78" s="1"/>
      <c r="E78" s="1"/>
      <c r="F78" s="1"/>
      <c r="G78" s="1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3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3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3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1:68" ht="12.75" customHeight="1">
      <c r="A79" s="1"/>
      <c r="B79" s="1"/>
      <c r="C79" s="1"/>
      <c r="D79" s="1"/>
      <c r="E79" s="1"/>
      <c r="F79" s="1"/>
      <c r="G79" s="1"/>
      <c r="H79" s="2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3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3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3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1:68" ht="12.75" customHeight="1">
      <c r="A80" s="1"/>
      <c r="B80" s="1"/>
      <c r="C80" s="1"/>
      <c r="D80" s="1"/>
      <c r="E80" s="1"/>
      <c r="F80" s="1"/>
      <c r="G80" s="1"/>
      <c r="H80" s="2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3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3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3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1:68" ht="12.75" customHeight="1">
      <c r="A81" s="1"/>
      <c r="B81" s="1"/>
      <c r="C81" s="1"/>
      <c r="D81" s="1"/>
      <c r="E81" s="1"/>
      <c r="F81" s="1"/>
      <c r="G81" s="1"/>
      <c r="H81" s="2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3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3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3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1:68" ht="12.75" customHeight="1">
      <c r="A82" s="1"/>
      <c r="B82" s="1"/>
      <c r="C82" s="1"/>
      <c r="D82" s="1"/>
      <c r="E82" s="1"/>
      <c r="F82" s="1"/>
      <c r="G82" s="1"/>
      <c r="H82" s="2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3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3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3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spans="1:68" ht="12.75" customHeight="1">
      <c r="A83" s="1"/>
      <c r="B83" s="1"/>
      <c r="C83" s="1"/>
      <c r="D83" s="1"/>
      <c r="E83" s="1"/>
      <c r="F83" s="1"/>
      <c r="G83" s="1"/>
      <c r="H83" s="2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3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3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3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spans="1:68" ht="12.75" customHeight="1">
      <c r="A84" s="1"/>
      <c r="B84" s="1"/>
      <c r="C84" s="1"/>
      <c r="D84" s="1"/>
      <c r="E84" s="1"/>
      <c r="F84" s="1"/>
      <c r="G84" s="1"/>
      <c r="H84" s="2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3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3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3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spans="1:68" ht="12.75" customHeight="1">
      <c r="A85" s="1"/>
      <c r="B85" s="1"/>
      <c r="C85" s="1"/>
      <c r="D85" s="1"/>
      <c r="E85" s="1"/>
      <c r="F85" s="1"/>
      <c r="G85" s="1"/>
      <c r="H85" s="2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3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3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3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spans="1:68" ht="12.75" customHeight="1">
      <c r="A86" s="1"/>
      <c r="B86" s="1"/>
      <c r="C86" s="1"/>
      <c r="D86" s="1"/>
      <c r="E86" s="1"/>
      <c r="F86" s="1"/>
      <c r="G86" s="1"/>
      <c r="H86" s="2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3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3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3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1:68" ht="12.75" customHeight="1">
      <c r="A87" s="1"/>
      <c r="B87" s="1"/>
      <c r="C87" s="1"/>
      <c r="D87" s="1"/>
      <c r="E87" s="1"/>
      <c r="F87" s="1"/>
      <c r="G87" s="1"/>
      <c r="H87" s="2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3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3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3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spans="1:68" ht="12.75" customHeight="1">
      <c r="A88" s="1"/>
      <c r="B88" s="1"/>
      <c r="C88" s="1"/>
      <c r="D88" s="1"/>
      <c r="E88" s="1"/>
      <c r="F88" s="1"/>
      <c r="G88" s="1"/>
      <c r="H88" s="2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3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3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3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spans="1:68" ht="12.75" customHeight="1">
      <c r="A89" s="1"/>
      <c r="B89" s="1"/>
      <c r="C89" s="1"/>
      <c r="D89" s="1"/>
      <c r="E89" s="1"/>
      <c r="F89" s="1"/>
      <c r="G89" s="1"/>
      <c r="H89" s="2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3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3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3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1:68" ht="12.75" customHeight="1">
      <c r="A90" s="1"/>
      <c r="B90" s="1"/>
      <c r="C90" s="1"/>
      <c r="D90" s="1"/>
      <c r="E90" s="1"/>
      <c r="F90" s="1"/>
      <c r="G90" s="1"/>
      <c r="H90" s="2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3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3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3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spans="1:68" ht="12.75" customHeight="1">
      <c r="A91" s="1"/>
      <c r="B91" s="1"/>
      <c r="C91" s="1"/>
      <c r="D91" s="1"/>
      <c r="E91" s="1"/>
      <c r="F91" s="1"/>
      <c r="G91" s="1"/>
      <c r="H91" s="2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3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3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3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spans="1:68" ht="12.75" customHeight="1">
      <c r="A92" s="1"/>
      <c r="B92" s="1"/>
      <c r="C92" s="1"/>
      <c r="D92" s="1"/>
      <c r="E92" s="1"/>
      <c r="F92" s="1"/>
      <c r="G92" s="1"/>
      <c r="H92" s="2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3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3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3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spans="1:68" ht="12.75" customHeight="1">
      <c r="A93" s="1"/>
      <c r="B93" s="1"/>
      <c r="C93" s="1"/>
      <c r="D93" s="1"/>
      <c r="E93" s="1"/>
      <c r="F93" s="1"/>
      <c r="G93" s="1"/>
      <c r="H93" s="2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3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3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3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spans="1:68" ht="12.75" customHeight="1">
      <c r="A94" s="1"/>
      <c r="B94" s="1"/>
      <c r="C94" s="1"/>
      <c r="D94" s="1"/>
      <c r="E94" s="1"/>
      <c r="F94" s="1"/>
      <c r="G94" s="1"/>
      <c r="H94" s="2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3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3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3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spans="1:68" ht="12.75" customHeight="1">
      <c r="A95" s="1"/>
      <c r="B95" s="1"/>
      <c r="C95" s="1"/>
      <c r="D95" s="1"/>
      <c r="E95" s="1"/>
      <c r="F95" s="1"/>
      <c r="G95" s="1"/>
      <c r="H95" s="2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3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3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3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1:68" ht="12.75" customHeight="1">
      <c r="A96" s="1"/>
      <c r="B96" s="1"/>
      <c r="C96" s="1"/>
      <c r="D96" s="1"/>
      <c r="E96" s="1"/>
      <c r="F96" s="1"/>
      <c r="G96" s="1"/>
      <c r="H96" s="2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3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3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3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spans="1:68" ht="12.75" customHeight="1">
      <c r="A97" s="1"/>
      <c r="B97" s="1"/>
      <c r="C97" s="1"/>
      <c r="D97" s="1"/>
      <c r="E97" s="1"/>
      <c r="F97" s="1"/>
      <c r="G97" s="1"/>
      <c r="H97" s="2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3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3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3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spans="1:68" ht="12.75" customHeight="1">
      <c r="A98" s="1"/>
      <c r="B98" s="1"/>
      <c r="C98" s="1"/>
      <c r="D98" s="1"/>
      <c r="E98" s="1"/>
      <c r="F98" s="1"/>
      <c r="G98" s="1"/>
      <c r="H98" s="2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3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3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3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spans="1:68" ht="12.75" customHeight="1">
      <c r="A99" s="1"/>
      <c r="B99" s="1"/>
      <c r="C99" s="1"/>
      <c r="D99" s="1"/>
      <c r="E99" s="1"/>
      <c r="F99" s="1"/>
      <c r="G99" s="1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3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3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3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1:68" ht="12.75" customHeight="1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3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3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3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spans="1:68" ht="12.75" customHeight="1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3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3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3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spans="1:68" ht="12.75" customHeight="1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3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3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3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spans="1:68" ht="12.75" customHeight="1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3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3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3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spans="1:68" ht="12.75" customHeight="1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3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3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spans="1:68" ht="12.75" customHeight="1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3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3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3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spans="1:68" ht="12.75" customHeight="1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3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3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3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spans="1:68" ht="12.75" customHeight="1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3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3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3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spans="1:68" ht="12.75" customHeight="1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3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3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3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spans="1:68" ht="12.75" customHeight="1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3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3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3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spans="1:68" ht="12.75" customHeight="1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3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3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3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1:68" ht="12.75" customHeight="1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3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3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3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spans="1:68" ht="12.75" customHeight="1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3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3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3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spans="1:68" ht="12.75" customHeight="1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3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3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3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1:68" ht="12.75" customHeight="1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3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3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3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spans="1:68" ht="12.75" customHeight="1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3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3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3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1:68" ht="12.75" customHeight="1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3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3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3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spans="1:68" ht="12.75" customHeight="1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3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3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3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spans="1:68" ht="12.75" customHeight="1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3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3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3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spans="1:68" ht="12.75" customHeight="1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3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3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3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spans="1:68" ht="12.75" customHeight="1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3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3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3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spans="1:68" ht="12.75" customHeight="1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3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3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3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spans="1:68" ht="12.75" customHeight="1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3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3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3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spans="1:68" ht="12.75" customHeight="1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3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3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3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spans="1:68" ht="12.75" customHeight="1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3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3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3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spans="1:68" ht="12.75" customHeight="1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3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3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3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spans="1:68" ht="12.75" customHeight="1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3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3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3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spans="1:68" ht="12.75" customHeight="1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3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3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3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spans="1:68" ht="12.75" customHeight="1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3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3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3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spans="1:68" ht="12.75" customHeight="1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3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3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3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spans="1:68" ht="12.75" customHeight="1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3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3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3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spans="1:68" ht="12.75" customHeight="1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3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3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3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spans="1:68" ht="12.75" customHeight="1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3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3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3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spans="1:68" ht="12.75" customHeight="1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3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3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3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spans="1:68" ht="12.75" customHeight="1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3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3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3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spans="1:68" ht="12.75" customHeight="1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3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3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3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spans="1:68" ht="12.75" customHeight="1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3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3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3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1:68" ht="12.75" customHeight="1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3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3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3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spans="1:68" ht="12.75" customHeight="1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3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3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3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1:68" ht="12.75" customHeight="1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3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3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3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spans="1:68" ht="12.75" customHeight="1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3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3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3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spans="1:68" ht="12.75" customHeight="1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3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3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3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spans="1:68" ht="12.75" customHeight="1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3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3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3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1:68" ht="12.75" customHeight="1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3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3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3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spans="1:68" ht="12.75" customHeight="1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3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3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3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spans="1:68" ht="12.75" customHeight="1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3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3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3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spans="1:68" ht="12.75" customHeight="1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3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3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3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spans="1:68" ht="12.75" customHeight="1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3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3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3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spans="1:68" ht="12.75" customHeight="1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3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3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3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spans="1:68" ht="12.75" customHeight="1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3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3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3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spans="1:68" ht="12.75" customHeight="1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3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3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3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spans="1:68" ht="12.75" customHeight="1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3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3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3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spans="1:68" ht="12.75" customHeight="1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3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3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3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1:68" ht="12.75" customHeight="1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3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3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3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spans="1:68" ht="12.75" customHeight="1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3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3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3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1:68" ht="12.75" customHeight="1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3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3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3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spans="1:68" ht="12.75" customHeight="1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3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3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3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spans="1:68" ht="12.75" customHeight="1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3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3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3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spans="1:68" ht="12.75" customHeight="1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3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3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3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spans="1:68" ht="12.75" customHeight="1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3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3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3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spans="1:68" ht="12.75" customHeight="1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3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3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3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spans="1:68" ht="12.75" customHeight="1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3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3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3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spans="1:68" ht="12.75" customHeight="1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3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3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3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spans="1:68" ht="12.75" customHeight="1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3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3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3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spans="1:68" ht="12.75" customHeight="1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3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3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3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spans="1:68" ht="12.75" customHeight="1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3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3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3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spans="1:68" ht="12.75" customHeight="1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3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3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3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spans="1:68" ht="12.75" customHeight="1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3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3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3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spans="1:68" ht="12.75" customHeight="1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3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3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3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spans="1:68" ht="12.75" customHeight="1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3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3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3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spans="1:68" ht="12.75" customHeight="1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3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3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3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spans="1:68" ht="12.75" customHeight="1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3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3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3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spans="1:68" ht="12.75" customHeight="1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3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3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3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spans="1:68" ht="12.75" customHeight="1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3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3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3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1:68" ht="12.75" customHeight="1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3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3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3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spans="1:68" ht="12.75" customHeight="1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3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3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3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spans="1:68" ht="12.75" customHeight="1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3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3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spans="1:68" ht="12.75" customHeight="1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3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3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spans="1:68" ht="12.75" customHeight="1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3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3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spans="1:68" ht="12.75" customHeight="1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3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3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spans="1:68" ht="12.75" customHeight="1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3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3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spans="1:68" ht="12.75" customHeight="1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3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3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spans="1:68" ht="12.75" customHeight="1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3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3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spans="1:68" ht="12.75" customHeight="1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3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3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spans="1:68" ht="12.75" customHeight="1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3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3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spans="1:68" ht="12.75" customHeight="1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3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3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spans="1:68" ht="12.75" customHeight="1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3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3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spans="1:68" ht="12.75" customHeight="1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3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3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spans="1:68" ht="12.75" customHeight="1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3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3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spans="1:68" ht="12.75" customHeight="1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3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3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spans="1:68" ht="12.75" customHeight="1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3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3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spans="1:68" ht="12.75" customHeight="1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3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3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spans="1:68" ht="12.75" customHeight="1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3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3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spans="1:68" ht="12.75" customHeight="1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3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3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3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spans="1:68" ht="12.75" customHeight="1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3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3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3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spans="1:68" ht="12.75" customHeight="1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3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3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3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spans="1:68" ht="12.75" customHeight="1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3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3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3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spans="1:68" ht="12.75" customHeight="1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3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3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3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spans="1:68" ht="12.75" customHeight="1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3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3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3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spans="1:68" ht="12.75" customHeight="1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3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3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3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spans="1:68" ht="12.75" customHeight="1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3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3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spans="1:68" ht="12.75" customHeight="1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3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3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3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spans="1:68" ht="12.75" customHeight="1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3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3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3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spans="1:68" ht="12.75" customHeight="1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3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3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3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spans="1:68" ht="12.75" customHeight="1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3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3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3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spans="1:68" ht="12.75" customHeight="1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3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3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3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spans="1:68" ht="12.75" customHeight="1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3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3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3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spans="1:68" ht="12.75" customHeight="1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3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3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3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spans="1:68" ht="12.75" customHeight="1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3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3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3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spans="1:68" ht="12.75" customHeight="1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3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3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3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pans="1:68" ht="12.75" customHeight="1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3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3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3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pans="1:68" ht="12.75" customHeight="1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3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3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3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pans="1:68" ht="12.75" customHeight="1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3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3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3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pans="1:68" ht="12.75" customHeight="1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3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3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3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pans="1:68" ht="12.75" customHeight="1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3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3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3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spans="1:68" ht="12.75" customHeight="1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3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3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3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pans="1:68" ht="12.75" customHeight="1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3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3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3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pans="1:68" ht="12.75" customHeight="1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3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3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3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spans="1:68" ht="12.75" customHeight="1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3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3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3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spans="1:68" ht="12.75" customHeight="1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3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3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3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spans="1:68" ht="12.75" customHeight="1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3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3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3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spans="1:68" ht="12.75" customHeight="1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3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3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3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spans="1:68" ht="12.75" customHeight="1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3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3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3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spans="1:68" ht="12.75" customHeight="1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3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3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3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spans="1:68" ht="12.75" customHeight="1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3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3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3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spans="1:68" ht="12.75" customHeight="1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3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3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3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spans="1:68" ht="12.75" customHeight="1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3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3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3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spans="1:68" ht="12.75" customHeight="1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3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3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3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spans="1:68" ht="12.75" customHeight="1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3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3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3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spans="1:68" ht="12.75" customHeight="1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3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3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3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spans="1:68" ht="12.75" customHeight="1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3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3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3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spans="1:68" ht="12.75" customHeight="1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3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3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3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spans="1:68" ht="12.75" customHeight="1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3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3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3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spans="1:68" ht="12.75" customHeight="1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3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3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3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spans="1:68" ht="12.75" customHeight="1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3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3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3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spans="1:68" ht="12.75" customHeight="1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3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3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3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spans="1:68" ht="12.75" customHeight="1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3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3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3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spans="1:68" ht="12.75" customHeight="1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3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3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3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spans="1:68" ht="12.75" customHeight="1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3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3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3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spans="1:68" ht="12.75" customHeight="1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3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3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3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spans="1:68" ht="12.75" customHeight="1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3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3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3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spans="1:68" ht="12.75" customHeight="1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3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3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3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spans="1:68" ht="12.75" customHeight="1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3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3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3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spans="1:68" ht="12.75" customHeight="1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3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3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3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spans="1:68" ht="12.75" customHeight="1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3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3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3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spans="1:68" ht="12.75" customHeight="1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3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3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3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spans="1:68" ht="12.75" customHeight="1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3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3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3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spans="1:68" ht="12.75" customHeight="1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3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3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3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spans="1:68" ht="12.75" customHeight="1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3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3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3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spans="1:68" ht="12.75" customHeight="1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3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3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3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spans="1:68" ht="12.75" customHeight="1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3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3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3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spans="1:68" ht="12.75" customHeight="1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3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3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3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spans="1:68" ht="12.75" customHeight="1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3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3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3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spans="1:68" ht="12.75" customHeight="1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3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3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3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spans="1:68" ht="12.75" customHeight="1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3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3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3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spans="1:68" ht="12.75" customHeight="1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3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3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3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spans="1:68" ht="12.75" customHeight="1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3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3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3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spans="1:68" ht="12.75" customHeight="1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3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3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3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spans="1:68" ht="12.75" customHeight="1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3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3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3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spans="1:68" ht="12.75" customHeight="1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3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3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3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spans="1:68" ht="12.75" customHeight="1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3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3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3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spans="1:68" ht="12.75" customHeight="1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3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3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3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spans="1:68" ht="12.75" customHeight="1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3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3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3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spans="1:68" ht="12.75" customHeight="1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3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3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3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spans="1:68" ht="12.75" customHeight="1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3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3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3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spans="1:68" ht="12.75" customHeight="1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3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3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3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spans="1:68" ht="15.75" customHeight="1"/>
    <row r="267" spans="1:68" ht="15.75" customHeight="1"/>
    <row r="268" spans="1:68" ht="15.75" customHeight="1"/>
    <row r="269" spans="1:68" ht="15.75" customHeight="1"/>
    <row r="270" spans="1:68" ht="15.75" customHeight="1"/>
    <row r="271" spans="1:68" ht="15.75" customHeight="1"/>
    <row r="272" spans="1:68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7">
    <mergeCell ref="B62:B63"/>
    <mergeCell ref="B8:B9"/>
    <mergeCell ref="C8:C9"/>
    <mergeCell ref="H8:J8"/>
    <mergeCell ref="L8:X8"/>
    <mergeCell ref="Z8:AL8"/>
    <mergeCell ref="AO8:BA8"/>
  </mergeCells>
  <pageMargins left="0.7" right="0.7" top="0.75" bottom="0.75" header="0" footer="0"/>
  <pageSetup orientation="landscape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F88A-7853-46B2-8DBB-E4148E182719}">
  <dimension ref="A1"/>
  <sheetViews>
    <sheetView workbookViewId="0"/>
  </sheetViews>
  <sheetFormatPr defaultRowHeight="14.4"/>
  <sheetData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GREEI GANAP</dc:creator>
  <cp:lastModifiedBy>JIMMY GREEI GANAP</cp:lastModifiedBy>
  <dcterms:created xsi:type="dcterms:W3CDTF">2026-06-30T06:52:28Z</dcterms:created>
  <dcterms:modified xsi:type="dcterms:W3CDTF">2026-06-30T06:53:42Z</dcterms:modified>
</cp:coreProperties>
</file>