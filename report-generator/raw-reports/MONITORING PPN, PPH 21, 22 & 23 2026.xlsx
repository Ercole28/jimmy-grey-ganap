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 firstSheet="5" activeTab="13"/>
  </bookViews>
  <sheets>
    <sheet name="jan" sheetId="2" r:id="rId1"/>
    <sheet name="Feb" sheetId="4" r:id="rId2"/>
    <sheet name="Mar" sheetId="10" r:id="rId3"/>
    <sheet name="Apr" sheetId="11" r:id="rId4"/>
    <sheet name="Mei" sheetId="12" r:id="rId5"/>
    <sheet name="Jun" sheetId="13" r:id="rId6"/>
    <sheet name="Jul" sheetId="14" r:id="rId7"/>
    <sheet name="Agust" sheetId="15" r:id="rId8"/>
    <sheet name="Sept" sheetId="21" r:id="rId9"/>
    <sheet name="Okt" sheetId="22" r:id="rId10"/>
    <sheet name="Nop" sheetId="25" r:id="rId11"/>
    <sheet name="Des" sheetId="26" r:id="rId12"/>
    <sheet name="PPN" sheetId="1" r:id="rId13"/>
    <sheet name="PPH 21" sheetId="5" r:id="rId14"/>
    <sheet name="PPH 23" sheetId="6" r:id="rId15"/>
    <sheet name="PPH 25" sheetId="7" r:id="rId16"/>
    <sheet name="PTP" sheetId="8" r:id="rId17"/>
    <sheet name="PELINDO" sheetId="9" r:id="rId18"/>
    <sheet name="SPJM" sheetId="20" r:id="rId19"/>
    <sheet name="rekap" sheetId="24" r:id="rId20"/>
    <sheet name="vendor" sheetId="27" r:id="rId21"/>
  </sheets>
  <externalReferences>
    <externalReference r:id="rId22"/>
  </externalReferences>
  <definedNames>
    <definedName name="_xlnm.Print_Area" localSheetId="13">'PPH 21'!$A$1:$I$25</definedName>
    <definedName name="_xlnm.Print_Area" localSheetId="14">'PPH 23'!$A$1:$Q$59</definedName>
    <definedName name="_xlnm.Print_Area" localSheetId="15">'PPH 25'!$A$1:$H$23</definedName>
    <definedName name="_xlnm.Print_Area" localSheetId="12">PPN!$A$1:$O$30</definedName>
    <definedName name="_xlnm.Print_Area" localSheetId="19">rekap!$A$1:$H$16</definedName>
  </definedNames>
  <calcPr calcId="144525"/>
</workbook>
</file>

<file path=xl/calcChain.xml><?xml version="1.0" encoding="utf-8"?>
<calcChain xmlns="http://schemas.openxmlformats.org/spreadsheetml/2006/main">
  <c r="D13" i="1" l="1"/>
  <c r="I30" i="13"/>
  <c r="J29" i="13"/>
  <c r="J30" i="13"/>
  <c r="K29" i="13"/>
  <c r="L29" i="13" s="1"/>
  <c r="L30" i="13" s="1"/>
  <c r="K30" i="13"/>
  <c r="J28" i="13"/>
  <c r="K28" i="13" s="1"/>
  <c r="J27" i="13"/>
  <c r="G58" i="13"/>
  <c r="G57" i="13"/>
  <c r="G56" i="13"/>
  <c r="L28" i="13" l="1"/>
  <c r="K27" i="13"/>
  <c r="C42" i="27"/>
  <c r="C26" i="27"/>
  <c r="C34" i="27"/>
  <c r="E41" i="27"/>
  <c r="C40" i="27"/>
  <c r="C38" i="27"/>
  <c r="C39" i="27" s="1"/>
  <c r="C41" i="27" s="1"/>
  <c r="E33" i="27"/>
  <c r="C32" i="27"/>
  <c r="C30" i="27"/>
  <c r="C31" i="27" s="1"/>
  <c r="C33" i="27" s="1"/>
  <c r="E25" i="27"/>
  <c r="C25" i="27"/>
  <c r="C23" i="27"/>
  <c r="C22" i="27"/>
  <c r="C21" i="27"/>
  <c r="C20" i="27"/>
  <c r="L27" i="13" l="1"/>
  <c r="J25" i="13"/>
  <c r="K25" i="13" s="1"/>
  <c r="L25" i="13" s="1"/>
  <c r="K23" i="7" l="1"/>
  <c r="H12" i="1" l="1"/>
  <c r="G28" i="7" l="1"/>
  <c r="G54" i="13" l="1"/>
  <c r="G51" i="13" l="1"/>
  <c r="G50" i="13"/>
  <c r="G49" i="13"/>
  <c r="G48" i="13"/>
  <c r="G47" i="13"/>
  <c r="G46" i="13"/>
  <c r="G45" i="13"/>
  <c r="G44" i="13"/>
  <c r="G43" i="13"/>
  <c r="G42" i="13"/>
  <c r="G41" i="13"/>
  <c r="G40" i="13"/>
  <c r="G39" i="13"/>
  <c r="G38" i="13"/>
  <c r="G11" i="5"/>
  <c r="C11" i="5" l="1"/>
  <c r="D11" i="5" s="1"/>
  <c r="D12" i="1" l="1"/>
  <c r="J31" i="4" l="1"/>
  <c r="J30" i="4"/>
  <c r="I31" i="4"/>
  <c r="I33" i="4" s="1"/>
  <c r="C7" i="5"/>
  <c r="G10" i="5"/>
  <c r="C9" i="5"/>
  <c r="C8" i="5"/>
  <c r="C10" i="5"/>
  <c r="D10" i="5" s="1"/>
  <c r="G8" i="5"/>
  <c r="G9" i="5"/>
  <c r="J15" i="5"/>
  <c r="F11" i="1" l="1"/>
  <c r="D11" i="1"/>
  <c r="J16" i="11" l="1"/>
  <c r="K16" i="11" s="1"/>
  <c r="L16" i="11" s="1"/>
  <c r="J17" i="11"/>
  <c r="K17" i="11" s="1"/>
  <c r="L17" i="11" s="1"/>
  <c r="J18" i="11"/>
  <c r="K18" i="11" s="1"/>
  <c r="L18" i="11" s="1"/>
  <c r="J19" i="11"/>
  <c r="K19" i="11" s="1"/>
  <c r="L19" i="11" s="1"/>
  <c r="J20" i="11"/>
  <c r="K20" i="11" s="1"/>
  <c r="L20" i="11" s="1"/>
  <c r="J21" i="11"/>
  <c r="K21" i="11" s="1"/>
  <c r="L21" i="11" s="1"/>
  <c r="J22" i="11"/>
  <c r="K22" i="11" s="1"/>
  <c r="L22" i="11" s="1"/>
  <c r="J23" i="11"/>
  <c r="K23" i="11" s="1"/>
  <c r="L23" i="11" s="1"/>
  <c r="J24" i="11"/>
  <c r="K24" i="11" s="1"/>
  <c r="L24" i="11" s="1"/>
  <c r="J25" i="11"/>
  <c r="K25" i="11" s="1"/>
  <c r="L25" i="11" s="1"/>
  <c r="J26" i="11"/>
  <c r="K26" i="11" s="1"/>
  <c r="L26" i="11" s="1"/>
  <c r="M10" i="1"/>
  <c r="H10" i="1"/>
  <c r="G10" i="1"/>
  <c r="F10" i="1"/>
  <c r="E10" i="1"/>
  <c r="D10" i="1"/>
  <c r="C10" i="1"/>
  <c r="B10" i="1"/>
  <c r="K12" i="11"/>
  <c r="L12" i="11" s="1"/>
  <c r="J12" i="11"/>
  <c r="D9" i="5"/>
  <c r="F14" i="6" l="1"/>
  <c r="F9" i="1"/>
  <c r="D9" i="1"/>
  <c r="J15" i="10" l="1"/>
  <c r="K15" i="10" s="1"/>
  <c r="L15" i="10" s="1"/>
  <c r="F13" i="6" l="1"/>
  <c r="F12" i="6"/>
  <c r="F11" i="6"/>
  <c r="F10" i="6"/>
  <c r="F9" i="6"/>
  <c r="F8" i="6"/>
  <c r="F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M8" i="1" l="1"/>
  <c r="J18" i="2" l="1"/>
  <c r="K18" i="2"/>
  <c r="L18" i="2"/>
  <c r="J12" i="4"/>
  <c r="K12" i="4" s="1"/>
  <c r="L12" i="4" s="1"/>
  <c r="D8" i="1"/>
  <c r="J9" i="4" l="1"/>
  <c r="K9" i="4" s="1"/>
  <c r="L9" i="4" s="1"/>
  <c r="B14" i="27" l="1"/>
  <c r="B13" i="27"/>
  <c r="B12" i="27"/>
  <c r="B11" i="27"/>
  <c r="B10" i="27"/>
  <c r="B9" i="27"/>
  <c r="D7" i="1" l="1"/>
  <c r="K16" i="2" l="1"/>
  <c r="L16" i="2" s="1"/>
  <c r="J16" i="2"/>
  <c r="L12" i="2" l="1"/>
  <c r="K7" i="2"/>
  <c r="L7" i="2" s="1"/>
  <c r="K8" i="2"/>
  <c r="L8" i="2" s="1"/>
  <c r="K9" i="2"/>
  <c r="L9" i="2" s="1"/>
  <c r="K10" i="2"/>
  <c r="L10" i="2" s="1"/>
  <c r="K11" i="2"/>
  <c r="L11" i="2" s="1"/>
  <c r="K12" i="2"/>
  <c r="K13" i="2"/>
  <c r="L13" i="2" s="1"/>
  <c r="K14" i="2"/>
  <c r="L14" i="2" s="1"/>
  <c r="K15" i="2"/>
  <c r="L15" i="2" s="1"/>
  <c r="K17" i="2"/>
  <c r="L17" i="2" s="1"/>
  <c r="K19" i="2"/>
  <c r="L19" i="2" s="1"/>
  <c r="K20" i="2"/>
  <c r="L20" i="2" s="1"/>
  <c r="K21" i="2"/>
  <c r="L21" i="2" s="1"/>
  <c r="J7" i="2"/>
  <c r="J8" i="2"/>
  <c r="J9" i="2"/>
  <c r="J10" i="2"/>
  <c r="J11" i="2"/>
  <c r="J12" i="2"/>
  <c r="J13" i="2"/>
  <c r="J14" i="2"/>
  <c r="J15" i="2"/>
  <c r="J17" i="2"/>
  <c r="J19" i="2"/>
  <c r="J20" i="2"/>
  <c r="J21" i="2"/>
  <c r="L6" i="2" l="1"/>
  <c r="K6" i="2"/>
  <c r="J6" i="2"/>
  <c r="G42" i="26" l="1"/>
  <c r="G41" i="26"/>
  <c r="G40" i="26"/>
  <c r="G39" i="26"/>
  <c r="J30" i="26" l="1"/>
  <c r="K30" i="26" l="1"/>
  <c r="L30" i="26" s="1"/>
  <c r="J28" i="26"/>
  <c r="K28" i="26" s="1"/>
  <c r="L28" i="26" s="1"/>
  <c r="J29" i="26"/>
  <c r="K29" i="26" s="1"/>
  <c r="L29" i="26" s="1"/>
  <c r="J31" i="26"/>
  <c r="K31" i="26" s="1"/>
  <c r="L31" i="26" s="1"/>
  <c r="J21" i="26" l="1"/>
  <c r="K21" i="26" s="1"/>
  <c r="L21" i="26" s="1"/>
  <c r="J22" i="26"/>
  <c r="K22" i="26" s="1"/>
  <c r="L22" i="26" s="1"/>
  <c r="J23" i="26"/>
  <c r="K23" i="26" s="1"/>
  <c r="L23" i="26" s="1"/>
  <c r="J24" i="26"/>
  <c r="K24" i="26" s="1"/>
  <c r="L24" i="26" s="1"/>
  <c r="J25" i="26"/>
  <c r="K25" i="26" s="1"/>
  <c r="L25" i="26" s="1"/>
  <c r="I32" i="25"/>
  <c r="F47" i="6" l="1"/>
  <c r="F48" i="6"/>
  <c r="J8" i="26"/>
  <c r="K8" i="26" s="1"/>
  <c r="L8" i="26" s="1"/>
  <c r="I32" i="26"/>
  <c r="J27" i="26"/>
  <c r="K27" i="26" s="1"/>
  <c r="L27" i="26" s="1"/>
  <c r="J26" i="26"/>
  <c r="K26" i="26" s="1"/>
  <c r="L26" i="26" s="1"/>
  <c r="J20" i="26"/>
  <c r="K20" i="26" s="1"/>
  <c r="L20" i="26" s="1"/>
  <c r="J19" i="26"/>
  <c r="K19" i="26" s="1"/>
  <c r="L19" i="26" s="1"/>
  <c r="J18" i="26"/>
  <c r="K18" i="26" s="1"/>
  <c r="L18" i="26" s="1"/>
  <c r="J17" i="26"/>
  <c r="K17" i="26" s="1"/>
  <c r="L17" i="26" s="1"/>
  <c r="J16" i="26"/>
  <c r="K16" i="26" s="1"/>
  <c r="L16" i="26" s="1"/>
  <c r="J15" i="26"/>
  <c r="K15" i="26" s="1"/>
  <c r="L15" i="26" s="1"/>
  <c r="J14" i="26"/>
  <c r="K14" i="26" s="1"/>
  <c r="L14" i="26" s="1"/>
  <c r="J13" i="26"/>
  <c r="K13" i="26" s="1"/>
  <c r="L13" i="26" s="1"/>
  <c r="J12" i="26"/>
  <c r="K12" i="26" s="1"/>
  <c r="L12" i="26" s="1"/>
  <c r="J11" i="26"/>
  <c r="K11" i="26" s="1"/>
  <c r="L11" i="26" s="1"/>
  <c r="J10" i="26"/>
  <c r="K10" i="26" s="1"/>
  <c r="L10" i="26" s="1"/>
  <c r="J9" i="26"/>
  <c r="K9" i="26" s="1"/>
  <c r="L9" i="26" s="1"/>
  <c r="J7" i="26"/>
  <c r="J6" i="26"/>
  <c r="K6" i="26" s="1"/>
  <c r="J21" i="25"/>
  <c r="K21" i="25" s="1"/>
  <c r="L21" i="25" s="1"/>
  <c r="J19" i="25"/>
  <c r="K19" i="25" s="1"/>
  <c r="L19" i="25" s="1"/>
  <c r="J32" i="26" l="1"/>
  <c r="K7" i="26"/>
  <c r="L7" i="26" s="1"/>
  <c r="L6" i="26"/>
  <c r="L32" i="26" l="1"/>
  <c r="K32" i="26"/>
  <c r="G17" i="1" l="1"/>
  <c r="H17" i="1" s="1"/>
  <c r="J22" i="25" l="1"/>
  <c r="K22" i="25" s="1"/>
  <c r="L22" i="25" s="1"/>
  <c r="J13" i="25" l="1"/>
  <c r="K13" i="25" s="1"/>
  <c r="L13" i="25" s="1"/>
  <c r="J12" i="25"/>
  <c r="K12" i="25" s="1"/>
  <c r="L12" i="25" s="1"/>
  <c r="I26" i="25" l="1"/>
  <c r="J25" i="25"/>
  <c r="K25" i="25" s="1"/>
  <c r="L25" i="25" s="1"/>
  <c r="J24" i="25"/>
  <c r="K24" i="25" s="1"/>
  <c r="L24" i="25" s="1"/>
  <c r="J23" i="25"/>
  <c r="K23" i="25" s="1"/>
  <c r="L23" i="25" s="1"/>
  <c r="J20" i="25"/>
  <c r="K20" i="25" s="1"/>
  <c r="L20" i="25" s="1"/>
  <c r="J18" i="25"/>
  <c r="K18" i="25" s="1"/>
  <c r="L18" i="25" s="1"/>
  <c r="J17" i="25"/>
  <c r="K17" i="25" s="1"/>
  <c r="L17" i="25" s="1"/>
  <c r="J16" i="25"/>
  <c r="K16" i="25" s="1"/>
  <c r="L16" i="25" s="1"/>
  <c r="J15" i="25"/>
  <c r="K15" i="25" s="1"/>
  <c r="L15" i="25" s="1"/>
  <c r="J14" i="25"/>
  <c r="K14" i="25" s="1"/>
  <c r="L14" i="25" s="1"/>
  <c r="J11" i="25"/>
  <c r="K11" i="25" s="1"/>
  <c r="L11" i="25" s="1"/>
  <c r="J10" i="25"/>
  <c r="K10" i="25" s="1"/>
  <c r="L10" i="25" s="1"/>
  <c r="J9" i="25"/>
  <c r="K9" i="25" s="1"/>
  <c r="L9" i="25" s="1"/>
  <c r="J8" i="25"/>
  <c r="K8" i="25" s="1"/>
  <c r="L8" i="25" s="1"/>
  <c r="J7" i="25"/>
  <c r="K7" i="25" s="1"/>
  <c r="L7" i="25" s="1"/>
  <c r="J6" i="25"/>
  <c r="K6" i="25" s="1"/>
  <c r="K26" i="25" l="1"/>
  <c r="J26" i="25"/>
  <c r="L6" i="25"/>
  <c r="L26" i="25" s="1"/>
  <c r="L37" i="1"/>
  <c r="L36" i="1"/>
  <c r="L35" i="1"/>
  <c r="L34" i="1"/>
  <c r="L33" i="1"/>
  <c r="G18" i="1" l="1"/>
  <c r="J37" i="22" l="1"/>
  <c r="K37" i="22" s="1"/>
  <c r="L37" i="22" s="1"/>
  <c r="J36" i="22"/>
  <c r="K36" i="22" s="1"/>
  <c r="L36" i="22" s="1"/>
  <c r="J35" i="22"/>
  <c r="K35" i="22" s="1"/>
  <c r="L35" i="22" s="1"/>
  <c r="J34" i="22"/>
  <c r="K34" i="22" s="1"/>
  <c r="L34" i="22" s="1"/>
  <c r="J31" i="22"/>
  <c r="J32" i="22"/>
  <c r="K32" i="22" s="1"/>
  <c r="L32" i="22" s="1"/>
  <c r="J33" i="22"/>
  <c r="J38" i="22"/>
  <c r="J39" i="22"/>
  <c r="J40" i="22"/>
  <c r="F22" i="24" l="1"/>
  <c r="K20" i="7" l="1"/>
  <c r="F20" i="24" l="1"/>
  <c r="F19" i="24"/>
  <c r="F18" i="24"/>
  <c r="F12" i="24"/>
  <c r="B12" i="24"/>
  <c r="I41" i="22" l="1"/>
  <c r="K40" i="22"/>
  <c r="L40" i="22" s="1"/>
  <c r="K39" i="22"/>
  <c r="L39" i="22" s="1"/>
  <c r="K38" i="22"/>
  <c r="L38" i="22" s="1"/>
  <c r="K33" i="22"/>
  <c r="L33" i="22" s="1"/>
  <c r="K31" i="22"/>
  <c r="L31" i="22" s="1"/>
  <c r="J30" i="22"/>
  <c r="K30" i="22" s="1"/>
  <c r="L30" i="22" s="1"/>
  <c r="J29" i="22"/>
  <c r="K29" i="22" s="1"/>
  <c r="L29" i="22" s="1"/>
  <c r="J28" i="22"/>
  <c r="K28" i="22" s="1"/>
  <c r="L28" i="22" s="1"/>
  <c r="J27" i="22"/>
  <c r="K27" i="22" s="1"/>
  <c r="L27" i="22" s="1"/>
  <c r="J26" i="22"/>
  <c r="K26" i="22" s="1"/>
  <c r="L26" i="22" s="1"/>
  <c r="J25" i="22"/>
  <c r="K25" i="22" s="1"/>
  <c r="L25" i="22" s="1"/>
  <c r="J24" i="22"/>
  <c r="K24" i="22" s="1"/>
  <c r="L24" i="22" s="1"/>
  <c r="J23" i="22"/>
  <c r="K23" i="22" s="1"/>
  <c r="L23" i="22" s="1"/>
  <c r="J22" i="22"/>
  <c r="K22" i="22" s="1"/>
  <c r="L22" i="22" s="1"/>
  <c r="J21" i="22"/>
  <c r="K21" i="22" s="1"/>
  <c r="L21" i="22" s="1"/>
  <c r="J20" i="22"/>
  <c r="K20" i="22" s="1"/>
  <c r="L20" i="22" s="1"/>
  <c r="J19" i="22"/>
  <c r="K19" i="22" s="1"/>
  <c r="L19" i="22" s="1"/>
  <c r="J18" i="22"/>
  <c r="K18" i="22" s="1"/>
  <c r="L18" i="22" s="1"/>
  <c r="J17" i="22"/>
  <c r="K17" i="22" s="1"/>
  <c r="L17" i="22" s="1"/>
  <c r="J16" i="22"/>
  <c r="K16" i="22" s="1"/>
  <c r="L16" i="22" s="1"/>
  <c r="J15" i="22"/>
  <c r="K15" i="22" s="1"/>
  <c r="L15" i="22" s="1"/>
  <c r="J14" i="22"/>
  <c r="K14" i="22" s="1"/>
  <c r="L14" i="22" s="1"/>
  <c r="J13" i="22"/>
  <c r="K13" i="22" s="1"/>
  <c r="L13" i="22" s="1"/>
  <c r="J12" i="22"/>
  <c r="K12" i="22" s="1"/>
  <c r="L12" i="22" s="1"/>
  <c r="J11" i="22"/>
  <c r="K11" i="22" s="1"/>
  <c r="L11" i="22" s="1"/>
  <c r="J10" i="22"/>
  <c r="K10" i="22" s="1"/>
  <c r="L10" i="22" s="1"/>
  <c r="J9" i="22"/>
  <c r="K9" i="22" s="1"/>
  <c r="L9" i="22" s="1"/>
  <c r="J8" i="22"/>
  <c r="K8" i="22" s="1"/>
  <c r="L8" i="22" s="1"/>
  <c r="J7" i="22"/>
  <c r="K7" i="22" s="1"/>
  <c r="L7" i="22" s="1"/>
  <c r="J6" i="22"/>
  <c r="K6" i="22" l="1"/>
  <c r="K41" i="22" s="1"/>
  <c r="J41" i="22"/>
  <c r="L6" i="22" l="1"/>
  <c r="L41" i="22" s="1"/>
  <c r="F41" i="9"/>
  <c r="E40" i="9"/>
  <c r="F39" i="9"/>
  <c r="F38" i="9"/>
  <c r="F37" i="9"/>
  <c r="F36" i="9"/>
  <c r="E35" i="9"/>
  <c r="E34" i="9"/>
  <c r="F31" i="9"/>
  <c r="F30" i="9"/>
  <c r="F28" i="9" l="1"/>
  <c r="E19" i="9"/>
  <c r="F18" i="9"/>
  <c r="E17" i="9"/>
  <c r="E16" i="9"/>
  <c r="E5" i="9"/>
  <c r="E6" i="9"/>
  <c r="E4" i="9"/>
  <c r="E3" i="9"/>
  <c r="F8" i="9" l="1"/>
  <c r="J26" i="21" l="1"/>
  <c r="K26" i="21" s="1"/>
  <c r="L26" i="21" s="1"/>
  <c r="J17" i="21"/>
  <c r="K17" i="21" s="1"/>
  <c r="L17" i="21" s="1"/>
  <c r="J18" i="21"/>
  <c r="K18" i="21" s="1"/>
  <c r="L18" i="21" s="1"/>
  <c r="J19" i="21"/>
  <c r="K19" i="21" s="1"/>
  <c r="L19" i="21" s="1"/>
  <c r="J20" i="21"/>
  <c r="K20" i="21" s="1"/>
  <c r="L20" i="21" s="1"/>
  <c r="J16" i="21"/>
  <c r="K16" i="21" s="1"/>
  <c r="L16" i="21" s="1"/>
  <c r="J10" i="21"/>
  <c r="K10" i="21" s="1"/>
  <c r="L10" i="21" s="1"/>
  <c r="J15" i="21"/>
  <c r="K15" i="21" s="1"/>
  <c r="L15" i="21" s="1"/>
  <c r="J14" i="21"/>
  <c r="K14" i="21" s="1"/>
  <c r="L14" i="21" s="1"/>
  <c r="J13" i="21"/>
  <c r="K13" i="21" s="1"/>
  <c r="L13" i="21" s="1"/>
  <c r="J7" i="21"/>
  <c r="K7" i="21" s="1"/>
  <c r="L7" i="21" s="1"/>
  <c r="J8" i="21"/>
  <c r="K8" i="21" s="1"/>
  <c r="L8" i="21" s="1"/>
  <c r="J9" i="21"/>
  <c r="K9" i="21" s="1"/>
  <c r="L9" i="21" s="1"/>
  <c r="J11" i="21"/>
  <c r="K11" i="21" s="1"/>
  <c r="L11" i="21" s="1"/>
  <c r="J12" i="21"/>
  <c r="K12" i="21" s="1"/>
  <c r="L12" i="21" s="1"/>
  <c r="J21" i="21"/>
  <c r="K21" i="21" s="1"/>
  <c r="L21" i="21" s="1"/>
  <c r="J22" i="21"/>
  <c r="K22" i="21" s="1"/>
  <c r="L22" i="21" s="1"/>
  <c r="J23" i="21"/>
  <c r="K23" i="21" s="1"/>
  <c r="L23" i="21" s="1"/>
  <c r="J24" i="21"/>
  <c r="K24" i="21" s="1"/>
  <c r="L24" i="21" s="1"/>
  <c r="J25" i="21"/>
  <c r="K25" i="21" s="1"/>
  <c r="L25" i="21" s="1"/>
  <c r="J27" i="21"/>
  <c r="K27" i="21" s="1"/>
  <c r="L27" i="21" s="1"/>
  <c r="J28" i="21"/>
  <c r="K28" i="21" s="1"/>
  <c r="L28" i="21" s="1"/>
  <c r="J6" i="21"/>
  <c r="K6" i="21" l="1"/>
  <c r="L6" i="21" s="1"/>
  <c r="F57" i="6"/>
  <c r="I31" i="21" l="1"/>
  <c r="I34" i="21" s="1"/>
  <c r="J30" i="21"/>
  <c r="K30" i="21" s="1"/>
  <c r="L30" i="21" s="1"/>
  <c r="J29" i="21"/>
  <c r="J21" i="15"/>
  <c r="K21" i="15"/>
  <c r="L21" i="15" s="1"/>
  <c r="K29" i="21" l="1"/>
  <c r="K31" i="21" s="1"/>
  <c r="J31" i="21"/>
  <c r="L29" i="21"/>
  <c r="L31" i="21"/>
  <c r="G48" i="14" l="1"/>
  <c r="G47" i="14" l="1"/>
  <c r="G46" i="14" l="1"/>
  <c r="G45" i="14"/>
  <c r="G44" i="14"/>
  <c r="G43" i="14"/>
  <c r="G42" i="14"/>
  <c r="G41" i="14"/>
  <c r="G40" i="14"/>
  <c r="G39" i="14"/>
  <c r="G38" i="14" l="1"/>
  <c r="G37" i="14"/>
  <c r="F15" i="6" l="1"/>
  <c r="F16" i="6"/>
  <c r="F17" i="6"/>
  <c r="F49" i="6"/>
  <c r="F50" i="6"/>
  <c r="F51" i="6"/>
  <c r="F52" i="6"/>
  <c r="J7" i="15" l="1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2" i="15"/>
  <c r="J6" i="15"/>
  <c r="G14" i="1" l="1"/>
  <c r="J25" i="14" l="1"/>
  <c r="K25" i="14" s="1"/>
  <c r="L25" i="14" s="1"/>
  <c r="J26" i="14"/>
  <c r="K26" i="14" s="1"/>
  <c r="L26" i="14" s="1"/>
  <c r="J27" i="14"/>
  <c r="K27" i="14" s="1"/>
  <c r="L27" i="14" s="1"/>
  <c r="M14" i="1" l="1"/>
  <c r="J24" i="14" l="1"/>
  <c r="K24" i="14" s="1"/>
  <c r="L24" i="14" s="1"/>
  <c r="J23" i="14" l="1"/>
  <c r="K23" i="14" s="1"/>
  <c r="L23" i="14" s="1"/>
  <c r="J22" i="14"/>
  <c r="K22" i="14" s="1"/>
  <c r="L22" i="14" s="1"/>
  <c r="J7" i="10" l="1"/>
  <c r="K7" i="10" s="1"/>
  <c r="J8" i="10"/>
  <c r="K8" i="10" s="1"/>
  <c r="J9" i="10"/>
  <c r="K9" i="10" s="1"/>
  <c r="J10" i="10"/>
  <c r="K10" i="10" s="1"/>
  <c r="J11" i="10"/>
  <c r="K11" i="10" s="1"/>
  <c r="J12" i="10"/>
  <c r="K12" i="10" s="1"/>
  <c r="J13" i="10"/>
  <c r="K13" i="10" s="1"/>
  <c r="J14" i="10"/>
  <c r="K14" i="10" s="1"/>
  <c r="J16" i="10"/>
  <c r="K16" i="10" s="1"/>
  <c r="J17" i="10"/>
  <c r="K17" i="10" s="1"/>
  <c r="J18" i="10"/>
  <c r="K18" i="10" s="1"/>
  <c r="J19" i="10"/>
  <c r="K19" i="10" s="1"/>
  <c r="J6" i="10"/>
  <c r="K6" i="10" s="1"/>
  <c r="J7" i="11"/>
  <c r="K7" i="11" s="1"/>
  <c r="L7" i="11" s="1"/>
  <c r="J8" i="11"/>
  <c r="K8" i="11" s="1"/>
  <c r="L8" i="11" s="1"/>
  <c r="J9" i="11"/>
  <c r="K9" i="11" s="1"/>
  <c r="L9" i="11" s="1"/>
  <c r="J10" i="11"/>
  <c r="K10" i="11" s="1"/>
  <c r="L10" i="11" s="1"/>
  <c r="J11" i="11"/>
  <c r="K11" i="11" s="1"/>
  <c r="L11" i="11" s="1"/>
  <c r="J13" i="11"/>
  <c r="K13" i="11" s="1"/>
  <c r="L13" i="11" s="1"/>
  <c r="J14" i="11"/>
  <c r="K14" i="11" s="1"/>
  <c r="L14" i="11" s="1"/>
  <c r="J15" i="11"/>
  <c r="K15" i="11" s="1"/>
  <c r="L15" i="11" s="1"/>
  <c r="J6" i="11"/>
  <c r="K6" i="11" s="1"/>
  <c r="J7" i="12"/>
  <c r="K7" i="12" s="1"/>
  <c r="L7" i="12" s="1"/>
  <c r="J8" i="12"/>
  <c r="K8" i="12" s="1"/>
  <c r="L8" i="12" s="1"/>
  <c r="J9" i="12"/>
  <c r="K9" i="12" s="1"/>
  <c r="L9" i="12" s="1"/>
  <c r="J10" i="12"/>
  <c r="K10" i="12" s="1"/>
  <c r="L10" i="12" s="1"/>
  <c r="J11" i="12"/>
  <c r="K11" i="12" s="1"/>
  <c r="L11" i="12" s="1"/>
  <c r="J12" i="12"/>
  <c r="K12" i="12" s="1"/>
  <c r="L12" i="12" s="1"/>
  <c r="J13" i="12"/>
  <c r="K13" i="12" s="1"/>
  <c r="L13" i="12" s="1"/>
  <c r="J14" i="12"/>
  <c r="K14" i="12" s="1"/>
  <c r="L14" i="12" s="1"/>
  <c r="J15" i="12"/>
  <c r="K15" i="12" s="1"/>
  <c r="L15" i="12" s="1"/>
  <c r="J16" i="12"/>
  <c r="K16" i="12" s="1"/>
  <c r="L16" i="12" s="1"/>
  <c r="J17" i="12"/>
  <c r="K17" i="12" s="1"/>
  <c r="L17" i="12" s="1"/>
  <c r="J18" i="12"/>
  <c r="K18" i="12" s="1"/>
  <c r="L18" i="12" s="1"/>
  <c r="J19" i="12"/>
  <c r="K19" i="12" s="1"/>
  <c r="L19" i="12" s="1"/>
  <c r="J20" i="12"/>
  <c r="K20" i="12" s="1"/>
  <c r="L20" i="12" s="1"/>
  <c r="J21" i="12"/>
  <c r="K21" i="12" s="1"/>
  <c r="L21" i="12" s="1"/>
  <c r="J22" i="12"/>
  <c r="K22" i="12" s="1"/>
  <c r="L22" i="12" s="1"/>
  <c r="J23" i="12"/>
  <c r="K23" i="12" s="1"/>
  <c r="L23" i="12" s="1"/>
  <c r="J24" i="12"/>
  <c r="K24" i="12" s="1"/>
  <c r="L24" i="12" s="1"/>
  <c r="J25" i="12"/>
  <c r="K25" i="12" s="1"/>
  <c r="L25" i="12" s="1"/>
  <c r="J6" i="12"/>
  <c r="K6" i="12" s="1"/>
  <c r="L6" i="12" s="1"/>
  <c r="J6" i="13"/>
  <c r="K6" i="13" s="1"/>
  <c r="J7" i="13"/>
  <c r="K7" i="13" s="1"/>
  <c r="J8" i="13"/>
  <c r="K8" i="13" s="1"/>
  <c r="L8" i="13" s="1"/>
  <c r="J9" i="13"/>
  <c r="K9" i="13" s="1"/>
  <c r="L9" i="13" s="1"/>
  <c r="J10" i="13"/>
  <c r="K10" i="13" s="1"/>
  <c r="L10" i="13" s="1"/>
  <c r="J11" i="13"/>
  <c r="K11" i="13" s="1"/>
  <c r="L11" i="13" s="1"/>
  <c r="J12" i="13"/>
  <c r="K12" i="13" s="1"/>
  <c r="L12" i="13" s="1"/>
  <c r="J13" i="13"/>
  <c r="K13" i="13" s="1"/>
  <c r="L13" i="13" s="1"/>
  <c r="J14" i="13"/>
  <c r="K14" i="13" s="1"/>
  <c r="L14" i="13" s="1"/>
  <c r="J15" i="13"/>
  <c r="K15" i="13" s="1"/>
  <c r="L15" i="13" s="1"/>
  <c r="J16" i="13"/>
  <c r="K16" i="13" s="1"/>
  <c r="L16" i="13" s="1"/>
  <c r="J17" i="13"/>
  <c r="K17" i="13" s="1"/>
  <c r="L17" i="13" s="1"/>
  <c r="J18" i="13"/>
  <c r="K18" i="13" s="1"/>
  <c r="L18" i="13" s="1"/>
  <c r="J19" i="13"/>
  <c r="K19" i="13" s="1"/>
  <c r="L19" i="13" s="1"/>
  <c r="J20" i="13"/>
  <c r="K20" i="13" s="1"/>
  <c r="L20" i="13" s="1"/>
  <c r="J21" i="13"/>
  <c r="K21" i="13" s="1"/>
  <c r="L21" i="13" s="1"/>
  <c r="J22" i="13"/>
  <c r="K22" i="13" s="1"/>
  <c r="L22" i="13" s="1"/>
  <c r="J23" i="13"/>
  <c r="K23" i="13" s="1"/>
  <c r="L23" i="13" s="1"/>
  <c r="J24" i="13"/>
  <c r="K24" i="13" s="1"/>
  <c r="L24" i="13" s="1"/>
  <c r="J26" i="13"/>
  <c r="K26" i="13" s="1"/>
  <c r="L26" i="13" s="1"/>
  <c r="J26" i="12" l="1"/>
  <c r="J27" i="11"/>
  <c r="J20" i="10"/>
  <c r="L32" i="1"/>
  <c r="L31" i="1"/>
  <c r="J7" i="14"/>
  <c r="K7" i="14" s="1"/>
  <c r="J8" i="14"/>
  <c r="K8" i="14" s="1"/>
  <c r="J9" i="14"/>
  <c r="K9" i="14" s="1"/>
  <c r="J10" i="14"/>
  <c r="J11" i="14"/>
  <c r="K11" i="14" s="1"/>
  <c r="J12" i="14"/>
  <c r="K12" i="14" s="1"/>
  <c r="J13" i="14"/>
  <c r="K13" i="14" s="1"/>
  <c r="J14" i="14"/>
  <c r="K14" i="14" s="1"/>
  <c r="J15" i="14"/>
  <c r="K15" i="14" s="1"/>
  <c r="J16" i="14"/>
  <c r="K16" i="14" s="1"/>
  <c r="J17" i="14"/>
  <c r="J18" i="14"/>
  <c r="K18" i="14" s="1"/>
  <c r="J19" i="14"/>
  <c r="K19" i="14" s="1"/>
  <c r="J20" i="14"/>
  <c r="K20" i="14" s="1"/>
  <c r="J21" i="14"/>
  <c r="K21" i="14" s="1"/>
  <c r="J28" i="14"/>
  <c r="K10" i="14"/>
  <c r="K17" i="14"/>
  <c r="K28" i="14"/>
  <c r="J6" i="14"/>
  <c r="K6" i="14" l="1"/>
  <c r="J29" i="14"/>
  <c r="J7" i="4"/>
  <c r="K7" i="4" s="1"/>
  <c r="L7" i="4" s="1"/>
  <c r="J8" i="4"/>
  <c r="K8" i="4" s="1"/>
  <c r="L8" i="4" s="1"/>
  <c r="J10" i="4"/>
  <c r="K10" i="4" s="1"/>
  <c r="L10" i="4" s="1"/>
  <c r="J11" i="4"/>
  <c r="K11" i="4" s="1"/>
  <c r="L11" i="4" s="1"/>
  <c r="J13" i="4"/>
  <c r="K13" i="4" s="1"/>
  <c r="L13" i="4" s="1"/>
  <c r="J14" i="4"/>
  <c r="K14" i="4" s="1"/>
  <c r="L14" i="4" s="1"/>
  <c r="J15" i="4"/>
  <c r="K15" i="4" s="1"/>
  <c r="L15" i="4" s="1"/>
  <c r="J16" i="4"/>
  <c r="K16" i="4" s="1"/>
  <c r="L16" i="4" s="1"/>
  <c r="J17" i="4"/>
  <c r="K17" i="4" s="1"/>
  <c r="L17" i="4" s="1"/>
  <c r="J18" i="4"/>
  <c r="K18" i="4" s="1"/>
  <c r="L18" i="4" s="1"/>
  <c r="J19" i="4"/>
  <c r="K19" i="4" s="1"/>
  <c r="L19" i="4" s="1"/>
  <c r="J20" i="4"/>
  <c r="K20" i="4" s="1"/>
  <c r="L20" i="4" s="1"/>
  <c r="J21" i="4"/>
  <c r="K21" i="4" s="1"/>
  <c r="L21" i="4" s="1"/>
  <c r="J22" i="4"/>
  <c r="K22" i="4" s="1"/>
  <c r="L22" i="4" s="1"/>
  <c r="J23" i="4"/>
  <c r="K23" i="4" s="1"/>
  <c r="L23" i="4" s="1"/>
  <c r="J24" i="4"/>
  <c r="K24" i="4" s="1"/>
  <c r="L24" i="4" s="1"/>
  <c r="J6" i="4"/>
  <c r="J25" i="4" l="1"/>
  <c r="K6" i="4"/>
  <c r="L6" i="4" s="1"/>
  <c r="J22" i="2"/>
  <c r="E6" i="20" l="1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5" i="20"/>
  <c r="E3" i="20"/>
  <c r="E63" i="8" l="1"/>
  <c r="E64" i="8"/>
  <c r="E65" i="8"/>
  <c r="F53" i="9" l="1"/>
  <c r="F52" i="9"/>
  <c r="F51" i="9"/>
  <c r="F50" i="9"/>
  <c r="E48" i="9"/>
  <c r="E46" i="9"/>
  <c r="E33" i="9"/>
  <c r="E45" i="9"/>
  <c r="F47" i="9"/>
  <c r="F44" i="9"/>
  <c r="F42" i="9" l="1"/>
  <c r="E32" i="9"/>
  <c r="F27" i="9"/>
  <c r="F26" i="9"/>
  <c r="F25" i="9"/>
  <c r="F24" i="9"/>
  <c r="F23" i="9"/>
  <c r="G15" i="1" l="1"/>
  <c r="I23" i="15" l="1"/>
  <c r="K22" i="15"/>
  <c r="L22" i="15" s="1"/>
  <c r="K20" i="15"/>
  <c r="L20" i="15" s="1"/>
  <c r="K19" i="15"/>
  <c r="L19" i="15" s="1"/>
  <c r="K18" i="15"/>
  <c r="L18" i="15" s="1"/>
  <c r="K17" i="15"/>
  <c r="L17" i="15" s="1"/>
  <c r="K16" i="15"/>
  <c r="L16" i="15" s="1"/>
  <c r="K15" i="15"/>
  <c r="L15" i="15" s="1"/>
  <c r="K14" i="15"/>
  <c r="L14" i="15" s="1"/>
  <c r="K13" i="15"/>
  <c r="L13" i="15" s="1"/>
  <c r="K12" i="15"/>
  <c r="L12" i="15" s="1"/>
  <c r="K11" i="15"/>
  <c r="L11" i="15" s="1"/>
  <c r="K10" i="15"/>
  <c r="L10" i="15" s="1"/>
  <c r="K9" i="15"/>
  <c r="L9" i="15" s="1"/>
  <c r="K8" i="15"/>
  <c r="L8" i="15" s="1"/>
  <c r="K7" i="15"/>
  <c r="L7" i="15" s="1"/>
  <c r="K6" i="15"/>
  <c r="K23" i="15" l="1"/>
  <c r="L6" i="15"/>
  <c r="L23" i="15" s="1"/>
  <c r="I29" i="14"/>
  <c r="L28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K29" i="14" l="1"/>
  <c r="L29" i="14"/>
  <c r="F21" i="9" l="1"/>
  <c r="F15" i="9" l="1"/>
  <c r="F14" i="9"/>
  <c r="F12" i="9" l="1"/>
  <c r="F11" i="9"/>
  <c r="F10" i="9"/>
  <c r="E9" i="9"/>
  <c r="L7" i="13" l="1"/>
  <c r="L6" i="13"/>
  <c r="I26" i="12" l="1"/>
  <c r="I27" i="11"/>
  <c r="I29" i="11" s="1"/>
  <c r="L6" i="11"/>
  <c r="K26" i="12" l="1"/>
  <c r="L26" i="12"/>
  <c r="K27" i="11"/>
  <c r="L27" i="11"/>
  <c r="I20" i="10" l="1"/>
  <c r="L19" i="10"/>
  <c r="L18" i="10"/>
  <c r="L17" i="10"/>
  <c r="L16" i="10"/>
  <c r="L14" i="10"/>
  <c r="L13" i="10"/>
  <c r="L12" i="10"/>
  <c r="L11" i="10"/>
  <c r="L10" i="10"/>
  <c r="L9" i="10"/>
  <c r="L8" i="10"/>
  <c r="L7" i="10"/>
  <c r="K20" i="10" l="1"/>
  <c r="L6" i="10"/>
  <c r="L20" i="10" s="1"/>
  <c r="E53" i="6"/>
  <c r="F53" i="6" l="1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E84" i="9" l="1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G16" i="1" l="1"/>
  <c r="E19" i="7" l="1"/>
  <c r="C19" i="7"/>
  <c r="I53" i="6"/>
  <c r="D53" i="6"/>
  <c r="C19" i="5"/>
  <c r="B19" i="5"/>
  <c r="D8" i="5"/>
  <c r="D7" i="5"/>
  <c r="D19" i="5" l="1"/>
  <c r="H15" i="1"/>
  <c r="M15" i="1" s="1"/>
  <c r="H16" i="1"/>
  <c r="M16" i="1" l="1"/>
  <c r="D12" i="24"/>
  <c r="I25" i="4"/>
  <c r="I22" i="2"/>
  <c r="L25" i="4" l="1"/>
  <c r="K25" i="4"/>
  <c r="L22" i="2" l="1"/>
  <c r="K22" i="2"/>
  <c r="K23" i="1"/>
  <c r="L22" i="1"/>
  <c r="O21" i="1"/>
  <c r="P21" i="1" s="1"/>
  <c r="E21" i="1"/>
  <c r="G22" i="1" s="1"/>
  <c r="G20" i="1"/>
  <c r="H20" i="1" s="1"/>
  <c r="M20" i="1" s="1"/>
  <c r="G19" i="1"/>
  <c r="H19" i="1" s="1"/>
  <c r="M19" i="1" s="1"/>
  <c r="H18" i="1"/>
  <c r="M18" i="1" s="1"/>
  <c r="G9" i="1"/>
  <c r="H9" i="1" s="1"/>
  <c r="M9" i="1" s="1"/>
  <c r="G11" i="1" s="1"/>
  <c r="G7" i="1"/>
  <c r="H7" i="1" s="1"/>
  <c r="H11" i="1" l="1"/>
  <c r="M11" i="1" s="1"/>
  <c r="G12" i="1"/>
  <c r="M12" i="1" s="1"/>
  <c r="G13" i="1" s="1"/>
  <c r="M13" i="1" s="1"/>
  <c r="P22" i="1"/>
  <c r="P24" i="1" s="1"/>
  <c r="G23" i="1"/>
  <c r="M7" i="1"/>
  <c r="G21" i="1" l="1"/>
  <c r="F21" i="1"/>
  <c r="H21" i="1"/>
</calcChain>
</file>

<file path=xl/sharedStrings.xml><?xml version="1.0" encoding="utf-8"?>
<sst xmlns="http://schemas.openxmlformats.org/spreadsheetml/2006/main" count="1652" uniqueCount="505">
  <si>
    <t>KOPKAR BANDAR BANTEN</t>
  </si>
  <si>
    <t>LAPORAN SPT MASA PPN</t>
  </si>
  <si>
    <t>BULAN</t>
  </si>
  <si>
    <t>PPN YG HARUS DIBAYAR                           C (A-B)</t>
  </si>
  <si>
    <t>PPN YG SUDAH DIBAYAR (D)</t>
  </si>
  <si>
    <t>LAPOR SPT</t>
  </si>
  <si>
    <t>PPN YG BELUM DIBAYAR                           (C-D)</t>
  </si>
  <si>
    <t xml:space="preserve">PPN LEBIH BAYAR             </t>
  </si>
  <si>
    <t>KETERANGAN</t>
  </si>
  <si>
    <t>PENYERAHAN TDK KENA PPN</t>
  </si>
  <si>
    <t>JUMLAH</t>
  </si>
  <si>
    <t>TGL</t>
  </si>
  <si>
    <t>NO BPS</t>
  </si>
  <si>
    <t>JANUARI</t>
  </si>
  <si>
    <t>SUDAH LAPOR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</si>
  <si>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</si>
  <si>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</si>
  <si>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</si>
  <si>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</si>
  <si>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</si>
  <si>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</si>
  <si>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</si>
  <si>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</si>
  <si>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</si>
  <si>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NOPEMBER</t>
  </si>
  <si>
    <t>DESEMBER</t>
  </si>
  <si>
    <t>NO</t>
  </si>
  <si>
    <t xml:space="preserve">BULAN </t>
  </si>
  <si>
    <t xml:space="preserve">NO FP </t>
  </si>
  <si>
    <t xml:space="preserve">NAMA PKP </t>
  </si>
  <si>
    <t xml:space="preserve">NPWP </t>
  </si>
  <si>
    <t xml:space="preserve">URAIAN PEKERJAAN </t>
  </si>
  <si>
    <t>DPP</t>
  </si>
  <si>
    <t>PPN</t>
  </si>
  <si>
    <t xml:space="preserve">TOTAL </t>
  </si>
  <si>
    <t>03.276.305.4-093.000</t>
  </si>
  <si>
    <t>Tanggal</t>
  </si>
  <si>
    <t>01.161.005.3-093.000</t>
  </si>
  <si>
    <t xml:space="preserve">MONITORING FAKTUR PAJAK PENJUALAN </t>
  </si>
  <si>
    <t>LAPORAN SPT MASA PPH 21</t>
  </si>
  <si>
    <t xml:space="preserve">JUMLAH KARYAWAN </t>
  </si>
  <si>
    <t>PPH PASAL 21</t>
  </si>
  <si>
    <t>PPH YG DILAPORKAN</t>
  </si>
  <si>
    <t>NAMA PKP</t>
  </si>
  <si>
    <t>PPH YG SUDAH DIBAYAR</t>
  </si>
  <si>
    <t xml:space="preserve">JUMLAH </t>
  </si>
  <si>
    <t xml:space="preserve">TANGGAL </t>
  </si>
  <si>
    <t>TANGGAL</t>
  </si>
  <si>
    <t>LAPORAN SPT MASA PPH 25 BADAN</t>
  </si>
  <si>
    <t>No</t>
  </si>
  <si>
    <t>NPWP LAWAN TRANSAKSI</t>
  </si>
  <si>
    <t xml:space="preserve">NAMA LAWAN TRANSAKSI </t>
  </si>
  <si>
    <t>72.151.088-1.417.000</t>
  </si>
  <si>
    <t xml:space="preserve">Pekerjaan </t>
  </si>
  <si>
    <t>PPH 22/23</t>
  </si>
  <si>
    <t>Tgl BP</t>
  </si>
  <si>
    <t>No BP</t>
  </si>
  <si>
    <t>NPWP PKP</t>
  </si>
  <si>
    <t>PPH 23</t>
  </si>
  <si>
    <t>PPH 22</t>
  </si>
  <si>
    <t>BUKPOT PPH 23</t>
  </si>
  <si>
    <t>TANGGAL BUKPOT</t>
  </si>
  <si>
    <t>NO BUKPOT PPH 23</t>
  </si>
  <si>
    <t>83.374.018-6.417.000</t>
  </si>
  <si>
    <t>KOP MAHAKARYA MITRA SEJAHTERA</t>
  </si>
  <si>
    <t>31.694.078-2.417.000</t>
  </si>
  <si>
    <t xml:space="preserve">KOP PUTRA KRAKATAU </t>
  </si>
  <si>
    <t>KOP PUTRA SELAT SUNDA</t>
  </si>
  <si>
    <t>Januari</t>
  </si>
  <si>
    <t>PPH YG 21 DIPOTONG</t>
  </si>
  <si>
    <t xml:space="preserve">sometimes the only way </t>
  </si>
  <si>
    <t>43.739.796.1-801.000</t>
  </si>
  <si>
    <t>FP MASUKAN               (B)</t>
  </si>
  <si>
    <t>FP KELUARAN                     (A)</t>
  </si>
  <si>
    <t>TAHUN 2025</t>
  </si>
  <si>
    <t>0010610053093000</t>
  </si>
  <si>
    <t>0032763054093000</t>
  </si>
  <si>
    <t>KODE PAJAK</t>
  </si>
  <si>
    <t>04 - DPP Nilai Lain</t>
  </si>
  <si>
    <t>03 - kepada Pemungut PPN selain Instansi Pemerintah</t>
  </si>
  <si>
    <t>DPP Nilai Lain</t>
  </si>
  <si>
    <t>0437397961801000</t>
  </si>
  <si>
    <t>Februari</t>
  </si>
  <si>
    <t>DPP NILAI LAIN</t>
  </si>
  <si>
    <t>Juli</t>
  </si>
  <si>
    <t xml:space="preserve">DPP Lain </t>
  </si>
  <si>
    <t>PT Pelabuhan Indonesia (Persero)</t>
  </si>
  <si>
    <t>DPP NILAI</t>
  </si>
  <si>
    <t>LAIN</t>
  </si>
  <si>
    <t>-</t>
  </si>
  <si>
    <t>PELINDO JASA MARITIM</t>
  </si>
  <si>
    <t>Juni</t>
  </si>
  <si>
    <t>DPP LAIN</t>
  </si>
  <si>
    <t>PT Pelabuhan Tanjung Priok</t>
  </si>
  <si>
    <t xml:space="preserve">KODE PAJAK </t>
  </si>
  <si>
    <t>Mei</t>
  </si>
  <si>
    <t>April</t>
  </si>
  <si>
    <t>Maret</t>
  </si>
  <si>
    <t xml:space="preserve">DPP DIPUNGUT  </t>
  </si>
  <si>
    <t>PEMUNGUT</t>
  </si>
  <si>
    <t>Permohonan Biaya Pengambilan Barang RT kantor Pelabuhan Banten Periode Jan 25</t>
  </si>
  <si>
    <t xml:space="preserve">Pekerjaan Pengadaan Alat Pelindung Diri (APD) PT Pelindo Reg 2 Banten </t>
  </si>
  <si>
    <t xml:space="preserve">Pekerjaan Perpanjangan Pajak STNK Mobil  A 9913 U Hino Truck di Lingk Pelabuhan Banten </t>
  </si>
  <si>
    <t xml:space="preserve">Pekerjaan Pengadaan Spanduk "Ramah Tamah dan Penyambutan GM Baru" di Lingk Pelabuhan Banten </t>
  </si>
  <si>
    <t>Pekerjaan Jasa Cleaning Service di Lingk Kantor PT Pelindo Reg 2 Banten Periode Jan 25</t>
  </si>
  <si>
    <t>Pekerjaan Jasa Cleaning Service di Lingk Kantor PT Pelindo Reg 2 Banten Periode Feb 25</t>
  </si>
  <si>
    <t>Pekerjaan Jasa Cleaning Service di Lingk Kantor PT Pelindo Reg 2 Banten Periode Des 24</t>
  </si>
  <si>
    <t>Pekerjaan Perlengkapan Penunjang Bulan Bakti K3 Nasional Thn 2025</t>
  </si>
  <si>
    <t>Pekerjaan Pengadaan Konsumsi Kegiatan Bulan K3 Nasional Thn 2025</t>
  </si>
  <si>
    <t>Permohonan Biaya Pengambilan Barang RT kantor Pelabuhan Banten Periode Feb 25</t>
  </si>
  <si>
    <t xml:space="preserve">Pekerjaan Pengadaan Alat Pelindung Diri (APD) utk Pegawai Pelindo Reg 2 Banten </t>
  </si>
  <si>
    <t>Permohonan Biaya Pengambilan Barang RT kantor Pelabuhan Banten Periode Mar 25</t>
  </si>
  <si>
    <t xml:space="preserve">Pekerjaan Pengadaan Spanduk Publikasi Sistem Manajamen Anti Penyuapan (SMAP) di Lingk Pelabuhan Banten </t>
  </si>
  <si>
    <t>Pekerjaan Pengadaan Biaya Jamuan Tamu Dinas &amp; Pengambilan Air Mineral Galon &amp; Aqua Periode Mar 25</t>
  </si>
  <si>
    <t>Pekerjaan Pembantuan Petugas Cleaning Service utk Pelayanan Terminal Penumpang Selama Mudik Lebaran  2025</t>
  </si>
  <si>
    <t xml:space="preserve">Pekerjaan Perbaikan Pagar ISPS Code dan Pengadaan Label Penamaan Pos Security Pelabuhan Banten </t>
  </si>
  <si>
    <t>Pekerjaan Pengadaan Patok Beton dlm Rangka Ganti Nama dan Sertifikasi Pada Lahan Milik PT Pelindo</t>
  </si>
  <si>
    <t xml:space="preserve">Pekerjaan Pembayaran Pajak Kendaraan Dinas Ops UPO Merak di Pelabuhan Banten </t>
  </si>
  <si>
    <t xml:space="preserve">Pekerjaan Pelaksanaan Pengasapan / Fogging dlm Rangka Persiapan Angleb Thn 2025 Pelabuhan Banten </t>
  </si>
  <si>
    <t xml:space="preserve">Sharing Biaya Bantuan Dana Kegiatan Halal Bihalal Asosiasi DPC Insa Banten &amp; DPW ISAA Banten </t>
  </si>
  <si>
    <t xml:space="preserve">Pekerjaan Pengadaan Patung Burung Garuda Pancasila Pelabuhan Banten </t>
  </si>
  <si>
    <t>Pekerjaan Pengadaan Spanduk Umbul-umbul Angleb Thn 2025 dan Peringatan Hari Raya Idul Fitri 1446 H</t>
  </si>
  <si>
    <t xml:space="preserve">Pekerjaan Pengadaan ATK (Alat Tulis Kantor) Divisi SDM &amp; Keu PT Pelindo Reg 2 Banten </t>
  </si>
  <si>
    <t xml:space="preserve">Pekerjaan Pengadaan Tinta Printer HP Laserjet 700 Color MFP M775 Divisi Teknik Pelabuhan Banten </t>
  </si>
  <si>
    <t xml:space="preserve">Pekerjaan Himbauan Pemasangan Larangan Pemberian dan Penerimaan Suap, Pungli dan Gratifikasi Pelabuhan Banten </t>
  </si>
  <si>
    <t>Pekerjaan Pengadaan Biaya Jamuan Tamu Dinas &amp; Pengambilan Air Mineral Galon &amp; Aqua Periode Mei 25</t>
  </si>
  <si>
    <t xml:space="preserve">Pekerjaan Pengadaan Bahan Pembuatan Pas Tahunan 2025 di PT Pelindo Reg 2 Banten </t>
  </si>
  <si>
    <t>Pekerjaan Permohonan Biaya Pengambilan Barang RT kantor Pelabuhan Banten Periode Mei 25</t>
  </si>
  <si>
    <t xml:space="preserve">Pekerjaan Pengadaan Implementasi Sistem Pelayanan Kapal Terpadu (Phinnisi) Pelabuhan banten  </t>
  </si>
  <si>
    <t>Agustus</t>
  </si>
  <si>
    <t>LAPORAN SPT MASA PPH 23</t>
  </si>
  <si>
    <t>KOPERASI KONSUMEN KARYAWAN BANDAR BANTEN</t>
  </si>
  <si>
    <t>September</t>
  </si>
  <si>
    <t>Bupot PPh 22/23</t>
  </si>
  <si>
    <t>Pengambilan Barang RT Kantor Pelabuhan Banten Periode Nov 24</t>
  </si>
  <si>
    <t>2500K3UOJ</t>
  </si>
  <si>
    <t>2500K38IZ</t>
  </si>
  <si>
    <t>2500K43DB</t>
  </si>
  <si>
    <t>2500K61AC</t>
  </si>
  <si>
    <t>2500K62TB</t>
  </si>
  <si>
    <t xml:space="preserve">Pekerjaan Pembelian Sapras K3 Antisipasi Bahaya Cuaca Buruk PT Pelindo (Persero) Reg 2 Banten </t>
  </si>
  <si>
    <t>25007TJ8P</t>
  </si>
  <si>
    <t xml:space="preserve">Pekerjaan Pengadaan Oil Absorbent Pad PT Pelindo (Persero) Reg 2 Banten </t>
  </si>
  <si>
    <t>25007TKCP</t>
  </si>
  <si>
    <t>Pekerjaan Pengadaan Plang Rambu Lapangan di Pelabuhan Banten</t>
  </si>
  <si>
    <t>25007TKFN</t>
  </si>
  <si>
    <t>25007TKK0</t>
  </si>
  <si>
    <t xml:space="preserve">Pekerjaan Pengadaan Tempat Sampah Terpilah 3 Warna PT Pelindo (Persero) Reg 2 Banten </t>
  </si>
  <si>
    <t>2501INK2A</t>
  </si>
  <si>
    <t>2501INL6Q</t>
  </si>
  <si>
    <t>2501INYGA</t>
  </si>
  <si>
    <t>2501INYKZ</t>
  </si>
  <si>
    <t>2501IO0KL</t>
  </si>
  <si>
    <t>2501IO1C0</t>
  </si>
  <si>
    <t>25022ZSH9</t>
  </si>
  <si>
    <t>2502Q5F10</t>
  </si>
  <si>
    <t>2502Q5F20</t>
  </si>
  <si>
    <t>2502Q5F5Y</t>
  </si>
  <si>
    <t>2502Q5FCH</t>
  </si>
  <si>
    <t>2502Q5FFB</t>
  </si>
  <si>
    <t>2502Q5FGF</t>
  </si>
  <si>
    <t>2502ZEM9B</t>
  </si>
  <si>
    <t>2502ZF4YR</t>
  </si>
  <si>
    <t>2502ZFX6J</t>
  </si>
  <si>
    <t>2502ZFZ8N</t>
  </si>
  <si>
    <t>2502ZG9PN</t>
  </si>
  <si>
    <t>2502ZGA1U</t>
  </si>
  <si>
    <t>2502ZGHIT</t>
  </si>
  <si>
    <t>2502ZGIBG</t>
  </si>
  <si>
    <t>2502ZGIDU</t>
  </si>
  <si>
    <t>2502ZGKTK</t>
  </si>
  <si>
    <t>2502ZGVW9</t>
  </si>
  <si>
    <t>2502ZH468</t>
  </si>
  <si>
    <t>2502ZHL2W</t>
  </si>
  <si>
    <t>Oktober</t>
  </si>
  <si>
    <t xml:space="preserve">LAPORAN SPT MASA PAJAK </t>
  </si>
  <si>
    <t>SPT MASA</t>
  </si>
  <si>
    <t xml:space="preserve">Pekerjaan Penyedotan Limbah Domestik Toilet Container Area Dermaga di Lingkungan PTP Banten </t>
  </si>
  <si>
    <t>Nopember</t>
  </si>
  <si>
    <t xml:space="preserve">Desember </t>
  </si>
  <si>
    <t>PERIODE JANUARI 2026</t>
  </si>
  <si>
    <t>04002600000473968</t>
  </si>
  <si>
    <t>04002600000473969</t>
  </si>
  <si>
    <t>03002600000473973</t>
  </si>
  <si>
    <t xml:space="preserve">Pekerjaan Pelaksanaan Kegiatan Fogging (Pengasapan) dalam Rangka Penyelenggaraan NATARU 2025-2026 di Reg 2 Banten </t>
  </si>
  <si>
    <t xml:space="preserve">Pekerjaan Pengadaan Jas Hujan dan Lampu Lalin untuk Petugas Damkar dan Security Pada Masa Angkutan NATARU 2025-2026 Pel Banten </t>
  </si>
  <si>
    <t xml:space="preserve">Pekerjaan Pelaksanaan Drill/Simulasi Gempa Bumi dan Tsunami di Pelindo Reg 2 Banten </t>
  </si>
  <si>
    <t>03002600000701800</t>
  </si>
  <si>
    <t xml:space="preserve">Pekerjaan Pengadaan Alat-alat Sistem Informasi PT Pelindo Reg 2 Banten </t>
  </si>
  <si>
    <t>04002600002267356</t>
  </si>
  <si>
    <t>04002600002267357</t>
  </si>
  <si>
    <t>04002600002267360</t>
  </si>
  <si>
    <t>04002600002267363</t>
  </si>
  <si>
    <t>04002600002267364</t>
  </si>
  <si>
    <t>Pekerjaan Kebersihan Zonasi Lini 2 PTP Cabang Banten Periode Des 25</t>
  </si>
  <si>
    <t>Pekerjaan Kebersihan Container dan Toilet Zonasi di Ling PTP Cabang Banten Periode Des 25</t>
  </si>
  <si>
    <t>Pekerjaan Kebersihan Zonasi Lini 1 PTP Cabang Banten Periode Des 25</t>
  </si>
  <si>
    <t>Pekerjaan Jasa Kebersihan Gedung, Halaman Parkir dan Workshop PT PTP Cabang Banten Periode Des 25</t>
  </si>
  <si>
    <t>Pekerjaan Penyediaan Pekerja Harian di Ling PTP Cabang Banten Periode Des 25</t>
  </si>
  <si>
    <t>04002600002267372</t>
  </si>
  <si>
    <t>Pekerjaan Kebersihan Kantor SPJM Unit Banten Stasiun Kepanduan Ciwandan dan Merak di Ling SPJM Banten Per Des 25</t>
  </si>
  <si>
    <t>03002600005086740</t>
  </si>
  <si>
    <t>Pekerjaan Pengadaan Biaya Jamuan Tamu Dinas &amp; Pengambilan Air Mineral Galon &amp; Le Mineral Dus Periode Des 25</t>
  </si>
  <si>
    <t>04002600010623063</t>
  </si>
  <si>
    <t>Pekerjaan Pengadaan Jasa Catering Pandu di Ling PT Pelindo Jasa Maritim Area SUKAJA Periode Des 25</t>
  </si>
  <si>
    <t>04002600010623064</t>
  </si>
  <si>
    <t>Pekerjaan Pembelian RT dan Umum PTP Cabang Banten Periode Jan 26</t>
  </si>
  <si>
    <t>03002600011343156</t>
  </si>
  <si>
    <t>04002600013167654</t>
  </si>
  <si>
    <t>TAHUN 2026</t>
  </si>
  <si>
    <t xml:space="preserve">DPP </t>
  </si>
  <si>
    <t>Fee 10%</t>
  </si>
  <si>
    <t>PPh 23</t>
  </si>
  <si>
    <t>PPN 11%</t>
  </si>
  <si>
    <t xml:space="preserve">Tagihan </t>
  </si>
  <si>
    <t>PERIODE FEBRUARI 2026</t>
  </si>
  <si>
    <t xml:space="preserve">Pekerjaan Sharing Bantuan Dana Kegiatan Pelantikan Pengurus DPP PPSBBI Per 2025-2030 PTP Banten </t>
  </si>
  <si>
    <t>04002600027126251</t>
  </si>
  <si>
    <t xml:space="preserve">Pekerjaan Pemesanan Karangan Bunga Ucapan Dirgahayu PT JAPFA PTP Banten </t>
  </si>
  <si>
    <t>03002600034960225</t>
  </si>
  <si>
    <t>Pekerjaan Pelaksanaan Kegiatan Bulan K3 Nasional Tahun 2026 di Ling PT Pelindo (Persero) Reg 2 Banten</t>
  </si>
  <si>
    <t>04002600027126249</t>
  </si>
  <si>
    <t>04012600027126250</t>
  </si>
  <si>
    <t>04002600033585981</t>
  </si>
  <si>
    <t>Pekerjaan Pengadaan Jasa Catering Pandu di Ling PT Pelindo Jasa Maritim Area SUKAJA Periode Jan 26</t>
  </si>
  <si>
    <t>04002600050740193</t>
  </si>
  <si>
    <t xml:space="preserve">Pekerjaan Perpanjangan Pajak Kendaraan Mobil Pick up No. Polis A 8459 TX Pelabuhan Banten </t>
  </si>
  <si>
    <t>04002600050740194</t>
  </si>
  <si>
    <t xml:space="preserve">Pekerjaan Perawatan Kendaraan Operasional Roda 2 (Dua) di PTP Cabang Banten </t>
  </si>
  <si>
    <t>04002600050740195</t>
  </si>
  <si>
    <t>04002600050740196</t>
  </si>
  <si>
    <t>04002600050740197</t>
  </si>
  <si>
    <t>Permohonan Perbantuan Cleaning Service utk Pelayanan Selama Masa Natal Tahun 2025 dan Tahun Baru 2026</t>
  </si>
  <si>
    <t>Pekerjaan Rekaptulasi Perhitungan Lembur Tenaga Harian Lepas (TKHL) PT PTP Cabang Banten Periode Jan 26</t>
  </si>
  <si>
    <t>Pekerjaan Rekaptulasi Perhitungan Lembur Tenaga Harian Lepas (TKHL) PT PTP Cabang Banten Periode Des 25</t>
  </si>
  <si>
    <t>Pekerjaan Penyediaan Pekerja Harian di Ling PTP Cabang Banten Periode Jan 26</t>
  </si>
  <si>
    <t>04002600050740198</t>
  </si>
  <si>
    <t>Pekerjaan Kebersihan Container dan Toilet Zonasi di Ling PTP Cabang Banten Periode Jan 26</t>
  </si>
  <si>
    <t>04002600050740200</t>
  </si>
  <si>
    <t>Pekerjaan Kebersihan Zonasi Lini 2 PTP Cabang Banten Periode Jan 26</t>
  </si>
  <si>
    <t>04002600050740202</t>
  </si>
  <si>
    <t>Pekerjaan Kebersihan Zonasi Lini 1 PTP Cabang Banten Periode Jan 26</t>
  </si>
  <si>
    <t>04002600050740205</t>
  </si>
  <si>
    <t>Pekerjaan Jasa Kebersihan Gedung, Halaman Parkir dan Workshop PT PTP Cabang Banten Periode Jan 26</t>
  </si>
  <si>
    <t>04002600054100255</t>
  </si>
  <si>
    <t>Pekerjaan Pembelian RT dan Umum PTP Cabang Banten Periode Feb 26</t>
  </si>
  <si>
    <t>04002600059034385</t>
  </si>
  <si>
    <t>Pekerjaan Pengadaan Biaya Jamuan Tamu Dinas &amp; Pengambilan Air Mineral Galon &amp; Le Mineral Dus Periode Jan 26</t>
  </si>
  <si>
    <t>03002600060895643</t>
  </si>
  <si>
    <t>03002600060895644</t>
  </si>
  <si>
    <t xml:space="preserve">Pekerjaan Sharing Bantuan Dana Kegiatan Rapat Kerja Wilayah II DPW APBMI Banten </t>
  </si>
  <si>
    <t xml:space="preserve"> Pekerjaan Pelaksanaan Employee Ghatering Pekerja Tahun 2025 di Ling Pelindo Reg 2 Banten </t>
  </si>
  <si>
    <t>04002600033585978</t>
  </si>
  <si>
    <t xml:space="preserve">Pekerjaan Pengadaan Alat Tulis Kantor (ATK) Divisi Komersial PT Pelindo (Persero) Reg 2 Banten </t>
  </si>
  <si>
    <t>03002600005653127</t>
  </si>
  <si>
    <t>Permohonan Biaya Pengambilan Barang RT Kantor Pelabuhan Banten Periode Des 25</t>
  </si>
  <si>
    <t>03002600068805672</t>
  </si>
  <si>
    <t>Pekerjaan Jasa Cleaning Service di Lingkungan Kantor PT Pelindo (Persero) Reg 2 Banten Periode Des 25</t>
  </si>
  <si>
    <t xml:space="preserve">BATAL FAKTUR GANTI PELINDO </t>
  </si>
  <si>
    <t>Dikompensasikan ke Bulan Maret 2026</t>
  </si>
  <si>
    <t xml:space="preserve">Pekerjaan Pengadaan Bingkisan Snack NATARU 2025-2026 di PT Pelindo (Persero) Reg 2 Banten </t>
  </si>
  <si>
    <t>01.000.013-1.093.000</t>
  </si>
  <si>
    <t>PT TELKOM INDONESIA (PERSERO) TBK</t>
  </si>
  <si>
    <t>2600UUSQR</t>
  </si>
  <si>
    <t>2600UUSQY</t>
  </si>
  <si>
    <t>2600UUSQV</t>
  </si>
  <si>
    <t>2600UUSQU</t>
  </si>
  <si>
    <t>2600VZ8B</t>
  </si>
  <si>
    <t>260019B9W</t>
  </si>
  <si>
    <t>260019B9Y</t>
  </si>
  <si>
    <t>260019B9X</t>
  </si>
  <si>
    <t xml:space="preserve">LB </t>
  </si>
  <si>
    <t>Pekerjaan Jasa Kebersihan Gedung, Halaman Parkir dan Workshop PT PTP Cabang Banten Periode Feb 26</t>
  </si>
  <si>
    <t>0400260007077686</t>
  </si>
  <si>
    <t>0400260007077687</t>
  </si>
  <si>
    <t>0400260007077688</t>
  </si>
  <si>
    <t>0400260007077689</t>
  </si>
  <si>
    <t>0400260007077690</t>
  </si>
  <si>
    <t>0400260007077692</t>
  </si>
  <si>
    <t>0400260007077693</t>
  </si>
  <si>
    <t>Pekerjaan Pembelian RT dan Umum PTP Cabang Banten Periode Mar 26</t>
  </si>
  <si>
    <t>Pekerjaan Kebersihan Zonasi Lini 2 PTP Cabang Banten Periode Feb 26</t>
  </si>
  <si>
    <t>Pekerjaan Rekaptulasi Perhitungan Lembur Tenaga Harian Lepas (TKHL) PT PTP Cabang Banten Periode Feb 26</t>
  </si>
  <si>
    <t>Pekerjaan Kebersihan Zonasi Lini 1 PTP Cabang Banten Periode Feb 26</t>
  </si>
  <si>
    <t>Pekerjaan Kebersihan Container dan Toilet Zonasi di Ling PTP Cabang Banten Periode Feb 26</t>
  </si>
  <si>
    <t>Pekerjaan Penyediaan Pekerja Harian di Ling PTP Cabang Banten Periode Feb 26</t>
  </si>
  <si>
    <t>03012600066565350</t>
  </si>
  <si>
    <t xml:space="preserve">Pekerjaan Perbaikan dan Upgrade Komputer, Laptop dan Printer PT Pelindo (Persero) Reg 2 Banten </t>
  </si>
  <si>
    <t>03002600080246977</t>
  </si>
  <si>
    <t>Permohonan Biaya Pengambilan Barang RT Kantor Pelabuhan Banten Periode Jan 26</t>
  </si>
  <si>
    <t>03002600077747987</t>
  </si>
  <si>
    <t>Pekerjaan Permohonan Perbantuan Cleaning Service untuk Pelayanan Selama Masa Natal Tahun 2025 dan Tahun Baru 2026</t>
  </si>
  <si>
    <t>04002600080203636</t>
  </si>
  <si>
    <t>Pekerjaan Pengadaan Jasa Catering Pandu di Ling PT Pelindo Jasa Maritim Area SUKAJA Periode Feb  26</t>
  </si>
  <si>
    <t>04002600094394423</t>
  </si>
  <si>
    <t>Pekerjaan Pengadaan Biaya Jamuan Tamu Dinas &amp; Pengambilan Air Mineral Galon &amp; Le Mineral Dus Periode Feb 26</t>
  </si>
  <si>
    <t>03002600097042393</t>
  </si>
  <si>
    <t>Permohonan Biaya Pengambilan Barang RT Kantor Pelabuhan Banten Periode Feb 26</t>
  </si>
  <si>
    <t>BPE-16528/CT/KPP.0804/2026</t>
  </si>
  <si>
    <t>BPE-36273/CT/KPP.0804/2026</t>
  </si>
  <si>
    <t>BPE-14585/CT/KPP.0804/2026</t>
  </si>
  <si>
    <t>BPE-29431/CT/KPP.0804/2026</t>
  </si>
  <si>
    <t>BPE-14586/CT/KPP.0804/2026</t>
  </si>
  <si>
    <t>BPE-29432/CT/KPP.0804/2026</t>
  </si>
  <si>
    <t>2600GJ5VT</t>
  </si>
  <si>
    <t>2600GJ5VU</t>
  </si>
  <si>
    <t>2600GJ5VV</t>
  </si>
  <si>
    <t>2600GJ5VS</t>
  </si>
  <si>
    <t>Bayar Dimuka di thn  2025 salah buat kode billing tahun pajak</t>
  </si>
  <si>
    <t>PERIODE MARET 2026</t>
  </si>
  <si>
    <t>PERIODE MEI 2026</t>
  </si>
  <si>
    <t>PERIODE JUNI 2026</t>
  </si>
  <si>
    <t>PERIODE JULI 2026</t>
  </si>
  <si>
    <t>PERIODE AGUSTUS 2026</t>
  </si>
  <si>
    <t>PERIODE SEPTEMBER 2026</t>
  </si>
  <si>
    <t>PERIODE OKTOBER 2026</t>
  </si>
  <si>
    <t>PERIODE NOVEMBER 2026</t>
  </si>
  <si>
    <t>PERIODE DESEMBER 2026</t>
  </si>
  <si>
    <t>BPE-48793/CT/KPP.0804/2026</t>
  </si>
  <si>
    <t>PERIODE APRIL 2026</t>
  </si>
  <si>
    <t>03002600109049509</t>
  </si>
  <si>
    <t xml:space="preserve">Pekerjaan Pengadaan Bingkisan Persiapan Kegiatan Angleb PT Pelindo (Persero) Reg 2 Banten </t>
  </si>
  <si>
    <t>03002600109049510</t>
  </si>
  <si>
    <t xml:space="preserve">Pekerjaan Pelaksanaan Pengasapan / Fogging dalam Rangka Persiapan Angleb Tahun 2026 Pelabuhan Banten </t>
  </si>
  <si>
    <t>03002600116802690</t>
  </si>
  <si>
    <t xml:space="preserve">Pekerjaan Pengadaan dan Pemasangan Dormakaba MDU ES 250 Pro di PT Pelindo (Persero) Reg 2 Banten </t>
  </si>
  <si>
    <t>04002600118135733</t>
  </si>
  <si>
    <t>Pekerjaan Pengadaan Jasa Catering Pandu di Ling PT Pelindo Jasa Maritim Area SUKAJA Periode Mar 26</t>
  </si>
  <si>
    <t>04002600118135734</t>
  </si>
  <si>
    <t xml:space="preserve">Pekerjaan Pengadaan Perlengkapan HSSE dalam Rangka Angleb Tahun 2026 di Pelabuhan Banten </t>
  </si>
  <si>
    <t>04002600118135732</t>
  </si>
  <si>
    <t>03002600121514791</t>
  </si>
  <si>
    <t xml:space="preserve">Pekerjaan Penyediaan Konsumsi utk Petugas Piket Angleb Tahun 2026 di Pelabuhan Banten </t>
  </si>
  <si>
    <t>04002600121514800</t>
  </si>
  <si>
    <t xml:space="preserve">BATAL FAKTUR </t>
  </si>
  <si>
    <t>MARET (PEMBETULAN)</t>
  </si>
  <si>
    <t>BPE-51682/CT/KPP.0804/2026</t>
  </si>
  <si>
    <t>Dikompensasikan ke Bulan April 2026</t>
  </si>
  <si>
    <t>04002600121514792</t>
  </si>
  <si>
    <t>Pekerjaan Penyediaan Pekerja Harian di Ling PTP Cabang Banten Periode Mar 26</t>
  </si>
  <si>
    <t>04002600121514793</t>
  </si>
  <si>
    <t>Pekerjaan Rekaptulasi Perhitungan Lembur Tenaga Harian Lepas (TKHL) PT PTP Cabang Banten Periode Mar 26</t>
  </si>
  <si>
    <t>04002600121514794</t>
  </si>
  <si>
    <t>Pekerjaan Kebersihan Zonasi Lini 2 PTP Cabang Banten Periode Mar 26</t>
  </si>
  <si>
    <t>04002600121514795</t>
  </si>
  <si>
    <t>Pekerjaan Kebersihan Zonasi Lini 1 PTP Cabang Banten Periode Mar 26</t>
  </si>
  <si>
    <t>04002600121514796</t>
  </si>
  <si>
    <t>Pekerjaan Jasa Kebersihan Gedung, Halaman Parkir dan Workshop PT PTP Cabang Banten Periode Mar 26</t>
  </si>
  <si>
    <t>04002600121514798</t>
  </si>
  <si>
    <t>04002600121514799</t>
  </si>
  <si>
    <t xml:space="preserve">Pekerjaan Sharing Bantuan Dana Kegiatan Penyuluhan Bahaya Narkoba PT PTP Cabang Banten </t>
  </si>
  <si>
    <t>03002600129894571</t>
  </si>
  <si>
    <t xml:space="preserve">Pekerjaan Penyediaan Personil untuk Pelayanan Selama Masa Angleb Tahun 2026 di Pelabuhan Banten </t>
  </si>
  <si>
    <t>03002600133238686</t>
  </si>
  <si>
    <t xml:space="preserve">Pekerjaan Program Pelindo Berbagi Ramadhan Tahun 2026 di PT Pelindo (Persero) Reg 2 Banten </t>
  </si>
  <si>
    <t>03002600133238688</t>
  </si>
  <si>
    <t>Pekerjaan Paket Takjil Program Pelindo Berbagi Ramadhan Tahun 2026 di PT Pelindo (Persero) Reg 2 Banten</t>
  </si>
  <si>
    <t>03002600133238690</t>
  </si>
  <si>
    <t>Pekerjaan Jasa Kebersihan Cleaning Service di Lingkungan Kantor Pelabuhan Banten Periode Jan 26</t>
  </si>
  <si>
    <t>Pekerjaan Jasa Kebersihan Cleaning Service di Lingkungan Kantor Pelabuhan Banten Periode Feb 26</t>
  </si>
  <si>
    <t>Pekerjaan Jasa Kebersihan Cleaning Service di Lingkungan Kantor Pelabuhan Banten Periode Mar 26</t>
  </si>
  <si>
    <t>03002600133238687</t>
  </si>
  <si>
    <t>03002600133238689</t>
  </si>
  <si>
    <t>2602N0TRE</t>
  </si>
  <si>
    <t>2602N0TRB</t>
  </si>
  <si>
    <t>2602N0TRC</t>
  </si>
  <si>
    <t xml:space="preserve">PT CAHAYA TRITUNGGAL ABADI </t>
  </si>
  <si>
    <t>02.487.178-2.411.000</t>
  </si>
  <si>
    <t>2602N0TRD</t>
  </si>
  <si>
    <t>2602OGR3I</t>
  </si>
  <si>
    <t>10.000.000-0.604.3710</t>
  </si>
  <si>
    <t>2602S5JOF</t>
  </si>
  <si>
    <t>KAP ROZA EKO DAN BOY</t>
  </si>
  <si>
    <t>2602TXCAC</t>
  </si>
  <si>
    <t>BPE-53668/CT/KPP.0804/2026</t>
  </si>
  <si>
    <t>GANTI FAKTUR TGL 04/05/26</t>
  </si>
  <si>
    <t>BPE-60191/CT/KPP.0804/2026</t>
  </si>
  <si>
    <t>BPE-60192/CT/KPP.0804/2026</t>
  </si>
  <si>
    <t>LB/KB</t>
  </si>
  <si>
    <t>Pekerjaan Pembelian RT dan Umum PTP Cabang Banten Periode Apr 26</t>
  </si>
  <si>
    <t>ada kompensasi LB dari spt pph 21 des 2025 sebesar Rp 5.895.121</t>
  </si>
  <si>
    <t>ada kompensasi LB dari spt pph 21 Jan 2026 sebesar Rp 6.025.314</t>
  </si>
  <si>
    <t>BPE-60525/CT/KPP.0804/2026</t>
  </si>
  <si>
    <t>ada kompensasi LB dari spt pph 21 Feb 2025 sebesar Rp 6.025.314</t>
  </si>
  <si>
    <t>GANTI FP Tgl 04/04/26</t>
  </si>
  <si>
    <t>04002600157008929</t>
  </si>
  <si>
    <t>04002600157008931</t>
  </si>
  <si>
    <t>Pekerjaan Pembelian RT dan Umum PTP Cabang Banten Periode Mei 26</t>
  </si>
  <si>
    <t>03002600157008930</t>
  </si>
  <si>
    <t>Pekerjaan Pengadaan Pelengkapan untuk Pengelolaan Limbah B3 dan Non B3 di Pelabuhan Banten</t>
  </si>
  <si>
    <t>Pekerjaan Pengadaan Jasa Catering Pandu di Ling PT Pelindo Jasa Maritim Area SUKAJA Periode Apr 26</t>
  </si>
  <si>
    <t>04002600159367666</t>
  </si>
  <si>
    <t>04002600159367667</t>
  </si>
  <si>
    <t>04002600159367668</t>
  </si>
  <si>
    <t>04002600159367669</t>
  </si>
  <si>
    <t>04002600159367670</t>
  </si>
  <si>
    <t xml:space="preserve">Pekerjaan Shifting Kapal PT Sakura Samudera Lines PT PTP Cabang Banten </t>
  </si>
  <si>
    <t xml:space="preserve">Pekerjaan Limbah Domestik Toilet Container Area Dermaga di Ling PTP Cabang Banten </t>
  </si>
  <si>
    <t>Pekerjaan Rekaptulasi Perhitungan Lembur Tenaga Harian Lepas (TKHL) PT PTP Cabang Banten Periode Apr 26</t>
  </si>
  <si>
    <t xml:space="preserve">Pekerjaan Sharing Dana Kegiatan Cilegon Expo Tahun 2026 PT Pelabuhan Tanjung Priok Cabang Banten </t>
  </si>
  <si>
    <t>Pekerjaan Penyediaan Pekerja Harian di Ling PTP Cabang Banten Periode Apr 26</t>
  </si>
  <si>
    <t>GANTI FAKTUR TGL 11/05/26</t>
  </si>
  <si>
    <t>03002600167108096</t>
  </si>
  <si>
    <t xml:space="preserve">Permohonan Pekerjaan Penyaluran Program Tanggung Jawab Lingkungan dan Sosial (TJSL) utk Masyarakat Kurang Mampu </t>
  </si>
  <si>
    <t>04002600168560209</t>
  </si>
  <si>
    <t xml:space="preserve">Pekerjaan Surat Izin Mengendarai (SIM) Kendaraan Lowbet di PT PTP Cabang Banten </t>
  </si>
  <si>
    <t>03002600168880922</t>
  </si>
  <si>
    <t>03002600168880924</t>
  </si>
  <si>
    <t>Permohonan Biaya Pengambilan Barang RT Kantor Pelabuhan Banten Periode Mar 26</t>
  </si>
  <si>
    <t>Pekerjaan Pengadaan Biaya Jamuan Tamu Dinas &amp; Pengambilan Air Mineral Galon &amp; Le Mineral Dus Periode Mar 26</t>
  </si>
  <si>
    <t>GANTI FAKTUR TGL 17/4/26</t>
  </si>
  <si>
    <t>GANTI FAKTUR TGL 14/4/26</t>
  </si>
  <si>
    <t>GANTI FAKTUR TGL 15/4/26</t>
  </si>
  <si>
    <t xml:space="preserve">GANTI FAKTUR PERUBAHAN ANGKA </t>
  </si>
  <si>
    <t>04002600171261726</t>
  </si>
  <si>
    <t>Pekerjaan Kebersihan Zonasi Lini 2 PTP Cabang Banten Periode Apr 26</t>
  </si>
  <si>
    <t>04002600171261728</t>
  </si>
  <si>
    <t>Pekerjaan Kebersihan Zonasi Lini 1 PTP Cabang Banten Periode Apr 26</t>
  </si>
  <si>
    <t>Pekerjaan Kebersihan Container dan Toilet Zonasi di Ling PTP Cabang Banten Periode Apr 26</t>
  </si>
  <si>
    <t>04002600171261729</t>
  </si>
  <si>
    <t>04002600171261748</t>
  </si>
  <si>
    <t>Pekerjaan Jasa Kebersihan Gedung, Halaman Parkir dan Workshop PT PTP Cabang Banten Periode Apr 26</t>
  </si>
  <si>
    <t>04002600171261737</t>
  </si>
  <si>
    <t>Pekerjaan Perpanjangan Pajak Kendaraan Dinas Operasional No. Pol A 1209 TP dan No.  A 1210 TP Pelabuhan Banten</t>
  </si>
  <si>
    <t>260332O38</t>
  </si>
  <si>
    <t xml:space="preserve">MEI </t>
  </si>
  <si>
    <t>260330OUV</t>
  </si>
  <si>
    <t>260330OV1</t>
  </si>
  <si>
    <t>260330OUX</t>
  </si>
  <si>
    <t>03002600182828833</t>
  </si>
  <si>
    <t>03002600188331515</t>
  </si>
  <si>
    <t>Permohonan Biaya Pengambilan Barang RT Kantor Pelabuhan Banten Periode Apr 26</t>
  </si>
  <si>
    <t>GANTI FAKTUR HARGA BARANG</t>
  </si>
  <si>
    <t>GANTI FAKTUR TGL 02/06/26</t>
  </si>
  <si>
    <t>GANTI FAKTUR TGL 11/05/26, 02/06/26</t>
  </si>
  <si>
    <t>04002600201641442</t>
  </si>
  <si>
    <t>Pekerjaan Kebersihan Kantor SPJM Unit Banten Stasiun Kepanduan Merak dan Ciwandan Periode Jan 26</t>
  </si>
  <si>
    <t>04002600201641441</t>
  </si>
  <si>
    <t>04002600201641440</t>
  </si>
  <si>
    <t>04002600201641439</t>
  </si>
  <si>
    <t>04002600201641438</t>
  </si>
  <si>
    <t>Pekerjaan Kebersihan Kantor SPJM Unit Banten Stasiun Kepanduan Merak dan Ciwandan Periode Feb 26</t>
  </si>
  <si>
    <t>Pekerjaan Kebersihan Kantor SPJM Unit Banten Stasiun Kepanduan Merak dan Ciwandan Periode Mar 26</t>
  </si>
  <si>
    <t>Pekerjaan Kebersihan Kantor SPJM Unit Banten Stasiun Kepanduan Merak dan Ciwandan Periode Apr 26</t>
  </si>
  <si>
    <t>Pekerjaan Kebersihan Kantor SPJM Unit Banten Stasiun Kepanduan Merak dan Ciwandan Periode Mei 26</t>
  </si>
  <si>
    <t>04002600204170705</t>
  </si>
  <si>
    <t>Pekerjaan Jasa Kebersihan Gedung, Halaman Parkir dan Workshop PT PTP Cabang Banten Periode Mei 26</t>
  </si>
  <si>
    <t>04002600204170707</t>
  </si>
  <si>
    <t>Pekerjaan Kebersihan Zonasi Lini 1 PTP Cabang Banten Periode Mei 26</t>
  </si>
  <si>
    <t>Pekerjaan Kebersihan Zonasi Lini 2 PTP Cabang Banten Periode Mei 26</t>
  </si>
  <si>
    <t>04002600204170708</t>
  </si>
  <si>
    <t>04002600204170709</t>
  </si>
  <si>
    <t>Pekerjaan Kebersihan Container dan Toilet Zonasi di Ling PTP Cabang Banten Periode Mei 26</t>
  </si>
  <si>
    <t>04002600204170712</t>
  </si>
  <si>
    <t>Pekerjaan Penyediaan Pekerja Harian di Ling PTP Cabang Banten Periode Mei 26</t>
  </si>
  <si>
    <t>04002600204170716</t>
  </si>
  <si>
    <t>Pekerjaan Rekaptulasi Perhitungan Lembur Tenaga Harian Lepas (TKHL) PT PTP Cabang Banten Periode Mei 26</t>
  </si>
  <si>
    <t>04002600204170717</t>
  </si>
  <si>
    <t xml:space="preserve">Pekerjaan Sharing Biaya Bantuan Dana Kegiatan Musyawarah (MUSDA) II DPD Banten Tahun 2026 PTP Banten </t>
  </si>
  <si>
    <t>GANTI FAKTUR TGL 10/06/26</t>
  </si>
  <si>
    <t>GANTI FAKTUR TGL 04/06/26</t>
  </si>
  <si>
    <t>04002600208792925</t>
  </si>
  <si>
    <t xml:space="preserve">Pekerjaan Pengadaan Alat Pengukur PH Air dan Labeling Pemenuhan Ketentuan Teknis Pengelolaan Limbah Pelabuhan Banten </t>
  </si>
  <si>
    <t>04002600208792928</t>
  </si>
  <si>
    <t>Pekerjaan Pembelian RT dan Umum PTP Cabang Banten Periode Jun 26</t>
  </si>
  <si>
    <t>04002600208792933</t>
  </si>
  <si>
    <t>Pekerjaan Pengadaan Jasa Catering Pandu di Ling PT Pelindo Jasa Maritim Area SUKAJA Periode Mei 26</t>
  </si>
  <si>
    <t>04002600216056189</t>
  </si>
  <si>
    <t xml:space="preserve">Pekerjaan Spanduk Implementasi Penguatan K3 dan Hari Kebangkitan Nasional Pelabuhan Banten </t>
  </si>
  <si>
    <t>BPE-66902/CT/KPP.0804/2026</t>
  </si>
  <si>
    <t>BPE-66727/CT/KPP.0804/2026</t>
  </si>
  <si>
    <t>04002600229301094</t>
  </si>
  <si>
    <t xml:space="preserve">Pekerjaan Pemesanan Karangan Bunga untuk acara Pernikahan Keluarga Kapolres Cilegon Pelabuhan Banten </t>
  </si>
  <si>
    <t>BPE-67134/CT/KPP.0804/2026</t>
  </si>
  <si>
    <t>03002600235910156</t>
  </si>
  <si>
    <t xml:space="preserve">Pekerjaan Perbaikan Laptop dan Pengadaan CCTV PT Pelabuhan Indonesia (Persero) Regional 2 Banten </t>
  </si>
  <si>
    <t>03002600235922891</t>
  </si>
  <si>
    <t>Permohonan Biaya Pengambilan Barang RT Kantor Pelabuhan Banten Periode Mei 26</t>
  </si>
  <si>
    <t>Pekerjaan Pengadaan Biaya Jamuan Tamu Dinas &amp; Pengambilan Air Mineral Galon &amp; Le Mineral Dus Pelabuhan Banten Periode Apr 26</t>
  </si>
  <si>
    <t>04002600237388882</t>
  </si>
  <si>
    <t>Pekerjaan Pengadaan Biaya Jamuan Tamu Dinas &amp; Pengambilan Air Mineral Galon dan Le Mineral Pelabuhan Banten Periode Mei 26</t>
  </si>
  <si>
    <t>03002600237660385</t>
  </si>
  <si>
    <t xml:space="preserve">Pekerjaan Pengadaan PC Desktop UPO IKPP Merak Mas PT Pelindo (Persero) Regional 2 Banten </t>
  </si>
  <si>
    <t>KOPMENKAR BANDAR BANTEN</t>
  </si>
  <si>
    <t xml:space="preserve">KPK </t>
  </si>
  <si>
    <t>PPh 23 2%</t>
  </si>
  <si>
    <t xml:space="preserve">Utip Pelindo </t>
  </si>
  <si>
    <t>MMS</t>
  </si>
  <si>
    <t>KPSS</t>
  </si>
  <si>
    <t>yg sudah di tf</t>
  </si>
  <si>
    <t xml:space="preserve">kekurangan </t>
  </si>
  <si>
    <t>GANTI FAKTUR TGL 11/05/26, 02/06/26, 01/07/26</t>
  </si>
  <si>
    <t>GANTI FP TGL 01/07/26</t>
  </si>
  <si>
    <t>04002600244504924</t>
  </si>
  <si>
    <t xml:space="preserve">Pekerjaan Perawatan Kendaraan Operasional Roda 2 (dua) di PTP Cabang Banten </t>
  </si>
  <si>
    <t>04002600244504921</t>
  </si>
  <si>
    <t xml:space="preserve">Pekerjaan Pemesanan Karangan Bunga Duka Ayahanda dari Bpk Danan Ardhi Krisnamurti PTP Banten </t>
  </si>
  <si>
    <t>04002600244504922</t>
  </si>
  <si>
    <t>26042U9LB</t>
  </si>
  <si>
    <t>2604APK0I</t>
  </si>
  <si>
    <t>2604APK0J</t>
  </si>
  <si>
    <t>2604APK0K</t>
  </si>
  <si>
    <t>2604APK0H</t>
  </si>
  <si>
    <t>2604APK0L</t>
  </si>
  <si>
    <t xml:space="preserve">PERIODE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</si>
</sst>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_-&quot;Rp&quot;* #,##0_-;\-&quot;Rp&quot;* #,##0_-;_-&quot;Rp&quot;* &quot;-&quot;??_-;_-@_-"/>
    <numFmt numFmtId="167" formatCode="dd/mm/yyyy;@"/>
    <numFmt numFmtId="168" formatCode="_-* #,##0_-;\-* #,##0_-;_-* &quot;-&quot;??_-;_-@_-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 Narrow"/>
      <family val="2"/>
    </font>
    <font>
      <sz val="12"/>
      <name val="Arial Narrow"/>
      <family val="2"/>
    </font>
    <font>
      <b/>
      <sz val="10"/>
      <name val="Arial Narrow"/>
      <family val="2"/>
    </font>
    <font>
      <sz val="12"/>
      <color indexed="8"/>
      <name val="Arial Narrow"/>
      <family val="2"/>
    </font>
    <font>
      <sz val="11"/>
      <color indexed="8"/>
      <name val="Calibri"/>
      <family val="2"/>
      <charset val="1"/>
    </font>
    <font>
      <sz val="11"/>
      <name val="Arial Narrow"/>
      <family val="2"/>
    </font>
    <font>
      <b/>
      <u/>
      <sz val="12"/>
      <name val="Arial Narrow"/>
      <family val="2"/>
    </font>
    <font>
      <sz val="11"/>
      <color indexed="8"/>
      <name val="Arial Narrow"/>
      <family val="2"/>
    </font>
    <font>
      <b/>
      <sz val="11"/>
      <name val="Arial Narrow"/>
      <family val="2"/>
    </font>
    <font>
      <sz val="11"/>
      <color theme="1"/>
      <name val="Bahnschrift Light SemiCondensed"/>
      <family val="2"/>
    </font>
    <font>
      <b/>
      <sz val="11"/>
      <color theme="1"/>
      <name val="Bahnschrift Light SemiCondensed"/>
      <family val="2"/>
    </font>
    <font>
      <b/>
      <sz val="12"/>
      <color theme="1"/>
      <name val="Bahnschrift Light SemiCondensed"/>
      <family val="2"/>
    </font>
    <font>
      <sz val="11"/>
      <color theme="1"/>
      <name val="Arial Narrow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Bahnschrift Light SemiCondensed"/>
      <family val="2"/>
    </font>
    <font>
      <b/>
      <sz val="10"/>
      <color theme="1"/>
      <name val="Bahnschrift Light"/>
      <family val="2"/>
    </font>
    <font>
      <sz val="10"/>
      <color theme="1"/>
      <name val="Bahnschrift Light SemiCondensed"/>
      <family val="2"/>
    </font>
    <font>
      <sz val="10"/>
      <name val="Bahnschrift Light SemiCondensed"/>
      <family val="2"/>
    </font>
    <font>
      <b/>
      <sz val="11"/>
      <color theme="1"/>
      <name val="Arial Narrow"/>
      <family val="2"/>
    </font>
    <font>
      <sz val="10"/>
      <name val="Arial Narrow"/>
      <family val="2"/>
    </font>
    <font>
      <sz val="10"/>
      <color theme="1"/>
      <name val="Arial Narrow"/>
      <family val="2"/>
    </font>
    <font>
      <b/>
      <sz val="11"/>
      <color theme="1"/>
      <name val="Calibri"/>
      <family val="2"/>
      <scheme val="minor"/>
    </font>
    <font>
      <sz val="11"/>
      <color theme="1"/>
      <name val="Bahnschrift SemiLight SemiConde"/>
      <family val="2"/>
    </font>
    <font>
      <sz val="11"/>
      <color rgb="FFFF0000"/>
      <name val="Calibri"/>
      <family val="2"/>
      <scheme val="minor"/>
    </font>
    <font>
      <sz val="11"/>
      <color rgb="FFFF0000"/>
      <name val="Bahnschrift Light SemiCondensed"/>
      <family val="2"/>
    </font>
    <font>
      <sz val="10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b/>
      <sz val="10"/>
      <color theme="1"/>
      <name val="Arial Narrow"/>
      <family val="2"/>
    </font>
    <font>
      <u/>
      <sz val="11"/>
      <color theme="1"/>
      <name val="Calibri"/>
      <family val="2"/>
      <scheme val="minor"/>
    </font>
    <font>
      <u val="singleAccounting"/>
      <sz val="11"/>
      <color theme="1"/>
      <name val="Bahnschrift Light SemiCondensed"/>
      <family val="2"/>
    </font>
    <font>
      <u val="singleAccounting"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</borders>
  <cellStyleXfs count="7">
    <xf numFmtId="0" fontId="0" fillId="0" borderId="0"/>
    <xf numFmtId="41" fontId="2" fillId="0" borderId="0" applyFont="0" applyFill="0" applyBorder="0" applyAlignment="0" applyProtection="0"/>
    <xf numFmtId="0" fontId="3" fillId="0" borderId="0"/>
    <xf numFmtId="0" fontId="1" fillId="0" borderId="0"/>
    <xf numFmtId="164" fontId="3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31">
    <xf numFmtId="0" fontId="0" fillId="0" borderId="0" xfId="0"/>
    <xf numFmtId="0" fontId="4" fillId="0" borderId="0" xfId="2" applyFont="1"/>
    <xf numFmtId="0" fontId="5" fillId="0" borderId="0" xfId="2" applyFont="1"/>
    <xf numFmtId="0" fontId="5" fillId="0" borderId="0" xfId="2" applyFont="1" applyAlignment="1">
      <alignment horizontal="center"/>
    </xf>
    <xf numFmtId="3" fontId="5" fillId="0" borderId="0" xfId="2" applyNumberFormat="1" applyFont="1"/>
    <xf numFmtId="164" fontId="5" fillId="0" borderId="0" xfId="2" applyNumberFormat="1" applyFont="1"/>
    <xf numFmtId="164" fontId="5" fillId="0" borderId="0" xfId="2" applyNumberFormat="1" applyFont="1" applyAlignment="1">
      <alignment horizontal="center"/>
    </xf>
    <xf numFmtId="0" fontId="4" fillId="2" borderId="6" xfId="2" applyFont="1" applyFill="1" applyBorder="1" applyAlignment="1">
      <alignment horizontal="center" vertical="center" wrapText="1"/>
    </xf>
    <xf numFmtId="41" fontId="5" fillId="0" borderId="0" xfId="1" applyFont="1" applyFill="1" applyAlignment="1">
      <alignment vertical="center"/>
    </xf>
    <xf numFmtId="164" fontId="5" fillId="0" borderId="0" xfId="5" applyFont="1" applyFill="1" applyAlignment="1">
      <alignment horizontal="center" vertical="center"/>
    </xf>
    <xf numFmtId="164" fontId="5" fillId="0" borderId="0" xfId="2" applyNumberFormat="1" applyFont="1" applyAlignment="1">
      <alignment vertical="center"/>
    </xf>
    <xf numFmtId="0" fontId="5" fillId="0" borderId="0" xfId="2" applyFont="1" applyAlignment="1">
      <alignment vertical="center"/>
    </xf>
    <xf numFmtId="41" fontId="4" fillId="0" borderId="0" xfId="1" applyFont="1" applyFill="1" applyAlignment="1">
      <alignment vertical="center"/>
    </xf>
    <xf numFmtId="164" fontId="5" fillId="0" borderId="0" xfId="5" applyFont="1" applyFill="1" applyAlignment="1">
      <alignment horizontal="center"/>
    </xf>
    <xf numFmtId="164" fontId="5" fillId="0" borderId="0" xfId="5" applyFont="1" applyFill="1"/>
    <xf numFmtId="0" fontId="4" fillId="2" borderId="1" xfId="2" applyFont="1" applyFill="1" applyBorder="1" applyAlignment="1">
      <alignment horizontal="center" vertical="center"/>
    </xf>
    <xf numFmtId="164" fontId="4" fillId="2" borderId="1" xfId="4" applyFont="1" applyFill="1" applyBorder="1" applyAlignment="1">
      <alignment vertical="center"/>
    </xf>
    <xf numFmtId="41" fontId="5" fillId="0" borderId="0" xfId="1" applyFont="1" applyAlignment="1">
      <alignment vertical="center"/>
    </xf>
    <xf numFmtId="3" fontId="5" fillId="0" borderId="0" xfId="2" applyNumberFormat="1" applyFont="1" applyAlignment="1">
      <alignment vertical="center"/>
    </xf>
    <xf numFmtId="0" fontId="5" fillId="0" borderId="0" xfId="2" applyFont="1" applyAlignment="1">
      <alignment horizontal="center" vertical="center"/>
    </xf>
    <xf numFmtId="3" fontId="5" fillId="0" borderId="0" xfId="2" applyNumberFormat="1" applyFont="1" applyAlignment="1">
      <alignment horizontal="center" vertical="center"/>
    </xf>
    <xf numFmtId="0" fontId="10" fillId="0" borderId="0" xfId="2" applyFont="1" applyBorder="1" applyAlignment="1">
      <alignment vertical="center"/>
    </xf>
    <xf numFmtId="165" fontId="5" fillId="0" borderId="0" xfId="2" applyNumberFormat="1" applyFont="1"/>
    <xf numFmtId="0" fontId="5" fillId="0" borderId="0" xfId="2" applyFont="1" applyBorder="1" applyAlignment="1">
      <alignment horizontal="center"/>
    </xf>
    <xf numFmtId="0" fontId="5" fillId="0" borderId="0" xfId="2" applyFont="1" applyBorder="1"/>
    <xf numFmtId="41" fontId="5" fillId="0" borderId="0" xfId="1" applyFont="1" applyAlignment="1">
      <alignment horizontal="center"/>
    </xf>
    <xf numFmtId="41" fontId="5" fillId="0" borderId="0" xfId="1" applyFont="1"/>
    <xf numFmtId="0" fontId="9" fillId="0" borderId="1" xfId="2" applyFont="1" applyBorder="1" applyAlignment="1">
      <alignment horizontal="center" vertical="center"/>
    </xf>
    <xf numFmtId="164" fontId="11" fillId="0" borderId="1" xfId="4" applyFont="1" applyBorder="1" applyAlignment="1">
      <alignment horizontal="center" vertical="center"/>
    </xf>
    <xf numFmtId="164" fontId="11" fillId="0" borderId="1" xfId="4" applyFont="1" applyBorder="1" applyAlignment="1">
      <alignment vertical="center"/>
    </xf>
    <xf numFmtId="164" fontId="9" fillId="0" borderId="1" xfId="2" applyNumberFormat="1" applyFont="1" applyBorder="1" applyAlignment="1">
      <alignment horizontal="center" vertical="center"/>
    </xf>
    <xf numFmtId="14" fontId="9" fillId="0" borderId="1" xfId="2" applyNumberFormat="1" applyFont="1" applyBorder="1" applyAlignment="1">
      <alignment horizontal="center" vertical="center"/>
    </xf>
    <xf numFmtId="11" fontId="9" fillId="0" borderId="0" xfId="0" applyNumberFormat="1" applyFont="1" applyAlignment="1">
      <alignment horizontal="center"/>
    </xf>
    <xf numFmtId="164" fontId="11" fillId="0" borderId="2" xfId="3" applyNumberFormat="1" applyFont="1" applyBorder="1" applyAlignment="1">
      <alignment vertical="center" wrapText="1"/>
    </xf>
    <xf numFmtId="14" fontId="11" fillId="3" borderId="1" xfId="3" quotePrefix="1" applyNumberFormat="1" applyFont="1" applyFill="1" applyBorder="1" applyAlignment="1">
      <alignment horizontal="center" vertical="center"/>
    </xf>
    <xf numFmtId="14" fontId="11" fillId="0" borderId="1" xfId="3" applyNumberFormat="1" applyFont="1" applyBorder="1" applyAlignment="1">
      <alignment horizontal="center" vertical="center"/>
    </xf>
    <xf numFmtId="164" fontId="9" fillId="0" borderId="1" xfId="4" applyFont="1" applyBorder="1" applyAlignment="1">
      <alignment horizontal="center" vertical="center"/>
    </xf>
    <xf numFmtId="14" fontId="9" fillId="0" borderId="1" xfId="2" quotePrefix="1" applyNumberFormat="1" applyFont="1" applyBorder="1" applyAlignment="1">
      <alignment horizontal="center" vertical="center"/>
    </xf>
    <xf numFmtId="41" fontId="12" fillId="0" borderId="0" xfId="1" applyFont="1" applyFill="1" applyAlignment="1">
      <alignment vertical="center"/>
    </xf>
    <xf numFmtId="0" fontId="0" fillId="0" borderId="0" xfId="0" applyAlignment="1">
      <alignment horizontal="center" vertical="center"/>
    </xf>
    <xf numFmtId="0" fontId="13" fillId="0" borderId="0" xfId="0" applyFont="1"/>
    <xf numFmtId="166" fontId="13" fillId="0" borderId="7" xfId="0" applyNumberFormat="1" applyFont="1" applyBorder="1"/>
    <xf numFmtId="0" fontId="13" fillId="0" borderId="7" xfId="0" applyFont="1" applyBorder="1" applyAlignment="1">
      <alignment horizontal="center"/>
    </xf>
    <xf numFmtId="0" fontId="13" fillId="4" borderId="8" xfId="0" applyFont="1" applyFill="1" applyBorder="1"/>
    <xf numFmtId="167" fontId="13" fillId="4" borderId="8" xfId="0" applyNumberFormat="1" applyFont="1" applyFill="1" applyBorder="1"/>
    <xf numFmtId="166" fontId="14" fillId="4" borderId="8" xfId="0" applyNumberFormat="1" applyFont="1" applyFill="1" applyBorder="1"/>
    <xf numFmtId="166" fontId="14" fillId="4" borderId="9" xfId="0" applyNumberFormat="1" applyFont="1" applyFill="1" applyBorder="1"/>
    <xf numFmtId="0" fontId="14" fillId="4" borderId="8" xfId="0" applyFont="1" applyFill="1" applyBorder="1" applyAlignment="1">
      <alignment horizontal="center" vertical="center"/>
    </xf>
    <xf numFmtId="44" fontId="13" fillId="0" borderId="0" xfId="0" applyNumberFormat="1" applyFont="1"/>
    <xf numFmtId="0" fontId="4" fillId="2" borderId="1" xfId="2" applyFont="1" applyFill="1" applyBorder="1" applyAlignment="1">
      <alignment horizontal="center" vertical="center"/>
    </xf>
    <xf numFmtId="0" fontId="12" fillId="2" borderId="6" xfId="2" applyFont="1" applyFill="1" applyBorder="1" applyAlignment="1">
      <alignment horizontal="center" vertical="center" wrapText="1"/>
    </xf>
    <xf numFmtId="166" fontId="16" fillId="0" borderId="1" xfId="0" applyNumberFormat="1" applyFont="1" applyBorder="1" applyAlignment="1">
      <alignment horizontal="right"/>
    </xf>
    <xf numFmtId="166" fontId="9" fillId="0" borderId="1" xfId="2" applyNumberFormat="1" applyFont="1" applyBorder="1" applyAlignment="1">
      <alignment horizontal="center" vertical="center"/>
    </xf>
    <xf numFmtId="166" fontId="11" fillId="0" borderId="1" xfId="4" applyNumberFormat="1" applyFont="1" applyBorder="1" applyAlignment="1">
      <alignment vertical="center"/>
    </xf>
    <xf numFmtId="166" fontId="4" fillId="2" borderId="1" xfId="4" applyNumberFormat="1" applyFont="1" applyFill="1" applyBorder="1" applyAlignment="1">
      <alignment vertical="center"/>
    </xf>
    <xf numFmtId="166" fontId="0" fillId="0" borderId="0" xfId="0" applyNumberFormat="1"/>
    <xf numFmtId="0" fontId="6" fillId="2" borderId="6" xfId="2" applyFont="1" applyFill="1" applyBorder="1" applyAlignment="1">
      <alignment horizontal="center" vertical="center"/>
    </xf>
    <xf numFmtId="0" fontId="6" fillId="2" borderId="6" xfId="2" applyFont="1" applyFill="1" applyBorder="1" applyAlignment="1">
      <alignment horizontal="center" vertical="center" wrapText="1"/>
    </xf>
    <xf numFmtId="41" fontId="16" fillId="0" borderId="1" xfId="0" applyNumberFormat="1" applyFont="1" applyBorder="1"/>
    <xf numFmtId="41" fontId="11" fillId="0" borderId="1" xfId="4" applyNumberFormat="1" applyFont="1" applyBorder="1" applyAlignment="1">
      <alignment vertical="center"/>
    </xf>
    <xf numFmtId="0" fontId="4" fillId="2" borderId="1" xfId="2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167" fontId="18" fillId="0" borderId="1" xfId="0" applyNumberFormat="1" applyFont="1" applyFill="1" applyBorder="1" applyAlignment="1">
      <alignment horizontal="center"/>
    </xf>
    <xf numFmtId="0" fontId="19" fillId="0" borderId="1" xfId="2" applyFont="1" applyFill="1" applyBorder="1" applyAlignment="1">
      <alignment horizontal="justify" vertical="center"/>
    </xf>
    <xf numFmtId="164" fontId="20" fillId="0" borderId="1" xfId="4" applyFont="1" applyFill="1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9" fillId="0" borderId="1" xfId="2" applyFont="1" applyFill="1" applyBorder="1" applyAlignment="1">
      <alignment horizontal="left"/>
    </xf>
    <xf numFmtId="0" fontId="19" fillId="0" borderId="1" xfId="2" applyFont="1" applyFill="1" applyBorder="1" applyAlignment="1">
      <alignment horizontal="justify" vertical="center" wrapText="1"/>
    </xf>
    <xf numFmtId="167" fontId="0" fillId="0" borderId="1" xfId="0" applyNumberFormat="1" applyBorder="1" applyAlignment="1">
      <alignment horizontal="center"/>
    </xf>
    <xf numFmtId="167" fontId="0" fillId="0" borderId="1" xfId="0" applyNumberFormat="1" applyFont="1" applyBorder="1" applyAlignment="1">
      <alignment horizontal="center"/>
    </xf>
    <xf numFmtId="0" fontId="3" fillId="0" borderId="1" xfId="2" applyFont="1" applyFill="1" applyBorder="1" applyAlignment="1">
      <alignment horizontal="justify" vertical="center" wrapText="1"/>
    </xf>
    <xf numFmtId="0" fontId="0" fillId="0" borderId="1" xfId="0" applyBorder="1"/>
    <xf numFmtId="167" fontId="18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1" fontId="19" fillId="0" borderId="1" xfId="2" applyNumberFormat="1" applyFont="1" applyFill="1" applyBorder="1" applyAlignment="1">
      <alignment horizontal="center" vertical="center"/>
    </xf>
    <xf numFmtId="41" fontId="19" fillId="0" borderId="1" xfId="2" applyNumberFormat="1" applyFont="1" applyFill="1" applyBorder="1" applyAlignment="1">
      <alignment horizontal="center"/>
    </xf>
    <xf numFmtId="41" fontId="19" fillId="0" borderId="1" xfId="2" applyNumberFormat="1" applyFont="1" applyFill="1" applyBorder="1" applyAlignment="1">
      <alignment horizontal="center" vertical="center" wrapText="1"/>
    </xf>
    <xf numFmtId="41" fontId="3" fillId="0" borderId="1" xfId="2" applyNumberFormat="1" applyFont="1" applyFill="1" applyBorder="1" applyAlignment="1">
      <alignment horizontal="center" vertical="center" wrapText="1"/>
    </xf>
    <xf numFmtId="0" fontId="19" fillId="0" borderId="7" xfId="0" applyFont="1" applyBorder="1"/>
    <xf numFmtId="164" fontId="20" fillId="0" borderId="1" xfId="4" applyFont="1" applyFill="1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Fill="1" applyBorder="1" applyAlignment="1">
      <alignment horizontal="center"/>
    </xf>
    <xf numFmtId="0" fontId="0" fillId="0" borderId="0" xfId="0" applyFill="1"/>
    <xf numFmtId="167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0" fillId="0" borderId="0" xfId="0" applyFont="1" applyFill="1"/>
    <xf numFmtId="41" fontId="19" fillId="0" borderId="1" xfId="0" applyNumberFormat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left" vertical="center"/>
    </xf>
    <xf numFmtId="0" fontId="19" fillId="0" borderId="1" xfId="2" applyFont="1" applyFill="1" applyBorder="1" applyAlignment="1">
      <alignment horizontal="left" wrapText="1"/>
    </xf>
    <xf numFmtId="0" fontId="4" fillId="2" borderId="1" xfId="2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0" fillId="0" borderId="1" xfId="0" applyNumberFormat="1" applyFill="1" applyBorder="1" applyAlignment="1">
      <alignment horizontal="center" vertical="center"/>
    </xf>
    <xf numFmtId="0" fontId="12" fillId="2" borderId="6" xfId="2" applyFont="1" applyFill="1" applyBorder="1" applyAlignment="1">
      <alignment horizontal="center" vertical="center" wrapText="1"/>
    </xf>
    <xf numFmtId="167" fontId="9" fillId="0" borderId="1" xfId="2" applyNumberFormat="1" applyFont="1" applyBorder="1" applyAlignment="1">
      <alignment horizontal="center" vertical="center"/>
    </xf>
    <xf numFmtId="0" fontId="9" fillId="0" borderId="1" xfId="2" applyNumberFormat="1" applyFont="1" applyBorder="1" applyAlignment="1">
      <alignment horizontal="center" vertical="center"/>
    </xf>
    <xf numFmtId="0" fontId="9" fillId="0" borderId="1" xfId="2" quotePrefix="1" applyNumberFormat="1" applyFont="1" applyBorder="1" applyAlignment="1">
      <alignment horizontal="center" vertical="center"/>
    </xf>
    <xf numFmtId="167" fontId="11" fillId="0" borderId="1" xfId="4" applyNumberFormat="1" applyFont="1" applyBorder="1" applyAlignment="1">
      <alignment horizontal="center" vertical="center"/>
    </xf>
    <xf numFmtId="0" fontId="11" fillId="0" borderId="1" xfId="4" applyNumberFormat="1" applyFont="1" applyBorder="1" applyAlignment="1">
      <alignment horizontal="center" vertical="center"/>
    </xf>
    <xf numFmtId="164" fontId="11" fillId="0" borderId="1" xfId="4" applyFont="1" applyBorder="1" applyAlignment="1">
      <alignment horizontal="left" vertical="center"/>
    </xf>
    <xf numFmtId="167" fontId="16" fillId="0" borderId="1" xfId="0" applyNumberFormat="1" applyFont="1" applyBorder="1" applyAlignment="1">
      <alignment horizontal="center"/>
    </xf>
    <xf numFmtId="0" fontId="21" fillId="0" borderId="7" xfId="0" applyFont="1" applyFill="1" applyBorder="1" applyAlignment="1">
      <alignment horizontal="left" vertical="center" wrapText="1"/>
    </xf>
    <xf numFmtId="166" fontId="13" fillId="0" borderId="7" xfId="0" applyNumberFormat="1" applyFont="1" applyFill="1" applyBorder="1" applyAlignment="1">
      <alignment horizontal="center" vertical="center" wrapText="1"/>
    </xf>
    <xf numFmtId="166" fontId="13" fillId="0" borderId="7" xfId="0" applyNumberFormat="1" applyFont="1" applyFill="1" applyBorder="1" applyAlignment="1">
      <alignment horizontal="center" vertical="center"/>
    </xf>
    <xf numFmtId="0" fontId="21" fillId="0" borderId="7" xfId="0" applyFont="1" applyFill="1" applyBorder="1" applyAlignment="1">
      <alignment horizontal="left" vertical="center"/>
    </xf>
    <xf numFmtId="0" fontId="13" fillId="0" borderId="7" xfId="0" applyFont="1" applyFill="1" applyBorder="1" applyAlignment="1">
      <alignment horizontal="left" vertical="center" wrapText="1"/>
    </xf>
    <xf numFmtId="0" fontId="23" fillId="0" borderId="1" xfId="0" applyFont="1" applyBorder="1" applyAlignment="1">
      <alignment wrapText="1"/>
    </xf>
    <xf numFmtId="166" fontId="13" fillId="0" borderId="0" xfId="0" applyNumberFormat="1" applyFont="1"/>
    <xf numFmtId="0" fontId="23" fillId="0" borderId="1" xfId="0" applyFont="1" applyBorder="1" applyAlignment="1">
      <alignment horizontal="center"/>
    </xf>
    <xf numFmtId="0" fontId="25" fillId="6" borderId="1" xfId="0" applyFont="1" applyFill="1" applyBorder="1" applyAlignment="1">
      <alignment horizontal="center" vertical="center"/>
    </xf>
    <xf numFmtId="167" fontId="26" fillId="0" borderId="1" xfId="0" applyNumberFormat="1" applyFont="1" applyFill="1" applyBorder="1" applyAlignment="1">
      <alignment horizontal="center"/>
    </xf>
    <xf numFmtId="167" fontId="26" fillId="0" borderId="1" xfId="0" applyNumberFormat="1" applyFont="1" applyFill="1" applyBorder="1" applyAlignment="1">
      <alignment horizontal="center" vertical="center"/>
    </xf>
    <xf numFmtId="0" fontId="27" fillId="0" borderId="0" xfId="0" applyFont="1"/>
    <xf numFmtId="0" fontId="23" fillId="0" borderId="1" xfId="0" applyFont="1" applyBorder="1"/>
    <xf numFmtId="0" fontId="24" fillId="0" borderId="1" xfId="0" applyFont="1" applyFill="1" applyBorder="1" applyAlignment="1">
      <alignment horizontal="left" vertical="center" wrapText="1"/>
    </xf>
    <xf numFmtId="0" fontId="14" fillId="0" borderId="0" xfId="0" applyFont="1" applyFill="1" applyBorder="1"/>
    <xf numFmtId="15" fontId="22" fillId="0" borderId="0" xfId="0" quotePrefix="1" applyNumberFormat="1" applyFont="1" applyFill="1" applyBorder="1" applyAlignment="1">
      <alignment horizontal="center" vertical="center"/>
    </xf>
    <xf numFmtId="0" fontId="14" fillId="0" borderId="0" xfId="0" applyFont="1" applyFill="1"/>
    <xf numFmtId="44" fontId="14" fillId="0" borderId="0" xfId="0" applyNumberFormat="1" applyFont="1" applyFill="1"/>
    <xf numFmtId="0" fontId="28" fillId="0" borderId="0" xfId="0" applyFont="1"/>
    <xf numFmtId="0" fontId="23" fillId="0" borderId="1" xfId="0" applyFont="1" applyFill="1" applyBorder="1" applyAlignment="1">
      <alignment horizontal="left" vertical="center" wrapText="1"/>
    </xf>
    <xf numFmtId="0" fontId="23" fillId="0" borderId="1" xfId="2" applyFont="1" applyFill="1" applyBorder="1" applyAlignment="1">
      <alignment horizontal="left"/>
    </xf>
    <xf numFmtId="0" fontId="23" fillId="0" borderId="1" xfId="2" applyFont="1" applyFill="1" applyBorder="1" applyAlignment="1">
      <alignment horizontal="justify" vertical="center" wrapText="1"/>
    </xf>
    <xf numFmtId="0" fontId="23" fillId="0" borderId="1" xfId="2" applyFont="1" applyFill="1" applyBorder="1" applyAlignment="1">
      <alignment horizontal="justify" vertical="center"/>
    </xf>
    <xf numFmtId="0" fontId="13" fillId="0" borderId="7" xfId="0" applyFont="1" applyFill="1" applyBorder="1"/>
    <xf numFmtId="166" fontId="13" fillId="0" borderId="7" xfId="0" applyNumberFormat="1" applyFont="1" applyFill="1" applyBorder="1"/>
    <xf numFmtId="0" fontId="13" fillId="0" borderId="7" xfId="0" applyFont="1" applyFill="1" applyBorder="1" applyAlignment="1">
      <alignment wrapText="1"/>
    </xf>
    <xf numFmtId="0" fontId="28" fillId="0" borderId="0" xfId="0" applyFont="1" applyFill="1"/>
    <xf numFmtId="167" fontId="13" fillId="0" borderId="7" xfId="0" applyNumberFormat="1" applyFont="1" applyFill="1" applyBorder="1" applyAlignment="1">
      <alignment horizontal="center" vertical="center"/>
    </xf>
    <xf numFmtId="164" fontId="20" fillId="0" borderId="1" xfId="4" applyFont="1" applyFill="1" applyBorder="1" applyAlignment="1">
      <alignment horizontal="center" vertical="center"/>
    </xf>
    <xf numFmtId="0" fontId="19" fillId="0" borderId="1" xfId="0" applyFont="1" applyBorder="1"/>
    <xf numFmtId="0" fontId="19" fillId="0" borderId="1" xfId="0" applyFont="1" applyBorder="1" applyAlignment="1">
      <alignment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23" fillId="0" borderId="7" xfId="0" applyFont="1" applyBorder="1" applyAlignment="1">
      <alignment wrapText="1"/>
    </xf>
    <xf numFmtId="0" fontId="23" fillId="0" borderId="7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43" fontId="0" fillId="0" borderId="0" xfId="6" applyFont="1"/>
    <xf numFmtId="43" fontId="13" fillId="0" borderId="0" xfId="6" applyFont="1"/>
    <xf numFmtId="41" fontId="13" fillId="0" borderId="0" xfId="6" applyNumberFormat="1" applyFont="1"/>
    <xf numFmtId="43" fontId="13" fillId="0" borderId="0" xfId="6" applyNumberFormat="1" applyFont="1"/>
    <xf numFmtId="43" fontId="13" fillId="0" borderId="0" xfId="0" applyNumberFormat="1" applyFont="1"/>
    <xf numFmtId="0" fontId="4" fillId="2" borderId="1" xfId="2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/>
    </xf>
    <xf numFmtId="42" fontId="13" fillId="0" borderId="0" xfId="0" applyNumberFormat="1" applyFont="1"/>
    <xf numFmtId="0" fontId="13" fillId="0" borderId="7" xfId="0" applyNumberFormat="1" applyFont="1" applyBorder="1"/>
    <xf numFmtId="42" fontId="13" fillId="0" borderId="7" xfId="0" applyNumberFormat="1" applyFont="1" applyBorder="1"/>
    <xf numFmtId="0" fontId="13" fillId="0" borderId="7" xfId="0" applyNumberFormat="1" applyFont="1" applyFill="1" applyBorder="1"/>
    <xf numFmtId="0" fontId="13" fillId="0" borderId="12" xfId="0" applyNumberFormat="1" applyFont="1" applyBorder="1"/>
    <xf numFmtId="42" fontId="13" fillId="0" borderId="12" xfId="0" applyNumberFormat="1" applyFont="1" applyBorder="1"/>
    <xf numFmtId="0" fontId="4" fillId="2" borderId="2" xfId="2" applyFont="1" applyFill="1" applyBorder="1" applyAlignment="1">
      <alignment horizontal="center" vertical="center"/>
    </xf>
    <xf numFmtId="0" fontId="4" fillId="2" borderId="6" xfId="2" applyFont="1" applyFill="1" applyBorder="1" applyAlignment="1">
      <alignment horizontal="center" vertical="center"/>
    </xf>
    <xf numFmtId="0" fontId="13" fillId="0" borderId="7" xfId="0" applyNumberFormat="1" applyFont="1" applyBorder="1" applyAlignment="1">
      <alignment horizontal="center"/>
    </xf>
    <xf numFmtId="167" fontId="13" fillId="0" borderId="0" xfId="0" applyNumberFormat="1" applyFont="1" applyAlignment="1">
      <alignment horizontal="center"/>
    </xf>
    <xf numFmtId="41" fontId="9" fillId="0" borderId="1" xfId="2" applyNumberFormat="1" applyFont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167" fontId="13" fillId="0" borderId="7" xfId="0" applyNumberFormat="1" applyFont="1" applyFill="1" applyBorder="1" applyAlignment="1">
      <alignment horizontal="center"/>
    </xf>
    <xf numFmtId="43" fontId="5" fillId="0" borderId="0" xfId="6" applyFont="1" applyBorder="1"/>
    <xf numFmtId="43" fontId="5" fillId="0" borderId="0" xfId="6" applyFont="1"/>
    <xf numFmtId="0" fontId="13" fillId="0" borderId="0" xfId="0" quotePrefix="1" applyFont="1" applyAlignment="1">
      <alignment horizontal="center"/>
    </xf>
    <xf numFmtId="0" fontId="13" fillId="0" borderId="12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4" borderId="8" xfId="0" applyFont="1" applyFill="1" applyBorder="1" applyAlignment="1">
      <alignment horizontal="center"/>
    </xf>
    <xf numFmtId="0" fontId="4" fillId="2" borderId="1" xfId="2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/>
    </xf>
    <xf numFmtId="0" fontId="13" fillId="7" borderId="7" xfId="0" applyNumberFormat="1" applyFont="1" applyFill="1" applyBorder="1" applyAlignment="1">
      <alignment horizontal="center"/>
    </xf>
    <xf numFmtId="0" fontId="13" fillId="7" borderId="7" xfId="0" applyNumberFormat="1" applyFont="1" applyFill="1" applyBorder="1"/>
    <xf numFmtId="166" fontId="13" fillId="7" borderId="7" xfId="0" applyNumberFormat="1" applyFont="1" applyFill="1" applyBorder="1"/>
    <xf numFmtId="168" fontId="9" fillId="0" borderId="1" xfId="6" applyNumberFormat="1" applyFont="1" applyBorder="1" applyAlignment="1">
      <alignment horizontal="center" vertical="center"/>
    </xf>
    <xf numFmtId="168" fontId="11" fillId="0" borderId="1" xfId="6" applyNumberFormat="1" applyFont="1" applyBorder="1" applyAlignment="1">
      <alignment horizontal="center" vertical="center"/>
    </xf>
    <xf numFmtId="0" fontId="0" fillId="0" borderId="0" xfId="0" applyFill="1" applyAlignment="1"/>
    <xf numFmtId="14" fontId="13" fillId="0" borderId="0" xfId="0" applyNumberFormat="1" applyFont="1" applyAlignment="1">
      <alignment horizontal="center"/>
    </xf>
    <xf numFmtId="167" fontId="13" fillId="4" borderId="8" xfId="0" applyNumberFormat="1" applyFont="1" applyFill="1" applyBorder="1" applyAlignment="1">
      <alignment horizontal="center"/>
    </xf>
    <xf numFmtId="14" fontId="13" fillId="0" borderId="12" xfId="0" applyNumberFormat="1" applyFont="1" applyBorder="1" applyAlignment="1">
      <alignment horizontal="center"/>
    </xf>
    <xf numFmtId="14" fontId="13" fillId="0" borderId="7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2" fillId="2" borderId="6" xfId="2" applyFont="1" applyFill="1" applyBorder="1" applyAlignment="1">
      <alignment horizontal="center" vertical="center" wrapText="1"/>
    </xf>
    <xf numFmtId="14" fontId="13" fillId="0" borderId="0" xfId="0" applyNumberFormat="1" applyFont="1" applyFill="1" applyAlignment="1">
      <alignment horizontal="center"/>
    </xf>
    <xf numFmtId="0" fontId="13" fillId="0" borderId="7" xfId="0" applyNumberFormat="1" applyFont="1" applyFill="1" applyBorder="1" applyAlignment="1">
      <alignment horizontal="center"/>
    </xf>
    <xf numFmtId="42" fontId="13" fillId="0" borderId="7" xfId="0" applyNumberFormat="1" applyFont="1" applyFill="1" applyBorder="1"/>
    <xf numFmtId="42" fontId="13" fillId="0" borderId="0" xfId="0" applyNumberFormat="1" applyFont="1" applyFill="1"/>
    <xf numFmtId="166" fontId="4" fillId="2" borderId="1" xfId="4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29" fillId="0" borderId="0" xfId="0" quotePrefix="1" applyFont="1" applyAlignment="1">
      <alignment horizontal="center"/>
    </xf>
    <xf numFmtId="0" fontId="30" fillId="0" borderId="0" xfId="0" applyNumberFormat="1" applyFont="1"/>
    <xf numFmtId="166" fontId="31" fillId="0" borderId="7" xfId="0" applyNumberFormat="1" applyFont="1" applyFill="1" applyBorder="1"/>
    <xf numFmtId="166" fontId="21" fillId="0" borderId="7" xfId="0" applyNumberFormat="1" applyFont="1" applyFill="1" applyBorder="1"/>
    <xf numFmtId="166" fontId="31" fillId="0" borderId="7" xfId="0" applyNumberFormat="1" applyFont="1" applyFill="1" applyBorder="1" applyAlignment="1">
      <alignment horizontal="center" vertical="center" wrapText="1"/>
    </xf>
    <xf numFmtId="42" fontId="31" fillId="0" borderId="0" xfId="0" applyNumberFormat="1" applyFont="1"/>
    <xf numFmtId="42" fontId="21" fillId="0" borderId="0" xfId="0" applyNumberFormat="1" applyFont="1"/>
    <xf numFmtId="167" fontId="27" fillId="0" borderId="1" xfId="0" applyNumberFormat="1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vertical="center" wrapText="1"/>
    </xf>
    <xf numFmtId="166" fontId="23" fillId="0" borderId="1" xfId="0" applyNumberFormat="1" applyFont="1" applyFill="1" applyBorder="1" applyAlignment="1">
      <alignment vertical="center"/>
    </xf>
    <xf numFmtId="0" fontId="23" fillId="0" borderId="1" xfId="0" applyNumberFormat="1" applyFont="1" applyBorder="1"/>
    <xf numFmtId="42" fontId="23" fillId="0" borderId="1" xfId="0" applyNumberFormat="1" applyFont="1" applyBorder="1"/>
    <xf numFmtId="0" fontId="33" fillId="6" borderId="1" xfId="0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/>
    <xf numFmtId="0" fontId="27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 vertical="center"/>
    </xf>
    <xf numFmtId="167" fontId="16" fillId="0" borderId="1" xfId="0" applyNumberFormat="1" applyFont="1" applyFill="1" applyBorder="1" applyAlignment="1">
      <alignment horizontal="center"/>
    </xf>
    <xf numFmtId="0" fontId="16" fillId="0" borderId="1" xfId="0" applyFont="1" applyBorder="1"/>
    <xf numFmtId="14" fontId="27" fillId="0" borderId="1" xfId="0" applyNumberFormat="1" applyFont="1" applyBorder="1" applyAlignment="1">
      <alignment horizontal="center" vertical="center"/>
    </xf>
    <xf numFmtId="14" fontId="27" fillId="0" borderId="1" xfId="0" applyNumberFormat="1" applyFont="1" applyFill="1" applyBorder="1" applyAlignment="1">
      <alignment horizontal="center"/>
    </xf>
    <xf numFmtId="167" fontId="27" fillId="0" borderId="1" xfId="0" applyNumberFormat="1" applyFont="1" applyBorder="1" applyAlignment="1">
      <alignment horizontal="center"/>
    </xf>
    <xf numFmtId="167" fontId="27" fillId="0" borderId="1" xfId="0" applyNumberFormat="1" applyFont="1" applyFill="1" applyBorder="1" applyAlignment="1">
      <alignment horizontal="center"/>
    </xf>
    <xf numFmtId="166" fontId="23" fillId="0" borderId="1" xfId="0" applyNumberFormat="1" applyFont="1" applyBorder="1"/>
    <xf numFmtId="166" fontId="23" fillId="0" borderId="1" xfId="0" applyNumberFormat="1" applyFont="1" applyFill="1" applyBorder="1"/>
    <xf numFmtId="0" fontId="23" fillId="0" borderId="1" xfId="0" applyFont="1" applyFill="1" applyBorder="1" applyAlignment="1">
      <alignment wrapText="1"/>
    </xf>
    <xf numFmtId="0" fontId="23" fillId="0" borderId="1" xfId="0" applyFont="1" applyFill="1" applyBorder="1"/>
    <xf numFmtId="41" fontId="27" fillId="0" borderId="1" xfId="0" applyNumberFormat="1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0" fontId="12" fillId="2" borderId="6" xfId="2" applyFont="1" applyFill="1" applyBorder="1" applyAlignment="1">
      <alignment horizontal="center" vertical="center" wrapText="1"/>
    </xf>
    <xf numFmtId="43" fontId="0" fillId="0" borderId="0" xfId="0" applyNumberFormat="1"/>
    <xf numFmtId="44" fontId="13" fillId="0" borderId="0" xfId="0" applyNumberFormat="1" applyFont="1" applyFill="1"/>
    <xf numFmtId="166" fontId="13" fillId="0" borderId="0" xfId="0" applyNumberFormat="1" applyFont="1" applyFill="1" applyBorder="1"/>
    <xf numFmtId="0" fontId="31" fillId="0" borderId="7" xfId="0" applyFont="1" applyFill="1" applyBorder="1" applyAlignment="1">
      <alignment wrapText="1"/>
    </xf>
    <xf numFmtId="0" fontId="31" fillId="0" borderId="7" xfId="0" applyNumberFormat="1" applyFont="1" applyBorder="1"/>
    <xf numFmtId="0" fontId="31" fillId="0" borderId="7" xfId="0" applyFont="1" applyFill="1" applyBorder="1"/>
    <xf numFmtId="166" fontId="21" fillId="0" borderId="7" xfId="0" applyNumberFormat="1" applyFont="1" applyFill="1" applyBorder="1" applyAlignment="1">
      <alignment horizontal="center" vertical="center" wrapText="1"/>
    </xf>
    <xf numFmtId="42" fontId="21" fillId="0" borderId="7" xfId="0" applyNumberFormat="1" applyFont="1" applyBorder="1"/>
    <xf numFmtId="42" fontId="31" fillId="0" borderId="0" xfId="0" applyNumberFormat="1" applyFont="1" applyFill="1"/>
    <xf numFmtId="0" fontId="21" fillId="0" borderId="7" xfId="0" applyNumberFormat="1" applyFont="1" applyBorder="1"/>
    <xf numFmtId="42" fontId="14" fillId="0" borderId="0" xfId="0" applyNumberFormat="1" applyFont="1"/>
    <xf numFmtId="41" fontId="35" fillId="0" borderId="1" xfId="0" applyNumberFormat="1" applyFont="1" applyFill="1" applyBorder="1" applyAlignment="1">
      <alignment horizontal="center" vertical="center"/>
    </xf>
    <xf numFmtId="164" fontId="12" fillId="0" borderId="1" xfId="4" applyFont="1" applyFill="1" applyBorder="1"/>
    <xf numFmtId="164" fontId="12" fillId="0" borderId="1" xfId="4" applyFont="1" applyFill="1" applyBorder="1" applyAlignment="1">
      <alignment vertical="center"/>
    </xf>
    <xf numFmtId="0" fontId="23" fillId="0" borderId="1" xfId="0" applyNumberFormat="1" applyFont="1" applyBorder="1" applyAlignment="1">
      <alignment vertical="center"/>
    </xf>
    <xf numFmtId="42" fontId="23" fillId="0" borderId="1" xfId="0" applyNumberFormat="1" applyFont="1" applyBorder="1" applyAlignment="1">
      <alignment vertical="center"/>
    </xf>
    <xf numFmtId="0" fontId="0" fillId="0" borderId="0" xfId="0" applyFont="1" applyFill="1" applyAlignment="1">
      <alignment vertical="center"/>
    </xf>
    <xf numFmtId="166" fontId="21" fillId="0" borderId="0" xfId="0" applyNumberFormat="1" applyFont="1" applyFill="1" applyBorder="1"/>
    <xf numFmtId="168" fontId="18" fillId="0" borderId="0" xfId="6" applyNumberFormat="1" applyFont="1"/>
    <xf numFmtId="167" fontId="13" fillId="0" borderId="0" xfId="0" applyNumberFormat="1" applyFont="1" applyFill="1" applyAlignment="1">
      <alignment horizontal="center"/>
    </xf>
    <xf numFmtId="0" fontId="21" fillId="0" borderId="7" xfId="0" applyNumberFormat="1" applyFont="1" applyFill="1" applyBorder="1"/>
    <xf numFmtId="41" fontId="0" fillId="0" borderId="0" xfId="0" applyNumberFormat="1"/>
    <xf numFmtId="41" fontId="0" fillId="0" borderId="13" xfId="0" applyNumberFormat="1" applyBorder="1"/>
    <xf numFmtId="41" fontId="36" fillId="0" borderId="0" xfId="0" applyNumberFormat="1" applyFont="1"/>
    <xf numFmtId="168" fontId="13" fillId="0" borderId="0" xfId="6" applyNumberFormat="1" applyFont="1"/>
    <xf numFmtId="14" fontId="13" fillId="0" borderId="7" xfId="0" applyNumberFormat="1" applyFont="1" applyFill="1" applyBorder="1" applyAlignment="1">
      <alignment horizontal="center"/>
    </xf>
    <xf numFmtId="167" fontId="13" fillId="7" borderId="0" xfId="0" applyNumberFormat="1" applyFont="1" applyFill="1" applyAlignment="1">
      <alignment horizontal="center"/>
    </xf>
    <xf numFmtId="42" fontId="13" fillId="7" borderId="7" xfId="0" applyNumberFormat="1" applyFont="1" applyFill="1" applyBorder="1"/>
    <xf numFmtId="42" fontId="13" fillId="7" borderId="0" xfId="0" applyNumberFormat="1" applyFont="1" applyFill="1"/>
    <xf numFmtId="168" fontId="37" fillId="0" borderId="0" xfId="6" applyNumberFormat="1" applyFont="1"/>
    <xf numFmtId="168" fontId="14" fillId="0" borderId="0" xfId="0" applyNumberFormat="1" applyFont="1"/>
    <xf numFmtId="42" fontId="9" fillId="0" borderId="1" xfId="2" quotePrefix="1" applyNumberFormat="1" applyFont="1" applyBorder="1" applyAlignment="1">
      <alignment horizontal="center" vertical="center"/>
    </xf>
    <xf numFmtId="166" fontId="13" fillId="0" borderId="7" xfId="0" applyNumberFormat="1" applyFont="1" applyFill="1" applyBorder="1" applyAlignment="1"/>
    <xf numFmtId="0" fontId="13" fillId="0" borderId="0" xfId="0" applyNumberFormat="1" applyFont="1" applyFill="1"/>
    <xf numFmtId="42" fontId="13" fillId="0" borderId="11" xfId="0" applyNumberFormat="1" applyFont="1" applyFill="1" applyBorder="1"/>
    <xf numFmtId="0" fontId="13" fillId="0" borderId="0" xfId="0" quotePrefix="1" applyFont="1" applyFill="1" applyAlignment="1">
      <alignment horizontal="center"/>
    </xf>
    <xf numFmtId="42" fontId="21" fillId="0" borderId="0" xfId="0" applyNumberFormat="1" applyFont="1" applyFill="1"/>
    <xf numFmtId="0" fontId="13" fillId="0" borderId="0" xfId="0" quotePrefix="1" applyNumberFormat="1" applyFont="1" applyAlignment="1">
      <alignment horizontal="center"/>
    </xf>
    <xf numFmtId="0" fontId="13" fillId="0" borderId="0" xfId="0" quotePrefix="1" applyNumberFormat="1" applyFont="1" applyFill="1" applyAlignment="1">
      <alignment horizontal="center"/>
    </xf>
    <xf numFmtId="14" fontId="13" fillId="7" borderId="7" xfId="0" applyNumberFormat="1" applyFont="1" applyFill="1" applyBorder="1" applyAlignment="1">
      <alignment horizontal="center"/>
    </xf>
    <xf numFmtId="0" fontId="13" fillId="7" borderId="0" xfId="0" quotePrefix="1" applyFont="1" applyFill="1" applyAlignment="1">
      <alignment horizontal="center"/>
    </xf>
    <xf numFmtId="0" fontId="21" fillId="7" borderId="7" xfId="0" applyNumberFormat="1" applyFont="1" applyFill="1" applyBorder="1"/>
    <xf numFmtId="0" fontId="9" fillId="0" borderId="1" xfId="2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164" fontId="11" fillId="0" borderId="2" xfId="3" applyNumberFormat="1" applyFont="1" applyBorder="1" applyAlignment="1">
      <alignment horizontal="center" vertical="center" wrapText="1"/>
    </xf>
    <xf numFmtId="41" fontId="13" fillId="0" borderId="0" xfId="0" applyNumberFormat="1" applyFont="1"/>
    <xf numFmtId="0" fontId="13" fillId="8" borderId="7" xfId="0" applyFont="1" applyFill="1" applyBorder="1" applyAlignment="1">
      <alignment horizontal="center"/>
    </xf>
    <xf numFmtId="14" fontId="13" fillId="8" borderId="7" xfId="0" applyNumberFormat="1" applyFont="1" applyFill="1" applyBorder="1" applyAlignment="1">
      <alignment horizontal="center"/>
    </xf>
    <xf numFmtId="0" fontId="13" fillId="8" borderId="7" xfId="0" applyNumberFormat="1" applyFont="1" applyFill="1" applyBorder="1" applyAlignment="1">
      <alignment horizontal="center"/>
    </xf>
    <xf numFmtId="0" fontId="13" fillId="8" borderId="0" xfId="0" quotePrefix="1" applyNumberFormat="1" applyFont="1" applyFill="1" applyAlignment="1">
      <alignment horizontal="center"/>
    </xf>
    <xf numFmtId="0" fontId="13" fillId="8" borderId="7" xfId="0" applyNumberFormat="1" applyFont="1" applyFill="1" applyBorder="1"/>
    <xf numFmtId="42" fontId="13" fillId="8" borderId="0" xfId="0" applyNumberFormat="1" applyFont="1" applyFill="1"/>
    <xf numFmtId="166" fontId="13" fillId="8" borderId="7" xfId="0" applyNumberFormat="1" applyFont="1" applyFill="1" applyBorder="1"/>
    <xf numFmtId="0" fontId="0" fillId="8" borderId="0" xfId="0" applyFill="1"/>
    <xf numFmtId="0" fontId="28" fillId="8" borderId="0" xfId="0" applyFont="1" applyFill="1"/>
    <xf numFmtId="41" fontId="16" fillId="0" borderId="1" xfId="0" applyNumberFormat="1" applyFont="1" applyBorder="1" applyAlignment="1"/>
    <xf numFmtId="41" fontId="9" fillId="0" borderId="1" xfId="2" applyNumberFormat="1" applyFont="1" applyBorder="1" applyAlignment="1">
      <alignment vertical="center"/>
    </xf>
    <xf numFmtId="167" fontId="13" fillId="8" borderId="0" xfId="0" applyNumberFormat="1" applyFont="1" applyFill="1" applyAlignment="1">
      <alignment horizontal="center"/>
    </xf>
    <xf numFmtId="0" fontId="13" fillId="8" borderId="0" xfId="0" quotePrefix="1" applyFont="1" applyFill="1" applyAlignment="1">
      <alignment horizontal="center"/>
    </xf>
    <xf numFmtId="42" fontId="13" fillId="8" borderId="7" xfId="0" applyNumberFormat="1" applyFont="1" applyFill="1" applyBorder="1"/>
    <xf numFmtId="0" fontId="13" fillId="0" borderId="7" xfId="0" quotePrefix="1" applyNumberFormat="1" applyFont="1" applyFill="1" applyBorder="1" applyAlignment="1">
      <alignment horizontal="center"/>
    </xf>
    <xf numFmtId="0" fontId="13" fillId="8" borderId="7" xfId="0" applyFont="1" applyFill="1" applyBorder="1"/>
    <xf numFmtId="0" fontId="21" fillId="8" borderId="7" xfId="0" applyNumberFormat="1" applyFont="1" applyFill="1" applyBorder="1"/>
    <xf numFmtId="14" fontId="13" fillId="8" borderId="12" xfId="0" applyNumberFormat="1" applyFont="1" applyFill="1" applyBorder="1" applyAlignment="1">
      <alignment horizontal="center"/>
    </xf>
    <xf numFmtId="0" fontId="13" fillId="8" borderId="12" xfId="0" applyNumberFormat="1" applyFont="1" applyFill="1" applyBorder="1" applyAlignment="1">
      <alignment horizontal="center"/>
    </xf>
    <xf numFmtId="42" fontId="13" fillId="8" borderId="12" xfId="0" applyNumberFormat="1" applyFont="1" applyFill="1" applyBorder="1"/>
    <xf numFmtId="14" fontId="13" fillId="8" borderId="0" xfId="0" applyNumberFormat="1" applyFont="1" applyFill="1" applyAlignment="1">
      <alignment horizontal="center"/>
    </xf>
    <xf numFmtId="0" fontId="13" fillId="8" borderId="7" xfId="0" quotePrefix="1" applyNumberFormat="1" applyFont="1" applyFill="1" applyBorder="1" applyAlignment="1">
      <alignment horizontal="center"/>
    </xf>
    <xf numFmtId="42" fontId="21" fillId="0" borderId="7" xfId="0" applyNumberFormat="1" applyFont="1" applyFill="1" applyBorder="1" applyAlignment="1">
      <alignment horizontal="center" vertical="center"/>
    </xf>
    <xf numFmtId="41" fontId="38" fillId="0" borderId="0" xfId="0" applyNumberFormat="1" applyFont="1"/>
    <xf numFmtId="41" fontId="28" fillId="0" borderId="0" xfId="0" applyNumberFormat="1" applyFont="1"/>
    <xf numFmtId="41" fontId="28" fillId="0" borderId="0" xfId="0" applyNumberFormat="1" applyFont="1" applyFill="1"/>
    <xf numFmtId="0" fontId="28" fillId="9" borderId="0" xfId="0" applyFont="1" applyFill="1"/>
    <xf numFmtId="41" fontId="28" fillId="9" borderId="0" xfId="0" applyNumberFormat="1" applyFont="1" applyFill="1"/>
    <xf numFmtId="0" fontId="28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4" fillId="2" borderId="2" xfId="2" applyFont="1" applyFill="1" applyBorder="1" applyAlignment="1">
      <alignment horizontal="center" vertical="center" wrapText="1"/>
    </xf>
    <xf numFmtId="0" fontId="4" fillId="2" borderId="6" xfId="2" applyFont="1" applyFill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center" wrapText="1"/>
    </xf>
    <xf numFmtId="0" fontId="6" fillId="0" borderId="5" xfId="2" applyFont="1" applyBorder="1" applyAlignment="1">
      <alignment horizontal="center" vertical="center" wrapText="1"/>
    </xf>
    <xf numFmtId="0" fontId="5" fillId="0" borderId="0" xfId="2" applyFont="1" applyAlignment="1">
      <alignment horizontal="right" vertical="center"/>
    </xf>
    <xf numFmtId="165" fontId="4" fillId="0" borderId="0" xfId="2" applyNumberFormat="1" applyFont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0" fontId="7" fillId="0" borderId="6" xfId="3" applyFont="1" applyBorder="1"/>
    <xf numFmtId="0" fontId="4" fillId="2" borderId="3" xfId="2" applyFont="1" applyFill="1" applyBorder="1" applyAlignment="1">
      <alignment horizontal="center" vertical="center"/>
    </xf>
    <xf numFmtId="0" fontId="4" fillId="2" borderId="4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2" xfId="2" applyFont="1" applyFill="1" applyBorder="1" applyAlignment="1">
      <alignment horizontal="center" vertical="center" wrapText="1"/>
    </xf>
    <xf numFmtId="0" fontId="11" fillId="0" borderId="6" xfId="3" applyFont="1" applyBorder="1"/>
    <xf numFmtId="0" fontId="12" fillId="2" borderId="6" xfId="2" applyFont="1" applyFill="1" applyBorder="1" applyAlignment="1">
      <alignment horizontal="center" vertical="center" wrapText="1"/>
    </xf>
    <xf numFmtId="0" fontId="12" fillId="2" borderId="3" xfId="2" applyFont="1" applyFill="1" applyBorder="1" applyAlignment="1">
      <alignment horizontal="center" vertical="center"/>
    </xf>
    <xf numFmtId="0" fontId="12" fillId="2" borderId="10" xfId="2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9" fillId="0" borderId="6" xfId="2" applyFont="1" applyBorder="1" applyAlignment="1">
      <alignment horizontal="center" vertical="center" wrapText="1"/>
    </xf>
    <xf numFmtId="0" fontId="12" fillId="2" borderId="2" xfId="2" applyFont="1" applyFill="1" applyBorder="1" applyAlignment="1">
      <alignment horizontal="center" vertical="center"/>
    </xf>
    <xf numFmtId="0" fontId="12" fillId="2" borderId="6" xfId="2" applyFont="1" applyFill="1" applyBorder="1" applyAlignment="1">
      <alignment horizontal="center" vertical="center"/>
    </xf>
    <xf numFmtId="0" fontId="12" fillId="5" borderId="2" xfId="2" applyFont="1" applyFill="1" applyBorder="1" applyAlignment="1">
      <alignment horizontal="center" vertical="center" wrapText="1"/>
    </xf>
    <xf numFmtId="0" fontId="12" fillId="5" borderId="6" xfId="2" applyFont="1" applyFill="1" applyBorder="1" applyAlignment="1">
      <alignment horizontal="center" vertical="center" wrapText="1"/>
    </xf>
    <xf numFmtId="0" fontId="6" fillId="2" borderId="3" xfId="2" applyFont="1" applyFill="1" applyBorder="1" applyAlignment="1">
      <alignment horizontal="center" vertical="center"/>
    </xf>
    <xf numFmtId="0" fontId="6" fillId="2" borderId="4" xfId="2" applyFont="1" applyFill="1" applyBorder="1" applyAlignment="1">
      <alignment horizontal="center" vertical="center"/>
    </xf>
    <xf numFmtId="0" fontId="13" fillId="8" borderId="0" xfId="0" applyNumberFormat="1" applyFont="1" applyFill="1"/>
    <xf numFmtId="0" fontId="13" fillId="4" borderId="14" xfId="0" applyFont="1" applyFill="1" applyBorder="1"/>
    <xf numFmtId="167" fontId="13" fillId="4" borderId="14" xfId="0" applyNumberFormat="1" applyFont="1" applyFill="1" applyBorder="1"/>
    <xf numFmtId="166" fontId="14" fillId="4" borderId="14" xfId="0" applyNumberFormat="1" applyFont="1" applyFill="1" applyBorder="1"/>
    <xf numFmtId="166" fontId="14" fillId="4" borderId="15" xfId="0" applyNumberFormat="1" applyFont="1" applyFill="1" applyBorder="1"/>
    <xf numFmtId="0" fontId="13" fillId="0" borderId="11" xfId="0" applyFont="1" applyFill="1" applyBorder="1" applyAlignment="1">
      <alignment horizontal="center"/>
    </xf>
    <xf numFmtId="14" fontId="13" fillId="0" borderId="11" xfId="0" applyNumberFormat="1" applyFont="1" applyFill="1" applyBorder="1" applyAlignment="1">
      <alignment horizontal="center"/>
    </xf>
    <xf numFmtId="0" fontId="13" fillId="0" borderId="11" xfId="0" applyNumberFormat="1" applyFont="1" applyFill="1" applyBorder="1"/>
    <xf numFmtId="166" fontId="13" fillId="0" borderId="11" xfId="0" applyNumberFormat="1" applyFont="1" applyFill="1" applyBorder="1"/>
    <xf numFmtId="16" fontId="13" fillId="0" borderId="7" xfId="0" applyNumberFormat="1" applyFont="1" applyFill="1" applyBorder="1" applyAlignment="1">
      <alignment horizontal="center"/>
    </xf>
  </cellXfs>
  <cellStyles count="7">
    <cellStyle name="Comma" xfId="6" builtinId="3"/>
    <cellStyle name="Comma [0]" xfId="1" builtinId="6"/>
    <cellStyle name="Comma [0] 2" xfId="4"/>
    <cellStyle name="Comma [0] 4" xfId="5"/>
    <cellStyle name="Normal" xfId="0" builtinId="0"/>
    <cellStyle name="Normal 2" xfId="2"/>
    <cellStyle name="Normal 6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POR%20PAJAK/PAJAK%20PPH%2021/PPH%2021%202026/Perhitungan%20Tarif%20TER%20Karyawan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h 21 Jan"/>
      <sheetName val="pph 21 Feb"/>
      <sheetName val="pph 21 Mar"/>
      <sheetName val="pph 21 Apr"/>
      <sheetName val="pph 21 Mei"/>
      <sheetName val="pph 21 Jun"/>
    </sheetNames>
    <sheetDataSet>
      <sheetData sheetId="0">
        <row r="50">
          <cell r="M50">
            <v>184187668</v>
          </cell>
        </row>
      </sheetData>
      <sheetData sheetId="1">
        <row r="50">
          <cell r="M50">
            <v>195715788.83999997</v>
          </cell>
        </row>
      </sheetData>
      <sheetData sheetId="2">
        <row r="50">
          <cell r="M50">
            <v>334009243.84000003</v>
          </cell>
        </row>
      </sheetData>
      <sheetData sheetId="3">
        <row r="50">
          <cell r="M50">
            <v>194945810</v>
          </cell>
        </row>
      </sheetData>
      <sheetData sheetId="4">
        <row r="50">
          <cell r="M50">
            <v>193063029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zoomScale="90" zoomScaleNormal="90" workbookViewId="0">
      <selection activeCell="H15" sqref="H15"/>
    </sheetView>
  </sheetViews>
  <sheetFormatPr defaultRowHeight="15" x14ac:dyDescent="0.25"/>
  <cols>
    <col min="1" max="1" width="4.85546875" style="40" customWidth="1"/>
    <col min="2" max="2" width="10" style="40" customWidth="1"/>
    <col min="3" max="3" width="9.7109375" style="40" customWidth="1"/>
    <col min="4" max="4" width="20.28515625" style="40" bestFit="1" customWidth="1"/>
    <col min="5" max="5" width="18.5703125" style="40" customWidth="1"/>
    <col min="6" max="6" width="28.42578125" style="40" customWidth="1"/>
    <col min="7" max="7" width="26" style="40" customWidth="1"/>
    <col min="8" max="8" width="112.5703125" style="40" customWidth="1"/>
    <col min="9" max="9" width="17.7109375" style="40" bestFit="1" customWidth="1"/>
    <col min="10" max="10" width="17.7109375" style="40" customWidth="1"/>
    <col min="11" max="11" width="16.140625" style="40" bestFit="1" customWidth="1"/>
    <col min="12" max="12" width="17.28515625" style="40" bestFit="1" customWidth="1"/>
    <col min="13" max="13" width="15.85546875" bestFit="1" customWidth="1"/>
    <col min="14" max="14" width="13.85546875" bestFit="1" customWidth="1"/>
  </cols>
  <sheetData>
    <row r="1" spans="1:13" ht="15.75" x14ac:dyDescent="0.25">
      <c r="A1" s="296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</row>
    <row r="2" spans="1:13" ht="15.75" x14ac:dyDescent="0.25">
      <c r="A2" s="296" t="s">
        <v>38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6"/>
    </row>
    <row r="3" spans="1:13" ht="15.75" x14ac:dyDescent="0.25">
      <c r="A3" s="296" t="s">
        <v>180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</row>
    <row r="4" spans="1:13" ht="15.75" thickBot="1" x14ac:dyDescent="0.3"/>
    <row r="5" spans="1:13" s="39" customFormat="1" ht="30.75" customHeight="1" thickTop="1" thickBot="1" x14ac:dyDescent="0.3">
      <c r="A5" s="47" t="s">
        <v>26</v>
      </c>
      <c r="B5" s="47" t="s">
        <v>36</v>
      </c>
      <c r="C5" s="47" t="s">
        <v>27</v>
      </c>
      <c r="D5" s="47" t="s">
        <v>28</v>
      </c>
      <c r="E5" s="47" t="s">
        <v>30</v>
      </c>
      <c r="F5" s="47" t="s">
        <v>29</v>
      </c>
      <c r="G5" s="47" t="s">
        <v>77</v>
      </c>
      <c r="H5" s="47" t="s">
        <v>31</v>
      </c>
      <c r="I5" s="47" t="s">
        <v>32</v>
      </c>
      <c r="J5" s="47" t="s">
        <v>80</v>
      </c>
      <c r="K5" s="47" t="s">
        <v>33</v>
      </c>
      <c r="L5" s="47" t="s">
        <v>34</v>
      </c>
      <c r="M5" s="39" t="s">
        <v>133</v>
      </c>
    </row>
    <row r="6" spans="1:13" s="84" customFormat="1" ht="15.75" thickTop="1" x14ac:dyDescent="0.25">
      <c r="A6" s="148">
        <v>1</v>
      </c>
      <c r="B6" s="240">
        <v>46027</v>
      </c>
      <c r="C6" s="148" t="s">
        <v>68</v>
      </c>
      <c r="D6" s="164" t="s">
        <v>181</v>
      </c>
      <c r="E6" s="157" t="s">
        <v>75</v>
      </c>
      <c r="F6" s="150" t="s">
        <v>86</v>
      </c>
      <c r="G6" s="150" t="s">
        <v>78</v>
      </c>
      <c r="H6" s="152" t="s">
        <v>184</v>
      </c>
      <c r="I6" s="184">
        <v>2500000</v>
      </c>
      <c r="J6" s="185">
        <f>I6*11/12</f>
        <v>2291666.6666666665</v>
      </c>
      <c r="K6" s="128">
        <f>I6*11%</f>
        <v>275000</v>
      </c>
      <c r="L6" s="128">
        <f>I6+K6</f>
        <v>2775000</v>
      </c>
    </row>
    <row r="7" spans="1:13" s="84" customFormat="1" x14ac:dyDescent="0.25">
      <c r="A7" s="148">
        <v>2</v>
      </c>
      <c r="B7" s="240">
        <v>46027</v>
      </c>
      <c r="C7" s="148" t="s">
        <v>68</v>
      </c>
      <c r="D7" s="164" t="s">
        <v>182</v>
      </c>
      <c r="E7" s="157" t="s">
        <v>75</v>
      </c>
      <c r="F7" s="150" t="s">
        <v>86</v>
      </c>
      <c r="G7" s="150" t="s">
        <v>78</v>
      </c>
      <c r="H7" s="152" t="s">
        <v>185</v>
      </c>
      <c r="I7" s="184">
        <v>5745000</v>
      </c>
      <c r="J7" s="185">
        <f t="shared" ref="J7:J21" si="0">I7*11/12</f>
        <v>5266250</v>
      </c>
      <c r="K7" s="128">
        <f t="shared" ref="K7:K21" si="1">I7*11%</f>
        <v>631950</v>
      </c>
      <c r="L7" s="128">
        <f t="shared" ref="L7:L21" si="2">I7+K7</f>
        <v>6376950</v>
      </c>
    </row>
    <row r="8" spans="1:13" s="84" customFormat="1" x14ac:dyDescent="0.25">
      <c r="A8" s="148">
        <v>3</v>
      </c>
      <c r="B8" s="240">
        <v>46027</v>
      </c>
      <c r="C8" s="148" t="s">
        <v>68</v>
      </c>
      <c r="D8" s="164" t="s">
        <v>183</v>
      </c>
      <c r="E8" s="157" t="s">
        <v>75</v>
      </c>
      <c r="F8" s="150" t="s">
        <v>86</v>
      </c>
      <c r="G8" s="150" t="s">
        <v>79</v>
      </c>
      <c r="H8" s="127" t="s">
        <v>186</v>
      </c>
      <c r="I8" s="184">
        <v>10800000</v>
      </c>
      <c r="J8" s="185">
        <f t="shared" si="0"/>
        <v>9900000</v>
      </c>
      <c r="K8" s="128">
        <f t="shared" si="1"/>
        <v>1188000</v>
      </c>
      <c r="L8" s="128">
        <f t="shared" si="2"/>
        <v>11988000</v>
      </c>
    </row>
    <row r="9" spans="1:13" s="84" customFormat="1" x14ac:dyDescent="0.25">
      <c r="A9" s="148">
        <v>4</v>
      </c>
      <c r="B9" s="240">
        <v>46027</v>
      </c>
      <c r="C9" s="148" t="s">
        <v>68</v>
      </c>
      <c r="D9" s="164" t="s">
        <v>187</v>
      </c>
      <c r="E9" s="157" t="s">
        <v>75</v>
      </c>
      <c r="F9" s="150" t="s">
        <v>86</v>
      </c>
      <c r="G9" s="150" t="s">
        <v>79</v>
      </c>
      <c r="H9" s="127" t="s">
        <v>188</v>
      </c>
      <c r="I9" s="184">
        <v>154858000</v>
      </c>
      <c r="J9" s="185">
        <f t="shared" si="0"/>
        <v>141953166.66666666</v>
      </c>
      <c r="K9" s="128">
        <f t="shared" si="1"/>
        <v>17034380</v>
      </c>
      <c r="L9" s="128">
        <f t="shared" si="2"/>
        <v>171892380</v>
      </c>
    </row>
    <row r="10" spans="1:13" s="84" customFormat="1" x14ac:dyDescent="0.25">
      <c r="A10" s="148">
        <v>5</v>
      </c>
      <c r="B10" s="240">
        <v>46027</v>
      </c>
      <c r="C10" s="148" t="s">
        <v>68</v>
      </c>
      <c r="D10" s="164" t="s">
        <v>189</v>
      </c>
      <c r="E10" s="157" t="s">
        <v>76</v>
      </c>
      <c r="F10" s="150" t="s">
        <v>93</v>
      </c>
      <c r="G10" s="150" t="s">
        <v>78</v>
      </c>
      <c r="H10" s="127" t="s">
        <v>194</v>
      </c>
      <c r="I10" s="191">
        <v>45665766</v>
      </c>
      <c r="J10" s="185">
        <f t="shared" si="0"/>
        <v>41860285.5</v>
      </c>
      <c r="K10" s="128">
        <f t="shared" si="1"/>
        <v>5023234.26</v>
      </c>
      <c r="L10" s="128">
        <f t="shared" si="2"/>
        <v>50689000.259999998</v>
      </c>
    </row>
    <row r="11" spans="1:13" s="84" customFormat="1" x14ac:dyDescent="0.25">
      <c r="A11" s="148">
        <v>6</v>
      </c>
      <c r="B11" s="240">
        <v>46027</v>
      </c>
      <c r="C11" s="148" t="s">
        <v>68</v>
      </c>
      <c r="D11" s="164" t="s">
        <v>190</v>
      </c>
      <c r="E11" s="157" t="s">
        <v>76</v>
      </c>
      <c r="F11" s="150" t="s">
        <v>93</v>
      </c>
      <c r="G11" s="150" t="s">
        <v>78</v>
      </c>
      <c r="H11" s="107" t="s">
        <v>195</v>
      </c>
      <c r="I11" s="227">
        <v>4490015</v>
      </c>
      <c r="J11" s="185">
        <f t="shared" si="0"/>
        <v>4115847.0833333335</v>
      </c>
      <c r="K11" s="128">
        <f t="shared" si="1"/>
        <v>493901.65</v>
      </c>
      <c r="L11" s="128">
        <f t="shared" si="2"/>
        <v>4983916.6500000004</v>
      </c>
    </row>
    <row r="12" spans="1:13" s="84" customFormat="1" x14ac:dyDescent="0.25">
      <c r="A12" s="148">
        <v>7</v>
      </c>
      <c r="B12" s="240">
        <v>46027</v>
      </c>
      <c r="C12" s="148" t="s">
        <v>68</v>
      </c>
      <c r="D12" s="164" t="s">
        <v>191</v>
      </c>
      <c r="E12" s="157" t="s">
        <v>76</v>
      </c>
      <c r="F12" s="150" t="s">
        <v>93</v>
      </c>
      <c r="G12" s="150" t="s">
        <v>78</v>
      </c>
      <c r="H12" s="127" t="s">
        <v>196</v>
      </c>
      <c r="I12" s="228">
        <v>142420421</v>
      </c>
      <c r="J12" s="185">
        <f t="shared" si="0"/>
        <v>130552052.58333333</v>
      </c>
      <c r="K12" s="128">
        <f t="shared" si="1"/>
        <v>15666246.310000001</v>
      </c>
      <c r="L12" s="128">
        <f t="shared" si="2"/>
        <v>158086667.31</v>
      </c>
    </row>
    <row r="13" spans="1:13" s="84" customFormat="1" x14ac:dyDescent="0.25">
      <c r="A13" s="148">
        <v>8</v>
      </c>
      <c r="B13" s="240">
        <v>46027</v>
      </c>
      <c r="C13" s="148" t="s">
        <v>68</v>
      </c>
      <c r="D13" s="164" t="s">
        <v>192</v>
      </c>
      <c r="E13" s="157" t="s">
        <v>76</v>
      </c>
      <c r="F13" s="150" t="s">
        <v>93</v>
      </c>
      <c r="G13" s="150" t="s">
        <v>78</v>
      </c>
      <c r="H13" s="127" t="s">
        <v>197</v>
      </c>
      <c r="I13" s="191">
        <v>41199099</v>
      </c>
      <c r="J13" s="185">
        <f t="shared" si="0"/>
        <v>37765840.75</v>
      </c>
      <c r="K13" s="128">
        <f t="shared" si="1"/>
        <v>4531900.8899999997</v>
      </c>
      <c r="L13" s="128">
        <f t="shared" si="2"/>
        <v>45730999.890000001</v>
      </c>
    </row>
    <row r="14" spans="1:13" s="84" customFormat="1" x14ac:dyDescent="0.25">
      <c r="A14" s="148">
        <v>9</v>
      </c>
      <c r="B14" s="240">
        <v>46027</v>
      </c>
      <c r="C14" s="148" t="s">
        <v>68</v>
      </c>
      <c r="D14" s="164" t="s">
        <v>193</v>
      </c>
      <c r="E14" s="157" t="s">
        <v>76</v>
      </c>
      <c r="F14" s="150" t="s">
        <v>93</v>
      </c>
      <c r="G14" s="150" t="s">
        <v>78</v>
      </c>
      <c r="H14" s="150" t="s">
        <v>198</v>
      </c>
      <c r="I14" s="184">
        <v>12552134</v>
      </c>
      <c r="J14" s="185">
        <f t="shared" si="0"/>
        <v>11506122.833333334</v>
      </c>
      <c r="K14" s="128">
        <f t="shared" si="1"/>
        <v>1380734.74</v>
      </c>
      <c r="L14" s="128">
        <f t="shared" si="2"/>
        <v>13932868.74</v>
      </c>
    </row>
    <row r="15" spans="1:13" s="84" customFormat="1" x14ac:dyDescent="0.25">
      <c r="A15" s="148">
        <v>10</v>
      </c>
      <c r="B15" s="240">
        <v>46027</v>
      </c>
      <c r="C15" s="148" t="s">
        <v>68</v>
      </c>
      <c r="D15" s="164" t="s">
        <v>199</v>
      </c>
      <c r="E15" s="157" t="s">
        <v>81</v>
      </c>
      <c r="F15" s="150" t="s">
        <v>90</v>
      </c>
      <c r="G15" s="150" t="s">
        <v>78</v>
      </c>
      <c r="H15" s="127" t="s">
        <v>200</v>
      </c>
      <c r="I15" s="191">
        <v>36534740</v>
      </c>
      <c r="J15" s="185">
        <f t="shared" si="0"/>
        <v>33490178.333333332</v>
      </c>
      <c r="K15" s="128">
        <f t="shared" si="1"/>
        <v>4018821.4</v>
      </c>
      <c r="L15" s="128">
        <f t="shared" si="2"/>
        <v>40553561.399999999</v>
      </c>
    </row>
    <row r="16" spans="1:13" s="84" customFormat="1" x14ac:dyDescent="0.25">
      <c r="A16" s="148">
        <v>11</v>
      </c>
      <c r="B16" s="240">
        <v>46030</v>
      </c>
      <c r="C16" s="148" t="s">
        <v>68</v>
      </c>
      <c r="D16" s="164" t="s">
        <v>208</v>
      </c>
      <c r="E16" s="157" t="s">
        <v>76</v>
      </c>
      <c r="F16" s="150" t="s">
        <v>93</v>
      </c>
      <c r="G16" s="150" t="s">
        <v>78</v>
      </c>
      <c r="H16" s="127" t="s">
        <v>234</v>
      </c>
      <c r="I16" s="191">
        <v>8662398</v>
      </c>
      <c r="J16" s="185">
        <f t="shared" si="0"/>
        <v>7940531.5</v>
      </c>
      <c r="K16" s="128">
        <f t="shared" si="1"/>
        <v>952863.78</v>
      </c>
      <c r="L16" s="128">
        <f t="shared" si="2"/>
        <v>9615261.7799999993</v>
      </c>
    </row>
    <row r="17" spans="1:14" s="84" customFormat="1" x14ac:dyDescent="0.25">
      <c r="A17" s="148">
        <v>12</v>
      </c>
      <c r="B17" s="240">
        <v>46035</v>
      </c>
      <c r="C17" s="148" t="s">
        <v>68</v>
      </c>
      <c r="D17" s="164" t="s">
        <v>201</v>
      </c>
      <c r="E17" s="157" t="s">
        <v>75</v>
      </c>
      <c r="F17" s="150" t="s">
        <v>86</v>
      </c>
      <c r="G17" s="150" t="s">
        <v>79</v>
      </c>
      <c r="H17" s="241" t="s">
        <v>202</v>
      </c>
      <c r="I17" s="184">
        <v>9816000</v>
      </c>
      <c r="J17" s="185">
        <f t="shared" si="0"/>
        <v>8998000</v>
      </c>
      <c r="K17" s="128">
        <f t="shared" si="1"/>
        <v>1079760</v>
      </c>
      <c r="L17" s="128">
        <f t="shared" si="2"/>
        <v>10895760</v>
      </c>
    </row>
    <row r="18" spans="1:14" s="84" customFormat="1" x14ac:dyDescent="0.25">
      <c r="A18" s="148">
        <v>13</v>
      </c>
      <c r="B18" s="240">
        <v>46035</v>
      </c>
      <c r="C18" s="148" t="s">
        <v>68</v>
      </c>
      <c r="D18" s="164" t="s">
        <v>254</v>
      </c>
      <c r="E18" s="157" t="s">
        <v>75</v>
      </c>
      <c r="F18" s="150" t="s">
        <v>86</v>
      </c>
      <c r="G18" s="150" t="s">
        <v>79</v>
      </c>
      <c r="H18" s="241" t="s">
        <v>255</v>
      </c>
      <c r="I18" s="184">
        <v>19319789</v>
      </c>
      <c r="J18" s="185">
        <f t="shared" si="0"/>
        <v>17709806.583333332</v>
      </c>
      <c r="K18" s="128">
        <f t="shared" si="1"/>
        <v>2125176.79</v>
      </c>
      <c r="L18" s="128">
        <f t="shared" si="2"/>
        <v>21444965.789999999</v>
      </c>
    </row>
    <row r="19" spans="1:14" s="84" customFormat="1" x14ac:dyDescent="0.25">
      <c r="A19" s="148">
        <v>14</v>
      </c>
      <c r="B19" s="240">
        <v>46042</v>
      </c>
      <c r="C19" s="148" t="s">
        <v>68</v>
      </c>
      <c r="D19" s="164" t="s">
        <v>203</v>
      </c>
      <c r="E19" s="157" t="s">
        <v>81</v>
      </c>
      <c r="F19" s="150" t="s">
        <v>90</v>
      </c>
      <c r="G19" s="150" t="s">
        <v>78</v>
      </c>
      <c r="H19" s="107" t="s">
        <v>204</v>
      </c>
      <c r="I19" s="184">
        <v>17800000</v>
      </c>
      <c r="J19" s="185">
        <f t="shared" si="0"/>
        <v>16316666.666666666</v>
      </c>
      <c r="K19" s="128">
        <f t="shared" si="1"/>
        <v>1958000</v>
      </c>
      <c r="L19" s="128">
        <f t="shared" si="2"/>
        <v>19758000</v>
      </c>
    </row>
    <row r="20" spans="1:14" s="84" customFormat="1" x14ac:dyDescent="0.25">
      <c r="A20" s="148">
        <v>15</v>
      </c>
      <c r="B20" s="240">
        <v>46042</v>
      </c>
      <c r="C20" s="148" t="s">
        <v>68</v>
      </c>
      <c r="D20" s="164" t="s">
        <v>205</v>
      </c>
      <c r="E20" s="157" t="s">
        <v>76</v>
      </c>
      <c r="F20" s="150" t="s">
        <v>93</v>
      </c>
      <c r="G20" s="150" t="s">
        <v>78</v>
      </c>
      <c r="H20" s="104" t="s">
        <v>206</v>
      </c>
      <c r="I20" s="184">
        <v>9920000</v>
      </c>
      <c r="J20" s="185">
        <f t="shared" si="0"/>
        <v>9093333.333333334</v>
      </c>
      <c r="K20" s="128">
        <f t="shared" si="1"/>
        <v>1091200</v>
      </c>
      <c r="L20" s="128">
        <f t="shared" si="2"/>
        <v>11011200</v>
      </c>
    </row>
    <row r="21" spans="1:14" s="274" customFormat="1" ht="15.75" thickBot="1" x14ac:dyDescent="0.3">
      <c r="A21" s="267">
        <v>16</v>
      </c>
      <c r="B21" s="278">
        <v>46042</v>
      </c>
      <c r="C21" s="267" t="s">
        <v>68</v>
      </c>
      <c r="D21" s="279" t="s">
        <v>207</v>
      </c>
      <c r="E21" s="269" t="s">
        <v>75</v>
      </c>
      <c r="F21" s="271" t="s">
        <v>86</v>
      </c>
      <c r="G21" s="271" t="s">
        <v>79</v>
      </c>
      <c r="H21" s="271" t="s">
        <v>251</v>
      </c>
      <c r="I21" s="280">
        <v>164400000</v>
      </c>
      <c r="J21" s="272">
        <f t="shared" si="0"/>
        <v>150700000</v>
      </c>
      <c r="K21" s="273">
        <f t="shared" si="1"/>
        <v>18084000</v>
      </c>
      <c r="L21" s="273">
        <f t="shared" si="2"/>
        <v>182484000</v>
      </c>
      <c r="M21" s="275" t="s">
        <v>384</v>
      </c>
      <c r="N21" s="280"/>
    </row>
    <row r="22" spans="1:14" ht="16.5" thickTop="1" thickBot="1" x14ac:dyDescent="0.3">
      <c r="A22" s="43"/>
      <c r="B22" s="43"/>
      <c r="C22" s="43"/>
      <c r="D22" s="44"/>
      <c r="E22" s="43"/>
      <c r="F22" s="43"/>
      <c r="G22" s="43"/>
      <c r="H22" s="43"/>
      <c r="I22" s="45">
        <f>SUM(I6:I21)</f>
        <v>686683362</v>
      </c>
      <c r="J22" s="45">
        <f>SUM(J6:J21)</f>
        <v>629459748.5</v>
      </c>
      <c r="K22" s="45">
        <f>SUM(K6:K21)</f>
        <v>75535169.819999993</v>
      </c>
      <c r="L22" s="46">
        <f>SUM(L6:L21)</f>
        <v>762218531.81999993</v>
      </c>
    </row>
    <row r="23" spans="1:14" ht="15.75" thickTop="1" x14ac:dyDescent="0.25"/>
    <row r="24" spans="1:14" x14ac:dyDescent="0.25">
      <c r="G24" s="143"/>
      <c r="I24" s="110"/>
      <c r="J24" s="110"/>
    </row>
    <row r="25" spans="1:14" x14ac:dyDescent="0.25">
      <c r="G25" s="143"/>
      <c r="I25" s="245"/>
    </row>
    <row r="26" spans="1:14" x14ac:dyDescent="0.25">
      <c r="G26" s="143"/>
    </row>
    <row r="27" spans="1:14" x14ac:dyDescent="0.25">
      <c r="G27" s="143"/>
      <c r="I27" s="143"/>
    </row>
    <row r="28" spans="1:14" x14ac:dyDescent="0.25">
      <c r="G28" s="143"/>
    </row>
    <row r="29" spans="1:14" x14ac:dyDescent="0.25">
      <c r="G29" s="143"/>
    </row>
    <row r="30" spans="1:14" x14ac:dyDescent="0.25">
      <c r="G30" s="143"/>
    </row>
    <row r="31" spans="1:14" x14ac:dyDescent="0.25">
      <c r="G31" s="143"/>
      <c r="L31" s="143"/>
    </row>
    <row r="32" spans="1:14" x14ac:dyDescent="0.25">
      <c r="G32" s="143"/>
      <c r="L32" s="143"/>
    </row>
    <row r="33" spans="7:7" x14ac:dyDescent="0.25">
      <c r="G33" s="143"/>
    </row>
    <row r="34" spans="7:7" x14ac:dyDescent="0.25">
      <c r="G34" s="143"/>
    </row>
    <row r="35" spans="7:7" x14ac:dyDescent="0.25">
      <c r="G35" s="143"/>
    </row>
    <row r="36" spans="7:7" x14ac:dyDescent="0.25">
      <c r="G36" s="143"/>
    </row>
  </sheetData>
  <mergeCells count="3">
    <mergeCell ref="A1:L1"/>
    <mergeCell ref="A2:L2"/>
    <mergeCell ref="A3:L3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opLeftCell="A4" zoomScale="90" zoomScaleNormal="90" workbookViewId="0">
      <selection activeCell="M23" sqref="M23"/>
    </sheetView>
  </sheetViews>
  <sheetFormatPr defaultRowHeight="15" x14ac:dyDescent="0.25"/>
  <cols>
    <col min="1" max="1" width="4.85546875" style="40" customWidth="1"/>
    <col min="2" max="2" width="10.5703125" style="40" customWidth="1"/>
    <col min="3" max="3" width="9.7109375" style="40" customWidth="1"/>
    <col min="4" max="4" width="20.28515625" style="166" bestFit="1" customWidth="1"/>
    <col min="5" max="5" width="19.140625" style="166" bestFit="1" customWidth="1"/>
    <col min="6" max="6" width="29" style="40" customWidth="1"/>
    <col min="7" max="7" width="21.85546875" style="40" customWidth="1"/>
    <col min="8" max="8" width="94" style="40" customWidth="1"/>
    <col min="9" max="9" width="17.7109375" style="40" bestFit="1" customWidth="1"/>
    <col min="10" max="10" width="17.7109375" style="40" customWidth="1"/>
    <col min="11" max="11" width="16.140625" style="40" bestFit="1" customWidth="1"/>
    <col min="12" max="12" width="18.85546875" style="40" bestFit="1" customWidth="1"/>
  </cols>
  <sheetData>
    <row r="1" spans="1:13" ht="15.75" x14ac:dyDescent="0.25">
      <c r="A1" s="296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</row>
    <row r="2" spans="1:13" ht="15.75" x14ac:dyDescent="0.25">
      <c r="A2" s="296" t="s">
        <v>38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6"/>
    </row>
    <row r="3" spans="1:13" ht="15.75" x14ac:dyDescent="0.25">
      <c r="A3" s="296" t="s">
        <v>215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</row>
    <row r="4" spans="1:13" ht="15.75" thickBot="1" x14ac:dyDescent="0.3"/>
    <row r="5" spans="1:13" s="39" customFormat="1" ht="30.75" customHeight="1" thickTop="1" thickBot="1" x14ac:dyDescent="0.3">
      <c r="A5" s="47" t="s">
        <v>26</v>
      </c>
      <c r="B5" s="47" t="s">
        <v>36</v>
      </c>
      <c r="C5" s="47" t="s">
        <v>27</v>
      </c>
      <c r="D5" s="47" t="s">
        <v>28</v>
      </c>
      <c r="E5" s="47" t="s">
        <v>30</v>
      </c>
      <c r="F5" s="47" t="s">
        <v>29</v>
      </c>
      <c r="G5" s="47" t="s">
        <v>77</v>
      </c>
      <c r="H5" s="47" t="s">
        <v>31</v>
      </c>
      <c r="I5" s="47" t="s">
        <v>32</v>
      </c>
      <c r="J5" s="47" t="s">
        <v>83</v>
      </c>
      <c r="K5" s="47" t="s">
        <v>33</v>
      </c>
      <c r="L5" s="47" t="s">
        <v>34</v>
      </c>
    </row>
    <row r="6" spans="1:13" s="84" customFormat="1" ht="15.75" thickTop="1" x14ac:dyDescent="0.25">
      <c r="A6" s="148">
        <v>1</v>
      </c>
      <c r="B6" s="158">
        <v>46056</v>
      </c>
      <c r="C6" s="148" t="s">
        <v>82</v>
      </c>
      <c r="D6" s="164" t="s">
        <v>221</v>
      </c>
      <c r="E6" s="157" t="s">
        <v>76</v>
      </c>
      <c r="F6" s="150" t="s">
        <v>93</v>
      </c>
      <c r="G6" s="150" t="s">
        <v>78</v>
      </c>
      <c r="H6" s="153" t="s">
        <v>216</v>
      </c>
      <c r="I6" s="154">
        <v>2750000</v>
      </c>
      <c r="J6" s="149">
        <f>I6*11/12</f>
        <v>2520833.3333333335</v>
      </c>
      <c r="K6" s="128">
        <f>J6*12%</f>
        <v>302500</v>
      </c>
      <c r="L6" s="128">
        <f>I6+K6</f>
        <v>3052500</v>
      </c>
    </row>
    <row r="7" spans="1:13" s="84" customFormat="1" x14ac:dyDescent="0.25">
      <c r="A7" s="148">
        <v>2</v>
      </c>
      <c r="B7" s="158">
        <v>46056</v>
      </c>
      <c r="C7" s="148" t="s">
        <v>82</v>
      </c>
      <c r="D7" s="164" t="s">
        <v>222</v>
      </c>
      <c r="E7" s="157" t="s">
        <v>76</v>
      </c>
      <c r="F7" s="150" t="s">
        <v>93</v>
      </c>
      <c r="G7" s="150" t="s">
        <v>78</v>
      </c>
      <c r="H7" s="150" t="s">
        <v>177</v>
      </c>
      <c r="I7" s="151">
        <v>13500000</v>
      </c>
      <c r="J7" s="149">
        <f t="shared" ref="J7:J24" si="0">I7*11/12</f>
        <v>12375000</v>
      </c>
      <c r="K7" s="128">
        <f t="shared" ref="K7:K24" si="1">J7*12%</f>
        <v>1485000</v>
      </c>
      <c r="L7" s="128">
        <f t="shared" ref="L7:L24" si="2">I7+K7</f>
        <v>14985000</v>
      </c>
    </row>
    <row r="8" spans="1:13" s="84" customFormat="1" x14ac:dyDescent="0.25">
      <c r="A8" s="148">
        <v>3</v>
      </c>
      <c r="B8" s="158">
        <v>46056</v>
      </c>
      <c r="C8" s="148" t="s">
        <v>82</v>
      </c>
      <c r="D8" s="164" t="s">
        <v>217</v>
      </c>
      <c r="E8" s="157" t="s">
        <v>76</v>
      </c>
      <c r="F8" s="150" t="s">
        <v>93</v>
      </c>
      <c r="G8" s="150" t="s">
        <v>78</v>
      </c>
      <c r="H8" s="150" t="s">
        <v>218</v>
      </c>
      <c r="I8" s="151">
        <v>950000</v>
      </c>
      <c r="J8" s="149">
        <f t="shared" si="0"/>
        <v>870833.33333333337</v>
      </c>
      <c r="K8" s="128">
        <f t="shared" si="1"/>
        <v>104500</v>
      </c>
      <c r="L8" s="128">
        <f t="shared" si="2"/>
        <v>1054500</v>
      </c>
    </row>
    <row r="9" spans="1:13" s="84" customFormat="1" x14ac:dyDescent="0.25">
      <c r="A9" s="148">
        <v>4</v>
      </c>
      <c r="B9" s="158">
        <v>46062</v>
      </c>
      <c r="C9" s="148" t="s">
        <v>82</v>
      </c>
      <c r="D9" s="164" t="s">
        <v>223</v>
      </c>
      <c r="E9" s="157" t="s">
        <v>81</v>
      </c>
      <c r="F9" s="150" t="s">
        <v>90</v>
      </c>
      <c r="G9" s="150" t="s">
        <v>78</v>
      </c>
      <c r="H9" s="107" t="s">
        <v>224</v>
      </c>
      <c r="I9" s="151">
        <v>18650000</v>
      </c>
      <c r="J9" s="149">
        <f t="shared" si="0"/>
        <v>17095833.333333332</v>
      </c>
      <c r="K9" s="128">
        <f t="shared" si="1"/>
        <v>2051499.9999999998</v>
      </c>
      <c r="L9" s="128">
        <f t="shared" si="2"/>
        <v>20701500</v>
      </c>
    </row>
    <row r="10" spans="1:13" s="84" customFormat="1" x14ac:dyDescent="0.25">
      <c r="A10" s="148">
        <v>5</v>
      </c>
      <c r="B10" s="158">
        <v>46063</v>
      </c>
      <c r="C10" s="148" t="s">
        <v>82</v>
      </c>
      <c r="D10" s="164" t="s">
        <v>219</v>
      </c>
      <c r="E10" s="157" t="s">
        <v>75</v>
      </c>
      <c r="F10" s="150" t="s">
        <v>86</v>
      </c>
      <c r="G10" s="150" t="s">
        <v>79</v>
      </c>
      <c r="H10" s="150" t="s">
        <v>220</v>
      </c>
      <c r="I10" s="151">
        <v>29850000</v>
      </c>
      <c r="J10" s="149">
        <f t="shared" si="0"/>
        <v>27362500</v>
      </c>
      <c r="K10" s="128">
        <f t="shared" si="1"/>
        <v>3283500</v>
      </c>
      <c r="L10" s="128">
        <f t="shared" si="2"/>
        <v>33133500</v>
      </c>
    </row>
    <row r="11" spans="1:13" s="84" customFormat="1" x14ac:dyDescent="0.25">
      <c r="A11" s="148">
        <v>6</v>
      </c>
      <c r="B11" s="158">
        <v>46071</v>
      </c>
      <c r="C11" s="148" t="s">
        <v>82</v>
      </c>
      <c r="D11" s="164" t="s">
        <v>225</v>
      </c>
      <c r="E11" s="157" t="s">
        <v>75</v>
      </c>
      <c r="F11" s="150" t="s">
        <v>86</v>
      </c>
      <c r="G11" s="150" t="s">
        <v>78</v>
      </c>
      <c r="H11" s="150" t="s">
        <v>226</v>
      </c>
      <c r="I11" s="151">
        <v>2251000</v>
      </c>
      <c r="J11" s="149">
        <f t="shared" si="0"/>
        <v>2063416.6666666667</v>
      </c>
      <c r="K11" s="128">
        <f t="shared" si="1"/>
        <v>247610</v>
      </c>
      <c r="L11" s="128">
        <f t="shared" si="2"/>
        <v>2498610</v>
      </c>
    </row>
    <row r="12" spans="1:13" s="84" customFormat="1" x14ac:dyDescent="0.25">
      <c r="A12" s="148">
        <v>7</v>
      </c>
      <c r="B12" s="158">
        <v>46062</v>
      </c>
      <c r="C12" s="148" t="s">
        <v>82</v>
      </c>
      <c r="D12" s="164" t="s">
        <v>252</v>
      </c>
      <c r="E12" s="157" t="s">
        <v>75</v>
      </c>
      <c r="F12" s="150" t="s">
        <v>86</v>
      </c>
      <c r="G12" s="150" t="s">
        <v>78</v>
      </c>
      <c r="H12" s="150" t="s">
        <v>253</v>
      </c>
      <c r="I12" s="151">
        <v>8834500</v>
      </c>
      <c r="J12" s="149">
        <f t="shared" si="0"/>
        <v>8098291.666666667</v>
      </c>
      <c r="K12" s="128">
        <f t="shared" si="1"/>
        <v>971795</v>
      </c>
      <c r="L12" s="128">
        <f t="shared" si="2"/>
        <v>9806295</v>
      </c>
    </row>
    <row r="13" spans="1:13" s="84" customFormat="1" x14ac:dyDescent="0.25">
      <c r="A13" s="148">
        <v>8</v>
      </c>
      <c r="B13" s="158">
        <v>46062</v>
      </c>
      <c r="C13" s="148" t="s">
        <v>82</v>
      </c>
      <c r="D13" s="164" t="s">
        <v>227</v>
      </c>
      <c r="E13" s="157" t="s">
        <v>76</v>
      </c>
      <c r="F13" s="150" t="s">
        <v>93</v>
      </c>
      <c r="G13" s="150" t="s">
        <v>78</v>
      </c>
      <c r="H13" s="150" t="s">
        <v>228</v>
      </c>
      <c r="I13" s="151">
        <v>2985000</v>
      </c>
      <c r="J13" s="149">
        <f t="shared" si="0"/>
        <v>2736250</v>
      </c>
      <c r="K13" s="128">
        <f t="shared" si="1"/>
        <v>328350</v>
      </c>
      <c r="L13" s="128">
        <f t="shared" si="2"/>
        <v>3313350</v>
      </c>
    </row>
    <row r="14" spans="1:13" s="84" customFormat="1" x14ac:dyDescent="0.25">
      <c r="A14" s="169">
        <v>9</v>
      </c>
      <c r="B14" s="247">
        <v>46062</v>
      </c>
      <c r="C14" s="169" t="s">
        <v>82</v>
      </c>
      <c r="D14" s="261" t="s">
        <v>229</v>
      </c>
      <c r="E14" s="170" t="s">
        <v>76</v>
      </c>
      <c r="F14" s="171" t="s">
        <v>93</v>
      </c>
      <c r="G14" s="171" t="s">
        <v>78</v>
      </c>
      <c r="H14" s="171" t="s">
        <v>232</v>
      </c>
      <c r="I14" s="248">
        <v>14985000</v>
      </c>
      <c r="J14" s="249">
        <f t="shared" si="0"/>
        <v>13736250</v>
      </c>
      <c r="K14" s="172">
        <f t="shared" si="1"/>
        <v>1648350</v>
      </c>
      <c r="L14" s="172">
        <f t="shared" si="2"/>
        <v>16633350</v>
      </c>
      <c r="M14" s="130" t="s">
        <v>258</v>
      </c>
    </row>
    <row r="15" spans="1:13" s="84" customFormat="1" x14ac:dyDescent="0.25">
      <c r="A15" s="148">
        <v>10</v>
      </c>
      <c r="B15" s="158">
        <v>46062</v>
      </c>
      <c r="C15" s="148" t="s">
        <v>82</v>
      </c>
      <c r="D15" s="164" t="s">
        <v>230</v>
      </c>
      <c r="E15" s="157" t="s">
        <v>76</v>
      </c>
      <c r="F15" s="150" t="s">
        <v>93</v>
      </c>
      <c r="G15" s="150" t="s">
        <v>78</v>
      </c>
      <c r="H15" s="127" t="s">
        <v>233</v>
      </c>
      <c r="I15" s="151">
        <v>8870217</v>
      </c>
      <c r="J15" s="149">
        <f t="shared" si="0"/>
        <v>8131032.25</v>
      </c>
      <c r="K15" s="128">
        <f t="shared" si="1"/>
        <v>975723.87</v>
      </c>
      <c r="L15" s="128">
        <f t="shared" si="2"/>
        <v>9845940.8699999992</v>
      </c>
    </row>
    <row r="16" spans="1:13" s="84" customFormat="1" x14ac:dyDescent="0.25">
      <c r="A16" s="148">
        <v>11</v>
      </c>
      <c r="B16" s="158">
        <v>46062</v>
      </c>
      <c r="C16" s="148" t="s">
        <v>82</v>
      </c>
      <c r="D16" s="164" t="s">
        <v>231</v>
      </c>
      <c r="E16" s="157" t="s">
        <v>76</v>
      </c>
      <c r="F16" s="150" t="s">
        <v>93</v>
      </c>
      <c r="G16" s="150" t="s">
        <v>78</v>
      </c>
      <c r="H16" s="150" t="s">
        <v>235</v>
      </c>
      <c r="I16" s="151">
        <v>13404430</v>
      </c>
      <c r="J16" s="149">
        <f t="shared" si="0"/>
        <v>12287394.166666666</v>
      </c>
      <c r="K16" s="128">
        <f t="shared" si="1"/>
        <v>1474487.2999999998</v>
      </c>
      <c r="L16" s="128">
        <f t="shared" si="2"/>
        <v>14878917.300000001</v>
      </c>
    </row>
    <row r="17" spans="1:13" s="84" customFormat="1" x14ac:dyDescent="0.25">
      <c r="A17" s="148">
        <v>12</v>
      </c>
      <c r="B17" s="158">
        <v>46062</v>
      </c>
      <c r="C17" s="148" t="s">
        <v>82</v>
      </c>
      <c r="D17" s="164" t="s">
        <v>236</v>
      </c>
      <c r="E17" s="157" t="s">
        <v>76</v>
      </c>
      <c r="F17" s="150" t="s">
        <v>93</v>
      </c>
      <c r="G17" s="150" t="s">
        <v>78</v>
      </c>
      <c r="H17" s="107" t="s">
        <v>237</v>
      </c>
      <c r="I17" s="227">
        <v>4879880</v>
      </c>
      <c r="J17" s="149">
        <f t="shared" si="0"/>
        <v>4473223.333333333</v>
      </c>
      <c r="K17" s="128">
        <f t="shared" si="1"/>
        <v>536786.79999999993</v>
      </c>
      <c r="L17" s="128">
        <f t="shared" si="2"/>
        <v>5416666.7999999998</v>
      </c>
    </row>
    <row r="18" spans="1:13" s="84" customFormat="1" x14ac:dyDescent="0.25">
      <c r="A18" s="148">
        <v>13</v>
      </c>
      <c r="B18" s="158">
        <v>46062</v>
      </c>
      <c r="C18" s="148" t="s">
        <v>82</v>
      </c>
      <c r="D18" s="164" t="s">
        <v>238</v>
      </c>
      <c r="E18" s="157" t="s">
        <v>76</v>
      </c>
      <c r="F18" s="150" t="s">
        <v>93</v>
      </c>
      <c r="G18" s="150" t="s">
        <v>78</v>
      </c>
      <c r="H18" s="127" t="s">
        <v>239</v>
      </c>
      <c r="I18" s="151">
        <v>47027027</v>
      </c>
      <c r="J18" s="149">
        <f t="shared" si="0"/>
        <v>43108108.083333336</v>
      </c>
      <c r="K18" s="128">
        <f t="shared" si="1"/>
        <v>5172972.97</v>
      </c>
      <c r="L18" s="128">
        <f t="shared" si="2"/>
        <v>52199999.969999999</v>
      </c>
    </row>
    <row r="19" spans="1:13" s="84" customFormat="1" x14ac:dyDescent="0.25">
      <c r="A19" s="148">
        <v>14</v>
      </c>
      <c r="B19" s="158">
        <v>46062</v>
      </c>
      <c r="C19" s="148" t="s">
        <v>82</v>
      </c>
      <c r="D19" s="164" t="s">
        <v>240</v>
      </c>
      <c r="E19" s="157" t="s">
        <v>76</v>
      </c>
      <c r="F19" s="150" t="s">
        <v>93</v>
      </c>
      <c r="G19" s="150" t="s">
        <v>78</v>
      </c>
      <c r="H19" s="127" t="s">
        <v>241</v>
      </c>
      <c r="I19" s="184">
        <v>148498498</v>
      </c>
      <c r="J19" s="185">
        <f t="shared" si="0"/>
        <v>136123623.16666666</v>
      </c>
      <c r="K19" s="128">
        <f t="shared" si="1"/>
        <v>16334834.779999997</v>
      </c>
      <c r="L19" s="128">
        <f t="shared" si="2"/>
        <v>164833332.78</v>
      </c>
    </row>
    <row r="20" spans="1:13" s="84" customFormat="1" x14ac:dyDescent="0.25">
      <c r="A20" s="148">
        <v>15</v>
      </c>
      <c r="B20" s="158">
        <v>46062</v>
      </c>
      <c r="C20" s="148" t="s">
        <v>82</v>
      </c>
      <c r="D20" s="164" t="s">
        <v>242</v>
      </c>
      <c r="E20" s="157" t="s">
        <v>76</v>
      </c>
      <c r="F20" s="150" t="s">
        <v>93</v>
      </c>
      <c r="G20" s="150" t="s">
        <v>78</v>
      </c>
      <c r="H20" s="127" t="s">
        <v>243</v>
      </c>
      <c r="I20" s="184">
        <v>44502102</v>
      </c>
      <c r="J20" s="185">
        <f t="shared" si="0"/>
        <v>40793593.5</v>
      </c>
      <c r="K20" s="128">
        <f t="shared" si="1"/>
        <v>4895231.22</v>
      </c>
      <c r="L20" s="128">
        <f t="shared" si="2"/>
        <v>49397333.219999999</v>
      </c>
    </row>
    <row r="21" spans="1:13" s="84" customFormat="1" x14ac:dyDescent="0.25">
      <c r="A21" s="148">
        <v>16</v>
      </c>
      <c r="B21" s="240">
        <v>46072</v>
      </c>
      <c r="C21" s="148" t="s">
        <v>82</v>
      </c>
      <c r="D21" s="164" t="s">
        <v>244</v>
      </c>
      <c r="E21" s="157" t="s">
        <v>76</v>
      </c>
      <c r="F21" s="150" t="s">
        <v>93</v>
      </c>
      <c r="G21" s="150" t="s">
        <v>78</v>
      </c>
      <c r="H21" s="104" t="s">
        <v>245</v>
      </c>
      <c r="I21" s="184">
        <v>9920000</v>
      </c>
      <c r="J21" s="185">
        <f t="shared" si="0"/>
        <v>9093333.333333334</v>
      </c>
      <c r="K21" s="128">
        <f t="shared" si="1"/>
        <v>1091200</v>
      </c>
      <c r="L21" s="128">
        <f t="shared" si="2"/>
        <v>11011200</v>
      </c>
    </row>
    <row r="22" spans="1:13" s="84" customFormat="1" x14ac:dyDescent="0.25">
      <c r="A22" s="148">
        <v>17</v>
      </c>
      <c r="B22" s="240">
        <v>46076</v>
      </c>
      <c r="C22" s="148" t="s">
        <v>82</v>
      </c>
      <c r="D22" s="164" t="s">
        <v>246</v>
      </c>
      <c r="E22" s="157" t="s">
        <v>75</v>
      </c>
      <c r="F22" s="150" t="s">
        <v>86</v>
      </c>
      <c r="G22" s="150" t="s">
        <v>78</v>
      </c>
      <c r="H22" s="241" t="s">
        <v>247</v>
      </c>
      <c r="I22" s="184">
        <v>7249000</v>
      </c>
      <c r="J22" s="185">
        <f t="shared" si="0"/>
        <v>6644916.666666667</v>
      </c>
      <c r="K22" s="128">
        <f t="shared" si="1"/>
        <v>797390</v>
      </c>
      <c r="L22" s="128">
        <f t="shared" si="2"/>
        <v>8046390</v>
      </c>
    </row>
    <row r="23" spans="1:13" s="274" customFormat="1" x14ac:dyDescent="0.25">
      <c r="A23" s="267">
        <v>18</v>
      </c>
      <c r="B23" s="278">
        <v>46077</v>
      </c>
      <c r="C23" s="267" t="s">
        <v>82</v>
      </c>
      <c r="D23" s="279" t="s">
        <v>248</v>
      </c>
      <c r="E23" s="269" t="s">
        <v>75</v>
      </c>
      <c r="F23" s="271" t="s">
        <v>86</v>
      </c>
      <c r="G23" s="271" t="s">
        <v>79</v>
      </c>
      <c r="H23" s="271" t="s">
        <v>260</v>
      </c>
      <c r="I23" s="280">
        <v>115500000</v>
      </c>
      <c r="J23" s="272">
        <f t="shared" si="0"/>
        <v>105875000</v>
      </c>
      <c r="K23" s="273">
        <f t="shared" si="1"/>
        <v>12705000</v>
      </c>
      <c r="L23" s="273">
        <f t="shared" si="2"/>
        <v>128205000</v>
      </c>
      <c r="M23" s="275" t="s">
        <v>411</v>
      </c>
    </row>
    <row r="24" spans="1:13" s="84" customFormat="1" ht="15.75" thickBot="1" x14ac:dyDescent="0.3">
      <c r="A24" s="148">
        <v>19</v>
      </c>
      <c r="B24" s="240">
        <v>46077</v>
      </c>
      <c r="C24" s="148" t="s">
        <v>82</v>
      </c>
      <c r="D24" s="164" t="s">
        <v>249</v>
      </c>
      <c r="E24" s="157" t="s">
        <v>76</v>
      </c>
      <c r="F24" s="150" t="s">
        <v>93</v>
      </c>
      <c r="G24" s="150" t="s">
        <v>78</v>
      </c>
      <c r="H24" s="152" t="s">
        <v>250</v>
      </c>
      <c r="I24" s="184">
        <v>16500000</v>
      </c>
      <c r="J24" s="185">
        <f t="shared" si="0"/>
        <v>15125000</v>
      </c>
      <c r="K24" s="128">
        <f t="shared" si="1"/>
        <v>1815000</v>
      </c>
      <c r="L24" s="128">
        <f t="shared" si="2"/>
        <v>18315000</v>
      </c>
    </row>
    <row r="25" spans="1:13" ht="16.5" thickTop="1" thickBot="1" x14ac:dyDescent="0.3">
      <c r="A25" s="43"/>
      <c r="B25" s="43"/>
      <c r="C25" s="43"/>
      <c r="D25" s="177"/>
      <c r="E25" s="167"/>
      <c r="F25" s="43"/>
      <c r="G25" s="43"/>
      <c r="H25" s="43"/>
      <c r="I25" s="45">
        <f>SUM(I6:I24)</f>
        <v>511106654</v>
      </c>
      <c r="J25" s="45">
        <f>SUM(J6:J24)</f>
        <v>468514432.83333331</v>
      </c>
      <c r="K25" s="45">
        <f>SUM(K6:K24)</f>
        <v>56221731.939999998</v>
      </c>
      <c r="L25" s="46">
        <f>SUM(L6:L24)</f>
        <v>567328385.94000006</v>
      </c>
    </row>
    <row r="26" spans="1:13" ht="15.75" thickTop="1" x14ac:dyDescent="0.25"/>
    <row r="27" spans="1:13" x14ac:dyDescent="0.25">
      <c r="I27" s="245"/>
    </row>
    <row r="28" spans="1:13" x14ac:dyDescent="0.25">
      <c r="I28" s="143"/>
      <c r="J28" s="143"/>
    </row>
    <row r="29" spans="1:13" x14ac:dyDescent="0.25">
      <c r="F29" s="48"/>
      <c r="G29" s="48"/>
      <c r="I29" s="143">
        <v>115500000</v>
      </c>
      <c r="J29" s="143">
        <v>280000000</v>
      </c>
    </row>
    <row r="30" spans="1:13" x14ac:dyDescent="0.25">
      <c r="F30" s="48"/>
      <c r="G30" s="48"/>
      <c r="I30" s="143">
        <v>210000</v>
      </c>
      <c r="J30" s="143">
        <f>J29*2%</f>
        <v>5600000</v>
      </c>
    </row>
    <row r="31" spans="1:13" x14ac:dyDescent="0.25">
      <c r="F31" s="48"/>
      <c r="G31" s="48"/>
      <c r="H31" s="48"/>
      <c r="I31" s="146">
        <f>I29-I30</f>
        <v>115290000</v>
      </c>
      <c r="J31" s="146">
        <f>J29-J30</f>
        <v>274400000</v>
      </c>
    </row>
    <row r="32" spans="1:13" x14ac:dyDescent="0.25">
      <c r="I32" s="143">
        <v>114000000</v>
      </c>
      <c r="J32" s="143"/>
    </row>
    <row r="33" spans="9:9" x14ac:dyDescent="0.25">
      <c r="I33" s="146">
        <f>I31-I32</f>
        <v>1290000</v>
      </c>
    </row>
    <row r="36" spans="9:9" x14ac:dyDescent="0.25">
      <c r="I36" s="266">
        <v>115290000</v>
      </c>
    </row>
  </sheetData>
  <mergeCells count="3">
    <mergeCell ref="A1:L1"/>
    <mergeCell ref="A2:L2"/>
    <mergeCell ref="A3:L3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zoomScale="90" zoomScaleNormal="90" workbookViewId="0">
      <selection activeCell="G21" sqref="G21"/>
    </sheetView>
  </sheetViews>
  <sheetFormatPr defaultRowHeight="15" x14ac:dyDescent="0.25"/>
  <cols>
    <col min="1" max="1" width="4.85546875" style="40" customWidth="1"/>
    <col min="2" max="2" width="10.5703125" style="40" customWidth="1"/>
    <col min="3" max="3" width="8.42578125" style="166" bestFit="1" customWidth="1"/>
    <col min="4" max="4" width="19.140625" style="40" bestFit="1" customWidth="1"/>
    <col min="5" max="5" width="18.5703125" style="40" customWidth="1"/>
    <col min="6" max="6" width="26" style="40" customWidth="1"/>
    <col min="7" max="7" width="21.7109375" style="40" customWidth="1"/>
    <col min="8" max="8" width="100" style="40" customWidth="1"/>
    <col min="9" max="9" width="17.7109375" style="40" bestFit="1" customWidth="1"/>
    <col min="10" max="10" width="17.7109375" style="40" customWidth="1"/>
    <col min="11" max="11" width="16.140625" style="40" bestFit="1" customWidth="1"/>
    <col min="12" max="12" width="18.85546875" style="40" bestFit="1" customWidth="1"/>
  </cols>
  <sheetData>
    <row r="1" spans="1:13" ht="15.75" x14ac:dyDescent="0.25">
      <c r="A1" s="296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</row>
    <row r="2" spans="1:13" ht="15.75" x14ac:dyDescent="0.25">
      <c r="A2" s="296" t="s">
        <v>38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6"/>
    </row>
    <row r="3" spans="1:13" ht="15.75" x14ac:dyDescent="0.25">
      <c r="A3" s="296" t="s">
        <v>309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</row>
    <row r="4" spans="1:13" ht="15.75" thickBot="1" x14ac:dyDescent="0.3"/>
    <row r="5" spans="1:13" s="39" customFormat="1" ht="30.75" customHeight="1" thickTop="1" thickBot="1" x14ac:dyDescent="0.3">
      <c r="A5" s="47" t="s">
        <v>26</v>
      </c>
      <c r="B5" s="47" t="s">
        <v>36</v>
      </c>
      <c r="C5" s="47" t="s">
        <v>27</v>
      </c>
      <c r="D5" s="47" t="s">
        <v>28</v>
      </c>
      <c r="E5" s="47" t="s">
        <v>30</v>
      </c>
      <c r="F5" s="47" t="s">
        <v>29</v>
      </c>
      <c r="G5" s="47" t="s">
        <v>77</v>
      </c>
      <c r="H5" s="47" t="s">
        <v>31</v>
      </c>
      <c r="I5" s="47" t="s">
        <v>32</v>
      </c>
      <c r="J5" s="47" t="s">
        <v>92</v>
      </c>
      <c r="K5" s="47" t="s">
        <v>33</v>
      </c>
      <c r="L5" s="47" t="s">
        <v>34</v>
      </c>
    </row>
    <row r="6" spans="1:13" s="274" customFormat="1" ht="15.75" thickTop="1" x14ac:dyDescent="0.25">
      <c r="A6" s="267">
        <v>1</v>
      </c>
      <c r="B6" s="284">
        <v>46084</v>
      </c>
      <c r="C6" s="285" t="s">
        <v>97</v>
      </c>
      <c r="D6" s="279" t="s">
        <v>256</v>
      </c>
      <c r="E6" s="269" t="s">
        <v>75</v>
      </c>
      <c r="F6" s="271" t="s">
        <v>86</v>
      </c>
      <c r="G6" s="271" t="s">
        <v>79</v>
      </c>
      <c r="H6" s="271" t="s">
        <v>257</v>
      </c>
      <c r="I6" s="286">
        <v>179566667</v>
      </c>
      <c r="J6" s="273">
        <f>I6*11/12</f>
        <v>164602778.08333334</v>
      </c>
      <c r="K6" s="273">
        <f>J6*12%</f>
        <v>19752333.370000001</v>
      </c>
      <c r="L6" s="273">
        <f>I6+K6</f>
        <v>199319000.37</v>
      </c>
      <c r="M6" s="275" t="s">
        <v>412</v>
      </c>
    </row>
    <row r="7" spans="1:13" s="84" customFormat="1" x14ac:dyDescent="0.25">
      <c r="A7" s="148">
        <v>2</v>
      </c>
      <c r="B7" s="246">
        <v>46085</v>
      </c>
      <c r="C7" s="183" t="s">
        <v>97</v>
      </c>
      <c r="D7" s="164" t="s">
        <v>273</v>
      </c>
      <c r="E7" s="157" t="s">
        <v>76</v>
      </c>
      <c r="F7" s="150" t="s">
        <v>93</v>
      </c>
      <c r="G7" s="150" t="s">
        <v>78</v>
      </c>
      <c r="H7" s="104" t="s">
        <v>280</v>
      </c>
      <c r="I7" s="184">
        <v>8482500</v>
      </c>
      <c r="J7" s="128">
        <f t="shared" ref="J7:J19" si="0">I7*11/12</f>
        <v>7775625</v>
      </c>
      <c r="K7" s="128">
        <f t="shared" ref="K7:K19" si="1">J7*12%</f>
        <v>933075</v>
      </c>
      <c r="L7" s="128">
        <f>I7+K7</f>
        <v>9415575</v>
      </c>
    </row>
    <row r="8" spans="1:13" s="84" customFormat="1" x14ac:dyDescent="0.25">
      <c r="A8" s="148">
        <v>3</v>
      </c>
      <c r="B8" s="246">
        <v>46083</v>
      </c>
      <c r="C8" s="183" t="s">
        <v>97</v>
      </c>
      <c r="D8" s="164" t="s">
        <v>274</v>
      </c>
      <c r="E8" s="157" t="s">
        <v>76</v>
      </c>
      <c r="F8" s="150" t="s">
        <v>93</v>
      </c>
      <c r="G8" s="150" t="s">
        <v>78</v>
      </c>
      <c r="H8" s="127" t="s">
        <v>282</v>
      </c>
      <c r="I8" s="184">
        <v>6548795</v>
      </c>
      <c r="J8" s="128">
        <f t="shared" si="0"/>
        <v>6003062.083333333</v>
      </c>
      <c r="K8" s="128">
        <f t="shared" si="1"/>
        <v>720367.45</v>
      </c>
      <c r="L8" s="128">
        <f t="shared" ref="L8:L19" si="2">I8+K8</f>
        <v>7269162.4500000002</v>
      </c>
    </row>
    <row r="9" spans="1:13" s="84" customFormat="1" x14ac:dyDescent="0.25">
      <c r="A9" s="148">
        <v>4</v>
      </c>
      <c r="B9" s="246">
        <v>46083</v>
      </c>
      <c r="C9" s="183" t="s">
        <v>97</v>
      </c>
      <c r="D9" s="164" t="s">
        <v>275</v>
      </c>
      <c r="E9" s="157" t="s">
        <v>76</v>
      </c>
      <c r="F9" s="150" t="s">
        <v>93</v>
      </c>
      <c r="G9" s="150" t="s">
        <v>78</v>
      </c>
      <c r="H9" s="150" t="s">
        <v>285</v>
      </c>
      <c r="I9" s="184">
        <v>11562238</v>
      </c>
      <c r="J9" s="128">
        <f t="shared" si="0"/>
        <v>10598718.166666666</v>
      </c>
      <c r="K9" s="128">
        <f t="shared" si="1"/>
        <v>1271846.18</v>
      </c>
      <c r="L9" s="128">
        <f t="shared" si="2"/>
        <v>12834084.18</v>
      </c>
    </row>
    <row r="10" spans="1:13" s="84" customFormat="1" x14ac:dyDescent="0.25">
      <c r="A10" s="148">
        <v>5</v>
      </c>
      <c r="B10" s="246">
        <v>46083</v>
      </c>
      <c r="C10" s="183" t="s">
        <v>97</v>
      </c>
      <c r="D10" s="164" t="s">
        <v>276</v>
      </c>
      <c r="E10" s="157" t="s">
        <v>76</v>
      </c>
      <c r="F10" s="150" t="s">
        <v>93</v>
      </c>
      <c r="G10" s="150" t="s">
        <v>78</v>
      </c>
      <c r="H10" s="107" t="s">
        <v>284</v>
      </c>
      <c r="I10" s="227">
        <v>4879880</v>
      </c>
      <c r="J10" s="128">
        <f t="shared" si="0"/>
        <v>4473223.333333333</v>
      </c>
      <c r="K10" s="128">
        <f t="shared" si="1"/>
        <v>536786.79999999993</v>
      </c>
      <c r="L10" s="128">
        <f t="shared" si="2"/>
        <v>5416666.7999999998</v>
      </c>
    </row>
    <row r="11" spans="1:13" s="84" customFormat="1" x14ac:dyDescent="0.25">
      <c r="A11" s="148">
        <v>6</v>
      </c>
      <c r="B11" s="246">
        <v>46083</v>
      </c>
      <c r="C11" s="183" t="s">
        <v>97</v>
      </c>
      <c r="D11" s="164" t="s">
        <v>277</v>
      </c>
      <c r="E11" s="157" t="s">
        <v>76</v>
      </c>
      <c r="F11" s="150" t="s">
        <v>93</v>
      </c>
      <c r="G11" s="150" t="s">
        <v>78</v>
      </c>
      <c r="H11" s="127" t="s">
        <v>281</v>
      </c>
      <c r="I11" s="151">
        <v>47027027</v>
      </c>
      <c r="J11" s="128">
        <f t="shared" si="0"/>
        <v>43108108.083333336</v>
      </c>
      <c r="K11" s="128">
        <f t="shared" si="1"/>
        <v>5172972.97</v>
      </c>
      <c r="L11" s="128">
        <f t="shared" si="2"/>
        <v>52199999.969999999</v>
      </c>
    </row>
    <row r="12" spans="1:13" s="274" customFormat="1" x14ac:dyDescent="0.25">
      <c r="A12" s="267">
        <v>7</v>
      </c>
      <c r="B12" s="268">
        <v>46083</v>
      </c>
      <c r="C12" s="269" t="s">
        <v>97</v>
      </c>
      <c r="D12" s="279" t="s">
        <v>278</v>
      </c>
      <c r="E12" s="269" t="s">
        <v>76</v>
      </c>
      <c r="F12" s="271" t="s">
        <v>93</v>
      </c>
      <c r="G12" s="271" t="s">
        <v>78</v>
      </c>
      <c r="H12" s="282" t="s">
        <v>283</v>
      </c>
      <c r="I12" s="280">
        <v>148498498</v>
      </c>
      <c r="J12" s="273">
        <f t="shared" si="0"/>
        <v>136123623.16666666</v>
      </c>
      <c r="K12" s="273">
        <f t="shared" si="1"/>
        <v>16334834.779999997</v>
      </c>
      <c r="L12" s="273">
        <f t="shared" si="2"/>
        <v>164833332.78</v>
      </c>
      <c r="M12" s="275" t="s">
        <v>413</v>
      </c>
    </row>
    <row r="13" spans="1:13" s="84" customFormat="1" x14ac:dyDescent="0.25">
      <c r="A13" s="148">
        <v>8</v>
      </c>
      <c r="B13" s="179">
        <v>46083</v>
      </c>
      <c r="C13" s="157" t="s">
        <v>97</v>
      </c>
      <c r="D13" s="164" t="s">
        <v>279</v>
      </c>
      <c r="E13" s="157" t="s">
        <v>76</v>
      </c>
      <c r="F13" s="150" t="s">
        <v>93</v>
      </c>
      <c r="G13" s="150" t="s">
        <v>78</v>
      </c>
      <c r="H13" s="127" t="s">
        <v>272</v>
      </c>
      <c r="I13" s="184">
        <v>44502102</v>
      </c>
      <c r="J13" s="128">
        <f t="shared" si="0"/>
        <v>40793593.5</v>
      </c>
      <c r="K13" s="128">
        <f t="shared" si="1"/>
        <v>4895231.22</v>
      </c>
      <c r="L13" s="128">
        <f t="shared" si="2"/>
        <v>49397333.219999999</v>
      </c>
    </row>
    <row r="14" spans="1:13" s="84" customFormat="1" x14ac:dyDescent="0.25">
      <c r="A14" s="148">
        <v>9</v>
      </c>
      <c r="B14" s="179">
        <v>46083</v>
      </c>
      <c r="C14" s="157" t="s">
        <v>97</v>
      </c>
      <c r="D14" s="164" t="s">
        <v>286</v>
      </c>
      <c r="E14" s="157" t="s">
        <v>75</v>
      </c>
      <c r="F14" s="150" t="s">
        <v>86</v>
      </c>
      <c r="G14" s="150" t="s">
        <v>79</v>
      </c>
      <c r="H14" s="150" t="s">
        <v>287</v>
      </c>
      <c r="I14" s="151">
        <v>75612850</v>
      </c>
      <c r="J14" s="128">
        <f t="shared" si="0"/>
        <v>69311779.166666672</v>
      </c>
      <c r="K14" s="128">
        <f t="shared" si="1"/>
        <v>8317413.5</v>
      </c>
      <c r="L14" s="128">
        <f t="shared" si="2"/>
        <v>83930263.5</v>
      </c>
    </row>
    <row r="15" spans="1:13" s="84" customFormat="1" x14ac:dyDescent="0.25">
      <c r="A15" s="148">
        <v>10</v>
      </c>
      <c r="B15" s="179">
        <v>46090</v>
      </c>
      <c r="C15" s="157" t="s">
        <v>97</v>
      </c>
      <c r="D15" s="164" t="s">
        <v>290</v>
      </c>
      <c r="E15" s="157" t="s">
        <v>75</v>
      </c>
      <c r="F15" s="150" t="s">
        <v>86</v>
      </c>
      <c r="G15" s="150" t="s">
        <v>79</v>
      </c>
      <c r="H15" s="150" t="s">
        <v>291</v>
      </c>
      <c r="I15" s="151">
        <v>14985000</v>
      </c>
      <c r="J15" s="128">
        <f t="shared" si="0"/>
        <v>13736250</v>
      </c>
      <c r="K15" s="128">
        <f t="shared" si="1"/>
        <v>1648350</v>
      </c>
      <c r="L15" s="128">
        <f t="shared" si="2"/>
        <v>16633350</v>
      </c>
    </row>
    <row r="16" spans="1:13" s="84" customFormat="1" x14ac:dyDescent="0.25">
      <c r="A16" s="148">
        <v>11</v>
      </c>
      <c r="B16" s="179">
        <v>46091</v>
      </c>
      <c r="C16" s="157" t="s">
        <v>97</v>
      </c>
      <c r="D16" s="164" t="s">
        <v>288</v>
      </c>
      <c r="E16" s="157" t="s">
        <v>75</v>
      </c>
      <c r="F16" s="150" t="s">
        <v>86</v>
      </c>
      <c r="G16" s="150" t="s">
        <v>79</v>
      </c>
      <c r="H16" s="241" t="s">
        <v>289</v>
      </c>
      <c r="I16" s="151">
        <v>18253390</v>
      </c>
      <c r="J16" s="128">
        <f t="shared" si="0"/>
        <v>16732274.166666666</v>
      </c>
      <c r="K16" s="128">
        <f t="shared" si="1"/>
        <v>2007872.9</v>
      </c>
      <c r="L16" s="128">
        <f t="shared" si="2"/>
        <v>20261262.899999999</v>
      </c>
    </row>
    <row r="17" spans="1:13" s="84" customFormat="1" x14ac:dyDescent="0.25">
      <c r="A17" s="148">
        <v>12</v>
      </c>
      <c r="B17" s="179">
        <v>46091</v>
      </c>
      <c r="C17" s="157" t="s">
        <v>97</v>
      </c>
      <c r="D17" s="164" t="s">
        <v>292</v>
      </c>
      <c r="E17" s="157" t="s">
        <v>81</v>
      </c>
      <c r="F17" s="150" t="s">
        <v>90</v>
      </c>
      <c r="G17" s="150" t="s">
        <v>78</v>
      </c>
      <c r="H17" s="107" t="s">
        <v>293</v>
      </c>
      <c r="I17" s="151">
        <v>17200000</v>
      </c>
      <c r="J17" s="128">
        <f t="shared" si="0"/>
        <v>15766666.666666666</v>
      </c>
      <c r="K17" s="128">
        <f t="shared" si="1"/>
        <v>1891999.9999999998</v>
      </c>
      <c r="L17" s="128">
        <f t="shared" si="2"/>
        <v>19092000</v>
      </c>
    </row>
    <row r="18" spans="1:13" s="84" customFormat="1" x14ac:dyDescent="0.25">
      <c r="A18" s="169">
        <v>13</v>
      </c>
      <c r="B18" s="260">
        <v>46097</v>
      </c>
      <c r="C18" s="170" t="s">
        <v>97</v>
      </c>
      <c r="D18" s="261" t="s">
        <v>294</v>
      </c>
      <c r="E18" s="170" t="s">
        <v>75</v>
      </c>
      <c r="F18" s="171" t="s">
        <v>86</v>
      </c>
      <c r="G18" s="171" t="s">
        <v>78</v>
      </c>
      <c r="H18" s="262" t="s">
        <v>295</v>
      </c>
      <c r="I18" s="248">
        <v>0</v>
      </c>
      <c r="J18" s="172">
        <f t="shared" si="0"/>
        <v>0</v>
      </c>
      <c r="K18" s="172">
        <f t="shared" si="1"/>
        <v>0</v>
      </c>
      <c r="L18" s="172">
        <f t="shared" si="2"/>
        <v>0</v>
      </c>
      <c r="M18" s="130" t="s">
        <v>334</v>
      </c>
    </row>
    <row r="19" spans="1:13" s="274" customFormat="1" ht="15.75" thickBot="1" x14ac:dyDescent="0.3">
      <c r="A19" s="267">
        <v>14</v>
      </c>
      <c r="B19" s="268">
        <v>46098</v>
      </c>
      <c r="C19" s="269" t="s">
        <v>97</v>
      </c>
      <c r="D19" s="279" t="s">
        <v>296</v>
      </c>
      <c r="E19" s="269" t="s">
        <v>75</v>
      </c>
      <c r="F19" s="271" t="s">
        <v>86</v>
      </c>
      <c r="G19" s="271" t="s">
        <v>79</v>
      </c>
      <c r="H19" s="283" t="s">
        <v>297</v>
      </c>
      <c r="I19" s="280">
        <v>18297658</v>
      </c>
      <c r="J19" s="273">
        <f t="shared" si="0"/>
        <v>16772853.166666666</v>
      </c>
      <c r="K19" s="273">
        <f t="shared" si="1"/>
        <v>2012742.38</v>
      </c>
      <c r="L19" s="273">
        <f t="shared" si="2"/>
        <v>20310400.379999999</v>
      </c>
      <c r="M19" s="275" t="s">
        <v>410</v>
      </c>
    </row>
    <row r="20" spans="1:13" ht="16.5" thickTop="1" thickBot="1" x14ac:dyDescent="0.3">
      <c r="A20" s="43"/>
      <c r="B20" s="43"/>
      <c r="C20" s="167"/>
      <c r="D20" s="44"/>
      <c r="E20" s="43"/>
      <c r="F20" s="43"/>
      <c r="G20" s="43"/>
      <c r="H20" s="43"/>
      <c r="I20" s="45">
        <f>SUM(I6:I19)</f>
        <v>595416605</v>
      </c>
      <c r="J20" s="45">
        <f>SUM(J6:J19)</f>
        <v>545798554.58333337</v>
      </c>
      <c r="K20" s="45">
        <f>SUM(K6:K19)</f>
        <v>65495826.549999997</v>
      </c>
      <c r="L20" s="46">
        <f>SUM(L6:L19)</f>
        <v>660912431.54999995</v>
      </c>
    </row>
    <row r="21" spans="1:13" ht="15.75" thickTop="1" x14ac:dyDescent="0.25"/>
    <row r="24" spans="1:13" x14ac:dyDescent="0.25">
      <c r="F24" s="48"/>
      <c r="G24" s="48"/>
    </row>
    <row r="25" spans="1:13" x14ac:dyDescent="0.25">
      <c r="F25" s="48"/>
      <c r="G25" s="48"/>
    </row>
    <row r="26" spans="1:13" x14ac:dyDescent="0.25">
      <c r="F26" s="48"/>
      <c r="G26" s="48"/>
      <c r="H26" s="48"/>
    </row>
    <row r="27" spans="1:13" x14ac:dyDescent="0.25">
      <c r="G27" s="245"/>
    </row>
    <row r="28" spans="1:13" x14ac:dyDescent="0.25">
      <c r="G28" s="245"/>
    </row>
    <row r="29" spans="1:13" x14ac:dyDescent="0.25">
      <c r="G29" s="245"/>
    </row>
    <row r="30" spans="1:13" x14ac:dyDescent="0.25">
      <c r="G30" s="245"/>
    </row>
    <row r="31" spans="1:13" x14ac:dyDescent="0.25">
      <c r="G31" s="245"/>
    </row>
    <row r="32" spans="1:13" x14ac:dyDescent="0.25">
      <c r="G32" s="245"/>
    </row>
    <row r="33" spans="7:7" x14ac:dyDescent="0.25">
      <c r="G33" s="245"/>
    </row>
    <row r="34" spans="7:7" x14ac:dyDescent="0.25">
      <c r="G34" s="245"/>
    </row>
    <row r="35" spans="7:7" x14ac:dyDescent="0.25">
      <c r="G35" s="245"/>
    </row>
    <row r="36" spans="7:7" x14ac:dyDescent="0.25">
      <c r="G36" s="245"/>
    </row>
    <row r="37" spans="7:7" ht="16.5" x14ac:dyDescent="0.35">
      <c r="G37" s="250"/>
    </row>
    <row r="38" spans="7:7" x14ac:dyDescent="0.25">
      <c r="G38" s="251"/>
    </row>
  </sheetData>
  <mergeCells count="3">
    <mergeCell ref="A1:L1"/>
    <mergeCell ref="A2:L2"/>
    <mergeCell ref="A3:L3"/>
  </mergeCells>
  <pageMargins left="0.51181102362204722" right="0.19685039370078741" top="0.74803149606299213" bottom="0.74803149606299213" header="0.31496062992125984" footer="0.31496062992125984"/>
  <pageSetup scale="45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topLeftCell="A4" zoomScale="90" zoomScaleNormal="90" workbookViewId="0">
      <selection activeCell="D24" sqref="D24"/>
    </sheetView>
  </sheetViews>
  <sheetFormatPr defaultRowHeight="15" x14ac:dyDescent="0.25"/>
  <cols>
    <col min="1" max="1" width="4.85546875" style="40" customWidth="1"/>
    <col min="2" max="2" width="10.5703125" style="40" customWidth="1"/>
    <col min="3" max="3" width="8.42578125" style="40" bestFit="1" customWidth="1"/>
    <col min="4" max="4" width="19.140625" style="40" bestFit="1" customWidth="1"/>
    <col min="5" max="5" width="18.5703125" style="40" customWidth="1"/>
    <col min="6" max="6" width="24.85546875" style="40" customWidth="1"/>
    <col min="7" max="7" width="21.140625" style="40" customWidth="1"/>
    <col min="8" max="8" width="90.140625" style="40" customWidth="1"/>
    <col min="9" max="9" width="19" style="40" bestFit="1" customWidth="1"/>
    <col min="10" max="10" width="17.7109375" style="40" customWidth="1"/>
    <col min="11" max="11" width="16.140625" style="40" bestFit="1" customWidth="1"/>
    <col min="12" max="12" width="18.85546875" style="40" bestFit="1" customWidth="1"/>
  </cols>
  <sheetData>
    <row r="1" spans="1:13" ht="15.75" x14ac:dyDescent="0.25">
      <c r="A1" s="296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</row>
    <row r="2" spans="1:13" ht="15.75" x14ac:dyDescent="0.25">
      <c r="A2" s="296" t="s">
        <v>38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6"/>
    </row>
    <row r="3" spans="1:13" ht="15.75" x14ac:dyDescent="0.25">
      <c r="A3" s="296" t="s">
        <v>319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</row>
    <row r="4" spans="1:13" ht="15.75" thickBot="1" x14ac:dyDescent="0.3"/>
    <row r="5" spans="1:13" s="39" customFormat="1" ht="30.75" customHeight="1" thickTop="1" thickBot="1" x14ac:dyDescent="0.3">
      <c r="A5" s="47" t="s">
        <v>26</v>
      </c>
      <c r="B5" s="47" t="s">
        <v>36</v>
      </c>
      <c r="C5" s="47" t="s">
        <v>27</v>
      </c>
      <c r="D5" s="47" t="s">
        <v>28</v>
      </c>
      <c r="E5" s="47" t="s">
        <v>30</v>
      </c>
      <c r="F5" s="47" t="s">
        <v>29</v>
      </c>
      <c r="G5" s="47" t="s">
        <v>77</v>
      </c>
      <c r="H5" s="47" t="s">
        <v>31</v>
      </c>
      <c r="I5" s="47" t="s">
        <v>32</v>
      </c>
      <c r="J5" s="47" t="s">
        <v>87</v>
      </c>
      <c r="K5" s="47" t="s">
        <v>33</v>
      </c>
      <c r="L5" s="47" t="s">
        <v>34</v>
      </c>
    </row>
    <row r="6" spans="1:13" s="84" customFormat="1" ht="15.75" thickTop="1" x14ac:dyDescent="0.25">
      <c r="A6" s="148">
        <v>1</v>
      </c>
      <c r="B6" s="178">
        <v>46114</v>
      </c>
      <c r="C6" s="165" t="s">
        <v>96</v>
      </c>
      <c r="D6" s="258" t="s">
        <v>320</v>
      </c>
      <c r="E6" s="157" t="s">
        <v>75</v>
      </c>
      <c r="F6" s="150" t="s">
        <v>86</v>
      </c>
      <c r="G6" s="150" t="s">
        <v>79</v>
      </c>
      <c r="H6" s="150" t="s">
        <v>321</v>
      </c>
      <c r="I6" s="149">
        <v>280000000</v>
      </c>
      <c r="J6" s="128">
        <f>I6*11/12</f>
        <v>256666666.66666666</v>
      </c>
      <c r="K6" s="128">
        <f>J6*12%</f>
        <v>30799999.999999996</v>
      </c>
      <c r="L6" s="128">
        <f>I6+K6</f>
        <v>310800000</v>
      </c>
    </row>
    <row r="7" spans="1:13" s="84" customFormat="1" x14ac:dyDescent="0.25">
      <c r="A7" s="148">
        <v>2</v>
      </c>
      <c r="B7" s="179">
        <v>46114</v>
      </c>
      <c r="C7" s="157" t="s">
        <v>96</v>
      </c>
      <c r="D7" s="258" t="s">
        <v>322</v>
      </c>
      <c r="E7" s="157" t="s">
        <v>75</v>
      </c>
      <c r="F7" s="150" t="s">
        <v>86</v>
      </c>
      <c r="G7" s="150" t="s">
        <v>78</v>
      </c>
      <c r="H7" s="150" t="s">
        <v>323</v>
      </c>
      <c r="I7" s="149">
        <v>2500000</v>
      </c>
      <c r="J7" s="128">
        <f t="shared" ref="J7:J26" si="0">I7*11/12</f>
        <v>2291666.6666666665</v>
      </c>
      <c r="K7" s="128">
        <f t="shared" ref="K7:K26" si="1">J7*12%</f>
        <v>275000</v>
      </c>
      <c r="L7" s="128">
        <f t="shared" ref="L7:L26" si="2">I7+K7</f>
        <v>2775000</v>
      </c>
    </row>
    <row r="8" spans="1:13" s="84" customFormat="1" x14ac:dyDescent="0.25">
      <c r="A8" s="148">
        <v>3</v>
      </c>
      <c r="B8" s="179">
        <v>46120</v>
      </c>
      <c r="C8" s="157" t="s">
        <v>96</v>
      </c>
      <c r="D8" s="258" t="s">
        <v>324</v>
      </c>
      <c r="E8" s="157" t="s">
        <v>75</v>
      </c>
      <c r="F8" s="150" t="s">
        <v>86</v>
      </c>
      <c r="G8" s="150" t="s">
        <v>79</v>
      </c>
      <c r="H8" s="150" t="s">
        <v>325</v>
      </c>
      <c r="I8" s="149">
        <v>31912500</v>
      </c>
      <c r="J8" s="128">
        <f t="shared" si="0"/>
        <v>29253125</v>
      </c>
      <c r="K8" s="128">
        <f t="shared" si="1"/>
        <v>3510375</v>
      </c>
      <c r="L8" s="128">
        <f t="shared" si="2"/>
        <v>35422875</v>
      </c>
    </row>
    <row r="9" spans="1:13" s="84" customFormat="1" x14ac:dyDescent="0.25">
      <c r="A9" s="148">
        <v>4</v>
      </c>
      <c r="B9" s="179">
        <v>46121</v>
      </c>
      <c r="C9" s="157" t="s">
        <v>96</v>
      </c>
      <c r="D9" s="258" t="s">
        <v>326</v>
      </c>
      <c r="E9" s="157" t="s">
        <v>81</v>
      </c>
      <c r="F9" s="150" t="s">
        <v>90</v>
      </c>
      <c r="G9" s="150" t="s">
        <v>78</v>
      </c>
      <c r="H9" s="107" t="s">
        <v>327</v>
      </c>
      <c r="I9" s="149">
        <v>18625000</v>
      </c>
      <c r="J9" s="128">
        <f t="shared" si="0"/>
        <v>17072916.666666668</v>
      </c>
      <c r="K9" s="128">
        <f t="shared" si="1"/>
        <v>2048750</v>
      </c>
      <c r="L9" s="128">
        <f t="shared" si="2"/>
        <v>20673750</v>
      </c>
    </row>
    <row r="10" spans="1:13" s="84" customFormat="1" x14ac:dyDescent="0.25">
      <c r="A10" s="148">
        <v>5</v>
      </c>
      <c r="B10" s="246">
        <v>46121</v>
      </c>
      <c r="C10" s="183" t="s">
        <v>96</v>
      </c>
      <c r="D10" s="258" t="s">
        <v>328</v>
      </c>
      <c r="E10" s="157" t="s">
        <v>75</v>
      </c>
      <c r="F10" s="150" t="s">
        <v>86</v>
      </c>
      <c r="G10" s="150" t="s">
        <v>79</v>
      </c>
      <c r="H10" s="152" t="s">
        <v>329</v>
      </c>
      <c r="I10" s="185">
        <v>17040000</v>
      </c>
      <c r="J10" s="128">
        <f t="shared" si="0"/>
        <v>15620000</v>
      </c>
      <c r="K10" s="128">
        <f t="shared" si="1"/>
        <v>1874400</v>
      </c>
      <c r="L10" s="128">
        <f t="shared" si="2"/>
        <v>18914400</v>
      </c>
    </row>
    <row r="11" spans="1:13" s="84" customFormat="1" x14ac:dyDescent="0.25">
      <c r="A11" s="148">
        <v>6</v>
      </c>
      <c r="B11" s="246">
        <v>46121</v>
      </c>
      <c r="C11" s="183" t="s">
        <v>96</v>
      </c>
      <c r="D11" s="259" t="s">
        <v>330</v>
      </c>
      <c r="E11" s="157" t="s">
        <v>76</v>
      </c>
      <c r="F11" s="150" t="s">
        <v>93</v>
      </c>
      <c r="G11" s="150" t="s">
        <v>78</v>
      </c>
      <c r="H11" s="104" t="s">
        <v>379</v>
      </c>
      <c r="I11" s="185">
        <v>8870000</v>
      </c>
      <c r="J11" s="128">
        <f t="shared" si="0"/>
        <v>8130833.333333333</v>
      </c>
      <c r="K11" s="128">
        <f t="shared" si="1"/>
        <v>975699.99999999988</v>
      </c>
      <c r="L11" s="128">
        <f t="shared" si="2"/>
        <v>9845700</v>
      </c>
    </row>
    <row r="12" spans="1:13" s="84" customFormat="1" x14ac:dyDescent="0.25">
      <c r="A12" s="148">
        <v>7</v>
      </c>
      <c r="B12" s="246">
        <v>46122</v>
      </c>
      <c r="C12" s="183" t="s">
        <v>96</v>
      </c>
      <c r="D12" s="259" t="s">
        <v>333</v>
      </c>
      <c r="E12" s="157" t="s">
        <v>75</v>
      </c>
      <c r="F12" s="150" t="s">
        <v>86</v>
      </c>
      <c r="G12" s="150" t="s">
        <v>78</v>
      </c>
      <c r="H12" s="241" t="s">
        <v>295</v>
      </c>
      <c r="I12" s="184">
        <v>8071000</v>
      </c>
      <c r="J12" s="128">
        <f t="shared" si="0"/>
        <v>7398416.666666667</v>
      </c>
      <c r="K12" s="128">
        <f t="shared" si="1"/>
        <v>887810</v>
      </c>
      <c r="L12" s="128">
        <f t="shared" si="2"/>
        <v>8958810</v>
      </c>
    </row>
    <row r="13" spans="1:13" s="274" customFormat="1" x14ac:dyDescent="0.25">
      <c r="A13" s="267">
        <v>8</v>
      </c>
      <c r="B13" s="268">
        <v>46122</v>
      </c>
      <c r="C13" s="269" t="s">
        <v>96</v>
      </c>
      <c r="D13" s="270" t="s">
        <v>331</v>
      </c>
      <c r="E13" s="269" t="s">
        <v>75</v>
      </c>
      <c r="F13" s="271" t="s">
        <v>86</v>
      </c>
      <c r="G13" s="271" t="s">
        <v>79</v>
      </c>
      <c r="H13" s="271" t="s">
        <v>332</v>
      </c>
      <c r="I13" s="272">
        <v>27500000</v>
      </c>
      <c r="J13" s="273">
        <f t="shared" si="0"/>
        <v>25208333.333333332</v>
      </c>
      <c r="K13" s="273">
        <f t="shared" si="1"/>
        <v>3024999.9999999995</v>
      </c>
      <c r="L13" s="273">
        <f t="shared" si="2"/>
        <v>30525000</v>
      </c>
      <c r="M13" s="275" t="s">
        <v>375</v>
      </c>
    </row>
    <row r="14" spans="1:13" s="84" customFormat="1" x14ac:dyDescent="0.25">
      <c r="A14" s="148">
        <v>9</v>
      </c>
      <c r="B14" s="179">
        <v>46114</v>
      </c>
      <c r="C14" s="157" t="s">
        <v>96</v>
      </c>
      <c r="D14" s="258" t="s">
        <v>338</v>
      </c>
      <c r="E14" s="157" t="s">
        <v>76</v>
      </c>
      <c r="F14" s="150" t="s">
        <v>93</v>
      </c>
      <c r="G14" s="150" t="s">
        <v>78</v>
      </c>
      <c r="H14" s="150" t="s">
        <v>339</v>
      </c>
      <c r="I14" s="149">
        <v>10334110</v>
      </c>
      <c r="J14" s="128">
        <f t="shared" si="0"/>
        <v>9472934.166666666</v>
      </c>
      <c r="K14" s="128">
        <f t="shared" si="1"/>
        <v>1136752.0999999999</v>
      </c>
      <c r="L14" s="128">
        <f t="shared" si="2"/>
        <v>11470862.1</v>
      </c>
    </row>
    <row r="15" spans="1:13" s="84" customFormat="1" x14ac:dyDescent="0.25">
      <c r="A15" s="148">
        <v>10</v>
      </c>
      <c r="B15" s="246">
        <v>46114</v>
      </c>
      <c r="C15" s="183" t="s">
        <v>96</v>
      </c>
      <c r="D15" s="259" t="s">
        <v>340</v>
      </c>
      <c r="E15" s="183" t="s">
        <v>76</v>
      </c>
      <c r="F15" s="152" t="s">
        <v>93</v>
      </c>
      <c r="G15" s="152" t="s">
        <v>78</v>
      </c>
      <c r="H15" s="127" t="s">
        <v>341</v>
      </c>
      <c r="I15" s="185">
        <v>4997661</v>
      </c>
      <c r="J15" s="128">
        <f t="shared" si="0"/>
        <v>4581189.25</v>
      </c>
      <c r="K15" s="128">
        <f t="shared" si="1"/>
        <v>549742.71</v>
      </c>
      <c r="L15" s="128">
        <f t="shared" si="2"/>
        <v>5547403.71</v>
      </c>
    </row>
    <row r="16" spans="1:13" s="84" customFormat="1" x14ac:dyDescent="0.25">
      <c r="A16" s="148">
        <v>11</v>
      </c>
      <c r="B16" s="179">
        <v>46114</v>
      </c>
      <c r="C16" s="157" t="s">
        <v>96</v>
      </c>
      <c r="D16" s="258" t="s">
        <v>342</v>
      </c>
      <c r="E16" s="157" t="s">
        <v>76</v>
      </c>
      <c r="F16" s="150" t="s">
        <v>93</v>
      </c>
      <c r="G16" s="150" t="s">
        <v>78</v>
      </c>
      <c r="H16" s="107" t="s">
        <v>418</v>
      </c>
      <c r="I16" s="227">
        <v>4879880</v>
      </c>
      <c r="J16" s="128">
        <f t="shared" si="0"/>
        <v>4473223.333333333</v>
      </c>
      <c r="K16" s="128">
        <f t="shared" si="1"/>
        <v>536786.79999999993</v>
      </c>
      <c r="L16" s="128">
        <f t="shared" si="2"/>
        <v>5416666.7999999998</v>
      </c>
    </row>
    <row r="17" spans="1:13" s="84" customFormat="1" x14ac:dyDescent="0.25">
      <c r="A17" s="148">
        <v>12</v>
      </c>
      <c r="B17" s="179">
        <v>46114</v>
      </c>
      <c r="C17" s="157" t="s">
        <v>96</v>
      </c>
      <c r="D17" s="258" t="s">
        <v>344</v>
      </c>
      <c r="E17" s="157" t="s">
        <v>76</v>
      </c>
      <c r="F17" s="150" t="s">
        <v>93</v>
      </c>
      <c r="G17" s="150" t="s">
        <v>78</v>
      </c>
      <c r="H17" s="127" t="s">
        <v>343</v>
      </c>
      <c r="I17" s="151">
        <v>47027027</v>
      </c>
      <c r="J17" s="128">
        <f t="shared" si="0"/>
        <v>43108108.083333336</v>
      </c>
      <c r="K17" s="128">
        <f t="shared" si="1"/>
        <v>5172972.97</v>
      </c>
      <c r="L17" s="128">
        <f t="shared" si="2"/>
        <v>52199999.969999999</v>
      </c>
    </row>
    <row r="18" spans="1:13" s="84" customFormat="1" x14ac:dyDescent="0.25">
      <c r="A18" s="148">
        <v>13</v>
      </c>
      <c r="B18" s="179">
        <v>46114</v>
      </c>
      <c r="C18" s="157" t="s">
        <v>96</v>
      </c>
      <c r="D18" s="258" t="s">
        <v>346</v>
      </c>
      <c r="E18" s="157" t="s">
        <v>76</v>
      </c>
      <c r="F18" s="150" t="s">
        <v>93</v>
      </c>
      <c r="G18" s="150" t="s">
        <v>78</v>
      </c>
      <c r="H18" s="127" t="s">
        <v>345</v>
      </c>
      <c r="I18" s="184">
        <v>148498498</v>
      </c>
      <c r="J18" s="128">
        <f t="shared" si="0"/>
        <v>136123623.16666666</v>
      </c>
      <c r="K18" s="128">
        <f t="shared" si="1"/>
        <v>16334834.779999997</v>
      </c>
      <c r="L18" s="128">
        <f t="shared" si="2"/>
        <v>164833332.78</v>
      </c>
    </row>
    <row r="19" spans="1:13" s="84" customFormat="1" x14ac:dyDescent="0.25">
      <c r="A19" s="148">
        <v>14</v>
      </c>
      <c r="B19" s="179">
        <v>46114</v>
      </c>
      <c r="C19" s="157" t="s">
        <v>96</v>
      </c>
      <c r="D19" s="258" t="s">
        <v>348</v>
      </c>
      <c r="E19" s="157" t="s">
        <v>76</v>
      </c>
      <c r="F19" s="150" t="s">
        <v>93</v>
      </c>
      <c r="G19" s="150" t="s">
        <v>78</v>
      </c>
      <c r="H19" s="127" t="s">
        <v>347</v>
      </c>
      <c r="I19" s="184">
        <v>44502102</v>
      </c>
      <c r="J19" s="128">
        <f t="shared" si="0"/>
        <v>40793593.5</v>
      </c>
      <c r="K19" s="128">
        <f t="shared" si="1"/>
        <v>4895231.22</v>
      </c>
      <c r="L19" s="128">
        <f t="shared" si="2"/>
        <v>49397333.219999999</v>
      </c>
    </row>
    <row r="20" spans="1:13" s="84" customFormat="1" x14ac:dyDescent="0.25">
      <c r="A20" s="148">
        <v>15</v>
      </c>
      <c r="B20" s="179">
        <v>46114</v>
      </c>
      <c r="C20" s="157" t="s">
        <v>96</v>
      </c>
      <c r="D20" s="258" t="s">
        <v>349</v>
      </c>
      <c r="E20" s="157" t="s">
        <v>76</v>
      </c>
      <c r="F20" s="150" t="s">
        <v>93</v>
      </c>
      <c r="G20" s="150" t="s">
        <v>78</v>
      </c>
      <c r="H20" s="150" t="s">
        <v>350</v>
      </c>
      <c r="I20" s="149">
        <v>2475000</v>
      </c>
      <c r="J20" s="128">
        <f t="shared" si="0"/>
        <v>2268750</v>
      </c>
      <c r="K20" s="128">
        <f t="shared" si="1"/>
        <v>272250</v>
      </c>
      <c r="L20" s="128">
        <f t="shared" si="2"/>
        <v>2747250</v>
      </c>
    </row>
    <row r="21" spans="1:13" s="84" customFormat="1" x14ac:dyDescent="0.25">
      <c r="A21" s="148">
        <v>16</v>
      </c>
      <c r="B21" s="179">
        <v>46127</v>
      </c>
      <c r="C21" s="157" t="s">
        <v>96</v>
      </c>
      <c r="D21" s="258" t="s">
        <v>351</v>
      </c>
      <c r="E21" s="157" t="s">
        <v>75</v>
      </c>
      <c r="F21" s="150" t="s">
        <v>86</v>
      </c>
      <c r="G21" s="150" t="s">
        <v>79</v>
      </c>
      <c r="H21" s="150" t="s">
        <v>352</v>
      </c>
      <c r="I21" s="149">
        <v>14040000</v>
      </c>
      <c r="J21" s="128">
        <f t="shared" si="0"/>
        <v>12870000</v>
      </c>
      <c r="K21" s="128">
        <f t="shared" si="1"/>
        <v>1544400</v>
      </c>
      <c r="L21" s="128">
        <f t="shared" si="2"/>
        <v>15584400</v>
      </c>
    </row>
    <row r="22" spans="1:13" s="84" customFormat="1" x14ac:dyDescent="0.25">
      <c r="A22" s="148">
        <v>17</v>
      </c>
      <c r="B22" s="179">
        <v>46128</v>
      </c>
      <c r="C22" s="157" t="s">
        <v>96</v>
      </c>
      <c r="D22" s="258" t="s">
        <v>353</v>
      </c>
      <c r="E22" s="157" t="s">
        <v>75</v>
      </c>
      <c r="F22" s="150" t="s">
        <v>86</v>
      </c>
      <c r="G22" s="150" t="s">
        <v>79</v>
      </c>
      <c r="H22" s="150" t="s">
        <v>354</v>
      </c>
      <c r="I22" s="149">
        <v>135100000</v>
      </c>
      <c r="J22" s="128">
        <f t="shared" si="0"/>
        <v>123841666.66666667</v>
      </c>
      <c r="K22" s="128">
        <f t="shared" si="1"/>
        <v>14861000</v>
      </c>
      <c r="L22" s="128">
        <f t="shared" si="2"/>
        <v>149961000</v>
      </c>
    </row>
    <row r="23" spans="1:13" s="84" customFormat="1" x14ac:dyDescent="0.25">
      <c r="A23" s="148">
        <v>18</v>
      </c>
      <c r="B23" s="179">
        <v>46128</v>
      </c>
      <c r="C23" s="157" t="s">
        <v>96</v>
      </c>
      <c r="D23" s="258" t="s">
        <v>355</v>
      </c>
      <c r="E23" s="157" t="s">
        <v>75</v>
      </c>
      <c r="F23" s="150" t="s">
        <v>86</v>
      </c>
      <c r="G23" s="150" t="s">
        <v>79</v>
      </c>
      <c r="H23" s="150" t="s">
        <v>356</v>
      </c>
      <c r="I23" s="149">
        <v>39375000</v>
      </c>
      <c r="J23" s="128">
        <f t="shared" si="0"/>
        <v>36093750</v>
      </c>
      <c r="K23" s="128">
        <f t="shared" si="1"/>
        <v>4331250</v>
      </c>
      <c r="L23" s="128">
        <f t="shared" si="2"/>
        <v>43706250</v>
      </c>
    </row>
    <row r="24" spans="1:13" s="274" customFormat="1" x14ac:dyDescent="0.25">
      <c r="A24" s="267">
        <v>19</v>
      </c>
      <c r="B24" s="268">
        <v>46128</v>
      </c>
      <c r="C24" s="269" t="s">
        <v>96</v>
      </c>
      <c r="D24" s="270" t="s">
        <v>357</v>
      </c>
      <c r="E24" s="269" t="s">
        <v>75</v>
      </c>
      <c r="F24" s="271" t="s">
        <v>86</v>
      </c>
      <c r="G24" s="271" t="s">
        <v>79</v>
      </c>
      <c r="H24" s="271" t="s">
        <v>358</v>
      </c>
      <c r="I24" s="272">
        <v>179566667</v>
      </c>
      <c r="J24" s="273">
        <f t="shared" si="0"/>
        <v>164602778.08333334</v>
      </c>
      <c r="K24" s="273">
        <f t="shared" si="1"/>
        <v>19752333.370000001</v>
      </c>
      <c r="L24" s="273">
        <f t="shared" si="2"/>
        <v>199319000.37</v>
      </c>
      <c r="M24" s="275" t="s">
        <v>491</v>
      </c>
    </row>
    <row r="25" spans="1:13" s="274" customFormat="1" x14ac:dyDescent="0.25">
      <c r="A25" s="267">
        <v>20</v>
      </c>
      <c r="B25" s="268">
        <v>46128</v>
      </c>
      <c r="C25" s="269" t="s">
        <v>96</v>
      </c>
      <c r="D25" s="270" t="s">
        <v>361</v>
      </c>
      <c r="E25" s="269" t="s">
        <v>75</v>
      </c>
      <c r="F25" s="271" t="s">
        <v>86</v>
      </c>
      <c r="G25" s="271" t="s">
        <v>79</v>
      </c>
      <c r="H25" s="271" t="s">
        <v>359</v>
      </c>
      <c r="I25" s="272">
        <v>179566667</v>
      </c>
      <c r="J25" s="273">
        <f t="shared" si="0"/>
        <v>164602778.08333334</v>
      </c>
      <c r="K25" s="273">
        <f t="shared" si="1"/>
        <v>19752333.370000001</v>
      </c>
      <c r="L25" s="273">
        <f t="shared" si="2"/>
        <v>199319000.37</v>
      </c>
      <c r="M25" s="275" t="s">
        <v>434</v>
      </c>
    </row>
    <row r="26" spans="1:13" s="274" customFormat="1" ht="15.75" thickBot="1" x14ac:dyDescent="0.3">
      <c r="A26" s="267">
        <v>21</v>
      </c>
      <c r="B26" s="268">
        <v>46128</v>
      </c>
      <c r="C26" s="269" t="s">
        <v>96</v>
      </c>
      <c r="D26" s="270" t="s">
        <v>362</v>
      </c>
      <c r="E26" s="269" t="s">
        <v>75</v>
      </c>
      <c r="F26" s="271" t="s">
        <v>86</v>
      </c>
      <c r="G26" s="271" t="s">
        <v>79</v>
      </c>
      <c r="H26" s="271" t="s">
        <v>360</v>
      </c>
      <c r="I26" s="272">
        <v>179566667</v>
      </c>
      <c r="J26" s="273">
        <f t="shared" si="0"/>
        <v>164602778.08333334</v>
      </c>
      <c r="K26" s="273">
        <f t="shared" si="1"/>
        <v>19752333.370000001</v>
      </c>
      <c r="L26" s="273">
        <f t="shared" si="2"/>
        <v>199319000.37</v>
      </c>
      <c r="M26" s="275" t="s">
        <v>401</v>
      </c>
    </row>
    <row r="27" spans="1:13" ht="16.5" thickTop="1" thickBot="1" x14ac:dyDescent="0.3">
      <c r="A27" s="43"/>
      <c r="B27" s="43"/>
      <c r="C27" s="43"/>
      <c r="D27" s="44"/>
      <c r="E27" s="43"/>
      <c r="F27" s="43"/>
      <c r="G27" s="43"/>
      <c r="H27" s="43"/>
      <c r="I27" s="45">
        <f>SUM(I6:I26)</f>
        <v>1384447779</v>
      </c>
      <c r="J27" s="45">
        <f>SUM(J6:J26)</f>
        <v>1269077130.7499998</v>
      </c>
      <c r="K27" s="45">
        <f>SUM(K6:K26)</f>
        <v>152289255.69</v>
      </c>
      <c r="L27" s="46">
        <f>SUM(L6:L26)</f>
        <v>1536737034.6900001</v>
      </c>
    </row>
    <row r="28" spans="1:13" ht="15.75" thickTop="1" x14ac:dyDescent="0.25">
      <c r="I28" s="266">
        <v>1384447779</v>
      </c>
    </row>
    <row r="29" spans="1:13" x14ac:dyDescent="0.25">
      <c r="I29" s="266">
        <f>I27-I28</f>
        <v>0</v>
      </c>
    </row>
    <row r="31" spans="1:13" x14ac:dyDescent="0.25">
      <c r="F31" s="48"/>
      <c r="G31" s="48"/>
    </row>
    <row r="32" spans="1:13" x14ac:dyDescent="0.25">
      <c r="F32" s="48"/>
      <c r="G32" s="48"/>
    </row>
    <row r="33" spans="6:8" x14ac:dyDescent="0.25">
      <c r="F33" s="48"/>
      <c r="G33" s="48"/>
      <c r="H33" s="48"/>
    </row>
    <row r="34" spans="6:8" x14ac:dyDescent="0.25">
      <c r="G34" s="143"/>
    </row>
    <row r="35" spans="6:8" x14ac:dyDescent="0.25">
      <c r="G35" s="143"/>
    </row>
    <row r="36" spans="6:8" x14ac:dyDescent="0.25">
      <c r="G36" s="143"/>
    </row>
    <row r="37" spans="6:8" x14ac:dyDescent="0.25">
      <c r="G37" s="143"/>
    </row>
    <row r="38" spans="6:8" x14ac:dyDescent="0.25">
      <c r="G38" s="143"/>
    </row>
    <row r="41" spans="6:8" x14ac:dyDescent="0.25">
      <c r="G41" s="143"/>
    </row>
    <row r="42" spans="6:8" x14ac:dyDescent="0.25">
      <c r="G42" s="143"/>
    </row>
    <row r="43" spans="6:8" x14ac:dyDescent="0.25">
      <c r="G43" s="143"/>
    </row>
  </sheetData>
  <mergeCells count="3">
    <mergeCell ref="A1:L1"/>
    <mergeCell ref="A2:L2"/>
    <mergeCell ref="A3:L3"/>
  </mergeCells>
  <pageMargins left="0.31496062992125984" right="0.11811023622047245" top="0.74803149606299213" bottom="0.74803149606299213" header="0.31496062992125984" footer="0.31496062992125984"/>
  <pageSetup scale="50" orientation="landscape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zoomScale="90" zoomScaleNormal="90" workbookViewId="0">
      <selection activeCell="H30" sqref="H30"/>
    </sheetView>
  </sheetViews>
  <sheetFormatPr defaultRowHeight="15" x14ac:dyDescent="0.25"/>
  <cols>
    <col min="1" max="1" width="4.85546875" style="40" customWidth="1"/>
    <col min="2" max="2" width="10.5703125" style="166" customWidth="1"/>
    <col min="3" max="3" width="6.7109375" style="40" customWidth="1"/>
    <col min="4" max="4" width="19.140625" style="40" bestFit="1" customWidth="1"/>
    <col min="5" max="5" width="18.5703125" style="40" customWidth="1"/>
    <col min="6" max="6" width="28" style="40" bestFit="1" customWidth="1"/>
    <col min="7" max="7" width="24.140625" style="40" customWidth="1"/>
    <col min="8" max="8" width="109.140625" style="40" customWidth="1"/>
    <col min="9" max="9" width="17.7109375" style="40" bestFit="1" customWidth="1"/>
    <col min="10" max="10" width="17.7109375" style="40" customWidth="1"/>
    <col min="11" max="11" width="16.140625" style="40" bestFit="1" customWidth="1"/>
    <col min="12" max="12" width="18.85546875" style="40" bestFit="1" customWidth="1"/>
  </cols>
  <sheetData>
    <row r="1" spans="1:13" ht="15.75" x14ac:dyDescent="0.25">
      <c r="A1" s="296" t="s">
        <v>131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</row>
    <row r="2" spans="1:13" ht="15.75" x14ac:dyDescent="0.25">
      <c r="A2" s="296" t="s">
        <v>38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6"/>
    </row>
    <row r="3" spans="1:13" ht="15.75" x14ac:dyDescent="0.25">
      <c r="A3" s="296" t="s">
        <v>310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</row>
    <row r="4" spans="1:13" ht="15.75" thickBot="1" x14ac:dyDescent="0.3"/>
    <row r="5" spans="1:13" s="39" customFormat="1" ht="30.75" customHeight="1" thickTop="1" thickBot="1" x14ac:dyDescent="0.3">
      <c r="A5" s="47" t="s">
        <v>26</v>
      </c>
      <c r="B5" s="47" t="s">
        <v>36</v>
      </c>
      <c r="C5" s="47" t="s">
        <v>27</v>
      </c>
      <c r="D5" s="47" t="s">
        <v>28</v>
      </c>
      <c r="E5" s="47" t="s">
        <v>30</v>
      </c>
      <c r="F5" s="47" t="s">
        <v>29</v>
      </c>
      <c r="G5" s="47" t="s">
        <v>94</v>
      </c>
      <c r="H5" s="47" t="s">
        <v>31</v>
      </c>
      <c r="I5" s="47" t="s">
        <v>32</v>
      </c>
      <c r="J5" s="47" t="s">
        <v>92</v>
      </c>
      <c r="K5" s="47" t="s">
        <v>33</v>
      </c>
      <c r="L5" s="47" t="s">
        <v>34</v>
      </c>
    </row>
    <row r="6" spans="1:13" ht="15.75" thickTop="1" x14ac:dyDescent="0.25">
      <c r="A6" s="42">
        <v>1</v>
      </c>
      <c r="B6" s="176">
        <v>46146</v>
      </c>
      <c r="C6" s="42" t="s">
        <v>95</v>
      </c>
      <c r="D6" s="281" t="s">
        <v>391</v>
      </c>
      <c r="E6" s="157" t="s">
        <v>76</v>
      </c>
      <c r="F6" s="150" t="s">
        <v>93</v>
      </c>
      <c r="G6" s="150" t="s">
        <v>78</v>
      </c>
      <c r="H6" s="153" t="s">
        <v>396</v>
      </c>
      <c r="I6" s="149">
        <v>33794173</v>
      </c>
      <c r="J6" s="41">
        <f>I6*11/12</f>
        <v>30977991.916666668</v>
      </c>
      <c r="K6" s="41">
        <f>J6*12%</f>
        <v>3717359.03</v>
      </c>
      <c r="L6" s="41">
        <f>I6+K6</f>
        <v>37511532.030000001</v>
      </c>
    </row>
    <row r="7" spans="1:13" x14ac:dyDescent="0.25">
      <c r="A7" s="42">
        <v>2</v>
      </c>
      <c r="B7" s="176">
        <v>46146</v>
      </c>
      <c r="C7" s="42" t="s">
        <v>95</v>
      </c>
      <c r="D7" s="281" t="s">
        <v>392</v>
      </c>
      <c r="E7" s="157" t="s">
        <v>76</v>
      </c>
      <c r="F7" s="150" t="s">
        <v>93</v>
      </c>
      <c r="G7" s="150" t="s">
        <v>78</v>
      </c>
      <c r="H7" s="150" t="s">
        <v>397</v>
      </c>
      <c r="I7" s="149">
        <v>12000000</v>
      </c>
      <c r="J7" s="41">
        <f t="shared" ref="J7:J25" si="0">I7*11/12</f>
        <v>11000000</v>
      </c>
      <c r="K7" s="41">
        <f t="shared" ref="K7:K25" si="1">J7*12%</f>
        <v>1320000</v>
      </c>
      <c r="L7" s="41">
        <f t="shared" ref="L7:L25" si="2">I7+K7</f>
        <v>13320000</v>
      </c>
    </row>
    <row r="8" spans="1:13" x14ac:dyDescent="0.25">
      <c r="A8" s="42">
        <v>3</v>
      </c>
      <c r="B8" s="176">
        <v>46146</v>
      </c>
      <c r="C8" s="42" t="s">
        <v>95</v>
      </c>
      <c r="D8" s="281" t="s">
        <v>393</v>
      </c>
      <c r="E8" s="157" t="s">
        <v>76</v>
      </c>
      <c r="F8" s="150" t="s">
        <v>93</v>
      </c>
      <c r="G8" s="150" t="s">
        <v>78</v>
      </c>
      <c r="H8" s="127" t="s">
        <v>398</v>
      </c>
      <c r="I8" s="149">
        <v>8057335</v>
      </c>
      <c r="J8" s="41">
        <f t="shared" si="0"/>
        <v>7385890.416666667</v>
      </c>
      <c r="K8" s="41">
        <f t="shared" si="1"/>
        <v>886306.85</v>
      </c>
      <c r="L8" s="41">
        <f t="shared" si="2"/>
        <v>8943641.8499999996</v>
      </c>
    </row>
    <row r="9" spans="1:13" s="84" customFormat="1" x14ac:dyDescent="0.25">
      <c r="A9" s="148">
        <v>4</v>
      </c>
      <c r="B9" s="176">
        <v>46146</v>
      </c>
      <c r="C9" s="148" t="s">
        <v>95</v>
      </c>
      <c r="D9" s="281" t="s">
        <v>394</v>
      </c>
      <c r="E9" s="157" t="s">
        <v>76</v>
      </c>
      <c r="F9" s="150" t="s">
        <v>93</v>
      </c>
      <c r="G9" s="150" t="s">
        <v>78</v>
      </c>
      <c r="H9" s="152" t="s">
        <v>399</v>
      </c>
      <c r="I9" s="185">
        <v>12420650</v>
      </c>
      <c r="J9" s="128">
        <f t="shared" si="0"/>
        <v>11385595.833333334</v>
      </c>
      <c r="K9" s="128">
        <f t="shared" si="1"/>
        <v>1366271.5</v>
      </c>
      <c r="L9" s="128">
        <f t="shared" si="2"/>
        <v>13786921.5</v>
      </c>
    </row>
    <row r="10" spans="1:13" s="84" customFormat="1" x14ac:dyDescent="0.25">
      <c r="A10" s="148">
        <v>5</v>
      </c>
      <c r="B10" s="176">
        <v>46146</v>
      </c>
      <c r="C10" s="148" t="s">
        <v>95</v>
      </c>
      <c r="D10" s="281" t="s">
        <v>395</v>
      </c>
      <c r="E10" s="157" t="s">
        <v>76</v>
      </c>
      <c r="F10" s="150" t="s">
        <v>93</v>
      </c>
      <c r="G10" s="150" t="s">
        <v>78</v>
      </c>
      <c r="H10" s="150" t="s">
        <v>400</v>
      </c>
      <c r="I10" s="185">
        <v>10334110</v>
      </c>
      <c r="J10" s="128">
        <f t="shared" si="0"/>
        <v>9472934.166666666</v>
      </c>
      <c r="K10" s="128">
        <f t="shared" si="1"/>
        <v>1136752.0999999999</v>
      </c>
      <c r="L10" s="128">
        <f t="shared" si="2"/>
        <v>11470862.1</v>
      </c>
    </row>
    <row r="11" spans="1:13" s="84" customFormat="1" x14ac:dyDescent="0.25">
      <c r="A11" s="148">
        <v>6</v>
      </c>
      <c r="B11" s="182">
        <v>46148</v>
      </c>
      <c r="C11" s="148" t="s">
        <v>95</v>
      </c>
      <c r="D11" s="281" t="s">
        <v>385</v>
      </c>
      <c r="E11" s="157" t="s">
        <v>76</v>
      </c>
      <c r="F11" s="150" t="s">
        <v>93</v>
      </c>
      <c r="G11" s="150" t="s">
        <v>78</v>
      </c>
      <c r="H11" s="104" t="s">
        <v>387</v>
      </c>
      <c r="I11" s="185">
        <v>10015000</v>
      </c>
      <c r="J11" s="128">
        <f t="shared" si="0"/>
        <v>9180416.666666666</v>
      </c>
      <c r="K11" s="128">
        <f t="shared" si="1"/>
        <v>1101650</v>
      </c>
      <c r="L11" s="128">
        <f t="shared" si="2"/>
        <v>11116650</v>
      </c>
    </row>
    <row r="12" spans="1:13" s="274" customFormat="1" x14ac:dyDescent="0.25">
      <c r="A12" s="267">
        <v>7</v>
      </c>
      <c r="B12" s="287">
        <v>46148</v>
      </c>
      <c r="C12" s="267" t="s">
        <v>95</v>
      </c>
      <c r="D12" s="288" t="s">
        <v>388</v>
      </c>
      <c r="E12" s="269" t="s">
        <v>75</v>
      </c>
      <c r="F12" s="271" t="s">
        <v>86</v>
      </c>
      <c r="G12" s="271" t="s">
        <v>79</v>
      </c>
      <c r="H12" s="271" t="s">
        <v>389</v>
      </c>
      <c r="I12" s="272">
        <v>9200000</v>
      </c>
      <c r="J12" s="273">
        <f t="shared" si="0"/>
        <v>8433333.333333334</v>
      </c>
      <c r="K12" s="273">
        <f t="shared" si="1"/>
        <v>1012000</v>
      </c>
      <c r="L12" s="273">
        <f t="shared" si="2"/>
        <v>10212000</v>
      </c>
      <c r="M12" s="275" t="s">
        <v>433</v>
      </c>
    </row>
    <row r="13" spans="1:13" s="84" customFormat="1" x14ac:dyDescent="0.25">
      <c r="A13" s="148">
        <v>8</v>
      </c>
      <c r="B13" s="182">
        <v>46148</v>
      </c>
      <c r="C13" s="148" t="s">
        <v>95</v>
      </c>
      <c r="D13" s="281" t="s">
        <v>386</v>
      </c>
      <c r="E13" s="157" t="s">
        <v>81</v>
      </c>
      <c r="F13" s="150" t="s">
        <v>90</v>
      </c>
      <c r="G13" s="150" t="s">
        <v>78</v>
      </c>
      <c r="H13" s="107" t="s">
        <v>390</v>
      </c>
      <c r="I13" s="185">
        <v>19625000</v>
      </c>
      <c r="J13" s="128">
        <f t="shared" si="0"/>
        <v>17989583.333333332</v>
      </c>
      <c r="K13" s="128">
        <f t="shared" si="1"/>
        <v>2158750</v>
      </c>
      <c r="L13" s="128">
        <f t="shared" si="2"/>
        <v>21783750</v>
      </c>
    </row>
    <row r="14" spans="1:13" s="274" customFormat="1" x14ac:dyDescent="0.25">
      <c r="A14" s="267">
        <v>13</v>
      </c>
      <c r="B14" s="287">
        <v>46153</v>
      </c>
      <c r="C14" s="267" t="s">
        <v>95</v>
      </c>
      <c r="D14" s="288" t="s">
        <v>402</v>
      </c>
      <c r="E14" s="269" t="s">
        <v>75</v>
      </c>
      <c r="F14" s="271" t="s">
        <v>86</v>
      </c>
      <c r="G14" s="271" t="s">
        <v>79</v>
      </c>
      <c r="H14" s="271" t="s">
        <v>403</v>
      </c>
      <c r="I14" s="272">
        <v>22972973</v>
      </c>
      <c r="J14" s="273">
        <f t="shared" si="0"/>
        <v>21058558.583333332</v>
      </c>
      <c r="K14" s="273">
        <f t="shared" si="1"/>
        <v>2527027.0299999998</v>
      </c>
      <c r="L14" s="273">
        <f t="shared" si="2"/>
        <v>25500000.030000001</v>
      </c>
      <c r="M14" s="275" t="s">
        <v>432</v>
      </c>
    </row>
    <row r="15" spans="1:13" s="84" customFormat="1" x14ac:dyDescent="0.25">
      <c r="A15" s="148">
        <v>14</v>
      </c>
      <c r="B15" s="182">
        <v>46153</v>
      </c>
      <c r="C15" s="148" t="s">
        <v>95</v>
      </c>
      <c r="D15" s="281" t="s">
        <v>404</v>
      </c>
      <c r="E15" s="157" t="s">
        <v>76</v>
      </c>
      <c r="F15" s="150" t="s">
        <v>93</v>
      </c>
      <c r="G15" s="150" t="s">
        <v>78</v>
      </c>
      <c r="H15" s="152" t="s">
        <v>405</v>
      </c>
      <c r="I15" s="185">
        <v>7000000</v>
      </c>
      <c r="J15" s="128">
        <f t="shared" si="0"/>
        <v>6416666.666666667</v>
      </c>
      <c r="K15" s="128">
        <f t="shared" si="1"/>
        <v>770000</v>
      </c>
      <c r="L15" s="128">
        <f t="shared" si="2"/>
        <v>7770000</v>
      </c>
    </row>
    <row r="16" spans="1:13" s="274" customFormat="1" x14ac:dyDescent="0.25">
      <c r="A16" s="267">
        <v>15</v>
      </c>
      <c r="B16" s="287">
        <v>46154</v>
      </c>
      <c r="C16" s="267" t="s">
        <v>95</v>
      </c>
      <c r="D16" s="288" t="s">
        <v>406</v>
      </c>
      <c r="E16" s="269" t="s">
        <v>75</v>
      </c>
      <c r="F16" s="271" t="s">
        <v>86</v>
      </c>
      <c r="G16" s="271" t="s">
        <v>79</v>
      </c>
      <c r="H16" s="283" t="s">
        <v>408</v>
      </c>
      <c r="I16" s="272">
        <v>16312699</v>
      </c>
      <c r="J16" s="273">
        <f t="shared" si="0"/>
        <v>14953307.416666666</v>
      </c>
      <c r="K16" s="273">
        <f t="shared" si="1"/>
        <v>1794396.89</v>
      </c>
      <c r="L16" s="273">
        <f t="shared" si="2"/>
        <v>18107095.890000001</v>
      </c>
      <c r="M16" s="275" t="s">
        <v>459</v>
      </c>
    </row>
    <row r="17" spans="1:13" s="274" customFormat="1" x14ac:dyDescent="0.25">
      <c r="A17" s="267">
        <v>16</v>
      </c>
      <c r="B17" s="287">
        <v>46154</v>
      </c>
      <c r="C17" s="267" t="s">
        <v>95</v>
      </c>
      <c r="D17" s="288" t="s">
        <v>407</v>
      </c>
      <c r="E17" s="269" t="s">
        <v>75</v>
      </c>
      <c r="F17" s="271" t="s">
        <v>86</v>
      </c>
      <c r="G17" s="271" t="s">
        <v>79</v>
      </c>
      <c r="H17" s="283" t="s">
        <v>409</v>
      </c>
      <c r="I17" s="272">
        <v>10697000</v>
      </c>
      <c r="J17" s="273">
        <f t="shared" si="0"/>
        <v>9805583.333333334</v>
      </c>
      <c r="K17" s="273">
        <f t="shared" si="1"/>
        <v>1176670</v>
      </c>
      <c r="L17" s="273">
        <f t="shared" si="2"/>
        <v>11873670</v>
      </c>
      <c r="M17" s="275" t="s">
        <v>459</v>
      </c>
    </row>
    <row r="18" spans="1:13" s="84" customFormat="1" x14ac:dyDescent="0.25">
      <c r="A18" s="148">
        <v>17</v>
      </c>
      <c r="B18" s="182">
        <v>46146</v>
      </c>
      <c r="C18" s="148" t="s">
        <v>95</v>
      </c>
      <c r="D18" s="281" t="s">
        <v>414</v>
      </c>
      <c r="E18" s="157" t="s">
        <v>76</v>
      </c>
      <c r="F18" s="150" t="s">
        <v>93</v>
      </c>
      <c r="G18" s="150" t="s">
        <v>78</v>
      </c>
      <c r="H18" s="127" t="s">
        <v>415</v>
      </c>
      <c r="I18" s="151">
        <v>40991291</v>
      </c>
      <c r="J18" s="128">
        <f t="shared" si="0"/>
        <v>37575350.083333336</v>
      </c>
      <c r="K18" s="128">
        <f t="shared" si="1"/>
        <v>4509042.01</v>
      </c>
      <c r="L18" s="128">
        <f t="shared" si="2"/>
        <v>45500333.009999998</v>
      </c>
    </row>
    <row r="19" spans="1:13" s="84" customFormat="1" x14ac:dyDescent="0.25">
      <c r="A19" s="148">
        <v>18</v>
      </c>
      <c r="B19" s="182">
        <v>46146</v>
      </c>
      <c r="C19" s="148" t="s">
        <v>95</v>
      </c>
      <c r="D19" s="281" t="s">
        <v>416</v>
      </c>
      <c r="E19" s="157" t="s">
        <v>76</v>
      </c>
      <c r="F19" s="150" t="s">
        <v>93</v>
      </c>
      <c r="G19" s="150" t="s">
        <v>78</v>
      </c>
      <c r="H19" s="127" t="s">
        <v>417</v>
      </c>
      <c r="I19" s="184">
        <v>148498498</v>
      </c>
      <c r="J19" s="128">
        <f t="shared" si="0"/>
        <v>136123623.16666666</v>
      </c>
      <c r="K19" s="128">
        <f t="shared" si="1"/>
        <v>16334834.779999997</v>
      </c>
      <c r="L19" s="128">
        <f t="shared" si="2"/>
        <v>164833332.78</v>
      </c>
    </row>
    <row r="20" spans="1:13" s="175" customFormat="1" x14ac:dyDescent="0.25">
      <c r="A20" s="148">
        <v>19</v>
      </c>
      <c r="B20" s="182">
        <v>46146</v>
      </c>
      <c r="C20" s="148" t="s">
        <v>95</v>
      </c>
      <c r="D20" s="281" t="s">
        <v>419</v>
      </c>
      <c r="E20" s="157" t="s">
        <v>76</v>
      </c>
      <c r="F20" s="150" t="s">
        <v>93</v>
      </c>
      <c r="G20" s="150" t="s">
        <v>78</v>
      </c>
      <c r="H20" s="107" t="s">
        <v>418</v>
      </c>
      <c r="I20" s="289">
        <v>4879880</v>
      </c>
      <c r="J20" s="253">
        <f t="shared" si="0"/>
        <v>4473223.333333333</v>
      </c>
      <c r="K20" s="253">
        <f t="shared" si="1"/>
        <v>536786.79999999993</v>
      </c>
      <c r="L20" s="253">
        <f t="shared" si="2"/>
        <v>5416666.7999999998</v>
      </c>
    </row>
    <row r="21" spans="1:13" s="84" customFormat="1" x14ac:dyDescent="0.25">
      <c r="A21" s="148">
        <v>20</v>
      </c>
      <c r="B21" s="182">
        <v>46146</v>
      </c>
      <c r="C21" s="148" t="s">
        <v>95</v>
      </c>
      <c r="D21" s="281" t="s">
        <v>420</v>
      </c>
      <c r="E21" s="157" t="s">
        <v>76</v>
      </c>
      <c r="F21" s="150" t="s">
        <v>93</v>
      </c>
      <c r="G21" s="150" t="s">
        <v>78</v>
      </c>
      <c r="H21" s="127" t="s">
        <v>421</v>
      </c>
      <c r="I21" s="184">
        <v>44502102</v>
      </c>
      <c r="J21" s="128">
        <f t="shared" si="0"/>
        <v>40793593.5</v>
      </c>
      <c r="K21" s="128">
        <f t="shared" si="1"/>
        <v>4895231.22</v>
      </c>
      <c r="L21" s="128">
        <f t="shared" si="2"/>
        <v>49397333.219999999</v>
      </c>
    </row>
    <row r="22" spans="1:13" s="274" customFormat="1" x14ac:dyDescent="0.25">
      <c r="A22" s="267">
        <v>21</v>
      </c>
      <c r="B22" s="287">
        <v>46155</v>
      </c>
      <c r="C22" s="267" t="s">
        <v>95</v>
      </c>
      <c r="D22" s="288" t="s">
        <v>422</v>
      </c>
      <c r="E22" s="269" t="s">
        <v>75</v>
      </c>
      <c r="F22" s="271" t="s">
        <v>86</v>
      </c>
      <c r="G22" s="271" t="s">
        <v>78</v>
      </c>
      <c r="H22" s="271" t="s">
        <v>423</v>
      </c>
      <c r="I22" s="272">
        <v>5010000</v>
      </c>
      <c r="J22" s="273">
        <f t="shared" si="0"/>
        <v>4592500</v>
      </c>
      <c r="K22" s="273">
        <f t="shared" si="1"/>
        <v>551100</v>
      </c>
      <c r="L22" s="273">
        <f t="shared" si="2"/>
        <v>5561100</v>
      </c>
      <c r="M22" s="275" t="s">
        <v>459</v>
      </c>
    </row>
    <row r="23" spans="1:13" s="274" customFormat="1" x14ac:dyDescent="0.25">
      <c r="A23" s="267">
        <v>22</v>
      </c>
      <c r="B23" s="287">
        <v>46161</v>
      </c>
      <c r="C23" s="267" t="s">
        <v>95</v>
      </c>
      <c r="D23" s="288" t="s">
        <v>429</v>
      </c>
      <c r="E23" s="269" t="s">
        <v>75</v>
      </c>
      <c r="F23" s="271" t="s">
        <v>86</v>
      </c>
      <c r="G23" s="271" t="s">
        <v>79</v>
      </c>
      <c r="H23" s="283" t="s">
        <v>478</v>
      </c>
      <c r="I23" s="272">
        <v>9182000</v>
      </c>
      <c r="J23" s="273">
        <f t="shared" si="0"/>
        <v>8416833.333333334</v>
      </c>
      <c r="K23" s="273">
        <f t="shared" si="1"/>
        <v>1010020</v>
      </c>
      <c r="L23" s="273">
        <f t="shared" si="2"/>
        <v>10192020</v>
      </c>
      <c r="M23" s="275" t="s">
        <v>460</v>
      </c>
    </row>
    <row r="24" spans="1:13" s="274" customFormat="1" x14ac:dyDescent="0.25">
      <c r="A24" s="267">
        <v>23</v>
      </c>
      <c r="B24" s="287">
        <v>46163</v>
      </c>
      <c r="C24" s="267" t="s">
        <v>95</v>
      </c>
      <c r="D24" s="288" t="s">
        <v>430</v>
      </c>
      <c r="E24" s="269" t="s">
        <v>75</v>
      </c>
      <c r="F24" s="271" t="s">
        <v>86</v>
      </c>
      <c r="G24" s="271" t="s">
        <v>79</v>
      </c>
      <c r="H24" s="283" t="s">
        <v>431</v>
      </c>
      <c r="I24" s="272">
        <v>14598571</v>
      </c>
      <c r="J24" s="273">
        <f t="shared" si="0"/>
        <v>13382023.416666666</v>
      </c>
      <c r="K24" s="273">
        <f t="shared" si="1"/>
        <v>1605842.8099999998</v>
      </c>
      <c r="L24" s="273">
        <f t="shared" si="2"/>
        <v>16204413.810000001</v>
      </c>
      <c r="M24" s="275" t="s">
        <v>459</v>
      </c>
    </row>
    <row r="25" spans="1:13" s="84" customFormat="1" ht="15.75" thickBot="1" x14ac:dyDescent="0.3">
      <c r="A25" s="148">
        <v>24</v>
      </c>
      <c r="B25" s="182"/>
      <c r="C25" s="148"/>
      <c r="D25" s="183"/>
      <c r="E25" s="183"/>
      <c r="F25" s="152"/>
      <c r="G25" s="152"/>
      <c r="H25" s="152"/>
      <c r="I25" s="185"/>
      <c r="J25" s="128">
        <f t="shared" si="0"/>
        <v>0</v>
      </c>
      <c r="K25" s="128">
        <f t="shared" si="1"/>
        <v>0</v>
      </c>
      <c r="L25" s="128">
        <f t="shared" si="2"/>
        <v>0</v>
      </c>
    </row>
    <row r="26" spans="1:13" ht="16.5" thickTop="1" thickBot="1" x14ac:dyDescent="0.3">
      <c r="A26" s="43"/>
      <c r="B26" s="167"/>
      <c r="C26" s="43"/>
      <c r="D26" s="44"/>
      <c r="E26" s="43"/>
      <c r="F26" s="43"/>
      <c r="G26" s="43"/>
      <c r="H26" s="43"/>
      <c r="I26" s="45">
        <f>SUM(I6:I25)</f>
        <v>440091282</v>
      </c>
      <c r="J26" s="45">
        <f>SUM(J6:J25)</f>
        <v>403417008.5</v>
      </c>
      <c r="K26" s="45">
        <f>SUM(K6:K25)</f>
        <v>48410041.019999996</v>
      </c>
      <c r="L26" s="46">
        <f>SUM(L6:L25)</f>
        <v>488501323.01999992</v>
      </c>
    </row>
    <row r="27" spans="1:13" ht="15.75" thickTop="1" x14ac:dyDescent="0.25"/>
    <row r="30" spans="1:13" x14ac:dyDescent="0.25">
      <c r="F30" s="48"/>
      <c r="G30" s="48"/>
    </row>
    <row r="31" spans="1:13" x14ac:dyDescent="0.25">
      <c r="F31" s="48"/>
      <c r="G31" s="48"/>
    </row>
    <row r="32" spans="1:13" x14ac:dyDescent="0.25">
      <c r="F32" s="48"/>
      <c r="G32" s="48"/>
      <c r="H32" s="48"/>
    </row>
    <row r="33" spans="7:9" x14ac:dyDescent="0.25">
      <c r="G33" s="143"/>
      <c r="I33" s="143"/>
    </row>
    <row r="34" spans="7:9" x14ac:dyDescent="0.25">
      <c r="G34" s="143"/>
      <c r="I34" s="143"/>
    </row>
    <row r="35" spans="7:9" x14ac:dyDescent="0.25">
      <c r="G35" s="143"/>
      <c r="I35" s="143"/>
    </row>
    <row r="36" spans="7:9" x14ac:dyDescent="0.25">
      <c r="G36" s="143"/>
      <c r="I36" s="143"/>
    </row>
    <row r="37" spans="7:9" x14ac:dyDescent="0.25">
      <c r="I37" s="143"/>
    </row>
    <row r="38" spans="7:9" x14ac:dyDescent="0.25">
      <c r="I38" s="143"/>
    </row>
    <row r="39" spans="7:9" x14ac:dyDescent="0.25">
      <c r="I39" s="143"/>
    </row>
    <row r="40" spans="7:9" x14ac:dyDescent="0.25">
      <c r="I40" s="143"/>
    </row>
    <row r="41" spans="7:9" x14ac:dyDescent="0.25">
      <c r="I41" s="143"/>
    </row>
    <row r="43" spans="7:9" x14ac:dyDescent="0.25">
      <c r="I43" s="143"/>
    </row>
    <row r="44" spans="7:9" x14ac:dyDescent="0.25">
      <c r="I44" s="143"/>
    </row>
  </sheetData>
  <mergeCells count="3">
    <mergeCell ref="A1:L1"/>
    <mergeCell ref="A2:L2"/>
    <mergeCell ref="A3:L3"/>
  </mergeCells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opLeftCell="G7" zoomScale="90" zoomScaleNormal="90" workbookViewId="0">
      <selection activeCell="H34" sqref="H34"/>
    </sheetView>
  </sheetViews>
  <sheetFormatPr defaultRowHeight="15" x14ac:dyDescent="0.25"/>
  <cols>
    <col min="1" max="1" width="4.85546875" style="40" customWidth="1"/>
    <col min="2" max="2" width="10.5703125" style="40" customWidth="1"/>
    <col min="3" max="3" width="8.42578125" style="40" bestFit="1" customWidth="1"/>
    <col min="4" max="4" width="17.85546875" style="40" customWidth="1"/>
    <col min="5" max="5" width="17.7109375" style="40" customWidth="1"/>
    <col min="6" max="6" width="26.140625" style="40" customWidth="1"/>
    <col min="7" max="7" width="24.28515625" style="40" customWidth="1"/>
    <col min="8" max="8" width="105.7109375" style="40" customWidth="1"/>
    <col min="9" max="9" width="17.7109375" style="40" bestFit="1" customWidth="1"/>
    <col min="10" max="10" width="17.7109375" style="40" customWidth="1"/>
    <col min="11" max="11" width="16.140625" style="40" bestFit="1" customWidth="1"/>
    <col min="12" max="12" width="18.85546875" style="40" bestFit="1" customWidth="1"/>
  </cols>
  <sheetData>
    <row r="1" spans="1:13" ht="15.75" x14ac:dyDescent="0.25">
      <c r="A1" s="296" t="s">
        <v>483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</row>
    <row r="2" spans="1:13" ht="15.75" x14ac:dyDescent="0.25">
      <c r="A2" s="296" t="s">
        <v>38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6"/>
    </row>
    <row r="3" spans="1:13" ht="15.75" x14ac:dyDescent="0.25">
      <c r="A3" s="296" t="s">
        <v>311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</row>
    <row r="4" spans="1:13" ht="15.75" thickBot="1" x14ac:dyDescent="0.3"/>
    <row r="5" spans="1:13" s="39" customFormat="1" ht="30.75" customHeight="1" thickTop="1" thickBot="1" x14ac:dyDescent="0.3">
      <c r="A5" s="47" t="s">
        <v>26</v>
      </c>
      <c r="B5" s="47" t="s">
        <v>36</v>
      </c>
      <c r="C5" s="47" t="s">
        <v>27</v>
      </c>
      <c r="D5" s="47" t="s">
        <v>28</v>
      </c>
      <c r="E5" s="47" t="s">
        <v>30</v>
      </c>
      <c r="F5" s="47" t="s">
        <v>29</v>
      </c>
      <c r="G5" s="47" t="s">
        <v>77</v>
      </c>
      <c r="H5" s="47" t="s">
        <v>31</v>
      </c>
      <c r="I5" s="47" t="s">
        <v>32</v>
      </c>
      <c r="J5" s="47" t="s">
        <v>92</v>
      </c>
      <c r="K5" s="47" t="s">
        <v>33</v>
      </c>
      <c r="L5" s="47" t="s">
        <v>34</v>
      </c>
    </row>
    <row r="6" spans="1:13" s="84" customFormat="1" ht="15.75" thickTop="1" x14ac:dyDescent="0.25">
      <c r="A6" s="148">
        <v>1</v>
      </c>
      <c r="B6" s="182">
        <v>46175</v>
      </c>
      <c r="C6" s="148" t="s">
        <v>91</v>
      </c>
      <c r="D6" s="281" t="s">
        <v>435</v>
      </c>
      <c r="E6" s="157" t="s">
        <v>81</v>
      </c>
      <c r="F6" s="150" t="s">
        <v>90</v>
      </c>
      <c r="G6" s="150" t="s">
        <v>78</v>
      </c>
      <c r="H6" s="127" t="s">
        <v>436</v>
      </c>
      <c r="I6" s="184">
        <v>38497500</v>
      </c>
      <c r="J6" s="185">
        <f t="shared" ref="J6:J29" si="0">I6*11/12</f>
        <v>35289375</v>
      </c>
      <c r="K6" s="128">
        <f t="shared" ref="K6:K29" si="1">J6*12%</f>
        <v>4234725</v>
      </c>
      <c r="L6" s="128">
        <f>I6+K6</f>
        <v>42732225</v>
      </c>
      <c r="M6" s="39"/>
    </row>
    <row r="7" spans="1:13" s="84" customFormat="1" x14ac:dyDescent="0.25">
      <c r="A7" s="148">
        <v>2</v>
      </c>
      <c r="B7" s="182">
        <v>46175</v>
      </c>
      <c r="C7" s="148" t="s">
        <v>91</v>
      </c>
      <c r="D7" s="281" t="s">
        <v>437</v>
      </c>
      <c r="E7" s="157" t="s">
        <v>81</v>
      </c>
      <c r="F7" s="150" t="s">
        <v>90</v>
      </c>
      <c r="G7" s="150" t="s">
        <v>78</v>
      </c>
      <c r="H7" s="127" t="s">
        <v>441</v>
      </c>
      <c r="I7" s="184">
        <v>38497500</v>
      </c>
      <c r="J7" s="149">
        <f t="shared" si="0"/>
        <v>35289375</v>
      </c>
      <c r="K7" s="128">
        <f t="shared" si="1"/>
        <v>4234725</v>
      </c>
      <c r="L7" s="128">
        <f>I7+K7</f>
        <v>42732225</v>
      </c>
    </row>
    <row r="8" spans="1:13" s="84" customFormat="1" x14ac:dyDescent="0.25">
      <c r="A8" s="148">
        <v>7</v>
      </c>
      <c r="B8" s="182">
        <v>46175</v>
      </c>
      <c r="C8" s="148" t="s">
        <v>91</v>
      </c>
      <c r="D8" s="281" t="s">
        <v>438</v>
      </c>
      <c r="E8" s="157" t="s">
        <v>81</v>
      </c>
      <c r="F8" s="150" t="s">
        <v>90</v>
      </c>
      <c r="G8" s="150" t="s">
        <v>78</v>
      </c>
      <c r="H8" s="127" t="s">
        <v>442</v>
      </c>
      <c r="I8" s="184">
        <v>38497500</v>
      </c>
      <c r="J8" s="185">
        <f t="shared" si="0"/>
        <v>35289375</v>
      </c>
      <c r="K8" s="128">
        <f t="shared" si="1"/>
        <v>4234725</v>
      </c>
      <c r="L8" s="128">
        <f t="shared" ref="L8:L29" si="2">I8+K8</f>
        <v>42732225</v>
      </c>
    </row>
    <row r="9" spans="1:13" s="84" customFormat="1" x14ac:dyDescent="0.25">
      <c r="A9" s="148">
        <v>8</v>
      </c>
      <c r="B9" s="182">
        <v>46175</v>
      </c>
      <c r="C9" s="148" t="s">
        <v>91</v>
      </c>
      <c r="D9" s="281" t="s">
        <v>439</v>
      </c>
      <c r="E9" s="157" t="s">
        <v>81</v>
      </c>
      <c r="F9" s="150" t="s">
        <v>90</v>
      </c>
      <c r="G9" s="150" t="s">
        <v>78</v>
      </c>
      <c r="H9" s="127" t="s">
        <v>443</v>
      </c>
      <c r="I9" s="184">
        <v>38497500</v>
      </c>
      <c r="J9" s="185">
        <f t="shared" si="0"/>
        <v>35289375</v>
      </c>
      <c r="K9" s="128">
        <f t="shared" si="1"/>
        <v>4234725</v>
      </c>
      <c r="L9" s="128">
        <f t="shared" si="2"/>
        <v>42732225</v>
      </c>
    </row>
    <row r="10" spans="1:13" s="84" customFormat="1" x14ac:dyDescent="0.25">
      <c r="A10" s="148">
        <v>9</v>
      </c>
      <c r="B10" s="182">
        <v>46175</v>
      </c>
      <c r="C10" s="148" t="s">
        <v>91</v>
      </c>
      <c r="D10" s="281" t="s">
        <v>440</v>
      </c>
      <c r="E10" s="157" t="s">
        <v>81</v>
      </c>
      <c r="F10" s="150" t="s">
        <v>90</v>
      </c>
      <c r="G10" s="150" t="s">
        <v>78</v>
      </c>
      <c r="H10" s="127" t="s">
        <v>444</v>
      </c>
      <c r="I10" s="184">
        <v>38497500</v>
      </c>
      <c r="J10" s="185">
        <f t="shared" si="0"/>
        <v>35289375</v>
      </c>
      <c r="K10" s="128">
        <f t="shared" si="1"/>
        <v>4234725</v>
      </c>
      <c r="L10" s="128">
        <f t="shared" si="2"/>
        <v>42732225</v>
      </c>
    </row>
    <row r="11" spans="1:13" s="84" customFormat="1" x14ac:dyDescent="0.25">
      <c r="A11" s="148">
        <v>10</v>
      </c>
      <c r="B11" s="182">
        <v>46175</v>
      </c>
      <c r="C11" s="148" t="s">
        <v>91</v>
      </c>
      <c r="D11" s="281" t="s">
        <v>445</v>
      </c>
      <c r="E11" s="157" t="s">
        <v>76</v>
      </c>
      <c r="F11" s="150" t="s">
        <v>93</v>
      </c>
      <c r="G11" s="150" t="s">
        <v>78</v>
      </c>
      <c r="H11" s="127" t="s">
        <v>446</v>
      </c>
      <c r="I11" s="184">
        <v>44502102</v>
      </c>
      <c r="J11" s="185">
        <f t="shared" si="0"/>
        <v>40793593.5</v>
      </c>
      <c r="K11" s="128">
        <f t="shared" si="1"/>
        <v>4895231.22</v>
      </c>
      <c r="L11" s="128">
        <f t="shared" si="2"/>
        <v>49397333.219999999</v>
      </c>
    </row>
    <row r="12" spans="1:13" s="84" customFormat="1" x14ac:dyDescent="0.25">
      <c r="A12" s="148">
        <v>11</v>
      </c>
      <c r="B12" s="182">
        <v>46175</v>
      </c>
      <c r="C12" s="148" t="s">
        <v>91</v>
      </c>
      <c r="D12" s="281" t="s">
        <v>447</v>
      </c>
      <c r="E12" s="157" t="s">
        <v>76</v>
      </c>
      <c r="F12" s="150" t="s">
        <v>93</v>
      </c>
      <c r="G12" s="150" t="s">
        <v>78</v>
      </c>
      <c r="H12" s="127" t="s">
        <v>448</v>
      </c>
      <c r="I12" s="184">
        <v>148498498</v>
      </c>
      <c r="J12" s="185">
        <f t="shared" si="0"/>
        <v>136123623.16666666</v>
      </c>
      <c r="K12" s="128">
        <f t="shared" si="1"/>
        <v>16334834.779999997</v>
      </c>
      <c r="L12" s="128">
        <f t="shared" si="2"/>
        <v>164833332.78</v>
      </c>
    </row>
    <row r="13" spans="1:13" s="84" customFormat="1" x14ac:dyDescent="0.25">
      <c r="A13" s="148">
        <v>12</v>
      </c>
      <c r="B13" s="182">
        <v>46175</v>
      </c>
      <c r="C13" s="148" t="s">
        <v>91</v>
      </c>
      <c r="D13" s="281" t="s">
        <v>450</v>
      </c>
      <c r="E13" s="157" t="s">
        <v>76</v>
      </c>
      <c r="F13" s="150" t="s">
        <v>93</v>
      </c>
      <c r="G13" s="150" t="s">
        <v>78</v>
      </c>
      <c r="H13" s="127" t="s">
        <v>449</v>
      </c>
      <c r="I13" s="151">
        <v>40991291</v>
      </c>
      <c r="J13" s="185">
        <f t="shared" si="0"/>
        <v>37575350.083333336</v>
      </c>
      <c r="K13" s="128">
        <f t="shared" si="1"/>
        <v>4509042.01</v>
      </c>
      <c r="L13" s="128">
        <f t="shared" si="2"/>
        <v>45500333.009999998</v>
      </c>
    </row>
    <row r="14" spans="1:13" s="84" customFormat="1" x14ac:dyDescent="0.25">
      <c r="A14" s="148">
        <v>13</v>
      </c>
      <c r="B14" s="182">
        <v>46175</v>
      </c>
      <c r="C14" s="148" t="s">
        <v>91</v>
      </c>
      <c r="D14" s="281" t="s">
        <v>451</v>
      </c>
      <c r="E14" s="157" t="s">
        <v>76</v>
      </c>
      <c r="F14" s="150" t="s">
        <v>93</v>
      </c>
      <c r="G14" s="150" t="s">
        <v>78</v>
      </c>
      <c r="H14" s="107" t="s">
        <v>452</v>
      </c>
      <c r="I14" s="289">
        <v>4879880</v>
      </c>
      <c r="J14" s="185">
        <f t="shared" si="0"/>
        <v>4473223.333333333</v>
      </c>
      <c r="K14" s="128">
        <f t="shared" si="1"/>
        <v>536786.79999999993</v>
      </c>
      <c r="L14" s="128">
        <f t="shared" si="2"/>
        <v>5416666.7999999998</v>
      </c>
    </row>
    <row r="15" spans="1:13" s="84" customFormat="1" x14ac:dyDescent="0.25">
      <c r="A15" s="148">
        <v>14</v>
      </c>
      <c r="B15" s="182">
        <v>46175</v>
      </c>
      <c r="C15" s="148" t="s">
        <v>91</v>
      </c>
      <c r="D15" s="281" t="s">
        <v>453</v>
      </c>
      <c r="E15" s="157" t="s">
        <v>76</v>
      </c>
      <c r="F15" s="150" t="s">
        <v>93</v>
      </c>
      <c r="G15" s="150" t="s">
        <v>78</v>
      </c>
      <c r="H15" s="150" t="s">
        <v>454</v>
      </c>
      <c r="I15" s="184">
        <v>12176302</v>
      </c>
      <c r="J15" s="185">
        <f t="shared" si="0"/>
        <v>11161610.166666666</v>
      </c>
      <c r="K15" s="128">
        <f t="shared" si="1"/>
        <v>1339393.22</v>
      </c>
      <c r="L15" s="128">
        <f t="shared" si="2"/>
        <v>13515695.220000001</v>
      </c>
    </row>
    <row r="16" spans="1:13" s="84" customFormat="1" x14ac:dyDescent="0.25">
      <c r="A16" s="148">
        <v>15</v>
      </c>
      <c r="B16" s="182">
        <v>46175</v>
      </c>
      <c r="C16" s="148" t="s">
        <v>91</v>
      </c>
      <c r="D16" s="281" t="s">
        <v>455</v>
      </c>
      <c r="E16" s="157" t="s">
        <v>76</v>
      </c>
      <c r="F16" s="150" t="s">
        <v>93</v>
      </c>
      <c r="G16" s="150" t="s">
        <v>78</v>
      </c>
      <c r="H16" s="127" t="s">
        <v>456</v>
      </c>
      <c r="I16" s="184">
        <v>8436287</v>
      </c>
      <c r="J16" s="185">
        <f t="shared" si="0"/>
        <v>7733263.083333333</v>
      </c>
      <c r="K16" s="128">
        <f t="shared" si="1"/>
        <v>927991.57</v>
      </c>
      <c r="L16" s="128">
        <f t="shared" si="2"/>
        <v>9364278.5700000003</v>
      </c>
    </row>
    <row r="17" spans="1:13" s="84" customFormat="1" x14ac:dyDescent="0.25">
      <c r="A17" s="148">
        <v>16</v>
      </c>
      <c r="B17" s="182">
        <v>46175</v>
      </c>
      <c r="C17" s="148" t="s">
        <v>91</v>
      </c>
      <c r="D17" s="281" t="s">
        <v>457</v>
      </c>
      <c r="E17" s="157" t="s">
        <v>76</v>
      </c>
      <c r="F17" s="150" t="s">
        <v>93</v>
      </c>
      <c r="G17" s="150" t="s">
        <v>78</v>
      </c>
      <c r="H17" s="254" t="s">
        <v>458</v>
      </c>
      <c r="I17" s="184">
        <v>8250000</v>
      </c>
      <c r="J17" s="185">
        <f t="shared" si="0"/>
        <v>7562500</v>
      </c>
      <c r="K17" s="128">
        <f t="shared" si="1"/>
        <v>907500</v>
      </c>
      <c r="L17" s="128">
        <f t="shared" si="2"/>
        <v>9157500</v>
      </c>
    </row>
    <row r="18" spans="1:13" s="84" customFormat="1" x14ac:dyDescent="0.25">
      <c r="A18" s="148">
        <v>17</v>
      </c>
      <c r="B18" s="182">
        <v>46182</v>
      </c>
      <c r="C18" s="148" t="s">
        <v>91</v>
      </c>
      <c r="D18" s="281" t="s">
        <v>461</v>
      </c>
      <c r="E18" s="157" t="s">
        <v>75</v>
      </c>
      <c r="F18" s="150" t="s">
        <v>86</v>
      </c>
      <c r="G18" s="150" t="s">
        <v>78</v>
      </c>
      <c r="H18" s="152" t="s">
        <v>462</v>
      </c>
      <c r="I18" s="184">
        <v>2760000</v>
      </c>
      <c r="J18" s="185">
        <f t="shared" si="0"/>
        <v>2530000</v>
      </c>
      <c r="K18" s="128">
        <f t="shared" si="1"/>
        <v>303600</v>
      </c>
      <c r="L18" s="128">
        <f t="shared" si="2"/>
        <v>3063600</v>
      </c>
    </row>
    <row r="19" spans="1:13" s="84" customFormat="1" x14ac:dyDescent="0.25">
      <c r="A19" s="148">
        <v>18</v>
      </c>
      <c r="B19" s="182">
        <v>46182</v>
      </c>
      <c r="C19" s="148" t="s">
        <v>91</v>
      </c>
      <c r="D19" s="281" t="s">
        <v>463</v>
      </c>
      <c r="E19" s="157" t="s">
        <v>76</v>
      </c>
      <c r="F19" s="150" t="s">
        <v>93</v>
      </c>
      <c r="G19" s="150" t="s">
        <v>78</v>
      </c>
      <c r="H19" s="104" t="s">
        <v>464</v>
      </c>
      <c r="I19" s="184">
        <v>10015000</v>
      </c>
      <c r="J19" s="185">
        <f t="shared" si="0"/>
        <v>9180416.666666666</v>
      </c>
      <c r="K19" s="128">
        <f t="shared" si="1"/>
        <v>1101650</v>
      </c>
      <c r="L19" s="128">
        <f t="shared" si="2"/>
        <v>11116650</v>
      </c>
    </row>
    <row r="20" spans="1:13" s="84" customFormat="1" x14ac:dyDescent="0.25">
      <c r="A20" s="148">
        <v>19</v>
      </c>
      <c r="B20" s="182">
        <v>46182</v>
      </c>
      <c r="C20" s="148" t="s">
        <v>91</v>
      </c>
      <c r="D20" s="281" t="s">
        <v>465</v>
      </c>
      <c r="E20" s="157" t="s">
        <v>81</v>
      </c>
      <c r="F20" s="150" t="s">
        <v>90</v>
      </c>
      <c r="G20" s="150" t="s">
        <v>78</v>
      </c>
      <c r="H20" s="107" t="s">
        <v>466</v>
      </c>
      <c r="I20" s="184">
        <v>19050000</v>
      </c>
      <c r="J20" s="185">
        <f t="shared" si="0"/>
        <v>17462500</v>
      </c>
      <c r="K20" s="128">
        <f t="shared" si="1"/>
        <v>2095500</v>
      </c>
      <c r="L20" s="128">
        <f t="shared" si="2"/>
        <v>21145500</v>
      </c>
    </row>
    <row r="21" spans="1:13" s="84" customFormat="1" x14ac:dyDescent="0.25">
      <c r="A21" s="148">
        <v>20</v>
      </c>
      <c r="B21" s="182">
        <v>46184</v>
      </c>
      <c r="C21" s="148" t="s">
        <v>91</v>
      </c>
      <c r="D21" s="281" t="s">
        <v>467</v>
      </c>
      <c r="E21" s="157" t="s">
        <v>75</v>
      </c>
      <c r="F21" s="150" t="s">
        <v>86</v>
      </c>
      <c r="G21" s="150" t="s">
        <v>78</v>
      </c>
      <c r="H21" s="254" t="s">
        <v>468</v>
      </c>
      <c r="I21" s="184">
        <v>3610000</v>
      </c>
      <c r="J21" s="185">
        <f t="shared" si="0"/>
        <v>3309166.6666666665</v>
      </c>
      <c r="K21" s="128">
        <f t="shared" si="1"/>
        <v>397099.99999999994</v>
      </c>
      <c r="L21" s="128">
        <f t="shared" si="2"/>
        <v>4007100</v>
      </c>
    </row>
    <row r="22" spans="1:13" s="84" customFormat="1" x14ac:dyDescent="0.25">
      <c r="A22" s="148">
        <v>21</v>
      </c>
      <c r="B22" s="182">
        <v>46190</v>
      </c>
      <c r="C22" s="148" t="s">
        <v>91</v>
      </c>
      <c r="D22" s="281" t="s">
        <v>471</v>
      </c>
      <c r="E22" s="157" t="s">
        <v>76</v>
      </c>
      <c r="F22" s="150" t="s">
        <v>93</v>
      </c>
      <c r="G22" s="150" t="s">
        <v>78</v>
      </c>
      <c r="H22" s="127" t="s">
        <v>472</v>
      </c>
      <c r="I22" s="184">
        <v>950000</v>
      </c>
      <c r="J22" s="185">
        <f t="shared" si="0"/>
        <v>870833.33333333337</v>
      </c>
      <c r="K22" s="128">
        <f t="shared" si="1"/>
        <v>104500</v>
      </c>
      <c r="L22" s="128">
        <f t="shared" si="2"/>
        <v>1054500</v>
      </c>
    </row>
    <row r="23" spans="1:13" s="274" customFormat="1" x14ac:dyDescent="0.25">
      <c r="A23" s="267">
        <v>22</v>
      </c>
      <c r="B23" s="287">
        <v>46196</v>
      </c>
      <c r="C23" s="267" t="s">
        <v>91</v>
      </c>
      <c r="D23" s="288" t="s">
        <v>474</v>
      </c>
      <c r="E23" s="269" t="s">
        <v>75</v>
      </c>
      <c r="F23" s="271" t="s">
        <v>86</v>
      </c>
      <c r="G23" s="271" t="s">
        <v>79</v>
      </c>
      <c r="H23" s="271" t="s">
        <v>475</v>
      </c>
      <c r="I23" s="280">
        <v>33645000</v>
      </c>
      <c r="J23" s="272">
        <f t="shared" si="0"/>
        <v>30841250</v>
      </c>
      <c r="K23" s="273">
        <f t="shared" si="1"/>
        <v>3700950</v>
      </c>
      <c r="L23" s="273">
        <f t="shared" si="2"/>
        <v>37345950</v>
      </c>
      <c r="M23" s="275" t="s">
        <v>492</v>
      </c>
    </row>
    <row r="24" spans="1:13" s="274" customFormat="1" x14ac:dyDescent="0.25">
      <c r="A24" s="267">
        <v>23</v>
      </c>
      <c r="B24" s="287">
        <v>46196</v>
      </c>
      <c r="C24" s="267" t="s">
        <v>91</v>
      </c>
      <c r="D24" s="288" t="s">
        <v>476</v>
      </c>
      <c r="E24" s="269" t="s">
        <v>75</v>
      </c>
      <c r="F24" s="271" t="s">
        <v>86</v>
      </c>
      <c r="G24" s="271" t="s">
        <v>79</v>
      </c>
      <c r="H24" s="321" t="s">
        <v>477</v>
      </c>
      <c r="I24" s="280">
        <v>14972239</v>
      </c>
      <c r="J24" s="272">
        <f t="shared" si="0"/>
        <v>13724552.416666666</v>
      </c>
      <c r="K24" s="273">
        <f t="shared" si="1"/>
        <v>1646946.2899999998</v>
      </c>
      <c r="L24" s="273">
        <f t="shared" si="2"/>
        <v>16619185.289999999</v>
      </c>
      <c r="M24" s="275" t="s">
        <v>492</v>
      </c>
    </row>
    <row r="25" spans="1:13" s="84" customFormat="1" x14ac:dyDescent="0.25">
      <c r="A25" s="148">
        <v>24</v>
      </c>
      <c r="B25" s="182">
        <v>46197</v>
      </c>
      <c r="C25" s="148" t="s">
        <v>91</v>
      </c>
      <c r="D25" s="281" t="s">
        <v>479</v>
      </c>
      <c r="E25" s="157" t="s">
        <v>75</v>
      </c>
      <c r="F25" s="150" t="s">
        <v>86</v>
      </c>
      <c r="G25" s="150" t="s">
        <v>78</v>
      </c>
      <c r="H25" s="254" t="s">
        <v>480</v>
      </c>
      <c r="I25" s="184">
        <v>8477000</v>
      </c>
      <c r="J25" s="185">
        <f t="shared" si="0"/>
        <v>7770583.333333333</v>
      </c>
      <c r="K25" s="128">
        <f t="shared" si="1"/>
        <v>932469.99999999988</v>
      </c>
      <c r="L25" s="128">
        <f t="shared" si="2"/>
        <v>9409470</v>
      </c>
    </row>
    <row r="26" spans="1:13" s="274" customFormat="1" x14ac:dyDescent="0.25">
      <c r="A26" s="267">
        <v>25</v>
      </c>
      <c r="B26" s="268">
        <v>46197</v>
      </c>
      <c r="C26" s="267" t="s">
        <v>91</v>
      </c>
      <c r="D26" s="288" t="s">
        <v>481</v>
      </c>
      <c r="E26" s="269" t="s">
        <v>75</v>
      </c>
      <c r="F26" s="271" t="s">
        <v>86</v>
      </c>
      <c r="G26" s="271" t="s">
        <v>79</v>
      </c>
      <c r="H26" s="271" t="s">
        <v>482</v>
      </c>
      <c r="I26" s="280">
        <v>12625000</v>
      </c>
      <c r="J26" s="280">
        <f t="shared" si="0"/>
        <v>11572916.666666666</v>
      </c>
      <c r="K26" s="273">
        <f t="shared" si="1"/>
        <v>1388749.9999999998</v>
      </c>
      <c r="L26" s="273">
        <f t="shared" si="2"/>
        <v>14013750</v>
      </c>
      <c r="M26" s="275" t="s">
        <v>492</v>
      </c>
    </row>
    <row r="27" spans="1:13" s="84" customFormat="1" x14ac:dyDescent="0.25">
      <c r="A27" s="330"/>
      <c r="B27" s="246">
        <v>46191</v>
      </c>
      <c r="C27" s="148" t="s">
        <v>91</v>
      </c>
      <c r="D27" s="281" t="s">
        <v>493</v>
      </c>
      <c r="E27" s="157" t="s">
        <v>76</v>
      </c>
      <c r="F27" s="150" t="s">
        <v>93</v>
      </c>
      <c r="G27" s="150" t="s">
        <v>78</v>
      </c>
      <c r="H27" s="152" t="s">
        <v>494</v>
      </c>
      <c r="I27" s="184">
        <v>3155000</v>
      </c>
      <c r="J27" s="184">
        <f t="shared" si="0"/>
        <v>2892083.3333333335</v>
      </c>
      <c r="K27" s="128">
        <f t="shared" si="1"/>
        <v>347050</v>
      </c>
      <c r="L27" s="128">
        <f t="shared" si="2"/>
        <v>3502050</v>
      </c>
    </row>
    <row r="28" spans="1:13" s="84" customFormat="1" x14ac:dyDescent="0.25">
      <c r="A28" s="148"/>
      <c r="B28" s="246">
        <v>46197</v>
      </c>
      <c r="C28" s="148" t="s">
        <v>91</v>
      </c>
      <c r="D28" s="281" t="s">
        <v>495</v>
      </c>
      <c r="E28" s="157" t="s">
        <v>76</v>
      </c>
      <c r="F28" s="150" t="s">
        <v>93</v>
      </c>
      <c r="G28" s="150" t="s">
        <v>78</v>
      </c>
      <c r="H28" s="152" t="s">
        <v>496</v>
      </c>
      <c r="I28" s="184">
        <v>950000</v>
      </c>
      <c r="J28" s="184">
        <f t="shared" si="0"/>
        <v>870833.33333333337</v>
      </c>
      <c r="K28" s="128">
        <f t="shared" si="1"/>
        <v>104500</v>
      </c>
      <c r="L28" s="128">
        <f t="shared" si="2"/>
        <v>1054500</v>
      </c>
    </row>
    <row r="29" spans="1:13" s="84" customFormat="1" ht="15.75" thickBot="1" x14ac:dyDescent="0.3">
      <c r="A29" s="326"/>
      <c r="B29" s="327">
        <v>46197</v>
      </c>
      <c r="C29" s="326" t="s">
        <v>91</v>
      </c>
      <c r="D29" s="281" t="s">
        <v>497</v>
      </c>
      <c r="E29" s="157" t="s">
        <v>76</v>
      </c>
      <c r="F29" s="150" t="s">
        <v>93</v>
      </c>
      <c r="G29" s="150" t="s">
        <v>78</v>
      </c>
      <c r="H29" s="328" t="s">
        <v>177</v>
      </c>
      <c r="I29" s="255">
        <v>13500000</v>
      </c>
      <c r="J29" s="255">
        <f t="shared" si="0"/>
        <v>12375000</v>
      </c>
      <c r="K29" s="329">
        <f t="shared" si="1"/>
        <v>1485000</v>
      </c>
      <c r="L29" s="329">
        <f t="shared" si="2"/>
        <v>14985000</v>
      </c>
    </row>
    <row r="30" spans="1:13" ht="16.5" thickTop="1" thickBot="1" x14ac:dyDescent="0.3">
      <c r="A30" s="322"/>
      <c r="B30" s="322"/>
      <c r="C30" s="322"/>
      <c r="D30" s="323"/>
      <c r="E30" s="322"/>
      <c r="F30" s="322"/>
      <c r="G30" s="322"/>
      <c r="H30" s="322"/>
      <c r="I30" s="324">
        <f>SUM(I6:I29)</f>
        <v>583931099</v>
      </c>
      <c r="J30" s="324">
        <f>SUM(J6:J29)</f>
        <v>535270174.08333325</v>
      </c>
      <c r="K30" s="324">
        <f>SUM(K6:K29)</f>
        <v>64232420.889999993</v>
      </c>
      <c r="L30" s="325">
        <f>SUM(L6:L29)</f>
        <v>648163519.88999999</v>
      </c>
    </row>
    <row r="31" spans="1:13" ht="15.75" thickTop="1" x14ac:dyDescent="0.25"/>
    <row r="34" spans="3:9" x14ac:dyDescent="0.25">
      <c r="F34" s="48"/>
      <c r="G34" s="48"/>
    </row>
    <row r="35" spans="3:9" x14ac:dyDescent="0.25">
      <c r="C35" s="118"/>
      <c r="D35" s="119"/>
      <c r="E35" s="120"/>
      <c r="F35" s="121"/>
      <c r="G35" s="121"/>
    </row>
    <row r="36" spans="3:9" x14ac:dyDescent="0.25">
      <c r="F36" s="48"/>
      <c r="G36" s="48"/>
      <c r="H36" s="48"/>
      <c r="I36" s="143"/>
    </row>
    <row r="37" spans="3:9" x14ac:dyDescent="0.25">
      <c r="I37" s="143"/>
    </row>
    <row r="38" spans="3:9" x14ac:dyDescent="0.25">
      <c r="G38" s="40">
        <f>7500000*11/12</f>
        <v>6875000</v>
      </c>
      <c r="I38" s="143"/>
    </row>
    <row r="39" spans="3:9" x14ac:dyDescent="0.25">
      <c r="G39" s="143">
        <f>4423767*11/12</f>
        <v>4055119.75</v>
      </c>
      <c r="I39" s="143"/>
    </row>
    <row r="40" spans="3:9" x14ac:dyDescent="0.25">
      <c r="G40" s="143">
        <f>2912135*11/12</f>
        <v>2669457.0833333335</v>
      </c>
      <c r="I40" s="143"/>
    </row>
    <row r="41" spans="3:9" x14ac:dyDescent="0.25">
      <c r="G41" s="143">
        <f>1100385*11/12</f>
        <v>1008686.25</v>
      </c>
      <c r="I41" s="143"/>
    </row>
    <row r="42" spans="3:9" x14ac:dyDescent="0.25">
      <c r="G42" s="143">
        <f>5606670*11/12</f>
        <v>5139447.5</v>
      </c>
      <c r="I42" s="143"/>
    </row>
    <row r="43" spans="3:9" x14ac:dyDescent="0.25">
      <c r="G43" s="143">
        <f>4538733*11/12</f>
        <v>4160505.25</v>
      </c>
    </row>
    <row r="44" spans="3:9" x14ac:dyDescent="0.25">
      <c r="G44" s="143">
        <f>26910*11/12</f>
        <v>24667.5</v>
      </c>
    </row>
    <row r="45" spans="3:9" x14ac:dyDescent="0.25">
      <c r="G45" s="143">
        <f>33642*11/12</f>
        <v>30838.5</v>
      </c>
    </row>
    <row r="46" spans="3:9" x14ac:dyDescent="0.25">
      <c r="G46" s="143">
        <f>448536*11/12</f>
        <v>411158</v>
      </c>
    </row>
    <row r="47" spans="3:9" x14ac:dyDescent="0.25">
      <c r="G47" s="143">
        <f>1521810*11/12</f>
        <v>1394992.5</v>
      </c>
    </row>
    <row r="48" spans="3:9" x14ac:dyDescent="0.25">
      <c r="G48" s="143">
        <f>4879880*11/12</f>
        <v>4473223.333333333</v>
      </c>
    </row>
    <row r="49" spans="7:7" x14ac:dyDescent="0.25">
      <c r="G49" s="143">
        <f>40991291*11/12</f>
        <v>37575350.083333336</v>
      </c>
    </row>
    <row r="50" spans="7:7" x14ac:dyDescent="0.25">
      <c r="G50" s="143">
        <f>148498498*11/12</f>
        <v>136123623.16666666</v>
      </c>
    </row>
    <row r="51" spans="7:7" x14ac:dyDescent="0.25">
      <c r="G51" s="143">
        <f>44502102*11/12</f>
        <v>40793593.5</v>
      </c>
    </row>
    <row r="54" spans="7:7" x14ac:dyDescent="0.25">
      <c r="G54" s="143">
        <f>33177777*2%</f>
        <v>663555.54</v>
      </c>
    </row>
    <row r="56" spans="7:7" x14ac:dyDescent="0.25">
      <c r="G56" s="143">
        <f>3155000*11/12</f>
        <v>2892083.3333333335</v>
      </c>
    </row>
    <row r="57" spans="7:7" x14ac:dyDescent="0.25">
      <c r="G57" s="143">
        <f>13500000*11/12</f>
        <v>12375000</v>
      </c>
    </row>
    <row r="58" spans="7:7" x14ac:dyDescent="0.25">
      <c r="G58" s="143">
        <f>950000*11/12</f>
        <v>870833.33333333337</v>
      </c>
    </row>
  </sheetData>
  <mergeCells count="3">
    <mergeCell ref="A1:L1"/>
    <mergeCell ref="A2:L2"/>
    <mergeCell ref="A3:L3"/>
  </mergeCells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zoomScale="90" zoomScaleNormal="90" workbookViewId="0">
      <selection activeCell="F6" sqref="F6"/>
    </sheetView>
  </sheetViews>
  <sheetFormatPr defaultRowHeight="15" x14ac:dyDescent="0.25"/>
  <cols>
    <col min="1" max="1" width="4" style="40" bestFit="1" customWidth="1"/>
    <col min="2" max="2" width="10.5703125" style="40" customWidth="1"/>
    <col min="3" max="3" width="8.42578125" style="40" bestFit="1" customWidth="1"/>
    <col min="4" max="4" width="19" style="40" customWidth="1"/>
    <col min="5" max="5" width="18.5703125" style="40" customWidth="1"/>
    <col min="6" max="6" width="25.28515625" style="40" customWidth="1"/>
    <col min="7" max="7" width="20" style="40" customWidth="1"/>
    <col min="8" max="8" width="96.28515625" style="40" customWidth="1"/>
    <col min="9" max="9" width="17.7109375" style="40" bestFit="1" customWidth="1"/>
    <col min="10" max="10" width="17.7109375" style="40" customWidth="1"/>
    <col min="11" max="11" width="16.140625" style="40" bestFit="1" customWidth="1"/>
    <col min="12" max="12" width="18.85546875" style="40" bestFit="1" customWidth="1"/>
  </cols>
  <sheetData>
    <row r="1" spans="1:12" ht="15.75" x14ac:dyDescent="0.25">
      <c r="A1" s="296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</row>
    <row r="2" spans="1:12" ht="15.75" x14ac:dyDescent="0.25">
      <c r="A2" s="296" t="s">
        <v>38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6"/>
    </row>
    <row r="3" spans="1:12" ht="15.75" x14ac:dyDescent="0.25">
      <c r="A3" s="296" t="s">
        <v>312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</row>
    <row r="4" spans="1:12" ht="15.75" thickBot="1" x14ac:dyDescent="0.3"/>
    <row r="5" spans="1:12" s="39" customFormat="1" ht="30.75" customHeight="1" thickTop="1" thickBot="1" x14ac:dyDescent="0.3">
      <c r="A5" s="47" t="s">
        <v>26</v>
      </c>
      <c r="B5" s="47" t="s">
        <v>36</v>
      </c>
      <c r="C5" s="47" t="s">
        <v>27</v>
      </c>
      <c r="D5" s="47" t="s">
        <v>28</v>
      </c>
      <c r="E5" s="47" t="s">
        <v>30</v>
      </c>
      <c r="F5" s="47" t="s">
        <v>29</v>
      </c>
      <c r="G5" s="47" t="s">
        <v>77</v>
      </c>
      <c r="H5" s="47" t="s">
        <v>31</v>
      </c>
      <c r="I5" s="47" t="s">
        <v>32</v>
      </c>
      <c r="J5" s="47" t="s">
        <v>85</v>
      </c>
      <c r="K5" s="47" t="s">
        <v>33</v>
      </c>
      <c r="L5" s="47" t="s">
        <v>34</v>
      </c>
    </row>
    <row r="6" spans="1:12" s="84" customFormat="1" ht="15.75" thickTop="1" x14ac:dyDescent="0.25">
      <c r="A6" s="148">
        <v>1</v>
      </c>
      <c r="B6" s="161"/>
      <c r="C6" s="148" t="s">
        <v>84</v>
      </c>
      <c r="D6" s="164"/>
      <c r="E6" s="157"/>
      <c r="F6" s="150"/>
      <c r="G6" s="150"/>
      <c r="H6" s="127"/>
      <c r="I6" s="128"/>
      <c r="J6" s="128">
        <f>I6*11/12</f>
        <v>0</v>
      </c>
      <c r="K6" s="128">
        <f>J6*12%</f>
        <v>0</v>
      </c>
      <c r="L6" s="128">
        <f>I6+K6</f>
        <v>0</v>
      </c>
    </row>
    <row r="7" spans="1:12" s="84" customFormat="1" x14ac:dyDescent="0.25">
      <c r="A7" s="148">
        <v>2</v>
      </c>
      <c r="B7" s="161"/>
      <c r="C7" s="148" t="s">
        <v>84</v>
      </c>
      <c r="D7" s="164"/>
      <c r="E7" s="157"/>
      <c r="F7" s="150"/>
      <c r="G7" s="150"/>
      <c r="H7" s="127"/>
      <c r="I7" s="128"/>
      <c r="J7" s="128">
        <f t="shared" ref="J7:J28" si="0">I7*11/12</f>
        <v>0</v>
      </c>
      <c r="K7" s="128">
        <f t="shared" ref="K7:K28" si="1">J7*12%</f>
        <v>0</v>
      </c>
      <c r="L7" s="128">
        <f>I7+K7</f>
        <v>0</v>
      </c>
    </row>
    <row r="8" spans="1:12" s="84" customFormat="1" x14ac:dyDescent="0.25">
      <c r="A8" s="148">
        <v>3</v>
      </c>
      <c r="B8" s="161"/>
      <c r="C8" s="148" t="s">
        <v>84</v>
      </c>
      <c r="D8" s="164"/>
      <c r="E8" s="157"/>
      <c r="F8" s="150"/>
      <c r="G8" s="150"/>
      <c r="H8" s="127"/>
      <c r="I8" s="128"/>
      <c r="J8" s="128">
        <f t="shared" si="0"/>
        <v>0</v>
      </c>
      <c r="K8" s="128">
        <f t="shared" si="1"/>
        <v>0</v>
      </c>
      <c r="L8" s="128">
        <f t="shared" ref="L8:L28" si="2">I8+K8</f>
        <v>0</v>
      </c>
    </row>
    <row r="9" spans="1:12" s="84" customFormat="1" x14ac:dyDescent="0.25">
      <c r="A9" s="148">
        <v>4</v>
      </c>
      <c r="B9" s="161"/>
      <c r="C9" s="148" t="s">
        <v>84</v>
      </c>
      <c r="D9" s="164"/>
      <c r="E9" s="157"/>
      <c r="F9" s="150"/>
      <c r="G9" s="150"/>
      <c r="H9" s="129"/>
      <c r="I9" s="128"/>
      <c r="J9" s="128">
        <f t="shared" si="0"/>
        <v>0</v>
      </c>
      <c r="K9" s="128">
        <f t="shared" si="1"/>
        <v>0</v>
      </c>
      <c r="L9" s="128">
        <f t="shared" si="2"/>
        <v>0</v>
      </c>
    </row>
    <row r="10" spans="1:12" s="84" customFormat="1" x14ac:dyDescent="0.25">
      <c r="A10" s="148">
        <v>5</v>
      </c>
      <c r="B10" s="161"/>
      <c r="C10" s="148" t="s">
        <v>84</v>
      </c>
      <c r="D10" s="164"/>
      <c r="E10" s="157"/>
      <c r="F10" s="150"/>
      <c r="G10" s="150"/>
      <c r="H10" s="127"/>
      <c r="I10" s="128"/>
      <c r="J10" s="128">
        <f t="shared" si="0"/>
        <v>0</v>
      </c>
      <c r="K10" s="128">
        <f t="shared" si="1"/>
        <v>0</v>
      </c>
      <c r="L10" s="128">
        <f t="shared" si="2"/>
        <v>0</v>
      </c>
    </row>
    <row r="11" spans="1:12" s="84" customFormat="1" x14ac:dyDescent="0.25">
      <c r="A11" s="148">
        <v>6</v>
      </c>
      <c r="B11" s="161"/>
      <c r="C11" s="148" t="s">
        <v>84</v>
      </c>
      <c r="D11" s="164"/>
      <c r="E11" s="157"/>
      <c r="F11" s="150"/>
      <c r="G11" s="150"/>
      <c r="H11" s="127"/>
      <c r="I11" s="128"/>
      <c r="J11" s="128">
        <f t="shared" si="0"/>
        <v>0</v>
      </c>
      <c r="K11" s="128">
        <f t="shared" si="1"/>
        <v>0</v>
      </c>
      <c r="L11" s="128">
        <f t="shared" si="2"/>
        <v>0</v>
      </c>
    </row>
    <row r="12" spans="1:12" s="84" customFormat="1" x14ac:dyDescent="0.25">
      <c r="A12" s="148">
        <v>7</v>
      </c>
      <c r="B12" s="161"/>
      <c r="C12" s="148" t="s">
        <v>84</v>
      </c>
      <c r="D12" s="164"/>
      <c r="E12" s="157"/>
      <c r="F12" s="150"/>
      <c r="G12" s="150"/>
      <c r="H12" s="127"/>
      <c r="I12" s="128"/>
      <c r="J12" s="128">
        <f t="shared" si="0"/>
        <v>0</v>
      </c>
      <c r="K12" s="128">
        <f t="shared" si="1"/>
        <v>0</v>
      </c>
      <c r="L12" s="128">
        <f t="shared" si="2"/>
        <v>0</v>
      </c>
    </row>
    <row r="13" spans="1:12" s="84" customFormat="1" x14ac:dyDescent="0.25">
      <c r="A13" s="148">
        <v>8</v>
      </c>
      <c r="B13" s="161"/>
      <c r="C13" s="148" t="s">
        <v>84</v>
      </c>
      <c r="D13" s="164"/>
      <c r="E13" s="157"/>
      <c r="F13" s="150"/>
      <c r="G13" s="150"/>
      <c r="H13" s="127"/>
      <c r="I13" s="128"/>
      <c r="J13" s="128">
        <f t="shared" si="0"/>
        <v>0</v>
      </c>
      <c r="K13" s="128">
        <f t="shared" si="1"/>
        <v>0</v>
      </c>
      <c r="L13" s="128">
        <f t="shared" si="2"/>
        <v>0</v>
      </c>
    </row>
    <row r="14" spans="1:12" s="84" customFormat="1" x14ac:dyDescent="0.25">
      <c r="A14" s="148">
        <v>9</v>
      </c>
      <c r="B14" s="161"/>
      <c r="C14" s="148" t="s">
        <v>84</v>
      </c>
      <c r="D14" s="164"/>
      <c r="E14" s="157"/>
      <c r="F14" s="150"/>
      <c r="G14" s="150"/>
      <c r="H14" s="127"/>
      <c r="I14" s="151"/>
      <c r="J14" s="128">
        <f t="shared" si="0"/>
        <v>0</v>
      </c>
      <c r="K14" s="128">
        <f t="shared" si="1"/>
        <v>0</v>
      </c>
      <c r="L14" s="128">
        <f t="shared" si="2"/>
        <v>0</v>
      </c>
    </row>
    <row r="15" spans="1:12" s="84" customFormat="1" x14ac:dyDescent="0.25">
      <c r="A15" s="148">
        <v>10</v>
      </c>
      <c r="B15" s="161"/>
      <c r="C15" s="148" t="s">
        <v>84</v>
      </c>
      <c r="D15" s="164"/>
      <c r="E15" s="157"/>
      <c r="F15" s="150"/>
      <c r="G15" s="150"/>
      <c r="H15" s="127"/>
      <c r="I15" s="128"/>
      <c r="J15" s="128">
        <f t="shared" si="0"/>
        <v>0</v>
      </c>
      <c r="K15" s="128">
        <f t="shared" si="1"/>
        <v>0</v>
      </c>
      <c r="L15" s="128">
        <f t="shared" si="2"/>
        <v>0</v>
      </c>
    </row>
    <row r="16" spans="1:12" s="84" customFormat="1" x14ac:dyDescent="0.25">
      <c r="A16" s="148">
        <v>11</v>
      </c>
      <c r="B16" s="161"/>
      <c r="C16" s="148" t="s">
        <v>84</v>
      </c>
      <c r="D16" s="164"/>
      <c r="E16" s="157"/>
      <c r="F16" s="150"/>
      <c r="G16" s="150"/>
      <c r="H16" s="127"/>
      <c r="I16" s="128"/>
      <c r="J16" s="128">
        <f t="shared" si="0"/>
        <v>0</v>
      </c>
      <c r="K16" s="128">
        <f t="shared" si="1"/>
        <v>0</v>
      </c>
      <c r="L16" s="128">
        <f t="shared" si="2"/>
        <v>0</v>
      </c>
    </row>
    <row r="17" spans="1:12" s="84" customFormat="1" x14ac:dyDescent="0.25">
      <c r="A17" s="148">
        <v>12</v>
      </c>
      <c r="B17" s="161"/>
      <c r="C17" s="148" t="s">
        <v>84</v>
      </c>
      <c r="D17" s="164"/>
      <c r="E17" s="157"/>
      <c r="F17" s="150"/>
      <c r="G17" s="150"/>
      <c r="H17" s="127"/>
      <c r="I17" s="128"/>
      <c r="J17" s="128">
        <f t="shared" si="0"/>
        <v>0</v>
      </c>
      <c r="K17" s="128">
        <f t="shared" si="1"/>
        <v>0</v>
      </c>
      <c r="L17" s="128">
        <f t="shared" si="2"/>
        <v>0</v>
      </c>
    </row>
    <row r="18" spans="1:12" s="84" customFormat="1" x14ac:dyDescent="0.25">
      <c r="A18" s="148">
        <v>13</v>
      </c>
      <c r="B18" s="161"/>
      <c r="C18" s="148" t="s">
        <v>84</v>
      </c>
      <c r="D18" s="164"/>
      <c r="E18" s="157"/>
      <c r="F18" s="150"/>
      <c r="G18" s="150"/>
      <c r="H18" s="107"/>
      <c r="I18" s="105"/>
      <c r="J18" s="128">
        <f t="shared" si="0"/>
        <v>0</v>
      </c>
      <c r="K18" s="128">
        <f t="shared" si="1"/>
        <v>0</v>
      </c>
      <c r="L18" s="128">
        <f t="shared" si="2"/>
        <v>0</v>
      </c>
    </row>
    <row r="19" spans="1:12" s="84" customFormat="1" x14ac:dyDescent="0.25">
      <c r="A19" s="148">
        <v>14</v>
      </c>
      <c r="B19" s="161"/>
      <c r="C19" s="148" t="s">
        <v>84</v>
      </c>
      <c r="D19" s="164"/>
      <c r="E19" s="157"/>
      <c r="F19" s="150"/>
      <c r="G19" s="150"/>
      <c r="H19" s="107"/>
      <c r="I19" s="105"/>
      <c r="J19" s="128">
        <f t="shared" si="0"/>
        <v>0</v>
      </c>
      <c r="K19" s="128">
        <f t="shared" si="1"/>
        <v>0</v>
      </c>
      <c r="L19" s="128">
        <f t="shared" si="2"/>
        <v>0</v>
      </c>
    </row>
    <row r="20" spans="1:12" s="84" customFormat="1" x14ac:dyDescent="0.25">
      <c r="A20" s="148">
        <v>15</v>
      </c>
      <c r="B20" s="161"/>
      <c r="C20" s="148" t="s">
        <v>84</v>
      </c>
      <c r="D20" s="164"/>
      <c r="E20" s="157"/>
      <c r="F20" s="150"/>
      <c r="G20" s="150"/>
      <c r="H20" s="104"/>
      <c r="I20" s="105"/>
      <c r="J20" s="128">
        <f t="shared" si="0"/>
        <v>0</v>
      </c>
      <c r="K20" s="128">
        <f t="shared" si="1"/>
        <v>0</v>
      </c>
      <c r="L20" s="128">
        <f t="shared" si="2"/>
        <v>0</v>
      </c>
    </row>
    <row r="21" spans="1:12" s="84" customFormat="1" x14ac:dyDescent="0.25">
      <c r="A21" s="148">
        <v>16</v>
      </c>
      <c r="B21" s="161"/>
      <c r="C21" s="148" t="s">
        <v>84</v>
      </c>
      <c r="D21" s="164"/>
      <c r="E21" s="157"/>
      <c r="F21" s="150"/>
      <c r="G21" s="150"/>
      <c r="H21" s="107"/>
      <c r="I21" s="106"/>
      <c r="J21" s="128">
        <f t="shared" si="0"/>
        <v>0</v>
      </c>
      <c r="K21" s="128">
        <f t="shared" si="1"/>
        <v>0</v>
      </c>
      <c r="L21" s="128">
        <f t="shared" si="2"/>
        <v>0</v>
      </c>
    </row>
    <row r="22" spans="1:12" s="84" customFormat="1" x14ac:dyDescent="0.25">
      <c r="A22" s="148">
        <v>17</v>
      </c>
      <c r="B22" s="161"/>
      <c r="C22" s="148" t="s">
        <v>84</v>
      </c>
      <c r="D22" s="164"/>
      <c r="E22" s="157"/>
      <c r="F22" s="150"/>
      <c r="G22" s="150"/>
      <c r="H22" s="107"/>
      <c r="I22" s="106"/>
      <c r="J22" s="128">
        <f t="shared" si="0"/>
        <v>0</v>
      </c>
      <c r="K22" s="128">
        <f t="shared" si="1"/>
        <v>0</v>
      </c>
      <c r="L22" s="128">
        <f t="shared" si="2"/>
        <v>0</v>
      </c>
    </row>
    <row r="23" spans="1:12" s="84" customFormat="1" x14ac:dyDescent="0.25">
      <c r="A23" s="148">
        <v>18</v>
      </c>
      <c r="B23" s="161"/>
      <c r="C23" s="148" t="s">
        <v>84</v>
      </c>
      <c r="D23" s="164"/>
      <c r="E23" s="157"/>
      <c r="F23" s="150"/>
      <c r="G23" s="150"/>
      <c r="H23" s="107"/>
      <c r="I23" s="106"/>
      <c r="J23" s="128">
        <f t="shared" si="0"/>
        <v>0</v>
      </c>
      <c r="K23" s="128">
        <f t="shared" si="1"/>
        <v>0</v>
      </c>
      <c r="L23" s="128">
        <f t="shared" si="2"/>
        <v>0</v>
      </c>
    </row>
    <row r="24" spans="1:12" s="84" customFormat="1" x14ac:dyDescent="0.25">
      <c r="A24" s="148">
        <v>19</v>
      </c>
      <c r="B24" s="161"/>
      <c r="C24" s="148" t="s">
        <v>84</v>
      </c>
      <c r="D24" s="164"/>
      <c r="E24" s="157"/>
      <c r="F24" s="150"/>
      <c r="G24" s="150"/>
      <c r="H24" s="107"/>
      <c r="I24" s="106"/>
      <c r="J24" s="128">
        <f t="shared" si="0"/>
        <v>0</v>
      </c>
      <c r="K24" s="128">
        <f t="shared" si="1"/>
        <v>0</v>
      </c>
      <c r="L24" s="128">
        <f t="shared" si="2"/>
        <v>0</v>
      </c>
    </row>
    <row r="25" spans="1:12" s="84" customFormat="1" x14ac:dyDescent="0.25">
      <c r="A25" s="148">
        <v>20</v>
      </c>
      <c r="B25" s="161"/>
      <c r="C25" s="148" t="s">
        <v>84</v>
      </c>
      <c r="D25" s="164"/>
      <c r="E25" s="157"/>
      <c r="F25" s="150"/>
      <c r="G25" s="150"/>
      <c r="H25" s="107"/>
      <c r="I25" s="106"/>
      <c r="J25" s="128">
        <f t="shared" si="0"/>
        <v>0</v>
      </c>
      <c r="K25" s="128">
        <f t="shared" si="1"/>
        <v>0</v>
      </c>
      <c r="L25" s="128">
        <f t="shared" si="2"/>
        <v>0</v>
      </c>
    </row>
    <row r="26" spans="1:12" s="84" customFormat="1" x14ac:dyDescent="0.25">
      <c r="A26" s="148">
        <v>21</v>
      </c>
      <c r="B26" s="161"/>
      <c r="C26" s="148" t="s">
        <v>84</v>
      </c>
      <c r="D26" s="164"/>
      <c r="E26" s="157"/>
      <c r="F26" s="150"/>
      <c r="G26" s="150"/>
      <c r="H26" s="107"/>
      <c r="I26" s="106"/>
      <c r="J26" s="128">
        <f t="shared" si="0"/>
        <v>0</v>
      </c>
      <c r="K26" s="128">
        <f t="shared" si="1"/>
        <v>0</v>
      </c>
      <c r="L26" s="128">
        <f t="shared" si="2"/>
        <v>0</v>
      </c>
    </row>
    <row r="27" spans="1:12" s="84" customFormat="1" x14ac:dyDescent="0.25">
      <c r="A27" s="148">
        <v>22</v>
      </c>
      <c r="B27" s="161"/>
      <c r="C27" s="148" t="s">
        <v>84</v>
      </c>
      <c r="D27" s="164"/>
      <c r="E27" s="157"/>
      <c r="F27" s="150"/>
      <c r="G27" s="150"/>
      <c r="H27" s="107"/>
      <c r="I27" s="106"/>
      <c r="J27" s="128">
        <f t="shared" si="0"/>
        <v>0</v>
      </c>
      <c r="K27" s="128">
        <f t="shared" si="1"/>
        <v>0</v>
      </c>
      <c r="L27" s="128">
        <f t="shared" si="2"/>
        <v>0</v>
      </c>
    </row>
    <row r="28" spans="1:12" s="84" customFormat="1" ht="15.75" thickBot="1" x14ac:dyDescent="0.3">
      <c r="A28" s="148">
        <v>23</v>
      </c>
      <c r="B28" s="161"/>
      <c r="C28" s="148" t="s">
        <v>84</v>
      </c>
      <c r="D28" s="164"/>
      <c r="E28" s="157"/>
      <c r="F28" s="150"/>
      <c r="G28" s="150"/>
      <c r="H28" s="108"/>
      <c r="I28" s="106"/>
      <c r="J28" s="128">
        <f t="shared" si="0"/>
        <v>0</v>
      </c>
      <c r="K28" s="128">
        <f t="shared" si="1"/>
        <v>0</v>
      </c>
      <c r="L28" s="128">
        <f t="shared" si="2"/>
        <v>0</v>
      </c>
    </row>
    <row r="29" spans="1:12" ht="16.5" thickTop="1" thickBot="1" x14ac:dyDescent="0.3">
      <c r="A29" s="43"/>
      <c r="B29" s="43"/>
      <c r="C29" s="43"/>
      <c r="D29" s="44"/>
      <c r="E29" s="43"/>
      <c r="F29" s="43"/>
      <c r="G29" s="43"/>
      <c r="H29" s="43"/>
      <c r="I29" s="45">
        <f>SUM(I6:I28)</f>
        <v>0</v>
      </c>
      <c r="J29" s="45">
        <f>SUM(J6:J28)</f>
        <v>0</v>
      </c>
      <c r="K29" s="45">
        <f>SUM(K6:K28)</f>
        <v>0</v>
      </c>
      <c r="L29" s="46">
        <f>SUM(L6:L28)</f>
        <v>0</v>
      </c>
    </row>
    <row r="30" spans="1:12" ht="15.75" thickTop="1" x14ac:dyDescent="0.25"/>
    <row r="33" spans="3:10" x14ac:dyDescent="0.25">
      <c r="F33" s="48"/>
      <c r="G33" s="48"/>
      <c r="I33" s="145"/>
      <c r="J33" s="145"/>
    </row>
    <row r="34" spans="3:10" x14ac:dyDescent="0.25">
      <c r="C34" s="118"/>
      <c r="D34" s="119"/>
      <c r="E34" s="120"/>
      <c r="F34" s="121"/>
      <c r="G34" s="121"/>
      <c r="I34" s="143"/>
      <c r="J34" s="143"/>
    </row>
    <row r="35" spans="3:10" x14ac:dyDescent="0.25">
      <c r="F35" s="48"/>
      <c r="G35" s="48"/>
      <c r="H35" s="48"/>
      <c r="I35" s="143"/>
      <c r="J35" s="143"/>
    </row>
    <row r="36" spans="3:10" x14ac:dyDescent="0.25">
      <c r="I36" s="144"/>
      <c r="J36" s="144"/>
    </row>
    <row r="37" spans="3:10" x14ac:dyDescent="0.25">
      <c r="G37" s="143">
        <f>2500000*11/12</f>
        <v>2291666.6666666665</v>
      </c>
      <c r="I37" s="143"/>
      <c r="J37" s="143"/>
    </row>
    <row r="38" spans="3:10" x14ac:dyDescent="0.25">
      <c r="G38" s="143">
        <f>250000*11/12</f>
        <v>229166.66666666666</v>
      </c>
      <c r="I38" s="143"/>
      <c r="J38" s="143"/>
    </row>
    <row r="39" spans="3:10" x14ac:dyDescent="0.25">
      <c r="G39" s="143">
        <f>1250000*11/12</f>
        <v>1145833.3333333333</v>
      </c>
    </row>
    <row r="40" spans="3:10" x14ac:dyDescent="0.25">
      <c r="G40" s="143">
        <f>125000*11/12</f>
        <v>114583.33333333333</v>
      </c>
      <c r="I40" s="146"/>
      <c r="J40" s="146"/>
    </row>
    <row r="41" spans="3:10" x14ac:dyDescent="0.25">
      <c r="G41" s="143">
        <f>7500000*11/12</f>
        <v>6875000</v>
      </c>
    </row>
    <row r="42" spans="3:10" x14ac:dyDescent="0.25">
      <c r="G42" s="143">
        <f>750000*11/12</f>
        <v>687500</v>
      </c>
    </row>
    <row r="43" spans="3:10" x14ac:dyDescent="0.25">
      <c r="G43" s="143">
        <f>2500000*11/12</f>
        <v>2291666.6666666665</v>
      </c>
    </row>
    <row r="44" spans="3:10" x14ac:dyDescent="0.25">
      <c r="G44" s="143">
        <f>250000*11/12</f>
        <v>229166.66666666666</v>
      </c>
    </row>
    <row r="45" spans="3:10" x14ac:dyDescent="0.25">
      <c r="G45" s="143">
        <f>8500000*11/12</f>
        <v>7791666.666666667</v>
      </c>
    </row>
    <row r="46" spans="3:10" x14ac:dyDescent="0.25">
      <c r="G46" s="143">
        <f>850000*11/12</f>
        <v>779166.66666666663</v>
      </c>
    </row>
    <row r="47" spans="3:10" x14ac:dyDescent="0.25">
      <c r="G47" s="143">
        <f>11551875*11/12</f>
        <v>10589218.75</v>
      </c>
    </row>
    <row r="48" spans="3:10" x14ac:dyDescent="0.25">
      <c r="G48" s="143">
        <f>1155187.5*11/12</f>
        <v>1058921.875</v>
      </c>
    </row>
  </sheetData>
  <mergeCells count="3">
    <mergeCell ref="A1:L1"/>
    <mergeCell ref="A2:L2"/>
    <mergeCell ref="A3:L3"/>
  </mergeCells>
  <pageMargins left="0.7" right="0.7" top="0.75" bottom="0.75" header="0.3" footer="0.3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zoomScale="90" zoomScaleNormal="90" workbookViewId="0">
      <selection activeCell="A4" sqref="A4"/>
    </sheetView>
  </sheetViews>
  <sheetFormatPr defaultRowHeight="15" x14ac:dyDescent="0.25"/>
  <cols>
    <col min="1" max="1" width="4" style="40" bestFit="1" customWidth="1"/>
    <col min="2" max="2" width="10.5703125" style="40" customWidth="1"/>
    <col min="3" max="3" width="8.42578125" style="40" bestFit="1" customWidth="1"/>
    <col min="4" max="4" width="21.85546875" style="40" customWidth="1"/>
    <col min="5" max="5" width="18.5703125" style="40" customWidth="1"/>
    <col min="6" max="7" width="26.140625" style="40" customWidth="1"/>
    <col min="8" max="8" width="93.5703125" style="40" customWidth="1"/>
    <col min="9" max="9" width="17.7109375" style="40" bestFit="1" customWidth="1"/>
    <col min="10" max="10" width="17.7109375" style="40" customWidth="1"/>
    <col min="11" max="11" width="16.140625" style="40" bestFit="1" customWidth="1"/>
    <col min="12" max="12" width="18.85546875" style="40" bestFit="1" customWidth="1"/>
  </cols>
  <sheetData>
    <row r="1" spans="1:12" ht="15.75" x14ac:dyDescent="0.25">
      <c r="A1" s="296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</row>
    <row r="2" spans="1:12" ht="15.75" x14ac:dyDescent="0.25">
      <c r="A2" s="296" t="s">
        <v>38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6"/>
    </row>
    <row r="3" spans="1:12" ht="15.75" x14ac:dyDescent="0.25">
      <c r="A3" s="296" t="s">
        <v>313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</row>
    <row r="4" spans="1:12" ht="15.75" thickBot="1" x14ac:dyDescent="0.3"/>
    <row r="5" spans="1:12" s="39" customFormat="1" ht="30.75" customHeight="1" thickTop="1" thickBot="1" x14ac:dyDescent="0.3">
      <c r="A5" s="47" t="s">
        <v>26</v>
      </c>
      <c r="B5" s="47" t="s">
        <v>36</v>
      </c>
      <c r="C5" s="47" t="s">
        <v>27</v>
      </c>
      <c r="D5" s="47" t="s">
        <v>28</v>
      </c>
      <c r="E5" s="47" t="s">
        <v>30</v>
      </c>
      <c r="F5" s="47" t="s">
        <v>29</v>
      </c>
      <c r="G5" s="47" t="s">
        <v>94</v>
      </c>
      <c r="H5" s="47" t="s">
        <v>31</v>
      </c>
      <c r="I5" s="47" t="s">
        <v>32</v>
      </c>
      <c r="J5" s="47" t="s">
        <v>92</v>
      </c>
      <c r="K5" s="47" t="s">
        <v>33</v>
      </c>
      <c r="L5" s="47" t="s">
        <v>34</v>
      </c>
    </row>
    <row r="6" spans="1:12" s="84" customFormat="1" ht="15.75" thickTop="1" x14ac:dyDescent="0.25">
      <c r="A6" s="148">
        <v>1</v>
      </c>
      <c r="B6" s="161"/>
      <c r="C6" s="148" t="s">
        <v>129</v>
      </c>
      <c r="D6" s="164"/>
      <c r="E6" s="157"/>
      <c r="F6" s="150"/>
      <c r="G6" s="150"/>
      <c r="H6" s="127"/>
      <c r="I6" s="128"/>
      <c r="J6" s="128">
        <f>I6*11/12</f>
        <v>0</v>
      </c>
      <c r="K6" s="128">
        <f>I6*11%</f>
        <v>0</v>
      </c>
      <c r="L6" s="128">
        <f>I6+K6</f>
        <v>0</v>
      </c>
    </row>
    <row r="7" spans="1:12" s="84" customFormat="1" x14ac:dyDescent="0.25">
      <c r="A7" s="148">
        <v>2</v>
      </c>
      <c r="B7" s="161"/>
      <c r="C7" s="148" t="s">
        <v>129</v>
      </c>
      <c r="D7" s="164"/>
      <c r="E7" s="157"/>
      <c r="F7" s="150"/>
      <c r="G7" s="150"/>
      <c r="H7" s="127"/>
      <c r="I7" s="128"/>
      <c r="J7" s="128">
        <f t="shared" ref="J7:J22" si="0">I7*11/12</f>
        <v>0</v>
      </c>
      <c r="K7" s="128">
        <f>I7*11%</f>
        <v>0</v>
      </c>
      <c r="L7" s="128">
        <f>I7+K7</f>
        <v>0</v>
      </c>
    </row>
    <row r="8" spans="1:12" s="84" customFormat="1" x14ac:dyDescent="0.25">
      <c r="A8" s="148">
        <v>3</v>
      </c>
      <c r="B8" s="161"/>
      <c r="C8" s="148" t="s">
        <v>129</v>
      </c>
      <c r="D8" s="164"/>
      <c r="E8" s="157"/>
      <c r="F8" s="150"/>
      <c r="G8" s="150"/>
      <c r="H8" s="127"/>
      <c r="I8" s="151"/>
      <c r="J8" s="128">
        <f t="shared" si="0"/>
        <v>0</v>
      </c>
      <c r="K8" s="128">
        <f t="shared" ref="K8:K9" si="1">I8*11%</f>
        <v>0</v>
      </c>
      <c r="L8" s="128">
        <f t="shared" ref="L8:L22" si="2">I8+K8</f>
        <v>0</v>
      </c>
    </row>
    <row r="9" spans="1:12" s="84" customFormat="1" x14ac:dyDescent="0.25">
      <c r="A9" s="148">
        <v>4</v>
      </c>
      <c r="B9" s="161"/>
      <c r="C9" s="148" t="s">
        <v>129</v>
      </c>
      <c r="D9" s="164"/>
      <c r="E9" s="157"/>
      <c r="F9" s="150"/>
      <c r="G9" s="150"/>
      <c r="H9" s="127"/>
      <c r="I9" s="128"/>
      <c r="J9" s="128">
        <f t="shared" si="0"/>
        <v>0</v>
      </c>
      <c r="K9" s="128">
        <f t="shared" si="1"/>
        <v>0</v>
      </c>
      <c r="L9" s="128">
        <f t="shared" si="2"/>
        <v>0</v>
      </c>
    </row>
    <row r="10" spans="1:12" s="84" customFormat="1" x14ac:dyDescent="0.25">
      <c r="A10" s="148">
        <v>5</v>
      </c>
      <c r="B10" s="161"/>
      <c r="C10" s="148" t="s">
        <v>129</v>
      </c>
      <c r="D10" s="164"/>
      <c r="E10" s="157"/>
      <c r="F10" s="150"/>
      <c r="G10" s="150"/>
      <c r="H10" s="107"/>
      <c r="I10" s="105"/>
      <c r="J10" s="128">
        <f t="shared" si="0"/>
        <v>0</v>
      </c>
      <c r="K10" s="128">
        <f>I10*11%</f>
        <v>0</v>
      </c>
      <c r="L10" s="128">
        <f t="shared" si="2"/>
        <v>0</v>
      </c>
    </row>
    <row r="11" spans="1:12" s="84" customFormat="1" x14ac:dyDescent="0.25">
      <c r="A11" s="148">
        <v>6</v>
      </c>
      <c r="B11" s="161"/>
      <c r="C11" s="148" t="s">
        <v>129</v>
      </c>
      <c r="D11" s="188"/>
      <c r="E11" s="157"/>
      <c r="F11" s="150"/>
      <c r="G11" s="150"/>
      <c r="H11" s="150"/>
      <c r="I11" s="128"/>
      <c r="J11" s="128">
        <f t="shared" si="0"/>
        <v>0</v>
      </c>
      <c r="K11" s="128">
        <f>I11*11%</f>
        <v>0</v>
      </c>
      <c r="L11" s="128">
        <f t="shared" si="2"/>
        <v>0</v>
      </c>
    </row>
    <row r="12" spans="1:12" s="84" customFormat="1" x14ac:dyDescent="0.25">
      <c r="A12" s="148">
        <v>7</v>
      </c>
      <c r="B12" s="161"/>
      <c r="C12" s="148" t="s">
        <v>129</v>
      </c>
      <c r="D12" s="188"/>
      <c r="E12" s="157"/>
      <c r="F12" s="150"/>
      <c r="G12" s="150"/>
      <c r="H12" s="107"/>
      <c r="I12" s="128"/>
      <c r="J12" s="128">
        <f t="shared" si="0"/>
        <v>0</v>
      </c>
      <c r="K12" s="128">
        <f t="shared" ref="K12:K22" si="3">I12*11%</f>
        <v>0</v>
      </c>
      <c r="L12" s="128">
        <f t="shared" si="2"/>
        <v>0</v>
      </c>
    </row>
    <row r="13" spans="1:12" s="84" customFormat="1" x14ac:dyDescent="0.25">
      <c r="A13" s="148">
        <v>8</v>
      </c>
      <c r="B13" s="161"/>
      <c r="C13" s="148" t="s">
        <v>129</v>
      </c>
      <c r="D13" s="188"/>
      <c r="E13" s="157"/>
      <c r="F13" s="150"/>
      <c r="G13" s="150"/>
      <c r="H13" s="127"/>
      <c r="I13" s="128"/>
      <c r="J13" s="128">
        <f t="shared" si="0"/>
        <v>0</v>
      </c>
      <c r="K13" s="128">
        <f t="shared" si="3"/>
        <v>0</v>
      </c>
      <c r="L13" s="128">
        <f t="shared" si="2"/>
        <v>0</v>
      </c>
    </row>
    <row r="14" spans="1:12" s="84" customFormat="1" x14ac:dyDescent="0.25">
      <c r="A14" s="148">
        <v>9</v>
      </c>
      <c r="B14" s="161"/>
      <c r="C14" s="148" t="s">
        <v>129</v>
      </c>
      <c r="D14" s="188"/>
      <c r="E14" s="157"/>
      <c r="F14" s="150"/>
      <c r="G14" s="150"/>
      <c r="H14" s="127"/>
      <c r="I14" s="191"/>
      <c r="J14" s="128">
        <f t="shared" si="0"/>
        <v>0</v>
      </c>
      <c r="K14" s="128">
        <f t="shared" si="3"/>
        <v>0</v>
      </c>
      <c r="L14" s="128">
        <f t="shared" si="2"/>
        <v>0</v>
      </c>
    </row>
    <row r="15" spans="1:12" s="84" customFormat="1" x14ac:dyDescent="0.25">
      <c r="A15" s="148">
        <v>10</v>
      </c>
      <c r="B15" s="131"/>
      <c r="C15" s="148" t="s">
        <v>129</v>
      </c>
      <c r="D15" s="188"/>
      <c r="E15" s="157"/>
      <c r="F15" s="150"/>
      <c r="G15" s="150"/>
      <c r="H15" s="129"/>
      <c r="I15" s="191"/>
      <c r="J15" s="128">
        <f t="shared" si="0"/>
        <v>0</v>
      </c>
      <c r="K15" s="128">
        <f t="shared" si="3"/>
        <v>0</v>
      </c>
      <c r="L15" s="128">
        <f t="shared" si="2"/>
        <v>0</v>
      </c>
    </row>
    <row r="16" spans="1:12" s="84" customFormat="1" x14ac:dyDescent="0.25">
      <c r="A16" s="148">
        <v>11</v>
      </c>
      <c r="B16" s="161"/>
      <c r="C16" s="148" t="s">
        <v>129</v>
      </c>
      <c r="D16" s="188"/>
      <c r="E16" s="157"/>
      <c r="F16" s="150"/>
      <c r="G16" s="150"/>
      <c r="H16" s="127"/>
      <c r="I16" s="128"/>
      <c r="J16" s="128">
        <f t="shared" si="0"/>
        <v>0</v>
      </c>
      <c r="K16" s="128">
        <f t="shared" si="3"/>
        <v>0</v>
      </c>
      <c r="L16" s="128">
        <f t="shared" si="2"/>
        <v>0</v>
      </c>
    </row>
    <row r="17" spans="1:12" s="84" customFormat="1" x14ac:dyDescent="0.25">
      <c r="A17" s="148">
        <v>12</v>
      </c>
      <c r="B17" s="161"/>
      <c r="C17" s="148" t="s">
        <v>129</v>
      </c>
      <c r="D17" s="188"/>
      <c r="E17" s="157"/>
      <c r="F17" s="150"/>
      <c r="G17" s="150"/>
      <c r="H17" s="127"/>
      <c r="I17" s="190"/>
      <c r="J17" s="128">
        <f t="shared" si="0"/>
        <v>0</v>
      </c>
      <c r="K17" s="128">
        <f t="shared" si="3"/>
        <v>0</v>
      </c>
      <c r="L17" s="128">
        <f t="shared" si="2"/>
        <v>0</v>
      </c>
    </row>
    <row r="18" spans="1:12" s="84" customFormat="1" x14ac:dyDescent="0.25">
      <c r="A18" s="148">
        <v>13</v>
      </c>
      <c r="B18" s="161"/>
      <c r="C18" s="148" t="s">
        <v>129</v>
      </c>
      <c r="D18" s="188"/>
      <c r="E18" s="157"/>
      <c r="F18" s="150"/>
      <c r="G18" s="150"/>
      <c r="H18" s="107"/>
      <c r="I18" s="105"/>
      <c r="J18" s="128">
        <f t="shared" si="0"/>
        <v>0</v>
      </c>
      <c r="K18" s="128">
        <f t="shared" si="3"/>
        <v>0</v>
      </c>
      <c r="L18" s="128">
        <f t="shared" si="2"/>
        <v>0</v>
      </c>
    </row>
    <row r="19" spans="1:12" s="84" customFormat="1" x14ac:dyDescent="0.25">
      <c r="A19" s="148">
        <v>14</v>
      </c>
      <c r="B19" s="161"/>
      <c r="C19" s="148" t="s">
        <v>129</v>
      </c>
      <c r="D19" s="188"/>
      <c r="E19" s="157"/>
      <c r="F19" s="150"/>
      <c r="G19" s="150"/>
      <c r="H19" s="104"/>
      <c r="I19" s="105"/>
      <c r="J19" s="128">
        <f t="shared" si="0"/>
        <v>0</v>
      </c>
      <c r="K19" s="128">
        <f t="shared" si="3"/>
        <v>0</v>
      </c>
      <c r="L19" s="128">
        <f t="shared" si="2"/>
        <v>0</v>
      </c>
    </row>
    <row r="20" spans="1:12" s="84" customFormat="1" x14ac:dyDescent="0.25">
      <c r="A20" s="148">
        <v>15</v>
      </c>
      <c r="B20" s="161"/>
      <c r="C20" s="148" t="s">
        <v>129</v>
      </c>
      <c r="D20" s="188"/>
      <c r="E20" s="157"/>
      <c r="F20" s="150"/>
      <c r="G20" s="150"/>
      <c r="H20" s="129"/>
      <c r="I20" s="105"/>
      <c r="J20" s="128">
        <f t="shared" si="0"/>
        <v>0</v>
      </c>
      <c r="K20" s="128">
        <f t="shared" si="3"/>
        <v>0</v>
      </c>
      <c r="L20" s="128">
        <f t="shared" si="2"/>
        <v>0</v>
      </c>
    </row>
    <row r="21" spans="1:12" s="84" customFormat="1" x14ac:dyDescent="0.25">
      <c r="A21" s="148">
        <v>16</v>
      </c>
      <c r="B21" s="161"/>
      <c r="C21" s="148" t="s">
        <v>129</v>
      </c>
      <c r="D21" s="188"/>
      <c r="E21" s="157"/>
      <c r="F21" s="150"/>
      <c r="G21" s="150"/>
      <c r="H21" s="107"/>
      <c r="I21" s="105"/>
      <c r="J21" s="128">
        <f t="shared" si="0"/>
        <v>0</v>
      </c>
      <c r="K21" s="128">
        <f t="shared" si="3"/>
        <v>0</v>
      </c>
      <c r="L21" s="128">
        <f t="shared" si="2"/>
        <v>0</v>
      </c>
    </row>
    <row r="22" spans="1:12" s="84" customFormat="1" ht="15.75" thickBot="1" x14ac:dyDescent="0.3">
      <c r="A22" s="148">
        <v>17</v>
      </c>
      <c r="B22" s="161"/>
      <c r="C22" s="148" t="s">
        <v>129</v>
      </c>
      <c r="D22" s="188"/>
      <c r="E22" s="157"/>
      <c r="F22" s="150"/>
      <c r="G22" s="150"/>
      <c r="H22" s="107"/>
      <c r="I22" s="106"/>
      <c r="J22" s="128">
        <f t="shared" si="0"/>
        <v>0</v>
      </c>
      <c r="K22" s="128">
        <f t="shared" si="3"/>
        <v>0</v>
      </c>
      <c r="L22" s="128">
        <f t="shared" si="2"/>
        <v>0</v>
      </c>
    </row>
    <row r="23" spans="1:12" ht="16.5" thickTop="1" thickBot="1" x14ac:dyDescent="0.3">
      <c r="A23" s="43"/>
      <c r="B23" s="43"/>
      <c r="C23" s="43"/>
      <c r="D23" s="44"/>
      <c r="E23" s="43"/>
      <c r="F23" s="43"/>
      <c r="G23" s="43"/>
      <c r="H23" s="43"/>
      <c r="I23" s="45">
        <f>SUM(I6:I22)</f>
        <v>0</v>
      </c>
      <c r="J23" s="45"/>
      <c r="K23" s="45">
        <f>SUM(K6:K22)</f>
        <v>0</v>
      </c>
      <c r="L23" s="46">
        <f>SUM(L6:L22)</f>
        <v>0</v>
      </c>
    </row>
    <row r="24" spans="1:12" ht="15.75" thickTop="1" x14ac:dyDescent="0.25"/>
    <row r="27" spans="1:12" x14ac:dyDescent="0.25">
      <c r="F27" s="48"/>
      <c r="G27" s="48"/>
    </row>
    <row r="28" spans="1:12" x14ac:dyDescent="0.25">
      <c r="C28" s="118"/>
      <c r="D28" s="119"/>
      <c r="E28" s="120"/>
      <c r="F28" s="121"/>
      <c r="G28" s="121"/>
      <c r="I28" s="189"/>
    </row>
    <row r="29" spans="1:12" x14ac:dyDescent="0.25">
      <c r="F29" s="48"/>
      <c r="G29" s="48"/>
      <c r="H29" s="48"/>
      <c r="I29" s="189"/>
    </row>
    <row r="30" spans="1:12" x14ac:dyDescent="0.25">
      <c r="I30" s="189"/>
    </row>
    <row r="31" spans="1:12" x14ac:dyDescent="0.25">
      <c r="I31" s="189"/>
    </row>
    <row r="32" spans="1:12" x14ac:dyDescent="0.25">
      <c r="I32" s="189"/>
    </row>
    <row r="33" spans="9:9" x14ac:dyDescent="0.25">
      <c r="I33" s="189"/>
    </row>
    <row r="34" spans="9:9" x14ac:dyDescent="0.25">
      <c r="I34" s="189"/>
    </row>
    <row r="35" spans="9:9" x14ac:dyDescent="0.25">
      <c r="I35" s="189"/>
    </row>
    <row r="36" spans="9:9" x14ac:dyDescent="0.25">
      <c r="I36" s="189"/>
    </row>
    <row r="37" spans="9:9" x14ac:dyDescent="0.25">
      <c r="I37" s="189"/>
    </row>
    <row r="38" spans="9:9" x14ac:dyDescent="0.25">
      <c r="I38" s="189"/>
    </row>
    <row r="39" spans="9:9" x14ac:dyDescent="0.25">
      <c r="I39" s="189"/>
    </row>
    <row r="40" spans="9:9" x14ac:dyDescent="0.25">
      <c r="I40" s="189"/>
    </row>
    <row r="41" spans="9:9" x14ac:dyDescent="0.25">
      <c r="I41" s="189"/>
    </row>
    <row r="42" spans="9:9" x14ac:dyDescent="0.25">
      <c r="I42" s="189"/>
    </row>
    <row r="43" spans="9:9" x14ac:dyDescent="0.25">
      <c r="I43" s="189"/>
    </row>
    <row r="44" spans="9:9" x14ac:dyDescent="0.25">
      <c r="I44" s="189"/>
    </row>
    <row r="45" spans="9:9" x14ac:dyDescent="0.25">
      <c r="I45" s="189"/>
    </row>
    <row r="46" spans="9:9" x14ac:dyDescent="0.25">
      <c r="I46" s="189"/>
    </row>
    <row r="47" spans="9:9" x14ac:dyDescent="0.25">
      <c r="I47" s="189"/>
    </row>
  </sheetData>
  <mergeCells count="3">
    <mergeCell ref="A1:L1"/>
    <mergeCell ref="A2:L2"/>
    <mergeCell ref="A3:L3"/>
  </mergeCells>
  <pageMargins left="0.7" right="0.7" top="0.75" bottom="0.75" header="0.3" footer="0.3"/>
  <pageSetup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zoomScale="90" zoomScaleNormal="90" workbookViewId="0">
      <selection activeCell="A4" sqref="A4"/>
    </sheetView>
  </sheetViews>
  <sheetFormatPr defaultRowHeight="15" x14ac:dyDescent="0.25"/>
  <cols>
    <col min="1" max="1" width="4" style="40" bestFit="1" customWidth="1"/>
    <col min="2" max="2" width="10.5703125" style="40" customWidth="1"/>
    <col min="3" max="3" width="10.140625" style="40" bestFit="1" customWidth="1"/>
    <col min="4" max="4" width="21.85546875" style="40" customWidth="1"/>
    <col min="5" max="5" width="18.5703125" style="40" customWidth="1"/>
    <col min="6" max="7" width="26.140625" style="40" customWidth="1"/>
    <col min="8" max="8" width="104.42578125" style="40" customWidth="1"/>
    <col min="9" max="9" width="19.42578125" style="40" bestFit="1" customWidth="1"/>
    <col min="10" max="10" width="17.7109375" style="40" customWidth="1"/>
    <col min="11" max="11" width="16.140625" style="40" bestFit="1" customWidth="1"/>
    <col min="12" max="12" width="18.85546875" style="40" bestFit="1" customWidth="1"/>
  </cols>
  <sheetData>
    <row r="1" spans="1:12" ht="15.75" x14ac:dyDescent="0.25">
      <c r="A1" s="296" t="s">
        <v>131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</row>
    <row r="2" spans="1:12" ht="15.75" x14ac:dyDescent="0.25">
      <c r="A2" s="296" t="s">
        <v>38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6"/>
    </row>
    <row r="3" spans="1:12" ht="15.75" x14ac:dyDescent="0.25">
      <c r="A3" s="296" t="s">
        <v>314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</row>
    <row r="4" spans="1:12" ht="15.75" thickBot="1" x14ac:dyDescent="0.3"/>
    <row r="5" spans="1:12" s="39" customFormat="1" ht="30.75" customHeight="1" thickTop="1" thickBot="1" x14ac:dyDescent="0.3">
      <c r="A5" s="47" t="s">
        <v>26</v>
      </c>
      <c r="B5" s="47" t="s">
        <v>36</v>
      </c>
      <c r="C5" s="47" t="s">
        <v>27</v>
      </c>
      <c r="D5" s="47" t="s">
        <v>28</v>
      </c>
      <c r="E5" s="47" t="s">
        <v>30</v>
      </c>
      <c r="F5" s="47" t="s">
        <v>29</v>
      </c>
      <c r="G5" s="47" t="s">
        <v>94</v>
      </c>
      <c r="H5" s="47" t="s">
        <v>31</v>
      </c>
      <c r="I5" s="47" t="s">
        <v>32</v>
      </c>
      <c r="J5" s="47" t="s">
        <v>92</v>
      </c>
      <c r="K5" s="47" t="s">
        <v>33</v>
      </c>
      <c r="L5" s="47" t="s">
        <v>34</v>
      </c>
    </row>
    <row r="6" spans="1:12" s="84" customFormat="1" ht="15.75" thickTop="1" x14ac:dyDescent="0.25">
      <c r="A6" s="148">
        <v>1</v>
      </c>
      <c r="B6" s="161"/>
      <c r="C6" s="148" t="s">
        <v>132</v>
      </c>
      <c r="D6" s="164"/>
      <c r="E6" s="157"/>
      <c r="F6" s="150"/>
      <c r="G6" s="150"/>
      <c r="H6" s="127"/>
      <c r="I6" s="191"/>
      <c r="J6" s="128">
        <f>I6*11/12</f>
        <v>0</v>
      </c>
      <c r="K6" s="128">
        <f>J6*12%</f>
        <v>0</v>
      </c>
      <c r="L6" s="128">
        <f>I6+K6</f>
        <v>0</v>
      </c>
    </row>
    <row r="7" spans="1:12" s="84" customFormat="1" x14ac:dyDescent="0.25">
      <c r="A7" s="148">
        <v>2</v>
      </c>
      <c r="B7" s="161"/>
      <c r="C7" s="148" t="s">
        <v>132</v>
      </c>
      <c r="D7" s="164"/>
      <c r="E7" s="157"/>
      <c r="F7" s="150"/>
      <c r="G7" s="150"/>
      <c r="H7" s="127"/>
      <c r="I7" s="228"/>
      <c r="J7" s="128">
        <f t="shared" ref="J7:J28" si="0">I7*11/12</f>
        <v>0</v>
      </c>
      <c r="K7" s="128">
        <f t="shared" ref="K7:K30" si="1">J7*12%</f>
        <v>0</v>
      </c>
      <c r="L7" s="128">
        <f t="shared" ref="L7:L28" si="2">I7+K7</f>
        <v>0</v>
      </c>
    </row>
    <row r="8" spans="1:12" s="84" customFormat="1" x14ac:dyDescent="0.25">
      <c r="A8" s="148">
        <v>3</v>
      </c>
      <c r="B8" s="161"/>
      <c r="C8" s="148" t="s">
        <v>132</v>
      </c>
      <c r="D8" s="164"/>
      <c r="E8" s="157"/>
      <c r="F8" s="150"/>
      <c r="G8" s="150"/>
      <c r="H8" s="127"/>
      <c r="I8" s="191"/>
      <c r="J8" s="128">
        <f t="shared" si="0"/>
        <v>0</v>
      </c>
      <c r="K8" s="128">
        <f t="shared" si="1"/>
        <v>0</v>
      </c>
      <c r="L8" s="128">
        <f t="shared" si="2"/>
        <v>0</v>
      </c>
    </row>
    <row r="9" spans="1:12" s="84" customFormat="1" x14ac:dyDescent="0.25">
      <c r="A9" s="148">
        <v>4</v>
      </c>
      <c r="B9" s="161"/>
      <c r="C9" s="148" t="s">
        <v>132</v>
      </c>
      <c r="D9" s="164"/>
      <c r="E9" s="157"/>
      <c r="F9" s="150"/>
      <c r="G9" s="150"/>
      <c r="H9" s="107"/>
      <c r="I9" s="227"/>
      <c r="J9" s="128">
        <f t="shared" si="0"/>
        <v>0</v>
      </c>
      <c r="K9" s="128">
        <f t="shared" si="1"/>
        <v>0</v>
      </c>
      <c r="L9" s="128">
        <f t="shared" si="2"/>
        <v>0</v>
      </c>
    </row>
    <row r="10" spans="1:12" s="84" customFormat="1" x14ac:dyDescent="0.25">
      <c r="A10" s="148">
        <v>5</v>
      </c>
      <c r="B10" s="161"/>
      <c r="C10" s="148" t="s">
        <v>132</v>
      </c>
      <c r="D10" s="164"/>
      <c r="E10" s="157"/>
      <c r="F10" s="150"/>
      <c r="G10" s="150"/>
      <c r="H10" s="107"/>
      <c r="I10" s="227"/>
      <c r="J10" s="128">
        <f t="shared" si="0"/>
        <v>0</v>
      </c>
      <c r="K10" s="128">
        <f t="shared" si="1"/>
        <v>0</v>
      </c>
      <c r="L10" s="128">
        <f t="shared" si="2"/>
        <v>0</v>
      </c>
    </row>
    <row r="11" spans="1:12" s="84" customFormat="1" x14ac:dyDescent="0.25">
      <c r="A11" s="148">
        <v>6</v>
      </c>
      <c r="B11" s="161"/>
      <c r="C11" s="148" t="s">
        <v>132</v>
      </c>
      <c r="D11" s="164"/>
      <c r="E11" s="157"/>
      <c r="F11" s="150"/>
      <c r="G11" s="150"/>
      <c r="H11" s="104"/>
      <c r="I11" s="228"/>
      <c r="J11" s="128">
        <f t="shared" si="0"/>
        <v>0</v>
      </c>
      <c r="K11" s="128">
        <f t="shared" si="1"/>
        <v>0</v>
      </c>
      <c r="L11" s="128">
        <f t="shared" si="2"/>
        <v>0</v>
      </c>
    </row>
    <row r="12" spans="1:12" s="84" customFormat="1" x14ac:dyDescent="0.25">
      <c r="A12" s="148">
        <v>7</v>
      </c>
      <c r="B12" s="161"/>
      <c r="C12" s="148" t="s">
        <v>132</v>
      </c>
      <c r="D12" s="188"/>
      <c r="E12" s="157"/>
      <c r="F12" s="150"/>
      <c r="G12" s="150"/>
      <c r="H12" s="224"/>
      <c r="I12" s="192"/>
      <c r="J12" s="128">
        <f t="shared" si="0"/>
        <v>0</v>
      </c>
      <c r="K12" s="128">
        <f t="shared" si="1"/>
        <v>0</v>
      </c>
      <c r="L12" s="128">
        <f t="shared" si="2"/>
        <v>0</v>
      </c>
    </row>
    <row r="13" spans="1:12" s="84" customFormat="1" x14ac:dyDescent="0.25">
      <c r="A13" s="148">
        <v>8</v>
      </c>
      <c r="B13" s="161"/>
      <c r="C13" s="148" t="s">
        <v>132</v>
      </c>
      <c r="D13" s="157"/>
      <c r="E13" s="157"/>
      <c r="F13" s="150"/>
      <c r="G13" s="150"/>
      <c r="H13" s="225"/>
      <c r="I13" s="193"/>
      <c r="J13" s="128">
        <f t="shared" si="0"/>
        <v>0</v>
      </c>
      <c r="K13" s="128">
        <f t="shared" si="1"/>
        <v>0</v>
      </c>
      <c r="L13" s="128">
        <f t="shared" si="2"/>
        <v>0</v>
      </c>
    </row>
    <row r="14" spans="1:12" s="84" customFormat="1" x14ac:dyDescent="0.25">
      <c r="A14" s="148">
        <v>9</v>
      </c>
      <c r="B14" s="161"/>
      <c r="C14" s="148" t="s">
        <v>132</v>
      </c>
      <c r="D14" s="188"/>
      <c r="E14" s="157"/>
      <c r="F14" s="150"/>
      <c r="G14" s="150"/>
      <c r="H14" s="226"/>
      <c r="I14" s="190"/>
      <c r="J14" s="128">
        <f t="shared" si="0"/>
        <v>0</v>
      </c>
      <c r="K14" s="128">
        <f t="shared" si="1"/>
        <v>0</v>
      </c>
      <c r="L14" s="128">
        <f t="shared" si="2"/>
        <v>0</v>
      </c>
    </row>
    <row r="15" spans="1:12" s="84" customFormat="1" x14ac:dyDescent="0.25">
      <c r="A15" s="148">
        <v>10</v>
      </c>
      <c r="B15" s="161"/>
      <c r="C15" s="148" t="s">
        <v>132</v>
      </c>
      <c r="D15" s="157"/>
      <c r="E15" s="157"/>
      <c r="F15" s="150"/>
      <c r="G15" s="150"/>
      <c r="H15" s="225"/>
      <c r="I15" s="193"/>
      <c r="J15" s="128">
        <f t="shared" si="0"/>
        <v>0</v>
      </c>
      <c r="K15" s="128">
        <f t="shared" si="1"/>
        <v>0</v>
      </c>
      <c r="L15" s="128">
        <f t="shared" si="2"/>
        <v>0</v>
      </c>
    </row>
    <row r="16" spans="1:12" s="84" customFormat="1" x14ac:dyDescent="0.25">
      <c r="A16" s="148">
        <v>11</v>
      </c>
      <c r="B16" s="161"/>
      <c r="C16" s="148" t="s">
        <v>132</v>
      </c>
      <c r="D16" s="164"/>
      <c r="E16" s="157"/>
      <c r="F16" s="150"/>
      <c r="G16" s="150"/>
      <c r="H16" s="225"/>
      <c r="I16" s="193"/>
      <c r="J16" s="128">
        <f t="shared" si="0"/>
        <v>0</v>
      </c>
      <c r="K16" s="128">
        <f t="shared" si="1"/>
        <v>0</v>
      </c>
      <c r="L16" s="128">
        <f t="shared" si="2"/>
        <v>0</v>
      </c>
    </row>
    <row r="17" spans="1:12" s="84" customFormat="1" x14ac:dyDescent="0.25">
      <c r="A17" s="148">
        <v>12</v>
      </c>
      <c r="B17" s="161"/>
      <c r="C17" s="148" t="s">
        <v>132</v>
      </c>
      <c r="D17" s="164"/>
      <c r="E17" s="157"/>
      <c r="F17" s="150"/>
      <c r="G17" s="150"/>
      <c r="H17" s="150"/>
      <c r="I17" s="194"/>
      <c r="J17" s="128">
        <f t="shared" si="0"/>
        <v>0</v>
      </c>
      <c r="K17" s="128">
        <f t="shared" si="1"/>
        <v>0</v>
      </c>
      <c r="L17" s="128">
        <f t="shared" si="2"/>
        <v>0</v>
      </c>
    </row>
    <row r="18" spans="1:12" s="84" customFormat="1" x14ac:dyDescent="0.25">
      <c r="A18" s="148">
        <v>13</v>
      </c>
      <c r="B18" s="161"/>
      <c r="C18" s="148" t="s">
        <v>132</v>
      </c>
      <c r="D18" s="164"/>
      <c r="E18" s="157"/>
      <c r="F18" s="150"/>
      <c r="G18" s="150"/>
      <c r="H18" s="150"/>
      <c r="I18" s="194"/>
      <c r="J18" s="128">
        <f t="shared" si="0"/>
        <v>0</v>
      </c>
      <c r="K18" s="128">
        <f t="shared" si="1"/>
        <v>0</v>
      </c>
      <c r="L18" s="128">
        <f t="shared" si="2"/>
        <v>0</v>
      </c>
    </row>
    <row r="19" spans="1:12" s="84" customFormat="1" x14ac:dyDescent="0.25">
      <c r="A19" s="148">
        <v>14</v>
      </c>
      <c r="B19" s="161"/>
      <c r="C19" s="148" t="s">
        <v>132</v>
      </c>
      <c r="D19" s="164"/>
      <c r="E19" s="157"/>
      <c r="F19" s="150"/>
      <c r="G19" s="150"/>
      <c r="H19" s="150"/>
      <c r="I19" s="194"/>
      <c r="J19" s="128">
        <f t="shared" si="0"/>
        <v>0</v>
      </c>
      <c r="K19" s="128">
        <f t="shared" si="1"/>
        <v>0</v>
      </c>
      <c r="L19" s="128">
        <f t="shared" si="2"/>
        <v>0</v>
      </c>
    </row>
    <row r="20" spans="1:12" s="84" customFormat="1" x14ac:dyDescent="0.25">
      <c r="A20" s="148">
        <v>15</v>
      </c>
      <c r="B20" s="161"/>
      <c r="C20" s="148" t="s">
        <v>132</v>
      </c>
      <c r="D20" s="164"/>
      <c r="E20" s="157"/>
      <c r="F20" s="150"/>
      <c r="G20" s="150"/>
      <c r="H20" s="225"/>
      <c r="I20" s="193"/>
      <c r="J20" s="128">
        <f t="shared" si="0"/>
        <v>0</v>
      </c>
      <c r="K20" s="128">
        <f t="shared" si="1"/>
        <v>0</v>
      </c>
      <c r="L20" s="128">
        <f t="shared" si="2"/>
        <v>0</v>
      </c>
    </row>
    <row r="21" spans="1:12" s="84" customFormat="1" x14ac:dyDescent="0.25">
      <c r="A21" s="148">
        <v>16</v>
      </c>
      <c r="B21" s="161"/>
      <c r="C21" s="148" t="s">
        <v>132</v>
      </c>
      <c r="D21" s="164"/>
      <c r="E21" s="157"/>
      <c r="F21" s="150"/>
      <c r="G21" s="150"/>
      <c r="H21" s="127"/>
      <c r="I21" s="228"/>
      <c r="J21" s="128">
        <f t="shared" si="0"/>
        <v>0</v>
      </c>
      <c r="K21" s="128">
        <f t="shared" si="1"/>
        <v>0</v>
      </c>
      <c r="L21" s="128">
        <f t="shared" si="2"/>
        <v>0</v>
      </c>
    </row>
    <row r="22" spans="1:12" s="84" customFormat="1" x14ac:dyDescent="0.25">
      <c r="A22" s="148">
        <v>17</v>
      </c>
      <c r="B22" s="161"/>
      <c r="C22" s="148" t="s">
        <v>132</v>
      </c>
      <c r="D22" s="164"/>
      <c r="E22" s="157"/>
      <c r="F22" s="150"/>
      <c r="G22" s="150"/>
      <c r="H22" s="127"/>
      <c r="I22" s="228"/>
      <c r="J22" s="128">
        <f t="shared" si="0"/>
        <v>0</v>
      </c>
      <c r="K22" s="128">
        <f t="shared" si="1"/>
        <v>0</v>
      </c>
      <c r="L22" s="128">
        <f t="shared" si="2"/>
        <v>0</v>
      </c>
    </row>
    <row r="23" spans="1:12" s="84" customFormat="1" x14ac:dyDescent="0.25">
      <c r="A23" s="148">
        <v>18</v>
      </c>
      <c r="B23" s="161"/>
      <c r="C23" s="148" t="s">
        <v>132</v>
      </c>
      <c r="D23" s="164"/>
      <c r="E23" s="157"/>
      <c r="F23" s="150"/>
      <c r="G23" s="150"/>
      <c r="H23" s="150"/>
      <c r="I23" s="191"/>
      <c r="J23" s="128">
        <f t="shared" si="0"/>
        <v>0</v>
      </c>
      <c r="K23" s="128">
        <f t="shared" si="1"/>
        <v>0</v>
      </c>
      <c r="L23" s="128">
        <f t="shared" si="2"/>
        <v>0</v>
      </c>
    </row>
    <row r="24" spans="1:12" s="84" customFormat="1" x14ac:dyDescent="0.25">
      <c r="A24" s="148">
        <v>19</v>
      </c>
      <c r="B24" s="161"/>
      <c r="C24" s="148" t="s">
        <v>132</v>
      </c>
      <c r="D24" s="164"/>
      <c r="E24" s="157"/>
      <c r="F24" s="150"/>
      <c r="G24" s="150"/>
      <c r="H24" s="107"/>
      <c r="I24" s="227"/>
      <c r="J24" s="128">
        <f t="shared" si="0"/>
        <v>0</v>
      </c>
      <c r="K24" s="128">
        <f t="shared" si="1"/>
        <v>0</v>
      </c>
      <c r="L24" s="128">
        <f t="shared" si="2"/>
        <v>0</v>
      </c>
    </row>
    <row r="25" spans="1:12" s="84" customFormat="1" x14ac:dyDescent="0.25">
      <c r="A25" s="148">
        <v>20</v>
      </c>
      <c r="B25" s="161"/>
      <c r="C25" s="148" t="s">
        <v>132</v>
      </c>
      <c r="D25" s="164"/>
      <c r="E25" s="157"/>
      <c r="F25" s="150"/>
      <c r="G25" s="150"/>
      <c r="H25" s="230"/>
      <c r="I25" s="191"/>
      <c r="J25" s="128">
        <f t="shared" si="0"/>
        <v>0</v>
      </c>
      <c r="K25" s="128">
        <f t="shared" si="1"/>
        <v>0</v>
      </c>
      <c r="L25" s="128">
        <f t="shared" si="2"/>
        <v>0</v>
      </c>
    </row>
    <row r="26" spans="1:12" s="84" customFormat="1" x14ac:dyDescent="0.25">
      <c r="A26" s="148">
        <v>21</v>
      </c>
      <c r="B26" s="161"/>
      <c r="C26" s="148" t="s">
        <v>132</v>
      </c>
      <c r="D26" s="164"/>
      <c r="E26" s="157"/>
      <c r="F26" s="150"/>
      <c r="G26" s="150"/>
      <c r="H26" s="129"/>
      <c r="I26" s="191"/>
      <c r="J26" s="128">
        <f t="shared" si="0"/>
        <v>0</v>
      </c>
      <c r="K26" s="128">
        <f t="shared" si="1"/>
        <v>0</v>
      </c>
      <c r="L26" s="128">
        <f t="shared" si="2"/>
        <v>0</v>
      </c>
    </row>
    <row r="27" spans="1:12" s="84" customFormat="1" x14ac:dyDescent="0.25">
      <c r="A27" s="148">
        <v>22</v>
      </c>
      <c r="B27" s="161"/>
      <c r="C27" s="148" t="s">
        <v>132</v>
      </c>
      <c r="D27" s="164"/>
      <c r="E27" s="157"/>
      <c r="F27" s="150"/>
      <c r="G27" s="150"/>
      <c r="H27" s="230"/>
      <c r="I27" s="191"/>
      <c r="J27" s="128">
        <f t="shared" si="0"/>
        <v>0</v>
      </c>
      <c r="K27" s="128">
        <f t="shared" si="1"/>
        <v>0</v>
      </c>
      <c r="L27" s="128">
        <f t="shared" si="2"/>
        <v>0</v>
      </c>
    </row>
    <row r="28" spans="1:12" s="84" customFormat="1" x14ac:dyDescent="0.25">
      <c r="A28" s="148">
        <v>23</v>
      </c>
      <c r="B28" s="161"/>
      <c r="C28" s="148" t="s">
        <v>132</v>
      </c>
      <c r="D28" s="164"/>
      <c r="E28" s="157"/>
      <c r="F28" s="150"/>
      <c r="G28" s="150"/>
      <c r="H28" s="127"/>
      <c r="I28" s="191"/>
      <c r="J28" s="128">
        <f t="shared" si="0"/>
        <v>0</v>
      </c>
      <c r="K28" s="128">
        <f t="shared" si="1"/>
        <v>0</v>
      </c>
      <c r="L28" s="128">
        <f t="shared" si="2"/>
        <v>0</v>
      </c>
    </row>
    <row r="29" spans="1:12" s="84" customFormat="1" x14ac:dyDescent="0.25">
      <c r="A29" s="148">
        <v>24</v>
      </c>
      <c r="B29" s="161"/>
      <c r="C29" s="148" t="s">
        <v>132</v>
      </c>
      <c r="D29" s="188"/>
      <c r="E29" s="157"/>
      <c r="F29" s="150"/>
      <c r="G29" s="150"/>
      <c r="H29" s="226"/>
      <c r="I29" s="190"/>
      <c r="J29" s="128">
        <f t="shared" ref="J29:J30" si="3">I29*11/12</f>
        <v>0</v>
      </c>
      <c r="K29" s="128">
        <f t="shared" si="1"/>
        <v>0</v>
      </c>
      <c r="L29" s="128">
        <f t="shared" ref="L29:L30" si="4">I29+K29</f>
        <v>0</v>
      </c>
    </row>
    <row r="30" spans="1:12" s="84" customFormat="1" ht="15.75" thickBot="1" x14ac:dyDescent="0.3">
      <c r="A30" s="148">
        <v>25</v>
      </c>
      <c r="B30" s="131"/>
      <c r="C30" s="148" t="s">
        <v>132</v>
      </c>
      <c r="D30" s="188"/>
      <c r="E30" s="157"/>
      <c r="F30" s="150"/>
      <c r="G30" s="150"/>
      <c r="H30" s="224"/>
      <c r="I30" s="190"/>
      <c r="J30" s="128">
        <f t="shared" si="3"/>
        <v>0</v>
      </c>
      <c r="K30" s="128">
        <f t="shared" si="1"/>
        <v>0</v>
      </c>
      <c r="L30" s="128">
        <f t="shared" si="4"/>
        <v>0</v>
      </c>
    </row>
    <row r="31" spans="1:12" ht="16.5" thickTop="1" thickBot="1" x14ac:dyDescent="0.3">
      <c r="A31" s="43"/>
      <c r="B31" s="43"/>
      <c r="C31" s="43"/>
      <c r="D31" s="44"/>
      <c r="E31" s="43"/>
      <c r="F31" s="43"/>
      <c r="G31" s="43"/>
      <c r="H31" s="43"/>
      <c r="I31" s="45">
        <f>SUM(I6:I30)</f>
        <v>0</v>
      </c>
      <c r="J31" s="45">
        <f>SUM(J6:J30)</f>
        <v>0</v>
      </c>
      <c r="K31" s="45">
        <f>SUM(K6:K30)</f>
        <v>0</v>
      </c>
      <c r="L31" s="46">
        <f>SUM(L6:L30)</f>
        <v>0</v>
      </c>
    </row>
    <row r="32" spans="1:12" ht="15.75" thickTop="1" x14ac:dyDescent="0.25"/>
    <row r="34" spans="3:9" x14ac:dyDescent="0.25">
      <c r="I34" s="231">
        <f>I31-I12-I13-I14-I15-I16-I20-I29-I30</f>
        <v>0</v>
      </c>
    </row>
    <row r="35" spans="3:9" x14ac:dyDescent="0.25">
      <c r="F35" s="48"/>
      <c r="G35" s="48"/>
    </row>
    <row r="36" spans="3:9" x14ac:dyDescent="0.25">
      <c r="C36" s="118"/>
      <c r="D36" s="119"/>
      <c r="E36" s="120"/>
      <c r="F36" s="121"/>
      <c r="G36" s="121"/>
      <c r="I36" s="189"/>
    </row>
    <row r="37" spans="3:9" x14ac:dyDescent="0.25">
      <c r="F37" s="48"/>
      <c r="G37" s="48"/>
      <c r="H37" s="48"/>
      <c r="I37" s="189"/>
    </row>
    <row r="38" spans="3:9" x14ac:dyDescent="0.25">
      <c r="G38" s="143"/>
      <c r="I38" s="189"/>
    </row>
    <row r="39" spans="3:9" x14ac:dyDescent="0.25">
      <c r="I39" s="189"/>
    </row>
    <row r="40" spans="3:9" x14ac:dyDescent="0.25">
      <c r="I40" s="189"/>
    </row>
    <row r="41" spans="3:9" x14ac:dyDescent="0.25">
      <c r="I41" s="189"/>
    </row>
    <row r="42" spans="3:9" x14ac:dyDescent="0.25">
      <c r="I42" s="189"/>
    </row>
    <row r="43" spans="3:9" x14ac:dyDescent="0.25">
      <c r="I43" s="189"/>
    </row>
    <row r="44" spans="3:9" x14ac:dyDescent="0.25">
      <c r="I44" s="189"/>
    </row>
    <row r="45" spans="3:9" x14ac:dyDescent="0.25">
      <c r="I45" s="189"/>
    </row>
    <row r="46" spans="3:9" x14ac:dyDescent="0.25">
      <c r="I46" s="189"/>
    </row>
    <row r="47" spans="3:9" x14ac:dyDescent="0.25">
      <c r="I47" s="189"/>
    </row>
    <row r="48" spans="3:9" x14ac:dyDescent="0.25">
      <c r="I48" s="189"/>
    </row>
    <row r="49" spans="9:9" x14ac:dyDescent="0.25">
      <c r="I49" s="189"/>
    </row>
    <row r="50" spans="9:9" x14ac:dyDescent="0.25">
      <c r="I50" s="189"/>
    </row>
    <row r="51" spans="9:9" x14ac:dyDescent="0.25">
      <c r="I51" s="189"/>
    </row>
    <row r="52" spans="9:9" x14ac:dyDescent="0.25">
      <c r="I52" s="189"/>
    </row>
    <row r="53" spans="9:9" x14ac:dyDescent="0.25">
      <c r="I53" s="189"/>
    </row>
    <row r="54" spans="9:9" x14ac:dyDescent="0.25">
      <c r="I54" s="189"/>
    </row>
    <row r="55" spans="9:9" x14ac:dyDescent="0.25">
      <c r="I55" s="189"/>
    </row>
  </sheetData>
  <mergeCells count="3">
    <mergeCell ref="A1:L1"/>
    <mergeCell ref="A2:L2"/>
    <mergeCell ref="A3:L3"/>
  </mergeCells>
  <pageMargins left="0.31496062992125984" right="0.11811023622047245" top="0.74803149606299213" bottom="0.74803149606299213" header="0.31496062992125984" footer="0.31496062992125984"/>
  <pageSetup scale="45" orientation="landscape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"/>
  <sheetViews>
    <sheetView zoomScale="90" zoomScaleNormal="90" workbookViewId="0">
      <selection activeCell="A4" sqref="A4"/>
    </sheetView>
  </sheetViews>
  <sheetFormatPr defaultRowHeight="15" x14ac:dyDescent="0.25"/>
  <cols>
    <col min="1" max="1" width="4" style="40" bestFit="1" customWidth="1"/>
    <col min="2" max="2" width="10.5703125" style="40" customWidth="1"/>
    <col min="3" max="3" width="10.140625" style="40" bestFit="1" customWidth="1"/>
    <col min="4" max="4" width="21.85546875" style="40" customWidth="1"/>
    <col min="5" max="5" width="18.5703125" style="40" customWidth="1"/>
    <col min="6" max="7" width="26.140625" style="40" customWidth="1"/>
    <col min="8" max="8" width="104.42578125" style="40" customWidth="1"/>
    <col min="9" max="9" width="19.42578125" style="40" bestFit="1" customWidth="1"/>
    <col min="10" max="10" width="17.7109375" style="40" customWidth="1"/>
    <col min="11" max="11" width="16.140625" style="40" bestFit="1" customWidth="1"/>
    <col min="12" max="12" width="18.85546875" style="40" bestFit="1" customWidth="1"/>
  </cols>
  <sheetData>
    <row r="1" spans="1:12" ht="15.75" x14ac:dyDescent="0.25">
      <c r="A1" s="296" t="s">
        <v>131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</row>
    <row r="2" spans="1:12" ht="15.75" x14ac:dyDescent="0.25">
      <c r="A2" s="296" t="s">
        <v>38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6"/>
    </row>
    <row r="3" spans="1:12" ht="15.75" x14ac:dyDescent="0.25">
      <c r="A3" s="296" t="s">
        <v>315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</row>
    <row r="4" spans="1:12" ht="15.75" thickBot="1" x14ac:dyDescent="0.3"/>
    <row r="5" spans="1:12" s="39" customFormat="1" ht="30.75" customHeight="1" thickTop="1" thickBot="1" x14ac:dyDescent="0.3">
      <c r="A5" s="47" t="s">
        <v>26</v>
      </c>
      <c r="B5" s="47" t="s">
        <v>36</v>
      </c>
      <c r="C5" s="47" t="s">
        <v>27</v>
      </c>
      <c r="D5" s="47" t="s">
        <v>28</v>
      </c>
      <c r="E5" s="47" t="s">
        <v>30</v>
      </c>
      <c r="F5" s="47" t="s">
        <v>29</v>
      </c>
      <c r="G5" s="47" t="s">
        <v>94</v>
      </c>
      <c r="H5" s="47" t="s">
        <v>31</v>
      </c>
      <c r="I5" s="47" t="s">
        <v>32</v>
      </c>
      <c r="J5" s="47" t="s">
        <v>92</v>
      </c>
      <c r="K5" s="47" t="s">
        <v>33</v>
      </c>
      <c r="L5" s="47" t="s">
        <v>34</v>
      </c>
    </row>
    <row r="6" spans="1:12" s="84" customFormat="1" ht="15.75" thickTop="1" x14ac:dyDescent="0.25">
      <c r="A6" s="148">
        <v>1</v>
      </c>
      <c r="B6" s="161"/>
      <c r="C6" s="148" t="s">
        <v>174</v>
      </c>
      <c r="D6" s="164"/>
      <c r="E6" s="157"/>
      <c r="F6" s="150"/>
      <c r="G6" s="150"/>
      <c r="H6" s="127"/>
      <c r="I6" s="191"/>
      <c r="J6" s="128">
        <f>I6*11/12</f>
        <v>0</v>
      </c>
      <c r="K6" s="128">
        <f>J6*12%</f>
        <v>0</v>
      </c>
      <c r="L6" s="128">
        <f>I6+K6</f>
        <v>0</v>
      </c>
    </row>
    <row r="7" spans="1:12" s="84" customFormat="1" x14ac:dyDescent="0.25">
      <c r="A7" s="148">
        <v>2</v>
      </c>
      <c r="B7" s="161"/>
      <c r="C7" s="148" t="s">
        <v>174</v>
      </c>
      <c r="D7" s="164"/>
      <c r="E7" s="157"/>
      <c r="F7" s="150"/>
      <c r="G7" s="150"/>
      <c r="H7" s="127"/>
      <c r="I7" s="191"/>
      <c r="J7" s="128">
        <f t="shared" ref="J7:J40" si="0">I7*11/12</f>
        <v>0</v>
      </c>
      <c r="K7" s="128">
        <f t="shared" ref="K7:K30" si="1">J7*12%</f>
        <v>0</v>
      </c>
      <c r="L7" s="128">
        <f t="shared" ref="L7:L40" si="2">I7+K7</f>
        <v>0</v>
      </c>
    </row>
    <row r="8" spans="1:12" s="84" customFormat="1" x14ac:dyDescent="0.25">
      <c r="A8" s="148">
        <v>3</v>
      </c>
      <c r="B8" s="161"/>
      <c r="C8" s="148" t="s">
        <v>174</v>
      </c>
      <c r="D8" s="164"/>
      <c r="E8" s="157"/>
      <c r="F8" s="150"/>
      <c r="G8" s="150"/>
      <c r="H8" s="127"/>
      <c r="I8" s="191"/>
      <c r="J8" s="128">
        <f t="shared" si="0"/>
        <v>0</v>
      </c>
      <c r="K8" s="128">
        <f t="shared" si="1"/>
        <v>0</v>
      </c>
      <c r="L8" s="128">
        <f t="shared" si="2"/>
        <v>0</v>
      </c>
    </row>
    <row r="9" spans="1:12" s="84" customFormat="1" x14ac:dyDescent="0.25">
      <c r="A9" s="148">
        <v>4</v>
      </c>
      <c r="B9" s="161"/>
      <c r="C9" s="148" t="s">
        <v>174</v>
      </c>
      <c r="D9" s="164"/>
      <c r="E9" s="157"/>
      <c r="F9" s="150"/>
      <c r="G9" s="150"/>
      <c r="H9" s="127"/>
      <c r="I9" s="191"/>
      <c r="J9" s="128">
        <f t="shared" si="0"/>
        <v>0</v>
      </c>
      <c r="K9" s="128">
        <f t="shared" si="1"/>
        <v>0</v>
      </c>
      <c r="L9" s="128">
        <f t="shared" si="2"/>
        <v>0</v>
      </c>
    </row>
    <row r="10" spans="1:12" s="84" customFormat="1" x14ac:dyDescent="0.25">
      <c r="A10" s="148">
        <v>5</v>
      </c>
      <c r="B10" s="161"/>
      <c r="C10" s="148" t="s">
        <v>174</v>
      </c>
      <c r="D10" s="164"/>
      <c r="E10" s="157"/>
      <c r="F10" s="150"/>
      <c r="G10" s="150"/>
      <c r="H10" s="107"/>
      <c r="I10" s="227"/>
      <c r="J10" s="128">
        <f t="shared" si="0"/>
        <v>0</v>
      </c>
      <c r="K10" s="128">
        <f t="shared" si="1"/>
        <v>0</v>
      </c>
      <c r="L10" s="128">
        <f t="shared" si="2"/>
        <v>0</v>
      </c>
    </row>
    <row r="11" spans="1:12" s="84" customFormat="1" x14ac:dyDescent="0.25">
      <c r="A11" s="148">
        <v>6</v>
      </c>
      <c r="B11" s="161"/>
      <c r="C11" s="148" t="s">
        <v>174</v>
      </c>
      <c r="D11" s="164"/>
      <c r="E11" s="157"/>
      <c r="F11" s="150"/>
      <c r="G11" s="150"/>
      <c r="H11" s="150"/>
      <c r="I11" s="194"/>
      <c r="J11" s="128">
        <f t="shared" si="0"/>
        <v>0</v>
      </c>
      <c r="K11" s="128">
        <f t="shared" si="1"/>
        <v>0</v>
      </c>
      <c r="L11" s="128">
        <f t="shared" si="2"/>
        <v>0</v>
      </c>
    </row>
    <row r="12" spans="1:12" s="84" customFormat="1" x14ac:dyDescent="0.25">
      <c r="A12" s="148">
        <v>7</v>
      </c>
      <c r="B12" s="161"/>
      <c r="C12" s="148" t="s">
        <v>174</v>
      </c>
      <c r="D12" s="164"/>
      <c r="E12" s="157"/>
      <c r="F12" s="150"/>
      <c r="G12" s="150"/>
      <c r="H12" s="225"/>
      <c r="I12" s="229"/>
      <c r="J12" s="128">
        <f t="shared" si="0"/>
        <v>0</v>
      </c>
      <c r="K12" s="128">
        <f t="shared" si="1"/>
        <v>0</v>
      </c>
      <c r="L12" s="128">
        <f t="shared" si="2"/>
        <v>0</v>
      </c>
    </row>
    <row r="13" spans="1:12" s="84" customFormat="1" x14ac:dyDescent="0.25">
      <c r="A13" s="148">
        <v>8</v>
      </c>
      <c r="B13" s="161"/>
      <c r="C13" s="148" t="s">
        <v>174</v>
      </c>
      <c r="D13" s="164"/>
      <c r="E13" s="157"/>
      <c r="F13" s="150"/>
      <c r="G13" s="150"/>
      <c r="H13" s="225"/>
      <c r="I13" s="229"/>
      <c r="J13" s="128">
        <f t="shared" si="0"/>
        <v>0</v>
      </c>
      <c r="K13" s="128">
        <f t="shared" si="1"/>
        <v>0</v>
      </c>
      <c r="L13" s="128">
        <f t="shared" si="2"/>
        <v>0</v>
      </c>
    </row>
    <row r="14" spans="1:12" s="84" customFormat="1" x14ac:dyDescent="0.25">
      <c r="A14" s="148">
        <v>9</v>
      </c>
      <c r="B14" s="161"/>
      <c r="C14" s="148" t="s">
        <v>174</v>
      </c>
      <c r="D14" s="164"/>
      <c r="E14" s="157"/>
      <c r="F14" s="150"/>
      <c r="G14" s="150"/>
      <c r="H14" s="225"/>
      <c r="I14" s="229"/>
      <c r="J14" s="128">
        <f t="shared" si="0"/>
        <v>0</v>
      </c>
      <c r="K14" s="128">
        <f t="shared" si="1"/>
        <v>0</v>
      </c>
      <c r="L14" s="128">
        <f t="shared" si="2"/>
        <v>0</v>
      </c>
    </row>
    <row r="15" spans="1:12" s="84" customFormat="1" x14ac:dyDescent="0.25">
      <c r="A15" s="148">
        <v>10</v>
      </c>
      <c r="B15" s="161"/>
      <c r="C15" s="148" t="s">
        <v>174</v>
      </c>
      <c r="D15" s="164"/>
      <c r="E15" s="157"/>
      <c r="F15" s="150"/>
      <c r="G15" s="150"/>
      <c r="H15" s="150"/>
      <c r="I15" s="194"/>
      <c r="J15" s="128">
        <f t="shared" si="0"/>
        <v>0</v>
      </c>
      <c r="K15" s="128">
        <f t="shared" si="1"/>
        <v>0</v>
      </c>
      <c r="L15" s="128">
        <f t="shared" si="2"/>
        <v>0</v>
      </c>
    </row>
    <row r="16" spans="1:12" s="84" customFormat="1" x14ac:dyDescent="0.25">
      <c r="A16" s="148">
        <v>11</v>
      </c>
      <c r="B16" s="161"/>
      <c r="C16" s="148" t="s">
        <v>174</v>
      </c>
      <c r="D16" s="164"/>
      <c r="E16" s="157"/>
      <c r="F16" s="150"/>
      <c r="G16" s="150"/>
      <c r="H16" s="225"/>
      <c r="I16" s="190"/>
      <c r="J16" s="128">
        <f t="shared" si="0"/>
        <v>0</v>
      </c>
      <c r="K16" s="128">
        <f t="shared" si="1"/>
        <v>0</v>
      </c>
      <c r="L16" s="128">
        <f t="shared" si="2"/>
        <v>0</v>
      </c>
    </row>
    <row r="17" spans="1:12" s="84" customFormat="1" x14ac:dyDescent="0.25">
      <c r="A17" s="148">
        <v>12</v>
      </c>
      <c r="B17" s="161"/>
      <c r="C17" s="148" t="s">
        <v>174</v>
      </c>
      <c r="D17" s="164"/>
      <c r="E17" s="157"/>
      <c r="F17" s="150"/>
      <c r="G17" s="150"/>
      <c r="H17" s="150"/>
      <c r="I17" s="194"/>
      <c r="J17" s="128">
        <f t="shared" si="0"/>
        <v>0</v>
      </c>
      <c r="K17" s="128">
        <f t="shared" si="1"/>
        <v>0</v>
      </c>
      <c r="L17" s="128">
        <f t="shared" si="2"/>
        <v>0</v>
      </c>
    </row>
    <row r="18" spans="1:12" s="84" customFormat="1" x14ac:dyDescent="0.25">
      <c r="A18" s="148">
        <v>13</v>
      </c>
      <c r="B18" s="161"/>
      <c r="C18" s="148" t="s">
        <v>174</v>
      </c>
      <c r="D18" s="164"/>
      <c r="E18" s="157"/>
      <c r="F18" s="150"/>
      <c r="G18" s="150"/>
      <c r="H18" s="129"/>
      <c r="I18" s="194"/>
      <c r="J18" s="128">
        <f t="shared" si="0"/>
        <v>0</v>
      </c>
      <c r="K18" s="128">
        <f t="shared" si="1"/>
        <v>0</v>
      </c>
      <c r="L18" s="128">
        <f t="shared" si="2"/>
        <v>0</v>
      </c>
    </row>
    <row r="19" spans="1:12" s="84" customFormat="1" x14ac:dyDescent="0.25">
      <c r="A19" s="148">
        <v>14</v>
      </c>
      <c r="B19" s="161"/>
      <c r="C19" s="148" t="s">
        <v>174</v>
      </c>
      <c r="D19" s="164"/>
      <c r="E19" s="157"/>
      <c r="F19" s="150"/>
      <c r="G19" s="150"/>
      <c r="H19" s="107"/>
      <c r="I19" s="194"/>
      <c r="J19" s="128">
        <f t="shared" si="0"/>
        <v>0</v>
      </c>
      <c r="K19" s="128">
        <f t="shared" si="1"/>
        <v>0</v>
      </c>
      <c r="L19" s="128">
        <f t="shared" si="2"/>
        <v>0</v>
      </c>
    </row>
    <row r="20" spans="1:12" s="84" customFormat="1" x14ac:dyDescent="0.25">
      <c r="A20" s="148">
        <v>15</v>
      </c>
      <c r="B20" s="161"/>
      <c r="C20" s="148" t="s">
        <v>174</v>
      </c>
      <c r="D20" s="164"/>
      <c r="E20" s="157"/>
      <c r="F20" s="150"/>
      <c r="G20" s="150"/>
      <c r="H20" s="150"/>
      <c r="I20" s="194"/>
      <c r="J20" s="128">
        <f t="shared" si="0"/>
        <v>0</v>
      </c>
      <c r="K20" s="128">
        <f t="shared" si="1"/>
        <v>0</v>
      </c>
      <c r="L20" s="128">
        <f t="shared" si="2"/>
        <v>0</v>
      </c>
    </row>
    <row r="21" spans="1:12" s="84" customFormat="1" x14ac:dyDescent="0.25">
      <c r="A21" s="148">
        <v>16</v>
      </c>
      <c r="B21" s="161"/>
      <c r="C21" s="148" t="s">
        <v>174</v>
      </c>
      <c r="D21" s="164"/>
      <c r="E21" s="157"/>
      <c r="F21" s="150"/>
      <c r="G21" s="150"/>
      <c r="H21" s="107"/>
      <c r="I21" s="227"/>
      <c r="J21" s="128">
        <f t="shared" si="0"/>
        <v>0</v>
      </c>
      <c r="K21" s="128">
        <f t="shared" si="1"/>
        <v>0</v>
      </c>
      <c r="L21" s="128">
        <f t="shared" si="2"/>
        <v>0</v>
      </c>
    </row>
    <row r="22" spans="1:12" s="84" customFormat="1" x14ac:dyDescent="0.25">
      <c r="A22" s="148">
        <v>17</v>
      </c>
      <c r="B22" s="161"/>
      <c r="C22" s="148" t="s">
        <v>174</v>
      </c>
      <c r="D22" s="164"/>
      <c r="E22" s="157"/>
      <c r="F22" s="150"/>
      <c r="G22" s="150"/>
      <c r="H22" s="127"/>
      <c r="I22" s="191"/>
      <c r="J22" s="128">
        <f t="shared" si="0"/>
        <v>0</v>
      </c>
      <c r="K22" s="128">
        <f t="shared" si="1"/>
        <v>0</v>
      </c>
      <c r="L22" s="128">
        <f t="shared" si="2"/>
        <v>0</v>
      </c>
    </row>
    <row r="23" spans="1:12" s="84" customFormat="1" x14ac:dyDescent="0.25">
      <c r="A23" s="148">
        <v>18</v>
      </c>
      <c r="B23" s="161"/>
      <c r="C23" s="148" t="s">
        <v>174</v>
      </c>
      <c r="D23" s="164"/>
      <c r="E23" s="157"/>
      <c r="F23" s="150"/>
      <c r="G23" s="150"/>
      <c r="H23" s="127"/>
      <c r="I23" s="228"/>
      <c r="J23" s="128">
        <f t="shared" si="0"/>
        <v>0</v>
      </c>
      <c r="K23" s="128">
        <f t="shared" si="1"/>
        <v>0</v>
      </c>
      <c r="L23" s="128">
        <f t="shared" si="2"/>
        <v>0</v>
      </c>
    </row>
    <row r="24" spans="1:12" s="84" customFormat="1" x14ac:dyDescent="0.25">
      <c r="A24" s="148">
        <v>19</v>
      </c>
      <c r="B24" s="161"/>
      <c r="C24" s="148" t="s">
        <v>174</v>
      </c>
      <c r="D24" s="164"/>
      <c r="E24" s="157"/>
      <c r="F24" s="150"/>
      <c r="G24" s="150"/>
      <c r="H24" s="127"/>
      <c r="I24" s="191"/>
      <c r="J24" s="128">
        <f t="shared" si="0"/>
        <v>0</v>
      </c>
      <c r="K24" s="128">
        <f t="shared" si="1"/>
        <v>0</v>
      </c>
      <c r="L24" s="128">
        <f t="shared" si="2"/>
        <v>0</v>
      </c>
    </row>
    <row r="25" spans="1:12" s="84" customFormat="1" x14ac:dyDescent="0.25">
      <c r="A25" s="148">
        <v>20</v>
      </c>
      <c r="B25" s="161"/>
      <c r="C25" s="148" t="s">
        <v>174</v>
      </c>
      <c r="D25" s="164"/>
      <c r="E25" s="157"/>
      <c r="F25" s="150"/>
      <c r="G25" s="150"/>
      <c r="H25" s="150"/>
      <c r="I25" s="191"/>
      <c r="J25" s="128">
        <f t="shared" si="0"/>
        <v>0</v>
      </c>
      <c r="K25" s="128">
        <f t="shared" si="1"/>
        <v>0</v>
      </c>
      <c r="L25" s="128">
        <f t="shared" si="2"/>
        <v>0</v>
      </c>
    </row>
    <row r="26" spans="1:12" s="84" customFormat="1" x14ac:dyDescent="0.25">
      <c r="A26" s="148">
        <v>21</v>
      </c>
      <c r="B26" s="161"/>
      <c r="C26" s="148" t="s">
        <v>174</v>
      </c>
      <c r="D26" s="164"/>
      <c r="E26" s="157"/>
      <c r="F26" s="150"/>
      <c r="G26" s="150"/>
      <c r="H26" s="104"/>
      <c r="I26" s="191"/>
      <c r="J26" s="128">
        <f t="shared" si="0"/>
        <v>0</v>
      </c>
      <c r="K26" s="128">
        <f t="shared" si="1"/>
        <v>0</v>
      </c>
      <c r="L26" s="128">
        <f t="shared" si="2"/>
        <v>0</v>
      </c>
    </row>
    <row r="27" spans="1:12" s="84" customFormat="1" x14ac:dyDescent="0.25">
      <c r="A27" s="148">
        <v>22</v>
      </c>
      <c r="B27" s="161"/>
      <c r="C27" s="148" t="s">
        <v>174</v>
      </c>
      <c r="D27" s="164"/>
      <c r="E27" s="157"/>
      <c r="F27" s="150"/>
      <c r="G27" s="150"/>
      <c r="H27" s="225"/>
      <c r="I27" s="190"/>
      <c r="J27" s="128">
        <f t="shared" si="0"/>
        <v>0</v>
      </c>
      <c r="K27" s="128">
        <f t="shared" si="1"/>
        <v>0</v>
      </c>
      <c r="L27" s="128">
        <f t="shared" si="2"/>
        <v>0</v>
      </c>
    </row>
    <row r="28" spans="1:12" s="84" customFormat="1" x14ac:dyDescent="0.25">
      <c r="A28" s="148">
        <v>23</v>
      </c>
      <c r="B28" s="161"/>
      <c r="C28" s="148" t="s">
        <v>174</v>
      </c>
      <c r="D28" s="164"/>
      <c r="E28" s="157"/>
      <c r="F28" s="150"/>
      <c r="G28" s="150"/>
      <c r="H28" s="127"/>
      <c r="I28" s="191"/>
      <c r="J28" s="128">
        <f t="shared" si="0"/>
        <v>0</v>
      </c>
      <c r="K28" s="128">
        <f t="shared" si="1"/>
        <v>0</v>
      </c>
      <c r="L28" s="128">
        <f t="shared" si="2"/>
        <v>0</v>
      </c>
    </row>
    <row r="29" spans="1:12" s="84" customFormat="1" x14ac:dyDescent="0.25">
      <c r="A29" s="148">
        <v>24</v>
      </c>
      <c r="B29" s="161"/>
      <c r="C29" s="148" t="s">
        <v>174</v>
      </c>
      <c r="D29" s="164"/>
      <c r="E29" s="157"/>
      <c r="F29" s="150"/>
      <c r="G29" s="150"/>
      <c r="H29" s="127"/>
      <c r="I29" s="191"/>
      <c r="J29" s="128">
        <f t="shared" si="0"/>
        <v>0</v>
      </c>
      <c r="K29" s="128">
        <f t="shared" si="1"/>
        <v>0</v>
      </c>
      <c r="L29" s="128">
        <f t="shared" si="2"/>
        <v>0</v>
      </c>
    </row>
    <row r="30" spans="1:12" s="84" customFormat="1" x14ac:dyDescent="0.25">
      <c r="A30" s="148">
        <v>25</v>
      </c>
      <c r="B30" s="161"/>
      <c r="C30" s="148" t="s">
        <v>174</v>
      </c>
      <c r="D30" s="164"/>
      <c r="E30" s="157"/>
      <c r="F30" s="150"/>
      <c r="G30" s="150"/>
      <c r="H30" s="127"/>
      <c r="I30" s="191"/>
      <c r="J30" s="128">
        <f t="shared" si="0"/>
        <v>0</v>
      </c>
      <c r="K30" s="128">
        <f t="shared" si="1"/>
        <v>0</v>
      </c>
      <c r="L30" s="128">
        <f t="shared" si="2"/>
        <v>0</v>
      </c>
    </row>
    <row r="31" spans="1:12" s="84" customFormat="1" x14ac:dyDescent="0.25">
      <c r="A31" s="148">
        <v>26</v>
      </c>
      <c r="B31" s="161"/>
      <c r="C31" s="148" t="s">
        <v>174</v>
      </c>
      <c r="D31" s="164"/>
      <c r="E31" s="157"/>
      <c r="F31" s="150"/>
      <c r="G31" s="150"/>
      <c r="H31" s="127"/>
      <c r="I31" s="191"/>
      <c r="J31" s="128">
        <f t="shared" si="0"/>
        <v>0</v>
      </c>
      <c r="K31" s="128">
        <f>J31*12%</f>
        <v>0</v>
      </c>
      <c r="L31" s="128">
        <f t="shared" si="2"/>
        <v>0</v>
      </c>
    </row>
    <row r="32" spans="1:12" s="84" customFormat="1" x14ac:dyDescent="0.25">
      <c r="A32" s="148">
        <v>27</v>
      </c>
      <c r="B32" s="161"/>
      <c r="C32" s="148" t="s">
        <v>174</v>
      </c>
      <c r="D32" s="164"/>
      <c r="E32" s="157"/>
      <c r="F32" s="150"/>
      <c r="G32" s="150"/>
      <c r="H32" s="127"/>
      <c r="I32" s="191"/>
      <c r="J32" s="128">
        <f t="shared" si="0"/>
        <v>0</v>
      </c>
      <c r="K32" s="128">
        <f>J32*12%</f>
        <v>0</v>
      </c>
      <c r="L32" s="128">
        <f t="shared" si="2"/>
        <v>0</v>
      </c>
    </row>
    <row r="33" spans="1:12" s="84" customFormat="1" x14ac:dyDescent="0.25">
      <c r="A33" s="148">
        <v>28</v>
      </c>
      <c r="B33" s="161"/>
      <c r="C33" s="148" t="s">
        <v>174</v>
      </c>
      <c r="D33" s="164"/>
      <c r="E33" s="157"/>
      <c r="F33" s="150"/>
      <c r="G33" s="150"/>
      <c r="H33" s="127"/>
      <c r="I33" s="191"/>
      <c r="J33" s="128">
        <f t="shared" si="0"/>
        <v>0</v>
      </c>
      <c r="K33" s="128">
        <f t="shared" ref="K33:K40" si="3">J33*12%</f>
        <v>0</v>
      </c>
      <c r="L33" s="128">
        <f t="shared" si="2"/>
        <v>0</v>
      </c>
    </row>
    <row r="34" spans="1:12" s="84" customFormat="1" x14ac:dyDescent="0.25">
      <c r="A34" s="148">
        <v>29</v>
      </c>
      <c r="B34" s="161"/>
      <c r="C34" s="148" t="s">
        <v>174</v>
      </c>
      <c r="D34" s="164"/>
      <c r="E34" s="157"/>
      <c r="F34" s="150"/>
      <c r="G34" s="150"/>
      <c r="H34" s="127"/>
      <c r="I34" s="191"/>
      <c r="J34" s="128">
        <f t="shared" si="0"/>
        <v>0</v>
      </c>
      <c r="K34" s="128">
        <f t="shared" si="3"/>
        <v>0</v>
      </c>
      <c r="L34" s="128">
        <f t="shared" si="2"/>
        <v>0</v>
      </c>
    </row>
    <row r="35" spans="1:12" s="84" customFormat="1" x14ac:dyDescent="0.25">
      <c r="A35" s="148">
        <v>30</v>
      </c>
      <c r="B35" s="161"/>
      <c r="C35" s="148" t="s">
        <v>174</v>
      </c>
      <c r="D35" s="164"/>
      <c r="E35" s="157"/>
      <c r="F35" s="150"/>
      <c r="G35" s="150"/>
      <c r="H35" s="127"/>
      <c r="I35" s="191"/>
      <c r="J35" s="128">
        <f t="shared" si="0"/>
        <v>0</v>
      </c>
      <c r="K35" s="128">
        <f t="shared" si="3"/>
        <v>0</v>
      </c>
      <c r="L35" s="128">
        <f t="shared" si="2"/>
        <v>0</v>
      </c>
    </row>
    <row r="36" spans="1:12" s="84" customFormat="1" x14ac:dyDescent="0.25">
      <c r="A36" s="148">
        <v>31</v>
      </c>
      <c r="B36" s="161"/>
      <c r="C36" s="148" t="s">
        <v>174</v>
      </c>
      <c r="D36" s="164"/>
      <c r="E36" s="157"/>
      <c r="F36" s="150"/>
      <c r="G36" s="150"/>
      <c r="H36" s="127"/>
      <c r="I36" s="191"/>
      <c r="J36" s="128">
        <f t="shared" si="0"/>
        <v>0</v>
      </c>
      <c r="K36" s="128">
        <f t="shared" si="3"/>
        <v>0</v>
      </c>
      <c r="L36" s="128">
        <f t="shared" si="2"/>
        <v>0</v>
      </c>
    </row>
    <row r="37" spans="1:12" s="84" customFormat="1" x14ac:dyDescent="0.25">
      <c r="A37" s="148">
        <v>32</v>
      </c>
      <c r="B37" s="161"/>
      <c r="C37" s="148" t="s">
        <v>174</v>
      </c>
      <c r="D37" s="164"/>
      <c r="E37" s="157"/>
      <c r="F37" s="150"/>
      <c r="G37" s="150"/>
      <c r="H37" s="127"/>
      <c r="I37" s="191"/>
      <c r="J37" s="128">
        <f t="shared" si="0"/>
        <v>0</v>
      </c>
      <c r="K37" s="128">
        <f t="shared" si="3"/>
        <v>0</v>
      </c>
      <c r="L37" s="128">
        <f t="shared" si="2"/>
        <v>0</v>
      </c>
    </row>
    <row r="38" spans="1:12" s="84" customFormat="1" x14ac:dyDescent="0.25">
      <c r="A38" s="148">
        <v>33</v>
      </c>
      <c r="B38" s="161"/>
      <c r="C38" s="148" t="s">
        <v>174</v>
      </c>
      <c r="D38" s="164"/>
      <c r="E38" s="157"/>
      <c r="F38" s="150"/>
      <c r="G38" s="150"/>
      <c r="H38" s="104"/>
      <c r="I38" s="227"/>
      <c r="J38" s="128">
        <f t="shared" si="0"/>
        <v>0</v>
      </c>
      <c r="K38" s="128">
        <f t="shared" si="3"/>
        <v>0</v>
      </c>
      <c r="L38" s="128">
        <f t="shared" si="2"/>
        <v>0</v>
      </c>
    </row>
    <row r="39" spans="1:12" s="84" customFormat="1" x14ac:dyDescent="0.25">
      <c r="A39" s="148">
        <v>34</v>
      </c>
      <c r="B39" s="161"/>
      <c r="C39" s="148" t="s">
        <v>174</v>
      </c>
      <c r="D39" s="164"/>
      <c r="E39" s="157"/>
      <c r="F39" s="150"/>
      <c r="G39" s="150"/>
      <c r="H39" s="107"/>
      <c r="I39" s="227"/>
      <c r="J39" s="128">
        <f t="shared" si="0"/>
        <v>0</v>
      </c>
      <c r="K39" s="128">
        <f t="shared" si="3"/>
        <v>0</v>
      </c>
      <c r="L39" s="128">
        <f t="shared" si="2"/>
        <v>0</v>
      </c>
    </row>
    <row r="40" spans="1:12" s="84" customFormat="1" ht="15.75" thickBot="1" x14ac:dyDescent="0.3">
      <c r="A40" s="148">
        <v>35</v>
      </c>
      <c r="B40" s="161"/>
      <c r="C40" s="148" t="s">
        <v>174</v>
      </c>
      <c r="D40" s="164"/>
      <c r="E40" s="157"/>
      <c r="F40" s="150"/>
      <c r="G40" s="150"/>
      <c r="H40" s="107"/>
      <c r="I40" s="227"/>
      <c r="J40" s="128">
        <f t="shared" si="0"/>
        <v>0</v>
      </c>
      <c r="K40" s="128">
        <f t="shared" si="3"/>
        <v>0</v>
      </c>
      <c r="L40" s="128">
        <f t="shared" si="2"/>
        <v>0</v>
      </c>
    </row>
    <row r="41" spans="1:12" ht="16.5" thickTop="1" thickBot="1" x14ac:dyDescent="0.3">
      <c r="A41" s="43"/>
      <c r="B41" s="43"/>
      <c r="C41" s="43"/>
      <c r="D41" s="44"/>
      <c r="E41" s="43"/>
      <c r="F41" s="43"/>
      <c r="G41" s="43"/>
      <c r="H41" s="43"/>
      <c r="I41" s="45">
        <f>SUM(I6:I40)</f>
        <v>0</v>
      </c>
      <c r="J41" s="45">
        <f>SUM(J6:J40)</f>
        <v>0</v>
      </c>
      <c r="K41" s="45">
        <f>SUM(K6:K40)</f>
        <v>0</v>
      </c>
      <c r="L41" s="46">
        <f>SUM(L6:L40)</f>
        <v>0</v>
      </c>
    </row>
    <row r="42" spans="1:12" ht="15.75" thickTop="1" x14ac:dyDescent="0.25"/>
    <row r="45" spans="1:12" x14ac:dyDescent="0.25">
      <c r="F45" s="48"/>
      <c r="G45" s="48"/>
    </row>
    <row r="46" spans="1:12" x14ac:dyDescent="0.25">
      <c r="C46" s="118"/>
      <c r="D46" s="119"/>
      <c r="E46" s="120"/>
      <c r="F46" s="121"/>
      <c r="G46" s="222"/>
      <c r="I46" s="189"/>
    </row>
    <row r="47" spans="1:12" x14ac:dyDescent="0.25">
      <c r="F47" s="48"/>
      <c r="G47" s="48"/>
      <c r="H47" s="48"/>
      <c r="I47" s="189"/>
    </row>
    <row r="48" spans="1:12" x14ac:dyDescent="0.25">
      <c r="G48" s="143"/>
      <c r="I48" s="189"/>
    </row>
    <row r="49" spans="7:9" x14ac:dyDescent="0.25">
      <c r="G49" s="143"/>
      <c r="I49" s="189"/>
    </row>
    <row r="50" spans="7:9" x14ac:dyDescent="0.25">
      <c r="G50" s="143"/>
      <c r="I50" s="189"/>
    </row>
    <row r="51" spans="7:9" x14ac:dyDescent="0.25">
      <c r="G51" s="143"/>
      <c r="I51" s="189"/>
    </row>
    <row r="52" spans="7:9" x14ac:dyDescent="0.25">
      <c r="I52" s="189"/>
    </row>
    <row r="53" spans="7:9" x14ac:dyDescent="0.25">
      <c r="I53" s="189"/>
    </row>
    <row r="54" spans="7:9" x14ac:dyDescent="0.25">
      <c r="I54" s="189"/>
    </row>
    <row r="55" spans="7:9" x14ac:dyDescent="0.25">
      <c r="I55" s="189"/>
    </row>
    <row r="56" spans="7:9" x14ac:dyDescent="0.25">
      <c r="I56" s="189"/>
    </row>
    <row r="57" spans="7:9" x14ac:dyDescent="0.25">
      <c r="I57" s="189"/>
    </row>
    <row r="58" spans="7:9" x14ac:dyDescent="0.25">
      <c r="I58" s="189"/>
    </row>
    <row r="59" spans="7:9" x14ac:dyDescent="0.25">
      <c r="I59" s="189"/>
    </row>
    <row r="60" spans="7:9" x14ac:dyDescent="0.25">
      <c r="I60" s="189"/>
    </row>
    <row r="61" spans="7:9" x14ac:dyDescent="0.25">
      <c r="I61" s="189"/>
    </row>
    <row r="62" spans="7:9" x14ac:dyDescent="0.25">
      <c r="I62" s="189"/>
    </row>
    <row r="63" spans="7:9" x14ac:dyDescent="0.25">
      <c r="I63" s="189"/>
    </row>
    <row r="64" spans="7:9" x14ac:dyDescent="0.25">
      <c r="I64" s="189"/>
    </row>
    <row r="65" spans="9:9" x14ac:dyDescent="0.25">
      <c r="I65" s="189"/>
    </row>
  </sheetData>
  <mergeCells count="3">
    <mergeCell ref="A1:L1"/>
    <mergeCell ref="A2:L2"/>
    <mergeCell ref="A3:L3"/>
  </mergeCells>
  <pageMargins left="0.7" right="0.7" top="0.75" bottom="0.75" header="0.3" footer="0.3"/>
  <pageSetup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zoomScale="90" zoomScaleNormal="90" workbookViewId="0">
      <selection activeCell="A4" sqref="A4"/>
    </sheetView>
  </sheetViews>
  <sheetFormatPr defaultRowHeight="15" x14ac:dyDescent="0.25"/>
  <cols>
    <col min="1" max="1" width="4" style="40" bestFit="1" customWidth="1"/>
    <col min="2" max="2" width="10.5703125" style="40" customWidth="1"/>
    <col min="3" max="3" width="10.140625" style="40" bestFit="1" customWidth="1"/>
    <col min="4" max="4" width="19.85546875" style="40" customWidth="1"/>
    <col min="5" max="5" width="18.5703125" style="40" customWidth="1"/>
    <col min="6" max="7" width="26.140625" style="40" customWidth="1"/>
    <col min="8" max="8" width="102.140625" style="40" customWidth="1"/>
    <col min="9" max="9" width="19.42578125" style="40" bestFit="1" customWidth="1"/>
    <col min="10" max="10" width="17.7109375" style="40" customWidth="1"/>
    <col min="11" max="11" width="16.140625" style="40" bestFit="1" customWidth="1"/>
    <col min="12" max="12" width="18.85546875" style="40" bestFit="1" customWidth="1"/>
  </cols>
  <sheetData>
    <row r="1" spans="1:12" ht="15.75" x14ac:dyDescent="0.25">
      <c r="A1" s="296" t="s">
        <v>131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</row>
    <row r="2" spans="1:12" ht="15.75" x14ac:dyDescent="0.25">
      <c r="A2" s="296" t="s">
        <v>38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6"/>
    </row>
    <row r="3" spans="1:12" ht="15.75" x14ac:dyDescent="0.25">
      <c r="A3" s="296" t="s">
        <v>316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</row>
    <row r="4" spans="1:12" ht="15.75" thickBot="1" x14ac:dyDescent="0.3"/>
    <row r="5" spans="1:12" s="39" customFormat="1" ht="30.75" customHeight="1" thickTop="1" thickBot="1" x14ac:dyDescent="0.3">
      <c r="A5" s="47" t="s">
        <v>26</v>
      </c>
      <c r="B5" s="47" t="s">
        <v>36</v>
      </c>
      <c r="C5" s="47" t="s">
        <v>27</v>
      </c>
      <c r="D5" s="47" t="s">
        <v>28</v>
      </c>
      <c r="E5" s="47" t="s">
        <v>30</v>
      </c>
      <c r="F5" s="47" t="s">
        <v>29</v>
      </c>
      <c r="G5" s="47" t="s">
        <v>94</v>
      </c>
      <c r="H5" s="47" t="s">
        <v>31</v>
      </c>
      <c r="I5" s="47" t="s">
        <v>32</v>
      </c>
      <c r="J5" s="47" t="s">
        <v>92</v>
      </c>
      <c r="K5" s="47" t="s">
        <v>33</v>
      </c>
      <c r="L5" s="47" t="s">
        <v>34</v>
      </c>
    </row>
    <row r="6" spans="1:12" s="84" customFormat="1" ht="15.75" thickTop="1" x14ac:dyDescent="0.25">
      <c r="A6" s="148">
        <v>1</v>
      </c>
      <c r="B6" s="161"/>
      <c r="C6" s="148" t="s">
        <v>178</v>
      </c>
      <c r="D6" s="164"/>
      <c r="E6" s="157"/>
      <c r="F6" s="150"/>
      <c r="G6" s="150"/>
      <c r="H6" s="127"/>
      <c r="I6" s="191"/>
      <c r="J6" s="128">
        <f>I6*11/12</f>
        <v>0</v>
      </c>
      <c r="K6" s="128">
        <f>J6*12%</f>
        <v>0</v>
      </c>
      <c r="L6" s="128">
        <f>I6+K6</f>
        <v>0</v>
      </c>
    </row>
    <row r="7" spans="1:12" s="84" customFormat="1" x14ac:dyDescent="0.25">
      <c r="A7" s="148">
        <v>2</v>
      </c>
      <c r="B7" s="161"/>
      <c r="C7" s="148" t="s">
        <v>178</v>
      </c>
      <c r="D7" s="164"/>
      <c r="E7" s="157"/>
      <c r="F7" s="150"/>
      <c r="G7" s="150"/>
      <c r="H7" s="127"/>
      <c r="I7" s="191"/>
      <c r="J7" s="128">
        <f t="shared" ref="J7:J25" si="0">I7*11/12</f>
        <v>0</v>
      </c>
      <c r="K7" s="128">
        <f t="shared" ref="K7:K25" si="1">J7*12%</f>
        <v>0</v>
      </c>
      <c r="L7" s="128">
        <f t="shared" ref="L7:L25" si="2">I7+K7</f>
        <v>0</v>
      </c>
    </row>
    <row r="8" spans="1:12" s="84" customFormat="1" x14ac:dyDescent="0.25">
      <c r="A8" s="148">
        <v>3</v>
      </c>
      <c r="B8" s="161"/>
      <c r="C8" s="148" t="s">
        <v>178</v>
      </c>
      <c r="D8" s="164"/>
      <c r="E8" s="157"/>
      <c r="F8" s="150"/>
      <c r="G8" s="150"/>
      <c r="H8" s="127"/>
      <c r="I8" s="228"/>
      <c r="J8" s="128">
        <f t="shared" si="0"/>
        <v>0</v>
      </c>
      <c r="K8" s="128">
        <f t="shared" si="1"/>
        <v>0</v>
      </c>
      <c r="L8" s="128">
        <f t="shared" si="2"/>
        <v>0</v>
      </c>
    </row>
    <row r="9" spans="1:12" s="84" customFormat="1" x14ac:dyDescent="0.25">
      <c r="A9" s="148">
        <v>4</v>
      </c>
      <c r="B9" s="161"/>
      <c r="C9" s="148" t="s">
        <v>178</v>
      </c>
      <c r="D9" s="164"/>
      <c r="E9" s="157"/>
      <c r="F9" s="150"/>
      <c r="G9" s="150"/>
      <c r="H9" s="127"/>
      <c r="I9" s="191"/>
      <c r="J9" s="128">
        <f t="shared" si="0"/>
        <v>0</v>
      </c>
      <c r="K9" s="128">
        <f t="shared" si="1"/>
        <v>0</v>
      </c>
      <c r="L9" s="128">
        <f t="shared" si="2"/>
        <v>0</v>
      </c>
    </row>
    <row r="10" spans="1:12" s="84" customFormat="1" x14ac:dyDescent="0.25">
      <c r="A10" s="148">
        <v>5</v>
      </c>
      <c r="B10" s="161"/>
      <c r="C10" s="148" t="s">
        <v>178</v>
      </c>
      <c r="D10" s="164"/>
      <c r="E10" s="157"/>
      <c r="F10" s="150"/>
      <c r="G10" s="150"/>
      <c r="H10" s="107"/>
      <c r="I10" s="227"/>
      <c r="J10" s="128">
        <f t="shared" si="0"/>
        <v>0</v>
      </c>
      <c r="K10" s="128">
        <f t="shared" si="1"/>
        <v>0</v>
      </c>
      <c r="L10" s="128">
        <f t="shared" si="2"/>
        <v>0</v>
      </c>
    </row>
    <row r="11" spans="1:12" s="84" customFormat="1" x14ac:dyDescent="0.25">
      <c r="A11" s="148">
        <v>6</v>
      </c>
      <c r="B11" s="161"/>
      <c r="C11" s="148" t="s">
        <v>178</v>
      </c>
      <c r="D11" s="164"/>
      <c r="E11" s="157"/>
      <c r="F11" s="150"/>
      <c r="G11" s="150"/>
      <c r="H11" s="150"/>
      <c r="I11" s="194"/>
      <c r="J11" s="128">
        <f t="shared" si="0"/>
        <v>0</v>
      </c>
      <c r="K11" s="128">
        <f t="shared" si="1"/>
        <v>0</v>
      </c>
      <c r="L11" s="128">
        <f t="shared" si="2"/>
        <v>0</v>
      </c>
    </row>
    <row r="12" spans="1:12" s="84" customFormat="1" x14ac:dyDescent="0.25">
      <c r="A12" s="148">
        <v>7</v>
      </c>
      <c r="B12" s="161"/>
      <c r="C12" s="148" t="s">
        <v>178</v>
      </c>
      <c r="D12" s="164"/>
      <c r="E12" s="157"/>
      <c r="F12" s="150"/>
      <c r="G12" s="150"/>
      <c r="H12" s="127"/>
      <c r="I12" s="191"/>
      <c r="J12" s="128">
        <f t="shared" si="0"/>
        <v>0</v>
      </c>
      <c r="K12" s="128">
        <f t="shared" si="1"/>
        <v>0</v>
      </c>
      <c r="L12" s="128">
        <f t="shared" si="2"/>
        <v>0</v>
      </c>
    </row>
    <row r="13" spans="1:12" s="84" customFormat="1" x14ac:dyDescent="0.25">
      <c r="A13" s="148">
        <v>8</v>
      </c>
      <c r="B13" s="161"/>
      <c r="C13" s="148" t="s">
        <v>178</v>
      </c>
      <c r="D13" s="164"/>
      <c r="E13" s="157"/>
      <c r="F13" s="150"/>
      <c r="G13" s="150"/>
      <c r="H13" s="127"/>
      <c r="I13" s="238"/>
      <c r="J13" s="128">
        <f t="shared" si="0"/>
        <v>0</v>
      </c>
      <c r="K13" s="128">
        <f t="shared" si="1"/>
        <v>0</v>
      </c>
      <c r="L13" s="128">
        <f t="shared" si="2"/>
        <v>0</v>
      </c>
    </row>
    <row r="14" spans="1:12" s="84" customFormat="1" x14ac:dyDescent="0.25">
      <c r="A14" s="148">
        <v>9</v>
      </c>
      <c r="B14" s="161"/>
      <c r="C14" s="148" t="s">
        <v>178</v>
      </c>
      <c r="D14" s="164"/>
      <c r="E14" s="157"/>
      <c r="F14" s="150"/>
      <c r="G14" s="150"/>
      <c r="H14" s="150"/>
      <c r="I14" s="194"/>
      <c r="J14" s="128">
        <f t="shared" si="0"/>
        <v>0</v>
      </c>
      <c r="K14" s="128">
        <f t="shared" si="1"/>
        <v>0</v>
      </c>
      <c r="L14" s="128">
        <f t="shared" si="2"/>
        <v>0</v>
      </c>
    </row>
    <row r="15" spans="1:12" s="84" customFormat="1" x14ac:dyDescent="0.25">
      <c r="A15" s="148">
        <v>10</v>
      </c>
      <c r="B15" s="161"/>
      <c r="C15" s="148" t="s">
        <v>178</v>
      </c>
      <c r="D15" s="164"/>
      <c r="E15" s="157"/>
      <c r="F15" s="150"/>
      <c r="G15" s="150"/>
      <c r="H15" s="107"/>
      <c r="I15" s="194"/>
      <c r="J15" s="128">
        <f t="shared" si="0"/>
        <v>0</v>
      </c>
      <c r="K15" s="128">
        <f t="shared" si="1"/>
        <v>0</v>
      </c>
      <c r="L15" s="128">
        <f t="shared" si="2"/>
        <v>0</v>
      </c>
    </row>
    <row r="16" spans="1:12" s="84" customFormat="1" x14ac:dyDescent="0.25">
      <c r="A16" s="148">
        <v>11</v>
      </c>
      <c r="B16" s="161"/>
      <c r="C16" s="148" t="s">
        <v>178</v>
      </c>
      <c r="D16" s="164"/>
      <c r="E16" s="157"/>
      <c r="F16" s="150"/>
      <c r="G16" s="150"/>
      <c r="H16" s="127"/>
      <c r="I16" s="191"/>
      <c r="J16" s="128">
        <f t="shared" si="0"/>
        <v>0</v>
      </c>
      <c r="K16" s="128">
        <f t="shared" si="1"/>
        <v>0</v>
      </c>
      <c r="L16" s="128">
        <f t="shared" si="2"/>
        <v>0</v>
      </c>
    </row>
    <row r="17" spans="1:12" s="84" customFormat="1" x14ac:dyDescent="0.25">
      <c r="A17" s="148">
        <v>12</v>
      </c>
      <c r="B17" s="161"/>
      <c r="C17" s="148" t="s">
        <v>178</v>
      </c>
      <c r="D17" s="164"/>
      <c r="E17" s="157"/>
      <c r="F17" s="150"/>
      <c r="G17" s="150"/>
      <c r="H17" s="129"/>
      <c r="I17" s="194"/>
      <c r="J17" s="128">
        <f t="shared" si="0"/>
        <v>0</v>
      </c>
      <c r="K17" s="128">
        <f t="shared" si="1"/>
        <v>0</v>
      </c>
      <c r="L17" s="128">
        <f t="shared" si="2"/>
        <v>0</v>
      </c>
    </row>
    <row r="18" spans="1:12" s="84" customFormat="1" x14ac:dyDescent="0.25">
      <c r="A18" s="148">
        <v>13</v>
      </c>
      <c r="B18" s="161"/>
      <c r="C18" s="148" t="s">
        <v>178</v>
      </c>
      <c r="D18" s="256"/>
      <c r="E18" s="183"/>
      <c r="F18" s="152"/>
      <c r="G18" s="152"/>
      <c r="H18" s="127"/>
      <c r="I18" s="128"/>
      <c r="J18" s="128">
        <f t="shared" si="0"/>
        <v>0</v>
      </c>
      <c r="K18" s="128">
        <f t="shared" si="1"/>
        <v>0</v>
      </c>
      <c r="L18" s="128">
        <f t="shared" si="2"/>
        <v>0</v>
      </c>
    </row>
    <row r="19" spans="1:12" s="84" customFormat="1" x14ac:dyDescent="0.25">
      <c r="A19" s="148">
        <v>14</v>
      </c>
      <c r="B19" s="161"/>
      <c r="C19" s="148" t="s">
        <v>178</v>
      </c>
      <c r="D19" s="164"/>
      <c r="E19" s="157"/>
      <c r="F19" s="150"/>
      <c r="G19" s="150"/>
      <c r="H19" s="127"/>
      <c r="I19" s="223"/>
      <c r="J19" s="128">
        <f t="shared" si="0"/>
        <v>0</v>
      </c>
      <c r="K19" s="128">
        <f t="shared" si="1"/>
        <v>0</v>
      </c>
      <c r="L19" s="128">
        <f t="shared" si="2"/>
        <v>0</v>
      </c>
    </row>
    <row r="20" spans="1:12" s="84" customFormat="1" x14ac:dyDescent="0.25">
      <c r="A20" s="148">
        <v>15</v>
      </c>
      <c r="B20" s="161"/>
      <c r="C20" s="148" t="s">
        <v>178</v>
      </c>
      <c r="D20" s="164"/>
      <c r="E20" s="157"/>
      <c r="F20" s="150"/>
      <c r="G20" s="150"/>
      <c r="H20" s="150"/>
      <c r="I20" s="194"/>
      <c r="J20" s="128">
        <f t="shared" si="0"/>
        <v>0</v>
      </c>
      <c r="K20" s="128">
        <f t="shared" si="1"/>
        <v>0</v>
      </c>
      <c r="L20" s="128">
        <f t="shared" si="2"/>
        <v>0</v>
      </c>
    </row>
    <row r="21" spans="1:12" s="84" customFormat="1" x14ac:dyDescent="0.25">
      <c r="A21" s="148">
        <v>16</v>
      </c>
      <c r="B21" s="161"/>
      <c r="C21" s="148" t="s">
        <v>178</v>
      </c>
      <c r="D21" s="164"/>
      <c r="E21" s="157"/>
      <c r="F21" s="150"/>
      <c r="G21" s="150"/>
      <c r="H21" s="104"/>
      <c r="I21" s="194"/>
      <c r="J21" s="128">
        <f t="shared" si="0"/>
        <v>0</v>
      </c>
      <c r="K21" s="128">
        <f t="shared" si="1"/>
        <v>0</v>
      </c>
      <c r="L21" s="128">
        <f t="shared" si="2"/>
        <v>0</v>
      </c>
    </row>
    <row r="22" spans="1:12" s="84" customFormat="1" x14ac:dyDescent="0.25">
      <c r="A22" s="148">
        <v>17</v>
      </c>
      <c r="B22" s="161"/>
      <c r="C22" s="148" t="s">
        <v>178</v>
      </c>
      <c r="D22" s="164"/>
      <c r="E22" s="157"/>
      <c r="F22" s="150"/>
      <c r="G22" s="150"/>
      <c r="H22" s="150"/>
      <c r="I22" s="194"/>
      <c r="J22" s="128">
        <f t="shared" si="0"/>
        <v>0</v>
      </c>
      <c r="K22" s="128">
        <f t="shared" si="1"/>
        <v>0</v>
      </c>
      <c r="L22" s="128">
        <f t="shared" si="2"/>
        <v>0</v>
      </c>
    </row>
    <row r="23" spans="1:12" s="84" customFormat="1" x14ac:dyDescent="0.25">
      <c r="A23" s="148">
        <v>18</v>
      </c>
      <c r="B23" s="161"/>
      <c r="C23" s="148" t="s">
        <v>178</v>
      </c>
      <c r="D23" s="164"/>
      <c r="E23" s="157"/>
      <c r="F23" s="150"/>
      <c r="G23" s="150"/>
      <c r="H23" s="129"/>
      <c r="I23" s="194"/>
      <c r="J23" s="128">
        <f t="shared" si="0"/>
        <v>0</v>
      </c>
      <c r="K23" s="128">
        <f t="shared" si="1"/>
        <v>0</v>
      </c>
      <c r="L23" s="128">
        <f t="shared" si="2"/>
        <v>0</v>
      </c>
    </row>
    <row r="24" spans="1:12" s="84" customFormat="1" x14ac:dyDescent="0.25">
      <c r="A24" s="148">
        <v>19</v>
      </c>
      <c r="B24" s="161"/>
      <c r="C24" s="148" t="s">
        <v>178</v>
      </c>
      <c r="D24" s="164"/>
      <c r="E24" s="157"/>
      <c r="F24" s="150"/>
      <c r="G24" s="150"/>
      <c r="H24" s="107"/>
      <c r="I24" s="194"/>
      <c r="J24" s="128">
        <f t="shared" si="0"/>
        <v>0</v>
      </c>
      <c r="K24" s="128">
        <f t="shared" si="1"/>
        <v>0</v>
      </c>
      <c r="L24" s="128">
        <f t="shared" si="2"/>
        <v>0</v>
      </c>
    </row>
    <row r="25" spans="1:12" s="84" customFormat="1" ht="15.75" thickBot="1" x14ac:dyDescent="0.3">
      <c r="A25" s="148">
        <v>20</v>
      </c>
      <c r="B25" s="161"/>
      <c r="C25" s="148" t="s">
        <v>178</v>
      </c>
      <c r="D25" s="164"/>
      <c r="E25" s="157"/>
      <c r="F25" s="150"/>
      <c r="G25" s="150"/>
      <c r="H25" s="150"/>
      <c r="I25" s="194"/>
      <c r="J25" s="128">
        <f t="shared" si="0"/>
        <v>0</v>
      </c>
      <c r="K25" s="128">
        <f t="shared" si="1"/>
        <v>0</v>
      </c>
      <c r="L25" s="128">
        <f t="shared" si="2"/>
        <v>0</v>
      </c>
    </row>
    <row r="26" spans="1:12" ht="16.5" thickTop="1" thickBot="1" x14ac:dyDescent="0.3">
      <c r="A26" s="43"/>
      <c r="B26" s="43"/>
      <c r="C26" s="43"/>
      <c r="D26" s="44"/>
      <c r="E26" s="43"/>
      <c r="F26" s="43"/>
      <c r="G26" s="43"/>
      <c r="H26" s="43"/>
      <c r="I26" s="45">
        <f>SUM(I6:I25)</f>
        <v>0</v>
      </c>
      <c r="J26" s="45">
        <f>SUM(J6:J25)</f>
        <v>0</v>
      </c>
      <c r="K26" s="45">
        <f>SUM(K6:K25)</f>
        <v>0</v>
      </c>
      <c r="L26" s="46">
        <f>SUM(L6:L25)</f>
        <v>0</v>
      </c>
    </row>
    <row r="27" spans="1:12" ht="15.75" thickTop="1" x14ac:dyDescent="0.25"/>
    <row r="30" spans="1:12" x14ac:dyDescent="0.25">
      <c r="F30" s="48"/>
      <c r="G30" s="48"/>
    </row>
    <row r="31" spans="1:12" x14ac:dyDescent="0.25">
      <c r="C31" s="118"/>
      <c r="D31" s="119"/>
      <c r="E31" s="120"/>
      <c r="F31" s="121"/>
      <c r="G31" s="121"/>
      <c r="I31" s="189"/>
    </row>
    <row r="32" spans="1:12" x14ac:dyDescent="0.25">
      <c r="F32" s="48"/>
      <c r="G32" s="48"/>
      <c r="H32" s="48"/>
      <c r="I32" s="239">
        <f>15000000*11/12</f>
        <v>13750000</v>
      </c>
    </row>
    <row r="33" spans="7:9" x14ac:dyDescent="0.25">
      <c r="G33" s="143"/>
      <c r="I33" s="189"/>
    </row>
    <row r="34" spans="7:9" x14ac:dyDescent="0.25">
      <c r="G34" s="143"/>
      <c r="I34" s="189"/>
    </row>
    <row r="35" spans="7:9" x14ac:dyDescent="0.25">
      <c r="I35" s="189"/>
    </row>
    <row r="36" spans="7:9" x14ac:dyDescent="0.25">
      <c r="I36" s="189"/>
    </row>
    <row r="37" spans="7:9" x14ac:dyDescent="0.25">
      <c r="I37" s="189"/>
    </row>
    <row r="38" spans="7:9" x14ac:dyDescent="0.25">
      <c r="I38" s="189"/>
    </row>
    <row r="39" spans="7:9" x14ac:dyDescent="0.25">
      <c r="I39" s="189"/>
    </row>
    <row r="40" spans="7:9" x14ac:dyDescent="0.25">
      <c r="I40" s="189"/>
    </row>
    <row r="41" spans="7:9" x14ac:dyDescent="0.25">
      <c r="I41" s="189"/>
    </row>
    <row r="42" spans="7:9" x14ac:dyDescent="0.25">
      <c r="I42" s="189"/>
    </row>
    <row r="43" spans="7:9" x14ac:dyDescent="0.25">
      <c r="I43" s="189"/>
    </row>
    <row r="44" spans="7:9" x14ac:dyDescent="0.25">
      <c r="I44" s="189"/>
    </row>
    <row r="45" spans="7:9" x14ac:dyDescent="0.25">
      <c r="I45" s="189"/>
    </row>
    <row r="46" spans="7:9" x14ac:dyDescent="0.25">
      <c r="I46" s="189"/>
    </row>
    <row r="47" spans="7:9" x14ac:dyDescent="0.25">
      <c r="I47" s="189"/>
    </row>
    <row r="48" spans="7:9" x14ac:dyDescent="0.25">
      <c r="I48" s="189"/>
    </row>
    <row r="49" spans="9:9" x14ac:dyDescent="0.25">
      <c r="I49" s="189"/>
    </row>
    <row r="50" spans="9:9" x14ac:dyDescent="0.25">
      <c r="I50" s="189"/>
    </row>
  </sheetData>
  <mergeCells count="3">
    <mergeCell ref="A1:L1"/>
    <mergeCell ref="A2:L2"/>
    <mergeCell ref="A3:L3"/>
  </mergeCells>
  <pageMargins left="0.7" right="0.7" top="0.75" bottom="0.75" header="0.3" footer="0.3"/>
  <pageSetup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zoomScale="90" zoomScaleNormal="90" workbookViewId="0">
      <selection activeCell="F16" sqref="F16"/>
    </sheetView>
  </sheetViews>
  <sheetFormatPr defaultRowHeight="15" x14ac:dyDescent="0.25"/>
  <cols>
    <col min="1" max="1" width="4" style="40" bestFit="1" customWidth="1"/>
    <col min="2" max="2" width="10.5703125" style="40" customWidth="1"/>
    <col min="3" max="3" width="10.140625" style="40" bestFit="1" customWidth="1"/>
    <col min="4" max="4" width="19.85546875" style="40" customWidth="1"/>
    <col min="5" max="5" width="18.5703125" style="40" customWidth="1"/>
    <col min="6" max="7" width="26.140625" style="40" customWidth="1"/>
    <col min="8" max="8" width="102.140625" style="40" customWidth="1"/>
    <col min="9" max="10" width="19.42578125" style="40" bestFit="1" customWidth="1"/>
    <col min="11" max="11" width="16.140625" style="40" bestFit="1" customWidth="1"/>
    <col min="12" max="12" width="18.85546875" style="40" bestFit="1" customWidth="1"/>
  </cols>
  <sheetData>
    <row r="1" spans="1:12" ht="15.75" x14ac:dyDescent="0.25">
      <c r="A1" s="296" t="s">
        <v>131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</row>
    <row r="2" spans="1:12" ht="15.75" x14ac:dyDescent="0.25">
      <c r="A2" s="296" t="s">
        <v>38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6"/>
    </row>
    <row r="3" spans="1:12" ht="15.75" x14ac:dyDescent="0.25">
      <c r="A3" s="296" t="s">
        <v>317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</row>
    <row r="4" spans="1:12" ht="15.75" thickBot="1" x14ac:dyDescent="0.3"/>
    <row r="5" spans="1:12" s="39" customFormat="1" ht="30.75" customHeight="1" thickTop="1" thickBot="1" x14ac:dyDescent="0.3">
      <c r="A5" s="47" t="s">
        <v>26</v>
      </c>
      <c r="B5" s="47" t="s">
        <v>36</v>
      </c>
      <c r="C5" s="47" t="s">
        <v>27</v>
      </c>
      <c r="D5" s="47" t="s">
        <v>28</v>
      </c>
      <c r="E5" s="47" t="s">
        <v>30</v>
      </c>
      <c r="F5" s="47" t="s">
        <v>29</v>
      </c>
      <c r="G5" s="47" t="s">
        <v>94</v>
      </c>
      <c r="H5" s="47" t="s">
        <v>31</v>
      </c>
      <c r="I5" s="47" t="s">
        <v>32</v>
      </c>
      <c r="J5" s="47" t="s">
        <v>92</v>
      </c>
      <c r="K5" s="47" t="s">
        <v>33</v>
      </c>
      <c r="L5" s="47" t="s">
        <v>34</v>
      </c>
    </row>
    <row r="6" spans="1:12" s="84" customFormat="1" ht="15.75" thickTop="1" x14ac:dyDescent="0.25">
      <c r="A6" s="148">
        <v>1</v>
      </c>
      <c r="B6" s="161"/>
      <c r="C6" s="148" t="s">
        <v>179</v>
      </c>
      <c r="D6" s="164"/>
      <c r="E6" s="157"/>
      <c r="F6" s="150"/>
      <c r="G6" s="150"/>
      <c r="H6" s="127"/>
      <c r="I6" s="191"/>
      <c r="J6" s="128">
        <f>I6*11/12</f>
        <v>0</v>
      </c>
      <c r="K6" s="128">
        <f>J6*12%</f>
        <v>0</v>
      </c>
      <c r="L6" s="128">
        <f>I6+K6</f>
        <v>0</v>
      </c>
    </row>
    <row r="7" spans="1:12" s="84" customFormat="1" x14ac:dyDescent="0.25">
      <c r="A7" s="148">
        <v>2</v>
      </c>
      <c r="B7" s="161"/>
      <c r="C7" s="148" t="s">
        <v>179</v>
      </c>
      <c r="D7" s="164"/>
      <c r="E7" s="157"/>
      <c r="F7" s="150"/>
      <c r="G7" s="150"/>
      <c r="H7" s="127"/>
      <c r="I7" s="191"/>
      <c r="J7" s="128">
        <f t="shared" ref="J7:J31" si="0">I7*11/12</f>
        <v>0</v>
      </c>
      <c r="K7" s="128">
        <f t="shared" ref="K7:K31" si="1">J7*12%</f>
        <v>0</v>
      </c>
      <c r="L7" s="128">
        <f t="shared" ref="L7:L31" si="2">I7+K7</f>
        <v>0</v>
      </c>
    </row>
    <row r="8" spans="1:12" s="84" customFormat="1" x14ac:dyDescent="0.25">
      <c r="A8" s="148"/>
      <c r="B8" s="161"/>
      <c r="C8" s="148" t="s">
        <v>179</v>
      </c>
      <c r="D8" s="164"/>
      <c r="E8" s="157"/>
      <c r="F8" s="150"/>
      <c r="G8" s="150"/>
      <c r="H8" s="107"/>
      <c r="I8" s="191"/>
      <c r="J8" s="128">
        <f t="shared" si="0"/>
        <v>0</v>
      </c>
      <c r="K8" s="128">
        <f t="shared" si="1"/>
        <v>0</v>
      </c>
      <c r="L8" s="128">
        <f t="shared" si="2"/>
        <v>0</v>
      </c>
    </row>
    <row r="9" spans="1:12" s="84" customFormat="1" x14ac:dyDescent="0.25">
      <c r="A9" s="148">
        <v>3</v>
      </c>
      <c r="B9" s="161"/>
      <c r="C9" s="148" t="s">
        <v>179</v>
      </c>
      <c r="D9" s="164"/>
      <c r="E9" s="157"/>
      <c r="F9" s="150"/>
      <c r="G9" s="150"/>
      <c r="H9" s="127"/>
      <c r="I9" s="228"/>
      <c r="J9" s="128">
        <f t="shared" si="0"/>
        <v>0</v>
      </c>
      <c r="K9" s="128">
        <f t="shared" si="1"/>
        <v>0</v>
      </c>
      <c r="L9" s="128">
        <f t="shared" si="2"/>
        <v>0</v>
      </c>
    </row>
    <row r="10" spans="1:12" s="84" customFormat="1" x14ac:dyDescent="0.25">
      <c r="A10" s="148">
        <v>4</v>
      </c>
      <c r="B10" s="161"/>
      <c r="C10" s="148" t="s">
        <v>179</v>
      </c>
      <c r="D10" s="164"/>
      <c r="E10" s="157"/>
      <c r="F10" s="150"/>
      <c r="G10" s="150"/>
      <c r="H10" s="150"/>
      <c r="I10" s="194"/>
      <c r="J10" s="128">
        <f t="shared" si="0"/>
        <v>0</v>
      </c>
      <c r="K10" s="128">
        <f t="shared" si="1"/>
        <v>0</v>
      </c>
      <c r="L10" s="128">
        <f t="shared" si="2"/>
        <v>0</v>
      </c>
    </row>
    <row r="11" spans="1:12" s="84" customFormat="1" x14ac:dyDescent="0.25">
      <c r="A11" s="148">
        <v>5</v>
      </c>
      <c r="B11" s="161"/>
      <c r="C11" s="148" t="s">
        <v>179</v>
      </c>
      <c r="D11" s="164"/>
      <c r="E11" s="157"/>
      <c r="F11" s="150"/>
      <c r="G11" s="150"/>
      <c r="H11" s="107"/>
      <c r="I11" s="227"/>
      <c r="J11" s="128">
        <f t="shared" si="0"/>
        <v>0</v>
      </c>
      <c r="K11" s="128">
        <f t="shared" si="1"/>
        <v>0</v>
      </c>
      <c r="L11" s="128">
        <f t="shared" si="2"/>
        <v>0</v>
      </c>
    </row>
    <row r="12" spans="1:12" s="84" customFormat="1" x14ac:dyDescent="0.25">
      <c r="A12" s="148">
        <v>6</v>
      </c>
      <c r="B12" s="161"/>
      <c r="C12" s="148" t="s">
        <v>179</v>
      </c>
      <c r="D12" s="164"/>
      <c r="E12" s="157"/>
      <c r="F12" s="150"/>
      <c r="G12" s="150"/>
      <c r="H12" s="127"/>
      <c r="I12" s="228"/>
      <c r="J12" s="128">
        <f t="shared" si="0"/>
        <v>0</v>
      </c>
      <c r="K12" s="128">
        <f t="shared" si="1"/>
        <v>0</v>
      </c>
      <c r="L12" s="128">
        <f t="shared" si="2"/>
        <v>0</v>
      </c>
    </row>
    <row r="13" spans="1:12" s="84" customFormat="1" x14ac:dyDescent="0.25">
      <c r="A13" s="148">
        <v>7</v>
      </c>
      <c r="B13" s="161"/>
      <c r="C13" s="148" t="s">
        <v>179</v>
      </c>
      <c r="D13" s="164"/>
      <c r="E13" s="157"/>
      <c r="F13" s="150"/>
      <c r="G13" s="150"/>
      <c r="H13" s="127"/>
      <c r="I13" s="191"/>
      <c r="J13" s="128">
        <f t="shared" si="0"/>
        <v>0</v>
      </c>
      <c r="K13" s="128">
        <f t="shared" si="1"/>
        <v>0</v>
      </c>
      <c r="L13" s="128">
        <f t="shared" si="2"/>
        <v>0</v>
      </c>
    </row>
    <row r="14" spans="1:12" s="84" customFormat="1" x14ac:dyDescent="0.25">
      <c r="A14" s="148">
        <v>8</v>
      </c>
      <c r="B14" s="161"/>
      <c r="C14" s="148" t="s">
        <v>179</v>
      </c>
      <c r="D14" s="164"/>
      <c r="E14" s="157"/>
      <c r="F14" s="150"/>
      <c r="G14" s="150"/>
      <c r="H14" s="127"/>
      <c r="I14" s="191"/>
      <c r="J14" s="128">
        <f t="shared" si="0"/>
        <v>0</v>
      </c>
      <c r="K14" s="128">
        <f t="shared" si="1"/>
        <v>0</v>
      </c>
      <c r="L14" s="128">
        <f t="shared" si="2"/>
        <v>0</v>
      </c>
    </row>
    <row r="15" spans="1:12" s="84" customFormat="1" x14ac:dyDescent="0.25">
      <c r="A15" s="148">
        <v>9</v>
      </c>
      <c r="B15" s="161"/>
      <c r="C15" s="148" t="s">
        <v>179</v>
      </c>
      <c r="D15" s="164"/>
      <c r="E15" s="157"/>
      <c r="F15" s="150"/>
      <c r="G15" s="150"/>
      <c r="H15" s="150"/>
      <c r="I15" s="194"/>
      <c r="J15" s="128">
        <f t="shared" si="0"/>
        <v>0</v>
      </c>
      <c r="K15" s="128">
        <f t="shared" si="1"/>
        <v>0</v>
      </c>
      <c r="L15" s="128">
        <f t="shared" si="2"/>
        <v>0</v>
      </c>
    </row>
    <row r="16" spans="1:12" s="84" customFormat="1" x14ac:dyDescent="0.25">
      <c r="A16" s="148">
        <v>10</v>
      </c>
      <c r="B16" s="161"/>
      <c r="C16" s="148" t="s">
        <v>179</v>
      </c>
      <c r="D16" s="164"/>
      <c r="E16" s="157"/>
      <c r="F16" s="150"/>
      <c r="G16" s="150"/>
      <c r="H16" s="127"/>
      <c r="I16" s="191"/>
      <c r="J16" s="128">
        <f t="shared" si="0"/>
        <v>0</v>
      </c>
      <c r="K16" s="128">
        <f t="shared" si="1"/>
        <v>0</v>
      </c>
      <c r="L16" s="128">
        <f t="shared" si="2"/>
        <v>0</v>
      </c>
    </row>
    <row r="17" spans="1:12" s="84" customFormat="1" x14ac:dyDescent="0.25">
      <c r="A17" s="148">
        <v>11</v>
      </c>
      <c r="B17" s="161"/>
      <c r="C17" s="148" t="s">
        <v>179</v>
      </c>
      <c r="D17" s="164"/>
      <c r="E17" s="157"/>
      <c r="F17" s="150"/>
      <c r="G17" s="150"/>
      <c r="H17" s="150"/>
      <c r="I17" s="194"/>
      <c r="J17" s="128">
        <f t="shared" si="0"/>
        <v>0</v>
      </c>
      <c r="K17" s="128">
        <f t="shared" si="1"/>
        <v>0</v>
      </c>
      <c r="L17" s="128">
        <f t="shared" si="2"/>
        <v>0</v>
      </c>
    </row>
    <row r="18" spans="1:12" s="84" customFormat="1" x14ac:dyDescent="0.25">
      <c r="A18" s="148">
        <v>12</v>
      </c>
      <c r="B18" s="161"/>
      <c r="C18" s="148" t="s">
        <v>179</v>
      </c>
      <c r="D18" s="164"/>
      <c r="E18" s="157"/>
      <c r="F18" s="150"/>
      <c r="G18" s="150"/>
      <c r="H18" s="107"/>
      <c r="I18" s="194"/>
      <c r="J18" s="128">
        <f t="shared" si="0"/>
        <v>0</v>
      </c>
      <c r="K18" s="128">
        <f t="shared" si="1"/>
        <v>0</v>
      </c>
      <c r="L18" s="128">
        <f t="shared" si="2"/>
        <v>0</v>
      </c>
    </row>
    <row r="19" spans="1:12" s="84" customFormat="1" x14ac:dyDescent="0.25">
      <c r="A19" s="148">
        <v>13</v>
      </c>
      <c r="B19" s="161"/>
      <c r="C19" s="148" t="s">
        <v>179</v>
      </c>
      <c r="D19" s="164"/>
      <c r="E19" s="157"/>
      <c r="F19" s="150"/>
      <c r="G19" s="150"/>
      <c r="H19" s="127"/>
      <c r="I19" s="128"/>
      <c r="J19" s="128">
        <f t="shared" si="0"/>
        <v>0</v>
      </c>
      <c r="K19" s="128">
        <f t="shared" si="1"/>
        <v>0</v>
      </c>
      <c r="L19" s="128">
        <f t="shared" si="2"/>
        <v>0</v>
      </c>
    </row>
    <row r="20" spans="1:12" s="84" customFormat="1" x14ac:dyDescent="0.25">
      <c r="A20" s="148">
        <v>14</v>
      </c>
      <c r="B20" s="161"/>
      <c r="C20" s="148" t="s">
        <v>179</v>
      </c>
      <c r="D20" s="164"/>
      <c r="E20" s="157"/>
      <c r="F20" s="150"/>
      <c r="G20" s="150"/>
      <c r="H20" s="129"/>
      <c r="I20" s="223"/>
      <c r="J20" s="128">
        <f t="shared" si="0"/>
        <v>0</v>
      </c>
      <c r="K20" s="128">
        <f t="shared" si="1"/>
        <v>0</v>
      </c>
      <c r="L20" s="128">
        <f t="shared" si="2"/>
        <v>0</v>
      </c>
    </row>
    <row r="21" spans="1:12" s="84" customFormat="1" x14ac:dyDescent="0.25">
      <c r="A21" s="148">
        <v>15</v>
      </c>
      <c r="B21" s="161"/>
      <c r="C21" s="148" t="s">
        <v>179</v>
      </c>
      <c r="D21" s="164"/>
      <c r="E21" s="157"/>
      <c r="F21" s="150"/>
      <c r="G21" s="150"/>
      <c r="H21" s="150"/>
      <c r="I21" s="223"/>
      <c r="J21" s="128">
        <f t="shared" si="0"/>
        <v>0</v>
      </c>
      <c r="K21" s="128">
        <f t="shared" si="1"/>
        <v>0</v>
      </c>
      <c r="L21" s="128">
        <f t="shared" si="2"/>
        <v>0</v>
      </c>
    </row>
    <row r="22" spans="1:12" s="84" customFormat="1" x14ac:dyDescent="0.25">
      <c r="A22" s="148">
        <v>16</v>
      </c>
      <c r="B22" s="161"/>
      <c r="C22" s="148" t="s">
        <v>179</v>
      </c>
      <c r="D22" s="164"/>
      <c r="E22" s="157"/>
      <c r="F22" s="150"/>
      <c r="G22" s="150"/>
      <c r="H22" s="127"/>
      <c r="I22" s="223"/>
      <c r="J22" s="128">
        <f t="shared" si="0"/>
        <v>0</v>
      </c>
      <c r="K22" s="128">
        <f t="shared" si="1"/>
        <v>0</v>
      </c>
      <c r="L22" s="128">
        <f t="shared" si="2"/>
        <v>0</v>
      </c>
    </row>
    <row r="23" spans="1:12" s="84" customFormat="1" x14ac:dyDescent="0.25">
      <c r="A23" s="148">
        <v>17</v>
      </c>
      <c r="B23" s="161"/>
      <c r="C23" s="148" t="s">
        <v>179</v>
      </c>
      <c r="D23" s="164"/>
      <c r="E23" s="157"/>
      <c r="F23" s="150"/>
      <c r="G23" s="150"/>
      <c r="H23" s="104"/>
      <c r="I23" s="223"/>
      <c r="J23" s="128">
        <f t="shared" si="0"/>
        <v>0</v>
      </c>
      <c r="K23" s="128">
        <f t="shared" si="1"/>
        <v>0</v>
      </c>
      <c r="L23" s="128">
        <f t="shared" si="2"/>
        <v>0</v>
      </c>
    </row>
    <row r="24" spans="1:12" s="84" customFormat="1" x14ac:dyDescent="0.25">
      <c r="A24" s="148">
        <v>18</v>
      </c>
      <c r="B24" s="161"/>
      <c r="C24" s="148" t="s">
        <v>179</v>
      </c>
      <c r="D24" s="164"/>
      <c r="E24" s="157"/>
      <c r="F24" s="150"/>
      <c r="G24" s="150"/>
      <c r="H24" s="127"/>
      <c r="I24" s="223"/>
      <c r="J24" s="128">
        <f t="shared" si="0"/>
        <v>0</v>
      </c>
      <c r="K24" s="128">
        <f t="shared" si="1"/>
        <v>0</v>
      </c>
      <c r="L24" s="128">
        <f t="shared" si="2"/>
        <v>0</v>
      </c>
    </row>
    <row r="25" spans="1:12" s="84" customFormat="1" x14ac:dyDescent="0.25">
      <c r="A25" s="148">
        <v>19</v>
      </c>
      <c r="B25" s="161"/>
      <c r="C25" s="148" t="s">
        <v>179</v>
      </c>
      <c r="D25" s="164"/>
      <c r="E25" s="157"/>
      <c r="F25" s="150"/>
      <c r="G25" s="150"/>
      <c r="H25" s="107"/>
      <c r="I25" s="223"/>
      <c r="J25" s="128">
        <f t="shared" si="0"/>
        <v>0</v>
      </c>
      <c r="K25" s="128">
        <f t="shared" si="1"/>
        <v>0</v>
      </c>
      <c r="L25" s="128">
        <f t="shared" si="2"/>
        <v>0</v>
      </c>
    </row>
    <row r="26" spans="1:12" s="84" customFormat="1" x14ac:dyDescent="0.25">
      <c r="A26" s="148">
        <v>20</v>
      </c>
      <c r="B26" s="161"/>
      <c r="C26" s="148" t="s">
        <v>179</v>
      </c>
      <c r="D26" s="164"/>
      <c r="E26" s="157"/>
      <c r="F26" s="150"/>
      <c r="G26" s="150"/>
      <c r="H26" s="150"/>
      <c r="I26" s="194"/>
      <c r="J26" s="128">
        <f t="shared" si="0"/>
        <v>0</v>
      </c>
      <c r="K26" s="128">
        <f t="shared" si="1"/>
        <v>0</v>
      </c>
      <c r="L26" s="128">
        <f t="shared" si="2"/>
        <v>0</v>
      </c>
    </row>
    <row r="27" spans="1:12" s="84" customFormat="1" x14ac:dyDescent="0.25">
      <c r="A27" s="148">
        <v>21</v>
      </c>
      <c r="B27" s="161"/>
      <c r="C27" s="148" t="s">
        <v>179</v>
      </c>
      <c r="D27" s="256"/>
      <c r="E27" s="183"/>
      <c r="F27" s="152"/>
      <c r="G27" s="152"/>
      <c r="H27" s="104"/>
      <c r="I27" s="257"/>
      <c r="J27" s="128">
        <f t="shared" si="0"/>
        <v>0</v>
      </c>
      <c r="K27" s="128">
        <f t="shared" si="1"/>
        <v>0</v>
      </c>
      <c r="L27" s="128">
        <f t="shared" si="2"/>
        <v>0</v>
      </c>
    </row>
    <row r="28" spans="1:12" s="84" customFormat="1" x14ac:dyDescent="0.25">
      <c r="A28" s="148">
        <v>22</v>
      </c>
      <c r="B28" s="161"/>
      <c r="C28" s="148" t="s">
        <v>179</v>
      </c>
      <c r="D28" s="164"/>
      <c r="E28" s="157"/>
      <c r="F28" s="150"/>
      <c r="G28" s="150"/>
      <c r="H28" s="104"/>
      <c r="I28" s="194"/>
      <c r="J28" s="128">
        <f t="shared" si="0"/>
        <v>0</v>
      </c>
      <c r="K28" s="128">
        <f t="shared" si="1"/>
        <v>0</v>
      </c>
      <c r="L28" s="128">
        <f t="shared" si="2"/>
        <v>0</v>
      </c>
    </row>
    <row r="29" spans="1:12" s="84" customFormat="1" x14ac:dyDescent="0.25">
      <c r="A29" s="148">
        <v>23</v>
      </c>
      <c r="B29" s="161"/>
      <c r="C29" s="148" t="s">
        <v>179</v>
      </c>
      <c r="D29" s="164"/>
      <c r="E29" s="157"/>
      <c r="F29" s="150"/>
      <c r="G29" s="150"/>
      <c r="H29" s="104"/>
      <c r="I29" s="194"/>
      <c r="J29" s="128">
        <f t="shared" si="0"/>
        <v>0</v>
      </c>
      <c r="K29" s="128">
        <f t="shared" si="1"/>
        <v>0</v>
      </c>
      <c r="L29" s="128">
        <f t="shared" si="2"/>
        <v>0</v>
      </c>
    </row>
    <row r="30" spans="1:12" s="84" customFormat="1" x14ac:dyDescent="0.25">
      <c r="A30" s="148">
        <v>24</v>
      </c>
      <c r="B30" s="161"/>
      <c r="C30" s="148" t="s">
        <v>179</v>
      </c>
      <c r="D30" s="164"/>
      <c r="E30" s="157"/>
      <c r="F30" s="150"/>
      <c r="G30" s="150"/>
      <c r="H30" s="150"/>
      <c r="I30" s="194"/>
      <c r="J30" s="128">
        <f t="shared" si="0"/>
        <v>0</v>
      </c>
      <c r="K30" s="128">
        <f t="shared" si="1"/>
        <v>0</v>
      </c>
      <c r="L30" s="128">
        <f t="shared" si="2"/>
        <v>0</v>
      </c>
    </row>
    <row r="31" spans="1:12" s="84" customFormat="1" ht="15.75" thickBot="1" x14ac:dyDescent="0.3">
      <c r="A31" s="148">
        <v>25</v>
      </c>
      <c r="B31" s="161"/>
      <c r="C31" s="148" t="s">
        <v>179</v>
      </c>
      <c r="D31" s="164"/>
      <c r="E31" s="157"/>
      <c r="F31" s="150"/>
      <c r="G31" s="150"/>
      <c r="H31" s="104"/>
      <c r="I31" s="194"/>
      <c r="J31" s="128">
        <f t="shared" si="0"/>
        <v>0</v>
      </c>
      <c r="K31" s="128">
        <f t="shared" si="1"/>
        <v>0</v>
      </c>
      <c r="L31" s="128">
        <f t="shared" si="2"/>
        <v>0</v>
      </c>
    </row>
    <row r="32" spans="1:12" ht="16.5" thickTop="1" thickBot="1" x14ac:dyDescent="0.3">
      <c r="A32" s="43"/>
      <c r="B32" s="43"/>
      <c r="C32" s="43"/>
      <c r="D32" s="44"/>
      <c r="E32" s="43"/>
      <c r="F32" s="43"/>
      <c r="G32" s="43"/>
      <c r="H32" s="43"/>
      <c r="I32" s="45">
        <f>SUM(I6:I31)</f>
        <v>0</v>
      </c>
      <c r="J32" s="45">
        <f>SUM(J6:J31)</f>
        <v>0</v>
      </c>
      <c r="K32" s="45">
        <f>SUM(K6:K31)</f>
        <v>0</v>
      </c>
      <c r="L32" s="46">
        <f>SUM(L6:L31)</f>
        <v>0</v>
      </c>
    </row>
    <row r="33" spans="3:9" ht="15.75" thickTop="1" x14ac:dyDescent="0.25"/>
    <row r="36" spans="3:9" x14ac:dyDescent="0.25">
      <c r="F36" s="48"/>
      <c r="G36" s="48"/>
    </row>
    <row r="37" spans="3:9" x14ac:dyDescent="0.25">
      <c r="C37" s="118"/>
      <c r="D37" s="119"/>
      <c r="E37" s="120"/>
      <c r="F37" s="121"/>
      <c r="G37" s="121"/>
      <c r="I37" s="189"/>
    </row>
    <row r="38" spans="3:9" x14ac:dyDescent="0.25">
      <c r="F38" s="48"/>
      <c r="G38" s="48"/>
      <c r="H38" s="48"/>
      <c r="I38" s="189"/>
    </row>
    <row r="39" spans="3:9" s="40" customFormat="1" x14ac:dyDescent="0.25">
      <c r="G39" s="143">
        <f>2500000*11/12</f>
        <v>2291666.6666666665</v>
      </c>
      <c r="I39" s="189"/>
    </row>
    <row r="40" spans="3:9" s="40" customFormat="1" x14ac:dyDescent="0.25">
      <c r="G40" s="143">
        <f>10800000*11/12</f>
        <v>9900000</v>
      </c>
      <c r="I40" s="189"/>
    </row>
    <row r="41" spans="3:9" s="40" customFormat="1" x14ac:dyDescent="0.25">
      <c r="G41" s="143">
        <f>4940000*11/12</f>
        <v>4528333.333333333</v>
      </c>
      <c r="I41" s="189"/>
    </row>
    <row r="42" spans="3:9" s="40" customFormat="1" x14ac:dyDescent="0.25">
      <c r="G42" s="143">
        <f>805000*11/12</f>
        <v>737916.66666666663</v>
      </c>
      <c r="I42" s="189"/>
    </row>
    <row r="43" spans="3:9" s="40" customFormat="1" x14ac:dyDescent="0.25">
      <c r="I43" s="189"/>
    </row>
    <row r="44" spans="3:9" s="40" customFormat="1" x14ac:dyDescent="0.25">
      <c r="I44" s="189"/>
    </row>
    <row r="45" spans="3:9" s="40" customFormat="1" x14ac:dyDescent="0.25">
      <c r="I45" s="189"/>
    </row>
    <row r="46" spans="3:9" s="40" customFormat="1" x14ac:dyDescent="0.25">
      <c r="I46" s="189"/>
    </row>
    <row r="47" spans="3:9" s="40" customFormat="1" x14ac:dyDescent="0.25">
      <c r="I47" s="189"/>
    </row>
    <row r="48" spans="3:9" s="40" customFormat="1" x14ac:dyDescent="0.25">
      <c r="I48" s="189"/>
    </row>
    <row r="49" spans="9:9" s="40" customFormat="1" x14ac:dyDescent="0.25">
      <c r="I49" s="189"/>
    </row>
    <row r="50" spans="9:9" s="40" customFormat="1" x14ac:dyDescent="0.25">
      <c r="I50" s="189"/>
    </row>
    <row r="51" spans="9:9" s="40" customFormat="1" x14ac:dyDescent="0.25">
      <c r="I51" s="189"/>
    </row>
    <row r="52" spans="9:9" s="40" customFormat="1" x14ac:dyDescent="0.25">
      <c r="I52" s="189"/>
    </row>
    <row r="53" spans="9:9" s="40" customFormat="1" x14ac:dyDescent="0.25">
      <c r="I53" s="189"/>
    </row>
    <row r="54" spans="9:9" s="40" customFormat="1" x14ac:dyDescent="0.25">
      <c r="I54" s="189"/>
    </row>
    <row r="55" spans="9:9" s="40" customFormat="1" x14ac:dyDescent="0.25">
      <c r="I55" s="189"/>
    </row>
    <row r="56" spans="9:9" s="40" customFormat="1" x14ac:dyDescent="0.25">
      <c r="I56" s="189"/>
    </row>
  </sheetData>
  <mergeCells count="3">
    <mergeCell ref="A1:L1"/>
    <mergeCell ref="A2:L2"/>
    <mergeCell ref="A3:L3"/>
  </mergeCells>
  <pageMargins left="0.7" right="0.7" top="0.75" bottom="0.75" header="0.3" footer="0.3"/>
  <pageSetup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view="pageBreakPreview" zoomScale="90" zoomScaleNormal="90" zoomScaleSheetLayoutView="90" workbookViewId="0">
      <selection activeCell="H13" sqref="H13"/>
    </sheetView>
  </sheetViews>
  <sheetFormatPr defaultRowHeight="15.75" x14ac:dyDescent="0.25"/>
  <cols>
    <col min="1" max="2" width="16.28515625" style="2" customWidth="1"/>
    <col min="3" max="3" width="14.42578125" style="2" customWidth="1"/>
    <col min="4" max="4" width="15.140625" style="2" customWidth="1"/>
    <col min="5" max="5" width="12.5703125" style="2" customWidth="1"/>
    <col min="6" max="6" width="12.42578125" style="2" customWidth="1"/>
    <col min="7" max="7" width="14.85546875" style="2" customWidth="1"/>
    <col min="8" max="8" width="14.42578125" style="2" customWidth="1"/>
    <col min="9" max="9" width="12.7109375" style="3" customWidth="1"/>
    <col min="10" max="10" width="13.42578125" style="3" customWidth="1"/>
    <col min="11" max="11" width="29.7109375" style="3" customWidth="1"/>
    <col min="12" max="13" width="15.5703125" style="2" customWidth="1"/>
    <col min="14" max="14" width="24.140625" style="2" customWidth="1"/>
    <col min="15" max="15" width="17" style="2" customWidth="1"/>
    <col min="16" max="16" width="14.7109375" style="2" customWidth="1"/>
    <col min="17" max="17" width="12.28515625" style="2" customWidth="1"/>
    <col min="18" max="18" width="9.28515625" style="2" bestFit="1" customWidth="1"/>
    <col min="19" max="260" width="9.140625" style="2"/>
    <col min="261" max="261" width="16.28515625" style="2" customWidth="1"/>
    <col min="262" max="262" width="13.85546875" style="2" customWidth="1"/>
    <col min="263" max="263" width="12.42578125" style="2" customWidth="1"/>
    <col min="264" max="264" width="16" style="2" customWidth="1"/>
    <col min="265" max="265" width="15.7109375" style="2" customWidth="1"/>
    <col min="266" max="266" width="12.7109375" style="2" customWidth="1"/>
    <col min="267" max="267" width="12" style="2" customWidth="1"/>
    <col min="268" max="268" width="41.5703125" style="2" customWidth="1"/>
    <col min="269" max="269" width="15.5703125" style="2" customWidth="1"/>
    <col min="270" max="270" width="50.85546875" style="2" customWidth="1"/>
    <col min="271" max="271" width="12.5703125" style="2" customWidth="1"/>
    <col min="272" max="272" width="14.7109375" style="2" customWidth="1"/>
    <col min="273" max="273" width="12.28515625" style="2" customWidth="1"/>
    <col min="274" max="274" width="9.28515625" style="2" bestFit="1" customWidth="1"/>
    <col min="275" max="516" width="9.140625" style="2"/>
    <col min="517" max="517" width="16.28515625" style="2" customWidth="1"/>
    <col min="518" max="518" width="13.85546875" style="2" customWidth="1"/>
    <col min="519" max="519" width="12.42578125" style="2" customWidth="1"/>
    <col min="520" max="520" width="16" style="2" customWidth="1"/>
    <col min="521" max="521" width="15.7109375" style="2" customWidth="1"/>
    <col min="522" max="522" width="12.7109375" style="2" customWidth="1"/>
    <col min="523" max="523" width="12" style="2" customWidth="1"/>
    <col min="524" max="524" width="41.5703125" style="2" customWidth="1"/>
    <col min="525" max="525" width="15.5703125" style="2" customWidth="1"/>
    <col min="526" max="526" width="50.85546875" style="2" customWidth="1"/>
    <col min="527" max="527" width="12.5703125" style="2" customWidth="1"/>
    <col min="528" max="528" width="14.7109375" style="2" customWidth="1"/>
    <col min="529" max="529" width="12.28515625" style="2" customWidth="1"/>
    <col min="530" max="530" width="9.28515625" style="2" bestFit="1" customWidth="1"/>
    <col min="531" max="772" width="9.140625" style="2"/>
    <col min="773" max="773" width="16.28515625" style="2" customWidth="1"/>
    <col min="774" max="774" width="13.85546875" style="2" customWidth="1"/>
    <col min="775" max="775" width="12.42578125" style="2" customWidth="1"/>
    <col min="776" max="776" width="16" style="2" customWidth="1"/>
    <col min="777" max="777" width="15.7109375" style="2" customWidth="1"/>
    <col min="778" max="778" width="12.7109375" style="2" customWidth="1"/>
    <col min="779" max="779" width="12" style="2" customWidth="1"/>
    <col min="780" max="780" width="41.5703125" style="2" customWidth="1"/>
    <col min="781" max="781" width="15.5703125" style="2" customWidth="1"/>
    <col min="782" max="782" width="50.85546875" style="2" customWidth="1"/>
    <col min="783" max="783" width="12.5703125" style="2" customWidth="1"/>
    <col min="784" max="784" width="14.7109375" style="2" customWidth="1"/>
    <col min="785" max="785" width="12.28515625" style="2" customWidth="1"/>
    <col min="786" max="786" width="9.28515625" style="2" bestFit="1" customWidth="1"/>
    <col min="787" max="1028" width="9.140625" style="2"/>
    <col min="1029" max="1029" width="16.28515625" style="2" customWidth="1"/>
    <col min="1030" max="1030" width="13.85546875" style="2" customWidth="1"/>
    <col min="1031" max="1031" width="12.42578125" style="2" customWidth="1"/>
    <col min="1032" max="1032" width="16" style="2" customWidth="1"/>
    <col min="1033" max="1033" width="15.7109375" style="2" customWidth="1"/>
    <col min="1034" max="1034" width="12.7109375" style="2" customWidth="1"/>
    <col min="1035" max="1035" width="12" style="2" customWidth="1"/>
    <col min="1036" max="1036" width="41.5703125" style="2" customWidth="1"/>
    <col min="1037" max="1037" width="15.5703125" style="2" customWidth="1"/>
    <col min="1038" max="1038" width="50.85546875" style="2" customWidth="1"/>
    <col min="1039" max="1039" width="12.5703125" style="2" customWidth="1"/>
    <col min="1040" max="1040" width="14.7109375" style="2" customWidth="1"/>
    <col min="1041" max="1041" width="12.28515625" style="2" customWidth="1"/>
    <col min="1042" max="1042" width="9.28515625" style="2" bestFit="1" customWidth="1"/>
    <col min="1043" max="1284" width="9.140625" style="2"/>
    <col min="1285" max="1285" width="16.28515625" style="2" customWidth="1"/>
    <col min="1286" max="1286" width="13.85546875" style="2" customWidth="1"/>
    <col min="1287" max="1287" width="12.42578125" style="2" customWidth="1"/>
    <col min="1288" max="1288" width="16" style="2" customWidth="1"/>
    <col min="1289" max="1289" width="15.7109375" style="2" customWidth="1"/>
    <col min="1290" max="1290" width="12.7109375" style="2" customWidth="1"/>
    <col min="1291" max="1291" width="12" style="2" customWidth="1"/>
    <col min="1292" max="1292" width="41.5703125" style="2" customWidth="1"/>
    <col min="1293" max="1293" width="15.5703125" style="2" customWidth="1"/>
    <col min="1294" max="1294" width="50.85546875" style="2" customWidth="1"/>
    <col min="1295" max="1295" width="12.5703125" style="2" customWidth="1"/>
    <col min="1296" max="1296" width="14.7109375" style="2" customWidth="1"/>
    <col min="1297" max="1297" width="12.28515625" style="2" customWidth="1"/>
    <col min="1298" max="1298" width="9.28515625" style="2" bestFit="1" customWidth="1"/>
    <col min="1299" max="1540" width="9.140625" style="2"/>
    <col min="1541" max="1541" width="16.28515625" style="2" customWidth="1"/>
    <col min="1542" max="1542" width="13.85546875" style="2" customWidth="1"/>
    <col min="1543" max="1543" width="12.42578125" style="2" customWidth="1"/>
    <col min="1544" max="1544" width="16" style="2" customWidth="1"/>
    <col min="1545" max="1545" width="15.7109375" style="2" customWidth="1"/>
    <col min="1546" max="1546" width="12.7109375" style="2" customWidth="1"/>
    <col min="1547" max="1547" width="12" style="2" customWidth="1"/>
    <col min="1548" max="1548" width="41.5703125" style="2" customWidth="1"/>
    <col min="1549" max="1549" width="15.5703125" style="2" customWidth="1"/>
    <col min="1550" max="1550" width="50.85546875" style="2" customWidth="1"/>
    <col min="1551" max="1551" width="12.5703125" style="2" customWidth="1"/>
    <col min="1552" max="1552" width="14.7109375" style="2" customWidth="1"/>
    <col min="1553" max="1553" width="12.28515625" style="2" customWidth="1"/>
    <col min="1554" max="1554" width="9.28515625" style="2" bestFit="1" customWidth="1"/>
    <col min="1555" max="1796" width="9.140625" style="2"/>
    <col min="1797" max="1797" width="16.28515625" style="2" customWidth="1"/>
    <col min="1798" max="1798" width="13.85546875" style="2" customWidth="1"/>
    <col min="1799" max="1799" width="12.42578125" style="2" customWidth="1"/>
    <col min="1800" max="1800" width="16" style="2" customWidth="1"/>
    <col min="1801" max="1801" width="15.7109375" style="2" customWidth="1"/>
    <col min="1802" max="1802" width="12.7109375" style="2" customWidth="1"/>
    <col min="1803" max="1803" width="12" style="2" customWidth="1"/>
    <col min="1804" max="1804" width="41.5703125" style="2" customWidth="1"/>
    <col min="1805" max="1805" width="15.5703125" style="2" customWidth="1"/>
    <col min="1806" max="1806" width="50.85546875" style="2" customWidth="1"/>
    <col min="1807" max="1807" width="12.5703125" style="2" customWidth="1"/>
    <col min="1808" max="1808" width="14.7109375" style="2" customWidth="1"/>
    <col min="1809" max="1809" width="12.28515625" style="2" customWidth="1"/>
    <col min="1810" max="1810" width="9.28515625" style="2" bestFit="1" customWidth="1"/>
    <col min="1811" max="2052" width="9.140625" style="2"/>
    <col min="2053" max="2053" width="16.28515625" style="2" customWidth="1"/>
    <col min="2054" max="2054" width="13.85546875" style="2" customWidth="1"/>
    <col min="2055" max="2055" width="12.42578125" style="2" customWidth="1"/>
    <col min="2056" max="2056" width="16" style="2" customWidth="1"/>
    <col min="2057" max="2057" width="15.7109375" style="2" customWidth="1"/>
    <col min="2058" max="2058" width="12.7109375" style="2" customWidth="1"/>
    <col min="2059" max="2059" width="12" style="2" customWidth="1"/>
    <col min="2060" max="2060" width="41.5703125" style="2" customWidth="1"/>
    <col min="2061" max="2061" width="15.5703125" style="2" customWidth="1"/>
    <col min="2062" max="2062" width="50.85546875" style="2" customWidth="1"/>
    <col min="2063" max="2063" width="12.5703125" style="2" customWidth="1"/>
    <col min="2064" max="2064" width="14.7109375" style="2" customWidth="1"/>
    <col min="2065" max="2065" width="12.28515625" style="2" customWidth="1"/>
    <col min="2066" max="2066" width="9.28515625" style="2" bestFit="1" customWidth="1"/>
    <col min="2067" max="2308" width="9.140625" style="2"/>
    <col min="2309" max="2309" width="16.28515625" style="2" customWidth="1"/>
    <col min="2310" max="2310" width="13.85546875" style="2" customWidth="1"/>
    <col min="2311" max="2311" width="12.42578125" style="2" customWidth="1"/>
    <col min="2312" max="2312" width="16" style="2" customWidth="1"/>
    <col min="2313" max="2313" width="15.7109375" style="2" customWidth="1"/>
    <col min="2314" max="2314" width="12.7109375" style="2" customWidth="1"/>
    <col min="2315" max="2315" width="12" style="2" customWidth="1"/>
    <col min="2316" max="2316" width="41.5703125" style="2" customWidth="1"/>
    <col min="2317" max="2317" width="15.5703125" style="2" customWidth="1"/>
    <col min="2318" max="2318" width="50.85546875" style="2" customWidth="1"/>
    <col min="2319" max="2319" width="12.5703125" style="2" customWidth="1"/>
    <col min="2320" max="2320" width="14.7109375" style="2" customWidth="1"/>
    <col min="2321" max="2321" width="12.28515625" style="2" customWidth="1"/>
    <col min="2322" max="2322" width="9.28515625" style="2" bestFit="1" customWidth="1"/>
    <col min="2323" max="2564" width="9.140625" style="2"/>
    <col min="2565" max="2565" width="16.28515625" style="2" customWidth="1"/>
    <col min="2566" max="2566" width="13.85546875" style="2" customWidth="1"/>
    <col min="2567" max="2567" width="12.42578125" style="2" customWidth="1"/>
    <col min="2568" max="2568" width="16" style="2" customWidth="1"/>
    <col min="2569" max="2569" width="15.7109375" style="2" customWidth="1"/>
    <col min="2570" max="2570" width="12.7109375" style="2" customWidth="1"/>
    <col min="2571" max="2571" width="12" style="2" customWidth="1"/>
    <col min="2572" max="2572" width="41.5703125" style="2" customWidth="1"/>
    <col min="2573" max="2573" width="15.5703125" style="2" customWidth="1"/>
    <col min="2574" max="2574" width="50.85546875" style="2" customWidth="1"/>
    <col min="2575" max="2575" width="12.5703125" style="2" customWidth="1"/>
    <col min="2576" max="2576" width="14.7109375" style="2" customWidth="1"/>
    <col min="2577" max="2577" width="12.28515625" style="2" customWidth="1"/>
    <col min="2578" max="2578" width="9.28515625" style="2" bestFit="1" customWidth="1"/>
    <col min="2579" max="2820" width="9.140625" style="2"/>
    <col min="2821" max="2821" width="16.28515625" style="2" customWidth="1"/>
    <col min="2822" max="2822" width="13.85546875" style="2" customWidth="1"/>
    <col min="2823" max="2823" width="12.42578125" style="2" customWidth="1"/>
    <col min="2824" max="2824" width="16" style="2" customWidth="1"/>
    <col min="2825" max="2825" width="15.7109375" style="2" customWidth="1"/>
    <col min="2826" max="2826" width="12.7109375" style="2" customWidth="1"/>
    <col min="2827" max="2827" width="12" style="2" customWidth="1"/>
    <col min="2828" max="2828" width="41.5703125" style="2" customWidth="1"/>
    <col min="2829" max="2829" width="15.5703125" style="2" customWidth="1"/>
    <col min="2830" max="2830" width="50.85546875" style="2" customWidth="1"/>
    <col min="2831" max="2831" width="12.5703125" style="2" customWidth="1"/>
    <col min="2832" max="2832" width="14.7109375" style="2" customWidth="1"/>
    <col min="2833" max="2833" width="12.28515625" style="2" customWidth="1"/>
    <col min="2834" max="2834" width="9.28515625" style="2" bestFit="1" customWidth="1"/>
    <col min="2835" max="3076" width="9.140625" style="2"/>
    <col min="3077" max="3077" width="16.28515625" style="2" customWidth="1"/>
    <col min="3078" max="3078" width="13.85546875" style="2" customWidth="1"/>
    <col min="3079" max="3079" width="12.42578125" style="2" customWidth="1"/>
    <col min="3080" max="3080" width="16" style="2" customWidth="1"/>
    <col min="3081" max="3081" width="15.7109375" style="2" customWidth="1"/>
    <col min="3082" max="3082" width="12.7109375" style="2" customWidth="1"/>
    <col min="3083" max="3083" width="12" style="2" customWidth="1"/>
    <col min="3084" max="3084" width="41.5703125" style="2" customWidth="1"/>
    <col min="3085" max="3085" width="15.5703125" style="2" customWidth="1"/>
    <col min="3086" max="3086" width="50.85546875" style="2" customWidth="1"/>
    <col min="3087" max="3087" width="12.5703125" style="2" customWidth="1"/>
    <col min="3088" max="3088" width="14.7109375" style="2" customWidth="1"/>
    <col min="3089" max="3089" width="12.28515625" style="2" customWidth="1"/>
    <col min="3090" max="3090" width="9.28515625" style="2" bestFit="1" customWidth="1"/>
    <col min="3091" max="3332" width="9.140625" style="2"/>
    <col min="3333" max="3333" width="16.28515625" style="2" customWidth="1"/>
    <col min="3334" max="3334" width="13.85546875" style="2" customWidth="1"/>
    <col min="3335" max="3335" width="12.42578125" style="2" customWidth="1"/>
    <col min="3336" max="3336" width="16" style="2" customWidth="1"/>
    <col min="3337" max="3337" width="15.7109375" style="2" customWidth="1"/>
    <col min="3338" max="3338" width="12.7109375" style="2" customWidth="1"/>
    <col min="3339" max="3339" width="12" style="2" customWidth="1"/>
    <col min="3340" max="3340" width="41.5703125" style="2" customWidth="1"/>
    <col min="3341" max="3341" width="15.5703125" style="2" customWidth="1"/>
    <col min="3342" max="3342" width="50.85546875" style="2" customWidth="1"/>
    <col min="3343" max="3343" width="12.5703125" style="2" customWidth="1"/>
    <col min="3344" max="3344" width="14.7109375" style="2" customWidth="1"/>
    <col min="3345" max="3345" width="12.28515625" style="2" customWidth="1"/>
    <col min="3346" max="3346" width="9.28515625" style="2" bestFit="1" customWidth="1"/>
    <col min="3347" max="3588" width="9.140625" style="2"/>
    <col min="3589" max="3589" width="16.28515625" style="2" customWidth="1"/>
    <col min="3590" max="3590" width="13.85546875" style="2" customWidth="1"/>
    <col min="3591" max="3591" width="12.42578125" style="2" customWidth="1"/>
    <col min="3592" max="3592" width="16" style="2" customWidth="1"/>
    <col min="3593" max="3593" width="15.7109375" style="2" customWidth="1"/>
    <col min="3594" max="3594" width="12.7109375" style="2" customWidth="1"/>
    <col min="3595" max="3595" width="12" style="2" customWidth="1"/>
    <col min="3596" max="3596" width="41.5703125" style="2" customWidth="1"/>
    <col min="3597" max="3597" width="15.5703125" style="2" customWidth="1"/>
    <col min="3598" max="3598" width="50.85546875" style="2" customWidth="1"/>
    <col min="3599" max="3599" width="12.5703125" style="2" customWidth="1"/>
    <col min="3600" max="3600" width="14.7109375" style="2" customWidth="1"/>
    <col min="3601" max="3601" width="12.28515625" style="2" customWidth="1"/>
    <col min="3602" max="3602" width="9.28515625" style="2" bestFit="1" customWidth="1"/>
    <col min="3603" max="3844" width="9.140625" style="2"/>
    <col min="3845" max="3845" width="16.28515625" style="2" customWidth="1"/>
    <col min="3846" max="3846" width="13.85546875" style="2" customWidth="1"/>
    <col min="3847" max="3847" width="12.42578125" style="2" customWidth="1"/>
    <col min="3848" max="3848" width="16" style="2" customWidth="1"/>
    <col min="3849" max="3849" width="15.7109375" style="2" customWidth="1"/>
    <col min="3850" max="3850" width="12.7109375" style="2" customWidth="1"/>
    <col min="3851" max="3851" width="12" style="2" customWidth="1"/>
    <col min="3852" max="3852" width="41.5703125" style="2" customWidth="1"/>
    <col min="3853" max="3853" width="15.5703125" style="2" customWidth="1"/>
    <col min="3854" max="3854" width="50.85546875" style="2" customWidth="1"/>
    <col min="3855" max="3855" width="12.5703125" style="2" customWidth="1"/>
    <col min="3856" max="3856" width="14.7109375" style="2" customWidth="1"/>
    <col min="3857" max="3857" width="12.28515625" style="2" customWidth="1"/>
    <col min="3858" max="3858" width="9.28515625" style="2" bestFit="1" customWidth="1"/>
    <col min="3859" max="4100" width="9.140625" style="2"/>
    <col min="4101" max="4101" width="16.28515625" style="2" customWidth="1"/>
    <col min="4102" max="4102" width="13.85546875" style="2" customWidth="1"/>
    <col min="4103" max="4103" width="12.42578125" style="2" customWidth="1"/>
    <col min="4104" max="4104" width="16" style="2" customWidth="1"/>
    <col min="4105" max="4105" width="15.7109375" style="2" customWidth="1"/>
    <col min="4106" max="4106" width="12.7109375" style="2" customWidth="1"/>
    <col min="4107" max="4107" width="12" style="2" customWidth="1"/>
    <col min="4108" max="4108" width="41.5703125" style="2" customWidth="1"/>
    <col min="4109" max="4109" width="15.5703125" style="2" customWidth="1"/>
    <col min="4110" max="4110" width="50.85546875" style="2" customWidth="1"/>
    <col min="4111" max="4111" width="12.5703125" style="2" customWidth="1"/>
    <col min="4112" max="4112" width="14.7109375" style="2" customWidth="1"/>
    <col min="4113" max="4113" width="12.28515625" style="2" customWidth="1"/>
    <col min="4114" max="4114" width="9.28515625" style="2" bestFit="1" customWidth="1"/>
    <col min="4115" max="4356" width="9.140625" style="2"/>
    <col min="4357" max="4357" width="16.28515625" style="2" customWidth="1"/>
    <col min="4358" max="4358" width="13.85546875" style="2" customWidth="1"/>
    <col min="4359" max="4359" width="12.42578125" style="2" customWidth="1"/>
    <col min="4360" max="4360" width="16" style="2" customWidth="1"/>
    <col min="4361" max="4361" width="15.7109375" style="2" customWidth="1"/>
    <col min="4362" max="4362" width="12.7109375" style="2" customWidth="1"/>
    <col min="4363" max="4363" width="12" style="2" customWidth="1"/>
    <col min="4364" max="4364" width="41.5703125" style="2" customWidth="1"/>
    <col min="4365" max="4365" width="15.5703125" style="2" customWidth="1"/>
    <col min="4366" max="4366" width="50.85546875" style="2" customWidth="1"/>
    <col min="4367" max="4367" width="12.5703125" style="2" customWidth="1"/>
    <col min="4368" max="4368" width="14.7109375" style="2" customWidth="1"/>
    <col min="4369" max="4369" width="12.28515625" style="2" customWidth="1"/>
    <col min="4370" max="4370" width="9.28515625" style="2" bestFit="1" customWidth="1"/>
    <col min="4371" max="4612" width="9.140625" style="2"/>
    <col min="4613" max="4613" width="16.28515625" style="2" customWidth="1"/>
    <col min="4614" max="4614" width="13.85546875" style="2" customWidth="1"/>
    <col min="4615" max="4615" width="12.42578125" style="2" customWidth="1"/>
    <col min="4616" max="4616" width="16" style="2" customWidth="1"/>
    <col min="4617" max="4617" width="15.7109375" style="2" customWidth="1"/>
    <col min="4618" max="4618" width="12.7109375" style="2" customWidth="1"/>
    <col min="4619" max="4619" width="12" style="2" customWidth="1"/>
    <col min="4620" max="4620" width="41.5703125" style="2" customWidth="1"/>
    <col min="4621" max="4621" width="15.5703125" style="2" customWidth="1"/>
    <col min="4622" max="4622" width="50.85546875" style="2" customWidth="1"/>
    <col min="4623" max="4623" width="12.5703125" style="2" customWidth="1"/>
    <col min="4624" max="4624" width="14.7109375" style="2" customWidth="1"/>
    <col min="4625" max="4625" width="12.28515625" style="2" customWidth="1"/>
    <col min="4626" max="4626" width="9.28515625" style="2" bestFit="1" customWidth="1"/>
    <col min="4627" max="4868" width="9.140625" style="2"/>
    <col min="4869" max="4869" width="16.28515625" style="2" customWidth="1"/>
    <col min="4870" max="4870" width="13.85546875" style="2" customWidth="1"/>
    <col min="4871" max="4871" width="12.42578125" style="2" customWidth="1"/>
    <col min="4872" max="4872" width="16" style="2" customWidth="1"/>
    <col min="4873" max="4873" width="15.7109375" style="2" customWidth="1"/>
    <col min="4874" max="4874" width="12.7109375" style="2" customWidth="1"/>
    <col min="4875" max="4875" width="12" style="2" customWidth="1"/>
    <col min="4876" max="4876" width="41.5703125" style="2" customWidth="1"/>
    <col min="4877" max="4877" width="15.5703125" style="2" customWidth="1"/>
    <col min="4878" max="4878" width="50.85546875" style="2" customWidth="1"/>
    <col min="4879" max="4879" width="12.5703125" style="2" customWidth="1"/>
    <col min="4880" max="4880" width="14.7109375" style="2" customWidth="1"/>
    <col min="4881" max="4881" width="12.28515625" style="2" customWidth="1"/>
    <col min="4882" max="4882" width="9.28515625" style="2" bestFit="1" customWidth="1"/>
    <col min="4883" max="5124" width="9.140625" style="2"/>
    <col min="5125" max="5125" width="16.28515625" style="2" customWidth="1"/>
    <col min="5126" max="5126" width="13.85546875" style="2" customWidth="1"/>
    <col min="5127" max="5127" width="12.42578125" style="2" customWidth="1"/>
    <col min="5128" max="5128" width="16" style="2" customWidth="1"/>
    <col min="5129" max="5129" width="15.7109375" style="2" customWidth="1"/>
    <col min="5130" max="5130" width="12.7109375" style="2" customWidth="1"/>
    <col min="5131" max="5131" width="12" style="2" customWidth="1"/>
    <col min="5132" max="5132" width="41.5703125" style="2" customWidth="1"/>
    <col min="5133" max="5133" width="15.5703125" style="2" customWidth="1"/>
    <col min="5134" max="5134" width="50.85546875" style="2" customWidth="1"/>
    <col min="5135" max="5135" width="12.5703125" style="2" customWidth="1"/>
    <col min="5136" max="5136" width="14.7109375" style="2" customWidth="1"/>
    <col min="5137" max="5137" width="12.28515625" style="2" customWidth="1"/>
    <col min="5138" max="5138" width="9.28515625" style="2" bestFit="1" customWidth="1"/>
    <col min="5139" max="5380" width="9.140625" style="2"/>
    <col min="5381" max="5381" width="16.28515625" style="2" customWidth="1"/>
    <col min="5382" max="5382" width="13.85546875" style="2" customWidth="1"/>
    <col min="5383" max="5383" width="12.42578125" style="2" customWidth="1"/>
    <col min="5384" max="5384" width="16" style="2" customWidth="1"/>
    <col min="5385" max="5385" width="15.7109375" style="2" customWidth="1"/>
    <col min="5386" max="5386" width="12.7109375" style="2" customWidth="1"/>
    <col min="5387" max="5387" width="12" style="2" customWidth="1"/>
    <col min="5388" max="5388" width="41.5703125" style="2" customWidth="1"/>
    <col min="5389" max="5389" width="15.5703125" style="2" customWidth="1"/>
    <col min="5390" max="5390" width="50.85546875" style="2" customWidth="1"/>
    <col min="5391" max="5391" width="12.5703125" style="2" customWidth="1"/>
    <col min="5392" max="5392" width="14.7109375" style="2" customWidth="1"/>
    <col min="5393" max="5393" width="12.28515625" style="2" customWidth="1"/>
    <col min="5394" max="5394" width="9.28515625" style="2" bestFit="1" customWidth="1"/>
    <col min="5395" max="5636" width="9.140625" style="2"/>
    <col min="5637" max="5637" width="16.28515625" style="2" customWidth="1"/>
    <col min="5638" max="5638" width="13.85546875" style="2" customWidth="1"/>
    <col min="5639" max="5639" width="12.42578125" style="2" customWidth="1"/>
    <col min="5640" max="5640" width="16" style="2" customWidth="1"/>
    <col min="5641" max="5641" width="15.7109375" style="2" customWidth="1"/>
    <col min="5642" max="5642" width="12.7109375" style="2" customWidth="1"/>
    <col min="5643" max="5643" width="12" style="2" customWidth="1"/>
    <col min="5644" max="5644" width="41.5703125" style="2" customWidth="1"/>
    <col min="5645" max="5645" width="15.5703125" style="2" customWidth="1"/>
    <col min="5646" max="5646" width="50.85546875" style="2" customWidth="1"/>
    <col min="5647" max="5647" width="12.5703125" style="2" customWidth="1"/>
    <col min="5648" max="5648" width="14.7109375" style="2" customWidth="1"/>
    <col min="5649" max="5649" width="12.28515625" style="2" customWidth="1"/>
    <col min="5650" max="5650" width="9.28515625" style="2" bestFit="1" customWidth="1"/>
    <col min="5651" max="5892" width="9.140625" style="2"/>
    <col min="5893" max="5893" width="16.28515625" style="2" customWidth="1"/>
    <col min="5894" max="5894" width="13.85546875" style="2" customWidth="1"/>
    <col min="5895" max="5895" width="12.42578125" style="2" customWidth="1"/>
    <col min="5896" max="5896" width="16" style="2" customWidth="1"/>
    <col min="5897" max="5897" width="15.7109375" style="2" customWidth="1"/>
    <col min="5898" max="5898" width="12.7109375" style="2" customWidth="1"/>
    <col min="5899" max="5899" width="12" style="2" customWidth="1"/>
    <col min="5900" max="5900" width="41.5703125" style="2" customWidth="1"/>
    <col min="5901" max="5901" width="15.5703125" style="2" customWidth="1"/>
    <col min="5902" max="5902" width="50.85546875" style="2" customWidth="1"/>
    <col min="5903" max="5903" width="12.5703125" style="2" customWidth="1"/>
    <col min="5904" max="5904" width="14.7109375" style="2" customWidth="1"/>
    <col min="5905" max="5905" width="12.28515625" style="2" customWidth="1"/>
    <col min="5906" max="5906" width="9.28515625" style="2" bestFit="1" customWidth="1"/>
    <col min="5907" max="6148" width="9.140625" style="2"/>
    <col min="6149" max="6149" width="16.28515625" style="2" customWidth="1"/>
    <col min="6150" max="6150" width="13.85546875" style="2" customWidth="1"/>
    <col min="6151" max="6151" width="12.42578125" style="2" customWidth="1"/>
    <col min="6152" max="6152" width="16" style="2" customWidth="1"/>
    <col min="6153" max="6153" width="15.7109375" style="2" customWidth="1"/>
    <col min="6154" max="6154" width="12.7109375" style="2" customWidth="1"/>
    <col min="6155" max="6155" width="12" style="2" customWidth="1"/>
    <col min="6156" max="6156" width="41.5703125" style="2" customWidth="1"/>
    <col min="6157" max="6157" width="15.5703125" style="2" customWidth="1"/>
    <col min="6158" max="6158" width="50.85546875" style="2" customWidth="1"/>
    <col min="6159" max="6159" width="12.5703125" style="2" customWidth="1"/>
    <col min="6160" max="6160" width="14.7109375" style="2" customWidth="1"/>
    <col min="6161" max="6161" width="12.28515625" style="2" customWidth="1"/>
    <col min="6162" max="6162" width="9.28515625" style="2" bestFit="1" customWidth="1"/>
    <col min="6163" max="6404" width="9.140625" style="2"/>
    <col min="6405" max="6405" width="16.28515625" style="2" customWidth="1"/>
    <col min="6406" max="6406" width="13.85546875" style="2" customWidth="1"/>
    <col min="6407" max="6407" width="12.42578125" style="2" customWidth="1"/>
    <col min="6408" max="6408" width="16" style="2" customWidth="1"/>
    <col min="6409" max="6409" width="15.7109375" style="2" customWidth="1"/>
    <col min="6410" max="6410" width="12.7109375" style="2" customWidth="1"/>
    <col min="6411" max="6411" width="12" style="2" customWidth="1"/>
    <col min="6412" max="6412" width="41.5703125" style="2" customWidth="1"/>
    <col min="6413" max="6413" width="15.5703125" style="2" customWidth="1"/>
    <col min="6414" max="6414" width="50.85546875" style="2" customWidth="1"/>
    <col min="6415" max="6415" width="12.5703125" style="2" customWidth="1"/>
    <col min="6416" max="6416" width="14.7109375" style="2" customWidth="1"/>
    <col min="6417" max="6417" width="12.28515625" style="2" customWidth="1"/>
    <col min="6418" max="6418" width="9.28515625" style="2" bestFit="1" customWidth="1"/>
    <col min="6419" max="6660" width="9.140625" style="2"/>
    <col min="6661" max="6661" width="16.28515625" style="2" customWidth="1"/>
    <col min="6662" max="6662" width="13.85546875" style="2" customWidth="1"/>
    <col min="6663" max="6663" width="12.42578125" style="2" customWidth="1"/>
    <col min="6664" max="6664" width="16" style="2" customWidth="1"/>
    <col min="6665" max="6665" width="15.7109375" style="2" customWidth="1"/>
    <col min="6666" max="6666" width="12.7109375" style="2" customWidth="1"/>
    <col min="6667" max="6667" width="12" style="2" customWidth="1"/>
    <col min="6668" max="6668" width="41.5703125" style="2" customWidth="1"/>
    <col min="6669" max="6669" width="15.5703125" style="2" customWidth="1"/>
    <col min="6670" max="6670" width="50.85546875" style="2" customWidth="1"/>
    <col min="6671" max="6671" width="12.5703125" style="2" customWidth="1"/>
    <col min="6672" max="6672" width="14.7109375" style="2" customWidth="1"/>
    <col min="6673" max="6673" width="12.28515625" style="2" customWidth="1"/>
    <col min="6674" max="6674" width="9.28515625" style="2" bestFit="1" customWidth="1"/>
    <col min="6675" max="6916" width="9.140625" style="2"/>
    <col min="6917" max="6917" width="16.28515625" style="2" customWidth="1"/>
    <col min="6918" max="6918" width="13.85546875" style="2" customWidth="1"/>
    <col min="6919" max="6919" width="12.42578125" style="2" customWidth="1"/>
    <col min="6920" max="6920" width="16" style="2" customWidth="1"/>
    <col min="6921" max="6921" width="15.7109375" style="2" customWidth="1"/>
    <col min="6922" max="6922" width="12.7109375" style="2" customWidth="1"/>
    <col min="6923" max="6923" width="12" style="2" customWidth="1"/>
    <col min="6924" max="6924" width="41.5703125" style="2" customWidth="1"/>
    <col min="6925" max="6925" width="15.5703125" style="2" customWidth="1"/>
    <col min="6926" max="6926" width="50.85546875" style="2" customWidth="1"/>
    <col min="6927" max="6927" width="12.5703125" style="2" customWidth="1"/>
    <col min="6928" max="6928" width="14.7109375" style="2" customWidth="1"/>
    <col min="6929" max="6929" width="12.28515625" style="2" customWidth="1"/>
    <col min="6930" max="6930" width="9.28515625" style="2" bestFit="1" customWidth="1"/>
    <col min="6931" max="7172" width="9.140625" style="2"/>
    <col min="7173" max="7173" width="16.28515625" style="2" customWidth="1"/>
    <col min="7174" max="7174" width="13.85546875" style="2" customWidth="1"/>
    <col min="7175" max="7175" width="12.42578125" style="2" customWidth="1"/>
    <col min="7176" max="7176" width="16" style="2" customWidth="1"/>
    <col min="7177" max="7177" width="15.7109375" style="2" customWidth="1"/>
    <col min="7178" max="7178" width="12.7109375" style="2" customWidth="1"/>
    <col min="7179" max="7179" width="12" style="2" customWidth="1"/>
    <col min="7180" max="7180" width="41.5703125" style="2" customWidth="1"/>
    <col min="7181" max="7181" width="15.5703125" style="2" customWidth="1"/>
    <col min="7182" max="7182" width="50.85546875" style="2" customWidth="1"/>
    <col min="7183" max="7183" width="12.5703125" style="2" customWidth="1"/>
    <col min="7184" max="7184" width="14.7109375" style="2" customWidth="1"/>
    <col min="7185" max="7185" width="12.28515625" style="2" customWidth="1"/>
    <col min="7186" max="7186" width="9.28515625" style="2" bestFit="1" customWidth="1"/>
    <col min="7187" max="7428" width="9.140625" style="2"/>
    <col min="7429" max="7429" width="16.28515625" style="2" customWidth="1"/>
    <col min="7430" max="7430" width="13.85546875" style="2" customWidth="1"/>
    <col min="7431" max="7431" width="12.42578125" style="2" customWidth="1"/>
    <col min="7432" max="7432" width="16" style="2" customWidth="1"/>
    <col min="7433" max="7433" width="15.7109375" style="2" customWidth="1"/>
    <col min="7434" max="7434" width="12.7109375" style="2" customWidth="1"/>
    <col min="7435" max="7435" width="12" style="2" customWidth="1"/>
    <col min="7436" max="7436" width="41.5703125" style="2" customWidth="1"/>
    <col min="7437" max="7437" width="15.5703125" style="2" customWidth="1"/>
    <col min="7438" max="7438" width="50.85546875" style="2" customWidth="1"/>
    <col min="7439" max="7439" width="12.5703125" style="2" customWidth="1"/>
    <col min="7440" max="7440" width="14.7109375" style="2" customWidth="1"/>
    <col min="7441" max="7441" width="12.28515625" style="2" customWidth="1"/>
    <col min="7442" max="7442" width="9.28515625" style="2" bestFit="1" customWidth="1"/>
    <col min="7443" max="7684" width="9.140625" style="2"/>
    <col min="7685" max="7685" width="16.28515625" style="2" customWidth="1"/>
    <col min="7686" max="7686" width="13.85546875" style="2" customWidth="1"/>
    <col min="7687" max="7687" width="12.42578125" style="2" customWidth="1"/>
    <col min="7688" max="7688" width="16" style="2" customWidth="1"/>
    <col min="7689" max="7689" width="15.7109375" style="2" customWidth="1"/>
    <col min="7690" max="7690" width="12.7109375" style="2" customWidth="1"/>
    <col min="7691" max="7691" width="12" style="2" customWidth="1"/>
    <col min="7692" max="7692" width="41.5703125" style="2" customWidth="1"/>
    <col min="7693" max="7693" width="15.5703125" style="2" customWidth="1"/>
    <col min="7694" max="7694" width="50.85546875" style="2" customWidth="1"/>
    <col min="7695" max="7695" width="12.5703125" style="2" customWidth="1"/>
    <col min="7696" max="7696" width="14.7109375" style="2" customWidth="1"/>
    <col min="7697" max="7697" width="12.28515625" style="2" customWidth="1"/>
    <col min="7698" max="7698" width="9.28515625" style="2" bestFit="1" customWidth="1"/>
    <col min="7699" max="7940" width="9.140625" style="2"/>
    <col min="7941" max="7941" width="16.28515625" style="2" customWidth="1"/>
    <col min="7942" max="7942" width="13.85546875" style="2" customWidth="1"/>
    <col min="7943" max="7943" width="12.42578125" style="2" customWidth="1"/>
    <col min="7944" max="7944" width="16" style="2" customWidth="1"/>
    <col min="7945" max="7945" width="15.7109375" style="2" customWidth="1"/>
    <col min="7946" max="7946" width="12.7109375" style="2" customWidth="1"/>
    <col min="7947" max="7947" width="12" style="2" customWidth="1"/>
    <col min="7948" max="7948" width="41.5703125" style="2" customWidth="1"/>
    <col min="7949" max="7949" width="15.5703125" style="2" customWidth="1"/>
    <col min="7950" max="7950" width="50.85546875" style="2" customWidth="1"/>
    <col min="7951" max="7951" width="12.5703125" style="2" customWidth="1"/>
    <col min="7952" max="7952" width="14.7109375" style="2" customWidth="1"/>
    <col min="7953" max="7953" width="12.28515625" style="2" customWidth="1"/>
    <col min="7954" max="7954" width="9.28515625" style="2" bestFit="1" customWidth="1"/>
    <col min="7955" max="8196" width="9.140625" style="2"/>
    <col min="8197" max="8197" width="16.28515625" style="2" customWidth="1"/>
    <col min="8198" max="8198" width="13.85546875" style="2" customWidth="1"/>
    <col min="8199" max="8199" width="12.42578125" style="2" customWidth="1"/>
    <col min="8200" max="8200" width="16" style="2" customWidth="1"/>
    <col min="8201" max="8201" width="15.7109375" style="2" customWidth="1"/>
    <col min="8202" max="8202" width="12.7109375" style="2" customWidth="1"/>
    <col min="8203" max="8203" width="12" style="2" customWidth="1"/>
    <col min="8204" max="8204" width="41.5703125" style="2" customWidth="1"/>
    <col min="8205" max="8205" width="15.5703125" style="2" customWidth="1"/>
    <col min="8206" max="8206" width="50.85546875" style="2" customWidth="1"/>
    <col min="8207" max="8207" width="12.5703125" style="2" customWidth="1"/>
    <col min="8208" max="8208" width="14.7109375" style="2" customWidth="1"/>
    <col min="8209" max="8209" width="12.28515625" style="2" customWidth="1"/>
    <col min="8210" max="8210" width="9.28515625" style="2" bestFit="1" customWidth="1"/>
    <col min="8211" max="8452" width="9.140625" style="2"/>
    <col min="8453" max="8453" width="16.28515625" style="2" customWidth="1"/>
    <col min="8454" max="8454" width="13.85546875" style="2" customWidth="1"/>
    <col min="8455" max="8455" width="12.42578125" style="2" customWidth="1"/>
    <col min="8456" max="8456" width="16" style="2" customWidth="1"/>
    <col min="8457" max="8457" width="15.7109375" style="2" customWidth="1"/>
    <col min="8458" max="8458" width="12.7109375" style="2" customWidth="1"/>
    <col min="8459" max="8459" width="12" style="2" customWidth="1"/>
    <col min="8460" max="8460" width="41.5703125" style="2" customWidth="1"/>
    <col min="8461" max="8461" width="15.5703125" style="2" customWidth="1"/>
    <col min="8462" max="8462" width="50.85546875" style="2" customWidth="1"/>
    <col min="8463" max="8463" width="12.5703125" style="2" customWidth="1"/>
    <col min="8464" max="8464" width="14.7109375" style="2" customWidth="1"/>
    <col min="8465" max="8465" width="12.28515625" style="2" customWidth="1"/>
    <col min="8466" max="8466" width="9.28515625" style="2" bestFit="1" customWidth="1"/>
    <col min="8467" max="8708" width="9.140625" style="2"/>
    <col min="8709" max="8709" width="16.28515625" style="2" customWidth="1"/>
    <col min="8710" max="8710" width="13.85546875" style="2" customWidth="1"/>
    <col min="8711" max="8711" width="12.42578125" style="2" customWidth="1"/>
    <col min="8712" max="8712" width="16" style="2" customWidth="1"/>
    <col min="8713" max="8713" width="15.7109375" style="2" customWidth="1"/>
    <col min="8714" max="8714" width="12.7109375" style="2" customWidth="1"/>
    <col min="8715" max="8715" width="12" style="2" customWidth="1"/>
    <col min="8716" max="8716" width="41.5703125" style="2" customWidth="1"/>
    <col min="8717" max="8717" width="15.5703125" style="2" customWidth="1"/>
    <col min="8718" max="8718" width="50.85546875" style="2" customWidth="1"/>
    <col min="8719" max="8719" width="12.5703125" style="2" customWidth="1"/>
    <col min="8720" max="8720" width="14.7109375" style="2" customWidth="1"/>
    <col min="8721" max="8721" width="12.28515625" style="2" customWidth="1"/>
    <col min="8722" max="8722" width="9.28515625" style="2" bestFit="1" customWidth="1"/>
    <col min="8723" max="8964" width="9.140625" style="2"/>
    <col min="8965" max="8965" width="16.28515625" style="2" customWidth="1"/>
    <col min="8966" max="8966" width="13.85546875" style="2" customWidth="1"/>
    <col min="8967" max="8967" width="12.42578125" style="2" customWidth="1"/>
    <col min="8968" max="8968" width="16" style="2" customWidth="1"/>
    <col min="8969" max="8969" width="15.7109375" style="2" customWidth="1"/>
    <col min="8970" max="8970" width="12.7109375" style="2" customWidth="1"/>
    <col min="8971" max="8971" width="12" style="2" customWidth="1"/>
    <col min="8972" max="8972" width="41.5703125" style="2" customWidth="1"/>
    <col min="8973" max="8973" width="15.5703125" style="2" customWidth="1"/>
    <col min="8974" max="8974" width="50.85546875" style="2" customWidth="1"/>
    <col min="8975" max="8975" width="12.5703125" style="2" customWidth="1"/>
    <col min="8976" max="8976" width="14.7109375" style="2" customWidth="1"/>
    <col min="8977" max="8977" width="12.28515625" style="2" customWidth="1"/>
    <col min="8978" max="8978" width="9.28515625" style="2" bestFit="1" customWidth="1"/>
    <col min="8979" max="9220" width="9.140625" style="2"/>
    <col min="9221" max="9221" width="16.28515625" style="2" customWidth="1"/>
    <col min="9222" max="9222" width="13.85546875" style="2" customWidth="1"/>
    <col min="9223" max="9223" width="12.42578125" style="2" customWidth="1"/>
    <col min="9224" max="9224" width="16" style="2" customWidth="1"/>
    <col min="9225" max="9225" width="15.7109375" style="2" customWidth="1"/>
    <col min="9226" max="9226" width="12.7109375" style="2" customWidth="1"/>
    <col min="9227" max="9227" width="12" style="2" customWidth="1"/>
    <col min="9228" max="9228" width="41.5703125" style="2" customWidth="1"/>
    <col min="9229" max="9229" width="15.5703125" style="2" customWidth="1"/>
    <col min="9230" max="9230" width="50.85546875" style="2" customWidth="1"/>
    <col min="9231" max="9231" width="12.5703125" style="2" customWidth="1"/>
    <col min="9232" max="9232" width="14.7109375" style="2" customWidth="1"/>
    <col min="9233" max="9233" width="12.28515625" style="2" customWidth="1"/>
    <col min="9234" max="9234" width="9.28515625" style="2" bestFit="1" customWidth="1"/>
    <col min="9235" max="9476" width="9.140625" style="2"/>
    <col min="9477" max="9477" width="16.28515625" style="2" customWidth="1"/>
    <col min="9478" max="9478" width="13.85546875" style="2" customWidth="1"/>
    <col min="9479" max="9479" width="12.42578125" style="2" customWidth="1"/>
    <col min="9480" max="9480" width="16" style="2" customWidth="1"/>
    <col min="9481" max="9481" width="15.7109375" style="2" customWidth="1"/>
    <col min="9482" max="9482" width="12.7109375" style="2" customWidth="1"/>
    <col min="9483" max="9483" width="12" style="2" customWidth="1"/>
    <col min="9484" max="9484" width="41.5703125" style="2" customWidth="1"/>
    <col min="9485" max="9485" width="15.5703125" style="2" customWidth="1"/>
    <col min="9486" max="9486" width="50.85546875" style="2" customWidth="1"/>
    <col min="9487" max="9487" width="12.5703125" style="2" customWidth="1"/>
    <col min="9488" max="9488" width="14.7109375" style="2" customWidth="1"/>
    <col min="9489" max="9489" width="12.28515625" style="2" customWidth="1"/>
    <col min="9490" max="9490" width="9.28515625" style="2" bestFit="1" customWidth="1"/>
    <col min="9491" max="9732" width="9.140625" style="2"/>
    <col min="9733" max="9733" width="16.28515625" style="2" customWidth="1"/>
    <col min="9734" max="9734" width="13.85546875" style="2" customWidth="1"/>
    <col min="9735" max="9735" width="12.42578125" style="2" customWidth="1"/>
    <col min="9736" max="9736" width="16" style="2" customWidth="1"/>
    <col min="9737" max="9737" width="15.7109375" style="2" customWidth="1"/>
    <col min="9738" max="9738" width="12.7109375" style="2" customWidth="1"/>
    <col min="9739" max="9739" width="12" style="2" customWidth="1"/>
    <col min="9740" max="9740" width="41.5703125" style="2" customWidth="1"/>
    <col min="9741" max="9741" width="15.5703125" style="2" customWidth="1"/>
    <col min="9742" max="9742" width="50.85546875" style="2" customWidth="1"/>
    <col min="9743" max="9743" width="12.5703125" style="2" customWidth="1"/>
    <col min="9744" max="9744" width="14.7109375" style="2" customWidth="1"/>
    <col min="9745" max="9745" width="12.28515625" style="2" customWidth="1"/>
    <col min="9746" max="9746" width="9.28515625" style="2" bestFit="1" customWidth="1"/>
    <col min="9747" max="9988" width="9.140625" style="2"/>
    <col min="9989" max="9989" width="16.28515625" style="2" customWidth="1"/>
    <col min="9990" max="9990" width="13.85546875" style="2" customWidth="1"/>
    <col min="9991" max="9991" width="12.42578125" style="2" customWidth="1"/>
    <col min="9992" max="9992" width="16" style="2" customWidth="1"/>
    <col min="9993" max="9993" width="15.7109375" style="2" customWidth="1"/>
    <col min="9994" max="9994" width="12.7109375" style="2" customWidth="1"/>
    <col min="9995" max="9995" width="12" style="2" customWidth="1"/>
    <col min="9996" max="9996" width="41.5703125" style="2" customWidth="1"/>
    <col min="9997" max="9997" width="15.5703125" style="2" customWidth="1"/>
    <col min="9998" max="9998" width="50.85546875" style="2" customWidth="1"/>
    <col min="9999" max="9999" width="12.5703125" style="2" customWidth="1"/>
    <col min="10000" max="10000" width="14.7109375" style="2" customWidth="1"/>
    <col min="10001" max="10001" width="12.28515625" style="2" customWidth="1"/>
    <col min="10002" max="10002" width="9.28515625" style="2" bestFit="1" customWidth="1"/>
    <col min="10003" max="10244" width="9.140625" style="2"/>
    <col min="10245" max="10245" width="16.28515625" style="2" customWidth="1"/>
    <col min="10246" max="10246" width="13.85546875" style="2" customWidth="1"/>
    <col min="10247" max="10247" width="12.42578125" style="2" customWidth="1"/>
    <col min="10248" max="10248" width="16" style="2" customWidth="1"/>
    <col min="10249" max="10249" width="15.7109375" style="2" customWidth="1"/>
    <col min="10250" max="10250" width="12.7109375" style="2" customWidth="1"/>
    <col min="10251" max="10251" width="12" style="2" customWidth="1"/>
    <col min="10252" max="10252" width="41.5703125" style="2" customWidth="1"/>
    <col min="10253" max="10253" width="15.5703125" style="2" customWidth="1"/>
    <col min="10254" max="10254" width="50.85546875" style="2" customWidth="1"/>
    <col min="10255" max="10255" width="12.5703125" style="2" customWidth="1"/>
    <col min="10256" max="10256" width="14.7109375" style="2" customWidth="1"/>
    <col min="10257" max="10257" width="12.28515625" style="2" customWidth="1"/>
    <col min="10258" max="10258" width="9.28515625" style="2" bestFit="1" customWidth="1"/>
    <col min="10259" max="10500" width="9.140625" style="2"/>
    <col min="10501" max="10501" width="16.28515625" style="2" customWidth="1"/>
    <col min="10502" max="10502" width="13.85546875" style="2" customWidth="1"/>
    <col min="10503" max="10503" width="12.42578125" style="2" customWidth="1"/>
    <col min="10504" max="10504" width="16" style="2" customWidth="1"/>
    <col min="10505" max="10505" width="15.7109375" style="2" customWidth="1"/>
    <col min="10506" max="10506" width="12.7109375" style="2" customWidth="1"/>
    <col min="10507" max="10507" width="12" style="2" customWidth="1"/>
    <col min="10508" max="10508" width="41.5703125" style="2" customWidth="1"/>
    <col min="10509" max="10509" width="15.5703125" style="2" customWidth="1"/>
    <col min="10510" max="10510" width="50.85546875" style="2" customWidth="1"/>
    <col min="10511" max="10511" width="12.5703125" style="2" customWidth="1"/>
    <col min="10512" max="10512" width="14.7109375" style="2" customWidth="1"/>
    <col min="10513" max="10513" width="12.28515625" style="2" customWidth="1"/>
    <col min="10514" max="10514" width="9.28515625" style="2" bestFit="1" customWidth="1"/>
    <col min="10515" max="10756" width="9.140625" style="2"/>
    <col min="10757" max="10757" width="16.28515625" style="2" customWidth="1"/>
    <col min="10758" max="10758" width="13.85546875" style="2" customWidth="1"/>
    <col min="10759" max="10759" width="12.42578125" style="2" customWidth="1"/>
    <col min="10760" max="10760" width="16" style="2" customWidth="1"/>
    <col min="10761" max="10761" width="15.7109375" style="2" customWidth="1"/>
    <col min="10762" max="10762" width="12.7109375" style="2" customWidth="1"/>
    <col min="10763" max="10763" width="12" style="2" customWidth="1"/>
    <col min="10764" max="10764" width="41.5703125" style="2" customWidth="1"/>
    <col min="10765" max="10765" width="15.5703125" style="2" customWidth="1"/>
    <col min="10766" max="10766" width="50.85546875" style="2" customWidth="1"/>
    <col min="10767" max="10767" width="12.5703125" style="2" customWidth="1"/>
    <col min="10768" max="10768" width="14.7109375" style="2" customWidth="1"/>
    <col min="10769" max="10769" width="12.28515625" style="2" customWidth="1"/>
    <col min="10770" max="10770" width="9.28515625" style="2" bestFit="1" customWidth="1"/>
    <col min="10771" max="11012" width="9.140625" style="2"/>
    <col min="11013" max="11013" width="16.28515625" style="2" customWidth="1"/>
    <col min="11014" max="11014" width="13.85546875" style="2" customWidth="1"/>
    <col min="11015" max="11015" width="12.42578125" style="2" customWidth="1"/>
    <col min="11016" max="11016" width="16" style="2" customWidth="1"/>
    <col min="11017" max="11017" width="15.7109375" style="2" customWidth="1"/>
    <col min="11018" max="11018" width="12.7109375" style="2" customWidth="1"/>
    <col min="11019" max="11019" width="12" style="2" customWidth="1"/>
    <col min="11020" max="11020" width="41.5703125" style="2" customWidth="1"/>
    <col min="11021" max="11021" width="15.5703125" style="2" customWidth="1"/>
    <col min="11022" max="11022" width="50.85546875" style="2" customWidth="1"/>
    <col min="11023" max="11023" width="12.5703125" style="2" customWidth="1"/>
    <col min="11024" max="11024" width="14.7109375" style="2" customWidth="1"/>
    <col min="11025" max="11025" width="12.28515625" style="2" customWidth="1"/>
    <col min="11026" max="11026" width="9.28515625" style="2" bestFit="1" customWidth="1"/>
    <col min="11027" max="11268" width="9.140625" style="2"/>
    <col min="11269" max="11269" width="16.28515625" style="2" customWidth="1"/>
    <col min="11270" max="11270" width="13.85546875" style="2" customWidth="1"/>
    <col min="11271" max="11271" width="12.42578125" style="2" customWidth="1"/>
    <col min="11272" max="11272" width="16" style="2" customWidth="1"/>
    <col min="11273" max="11273" width="15.7109375" style="2" customWidth="1"/>
    <col min="11274" max="11274" width="12.7109375" style="2" customWidth="1"/>
    <col min="11275" max="11275" width="12" style="2" customWidth="1"/>
    <col min="11276" max="11276" width="41.5703125" style="2" customWidth="1"/>
    <col min="11277" max="11277" width="15.5703125" style="2" customWidth="1"/>
    <col min="11278" max="11278" width="50.85546875" style="2" customWidth="1"/>
    <col min="11279" max="11279" width="12.5703125" style="2" customWidth="1"/>
    <col min="11280" max="11280" width="14.7109375" style="2" customWidth="1"/>
    <col min="11281" max="11281" width="12.28515625" style="2" customWidth="1"/>
    <col min="11282" max="11282" width="9.28515625" style="2" bestFit="1" customWidth="1"/>
    <col min="11283" max="11524" width="9.140625" style="2"/>
    <col min="11525" max="11525" width="16.28515625" style="2" customWidth="1"/>
    <col min="11526" max="11526" width="13.85546875" style="2" customWidth="1"/>
    <col min="11527" max="11527" width="12.42578125" style="2" customWidth="1"/>
    <col min="11528" max="11528" width="16" style="2" customWidth="1"/>
    <col min="11529" max="11529" width="15.7109375" style="2" customWidth="1"/>
    <col min="11530" max="11530" width="12.7109375" style="2" customWidth="1"/>
    <col min="11531" max="11531" width="12" style="2" customWidth="1"/>
    <col min="11532" max="11532" width="41.5703125" style="2" customWidth="1"/>
    <col min="11533" max="11533" width="15.5703125" style="2" customWidth="1"/>
    <col min="11534" max="11534" width="50.85546875" style="2" customWidth="1"/>
    <col min="11535" max="11535" width="12.5703125" style="2" customWidth="1"/>
    <col min="11536" max="11536" width="14.7109375" style="2" customWidth="1"/>
    <col min="11537" max="11537" width="12.28515625" style="2" customWidth="1"/>
    <col min="11538" max="11538" width="9.28515625" style="2" bestFit="1" customWidth="1"/>
    <col min="11539" max="11780" width="9.140625" style="2"/>
    <col min="11781" max="11781" width="16.28515625" style="2" customWidth="1"/>
    <col min="11782" max="11782" width="13.85546875" style="2" customWidth="1"/>
    <col min="11783" max="11783" width="12.42578125" style="2" customWidth="1"/>
    <col min="11784" max="11784" width="16" style="2" customWidth="1"/>
    <col min="11785" max="11785" width="15.7109375" style="2" customWidth="1"/>
    <col min="11786" max="11786" width="12.7109375" style="2" customWidth="1"/>
    <col min="11787" max="11787" width="12" style="2" customWidth="1"/>
    <col min="11788" max="11788" width="41.5703125" style="2" customWidth="1"/>
    <col min="11789" max="11789" width="15.5703125" style="2" customWidth="1"/>
    <col min="11790" max="11790" width="50.85546875" style="2" customWidth="1"/>
    <col min="11791" max="11791" width="12.5703125" style="2" customWidth="1"/>
    <col min="11792" max="11792" width="14.7109375" style="2" customWidth="1"/>
    <col min="11793" max="11793" width="12.28515625" style="2" customWidth="1"/>
    <col min="11794" max="11794" width="9.28515625" style="2" bestFit="1" customWidth="1"/>
    <col min="11795" max="12036" width="9.140625" style="2"/>
    <col min="12037" max="12037" width="16.28515625" style="2" customWidth="1"/>
    <col min="12038" max="12038" width="13.85546875" style="2" customWidth="1"/>
    <col min="12039" max="12039" width="12.42578125" style="2" customWidth="1"/>
    <col min="12040" max="12040" width="16" style="2" customWidth="1"/>
    <col min="12041" max="12041" width="15.7109375" style="2" customWidth="1"/>
    <col min="12042" max="12042" width="12.7109375" style="2" customWidth="1"/>
    <col min="12043" max="12043" width="12" style="2" customWidth="1"/>
    <col min="12044" max="12044" width="41.5703125" style="2" customWidth="1"/>
    <col min="12045" max="12045" width="15.5703125" style="2" customWidth="1"/>
    <col min="12046" max="12046" width="50.85546875" style="2" customWidth="1"/>
    <col min="12047" max="12047" width="12.5703125" style="2" customWidth="1"/>
    <col min="12048" max="12048" width="14.7109375" style="2" customWidth="1"/>
    <col min="12049" max="12049" width="12.28515625" style="2" customWidth="1"/>
    <col min="12050" max="12050" width="9.28515625" style="2" bestFit="1" customWidth="1"/>
    <col min="12051" max="12292" width="9.140625" style="2"/>
    <col min="12293" max="12293" width="16.28515625" style="2" customWidth="1"/>
    <col min="12294" max="12294" width="13.85546875" style="2" customWidth="1"/>
    <col min="12295" max="12295" width="12.42578125" style="2" customWidth="1"/>
    <col min="12296" max="12296" width="16" style="2" customWidth="1"/>
    <col min="12297" max="12297" width="15.7109375" style="2" customWidth="1"/>
    <col min="12298" max="12298" width="12.7109375" style="2" customWidth="1"/>
    <col min="12299" max="12299" width="12" style="2" customWidth="1"/>
    <col min="12300" max="12300" width="41.5703125" style="2" customWidth="1"/>
    <col min="12301" max="12301" width="15.5703125" style="2" customWidth="1"/>
    <col min="12302" max="12302" width="50.85546875" style="2" customWidth="1"/>
    <col min="12303" max="12303" width="12.5703125" style="2" customWidth="1"/>
    <col min="12304" max="12304" width="14.7109375" style="2" customWidth="1"/>
    <col min="12305" max="12305" width="12.28515625" style="2" customWidth="1"/>
    <col min="12306" max="12306" width="9.28515625" style="2" bestFit="1" customWidth="1"/>
    <col min="12307" max="12548" width="9.140625" style="2"/>
    <col min="12549" max="12549" width="16.28515625" style="2" customWidth="1"/>
    <col min="12550" max="12550" width="13.85546875" style="2" customWidth="1"/>
    <col min="12551" max="12551" width="12.42578125" style="2" customWidth="1"/>
    <col min="12552" max="12552" width="16" style="2" customWidth="1"/>
    <col min="12553" max="12553" width="15.7109375" style="2" customWidth="1"/>
    <col min="12554" max="12554" width="12.7109375" style="2" customWidth="1"/>
    <col min="12555" max="12555" width="12" style="2" customWidth="1"/>
    <col min="12556" max="12556" width="41.5703125" style="2" customWidth="1"/>
    <col min="12557" max="12557" width="15.5703125" style="2" customWidth="1"/>
    <col min="12558" max="12558" width="50.85546875" style="2" customWidth="1"/>
    <col min="12559" max="12559" width="12.5703125" style="2" customWidth="1"/>
    <col min="12560" max="12560" width="14.7109375" style="2" customWidth="1"/>
    <col min="12561" max="12561" width="12.28515625" style="2" customWidth="1"/>
    <col min="12562" max="12562" width="9.28515625" style="2" bestFit="1" customWidth="1"/>
    <col min="12563" max="12804" width="9.140625" style="2"/>
    <col min="12805" max="12805" width="16.28515625" style="2" customWidth="1"/>
    <col min="12806" max="12806" width="13.85546875" style="2" customWidth="1"/>
    <col min="12807" max="12807" width="12.42578125" style="2" customWidth="1"/>
    <col min="12808" max="12808" width="16" style="2" customWidth="1"/>
    <col min="12809" max="12809" width="15.7109375" style="2" customWidth="1"/>
    <col min="12810" max="12810" width="12.7109375" style="2" customWidth="1"/>
    <col min="12811" max="12811" width="12" style="2" customWidth="1"/>
    <col min="12812" max="12812" width="41.5703125" style="2" customWidth="1"/>
    <col min="12813" max="12813" width="15.5703125" style="2" customWidth="1"/>
    <col min="12814" max="12814" width="50.85546875" style="2" customWidth="1"/>
    <col min="12815" max="12815" width="12.5703125" style="2" customWidth="1"/>
    <col min="12816" max="12816" width="14.7109375" style="2" customWidth="1"/>
    <col min="12817" max="12817" width="12.28515625" style="2" customWidth="1"/>
    <col min="12818" max="12818" width="9.28515625" style="2" bestFit="1" customWidth="1"/>
    <col min="12819" max="13060" width="9.140625" style="2"/>
    <col min="13061" max="13061" width="16.28515625" style="2" customWidth="1"/>
    <col min="13062" max="13062" width="13.85546875" style="2" customWidth="1"/>
    <col min="13063" max="13063" width="12.42578125" style="2" customWidth="1"/>
    <col min="13064" max="13064" width="16" style="2" customWidth="1"/>
    <col min="13065" max="13065" width="15.7109375" style="2" customWidth="1"/>
    <col min="13066" max="13066" width="12.7109375" style="2" customWidth="1"/>
    <col min="13067" max="13067" width="12" style="2" customWidth="1"/>
    <col min="13068" max="13068" width="41.5703125" style="2" customWidth="1"/>
    <col min="13069" max="13069" width="15.5703125" style="2" customWidth="1"/>
    <col min="13070" max="13070" width="50.85546875" style="2" customWidth="1"/>
    <col min="13071" max="13071" width="12.5703125" style="2" customWidth="1"/>
    <col min="13072" max="13072" width="14.7109375" style="2" customWidth="1"/>
    <col min="13073" max="13073" width="12.28515625" style="2" customWidth="1"/>
    <col min="13074" max="13074" width="9.28515625" style="2" bestFit="1" customWidth="1"/>
    <col min="13075" max="13316" width="9.140625" style="2"/>
    <col min="13317" max="13317" width="16.28515625" style="2" customWidth="1"/>
    <col min="13318" max="13318" width="13.85546875" style="2" customWidth="1"/>
    <col min="13319" max="13319" width="12.42578125" style="2" customWidth="1"/>
    <col min="13320" max="13320" width="16" style="2" customWidth="1"/>
    <col min="13321" max="13321" width="15.7109375" style="2" customWidth="1"/>
    <col min="13322" max="13322" width="12.7109375" style="2" customWidth="1"/>
    <col min="13323" max="13323" width="12" style="2" customWidth="1"/>
    <col min="13324" max="13324" width="41.5703125" style="2" customWidth="1"/>
    <col min="13325" max="13325" width="15.5703125" style="2" customWidth="1"/>
    <col min="13326" max="13326" width="50.85546875" style="2" customWidth="1"/>
    <col min="13327" max="13327" width="12.5703125" style="2" customWidth="1"/>
    <col min="13328" max="13328" width="14.7109375" style="2" customWidth="1"/>
    <col min="13329" max="13329" width="12.28515625" style="2" customWidth="1"/>
    <col min="13330" max="13330" width="9.28515625" style="2" bestFit="1" customWidth="1"/>
    <col min="13331" max="13572" width="9.140625" style="2"/>
    <col min="13573" max="13573" width="16.28515625" style="2" customWidth="1"/>
    <col min="13574" max="13574" width="13.85546875" style="2" customWidth="1"/>
    <col min="13575" max="13575" width="12.42578125" style="2" customWidth="1"/>
    <col min="13576" max="13576" width="16" style="2" customWidth="1"/>
    <col min="13577" max="13577" width="15.7109375" style="2" customWidth="1"/>
    <col min="13578" max="13578" width="12.7109375" style="2" customWidth="1"/>
    <col min="13579" max="13579" width="12" style="2" customWidth="1"/>
    <col min="13580" max="13580" width="41.5703125" style="2" customWidth="1"/>
    <col min="13581" max="13581" width="15.5703125" style="2" customWidth="1"/>
    <col min="13582" max="13582" width="50.85546875" style="2" customWidth="1"/>
    <col min="13583" max="13583" width="12.5703125" style="2" customWidth="1"/>
    <col min="13584" max="13584" width="14.7109375" style="2" customWidth="1"/>
    <col min="13585" max="13585" width="12.28515625" style="2" customWidth="1"/>
    <col min="13586" max="13586" width="9.28515625" style="2" bestFit="1" customWidth="1"/>
    <col min="13587" max="13828" width="9.140625" style="2"/>
    <col min="13829" max="13829" width="16.28515625" style="2" customWidth="1"/>
    <col min="13830" max="13830" width="13.85546875" style="2" customWidth="1"/>
    <col min="13831" max="13831" width="12.42578125" style="2" customWidth="1"/>
    <col min="13832" max="13832" width="16" style="2" customWidth="1"/>
    <col min="13833" max="13833" width="15.7109375" style="2" customWidth="1"/>
    <col min="13834" max="13834" width="12.7109375" style="2" customWidth="1"/>
    <col min="13835" max="13835" width="12" style="2" customWidth="1"/>
    <col min="13836" max="13836" width="41.5703125" style="2" customWidth="1"/>
    <col min="13837" max="13837" width="15.5703125" style="2" customWidth="1"/>
    <col min="13838" max="13838" width="50.85546875" style="2" customWidth="1"/>
    <col min="13839" max="13839" width="12.5703125" style="2" customWidth="1"/>
    <col min="13840" max="13840" width="14.7109375" style="2" customWidth="1"/>
    <col min="13841" max="13841" width="12.28515625" style="2" customWidth="1"/>
    <col min="13842" max="13842" width="9.28515625" style="2" bestFit="1" customWidth="1"/>
    <col min="13843" max="14084" width="9.140625" style="2"/>
    <col min="14085" max="14085" width="16.28515625" style="2" customWidth="1"/>
    <col min="14086" max="14086" width="13.85546875" style="2" customWidth="1"/>
    <col min="14087" max="14087" width="12.42578125" style="2" customWidth="1"/>
    <col min="14088" max="14088" width="16" style="2" customWidth="1"/>
    <col min="14089" max="14089" width="15.7109375" style="2" customWidth="1"/>
    <col min="14090" max="14090" width="12.7109375" style="2" customWidth="1"/>
    <col min="14091" max="14091" width="12" style="2" customWidth="1"/>
    <col min="14092" max="14092" width="41.5703125" style="2" customWidth="1"/>
    <col min="14093" max="14093" width="15.5703125" style="2" customWidth="1"/>
    <col min="14094" max="14094" width="50.85546875" style="2" customWidth="1"/>
    <col min="14095" max="14095" width="12.5703125" style="2" customWidth="1"/>
    <col min="14096" max="14096" width="14.7109375" style="2" customWidth="1"/>
    <col min="14097" max="14097" width="12.28515625" style="2" customWidth="1"/>
    <col min="14098" max="14098" width="9.28515625" style="2" bestFit="1" customWidth="1"/>
    <col min="14099" max="14340" width="9.140625" style="2"/>
    <col min="14341" max="14341" width="16.28515625" style="2" customWidth="1"/>
    <col min="14342" max="14342" width="13.85546875" style="2" customWidth="1"/>
    <col min="14343" max="14343" width="12.42578125" style="2" customWidth="1"/>
    <col min="14344" max="14344" width="16" style="2" customWidth="1"/>
    <col min="14345" max="14345" width="15.7109375" style="2" customWidth="1"/>
    <col min="14346" max="14346" width="12.7109375" style="2" customWidth="1"/>
    <col min="14347" max="14347" width="12" style="2" customWidth="1"/>
    <col min="14348" max="14348" width="41.5703125" style="2" customWidth="1"/>
    <col min="14349" max="14349" width="15.5703125" style="2" customWidth="1"/>
    <col min="14350" max="14350" width="50.85546875" style="2" customWidth="1"/>
    <col min="14351" max="14351" width="12.5703125" style="2" customWidth="1"/>
    <col min="14352" max="14352" width="14.7109375" style="2" customWidth="1"/>
    <col min="14353" max="14353" width="12.28515625" style="2" customWidth="1"/>
    <col min="14354" max="14354" width="9.28515625" style="2" bestFit="1" customWidth="1"/>
    <col min="14355" max="14596" width="9.140625" style="2"/>
    <col min="14597" max="14597" width="16.28515625" style="2" customWidth="1"/>
    <col min="14598" max="14598" width="13.85546875" style="2" customWidth="1"/>
    <col min="14599" max="14599" width="12.42578125" style="2" customWidth="1"/>
    <col min="14600" max="14600" width="16" style="2" customWidth="1"/>
    <col min="14601" max="14601" width="15.7109375" style="2" customWidth="1"/>
    <col min="14602" max="14602" width="12.7109375" style="2" customWidth="1"/>
    <col min="14603" max="14603" width="12" style="2" customWidth="1"/>
    <col min="14604" max="14604" width="41.5703125" style="2" customWidth="1"/>
    <col min="14605" max="14605" width="15.5703125" style="2" customWidth="1"/>
    <col min="14606" max="14606" width="50.85546875" style="2" customWidth="1"/>
    <col min="14607" max="14607" width="12.5703125" style="2" customWidth="1"/>
    <col min="14608" max="14608" width="14.7109375" style="2" customWidth="1"/>
    <col min="14609" max="14609" width="12.28515625" style="2" customWidth="1"/>
    <col min="14610" max="14610" width="9.28515625" style="2" bestFit="1" customWidth="1"/>
    <col min="14611" max="14852" width="9.140625" style="2"/>
    <col min="14853" max="14853" width="16.28515625" style="2" customWidth="1"/>
    <col min="14854" max="14854" width="13.85546875" style="2" customWidth="1"/>
    <col min="14855" max="14855" width="12.42578125" style="2" customWidth="1"/>
    <col min="14856" max="14856" width="16" style="2" customWidth="1"/>
    <col min="14857" max="14857" width="15.7109375" style="2" customWidth="1"/>
    <col min="14858" max="14858" width="12.7109375" style="2" customWidth="1"/>
    <col min="14859" max="14859" width="12" style="2" customWidth="1"/>
    <col min="14860" max="14860" width="41.5703125" style="2" customWidth="1"/>
    <col min="14861" max="14861" width="15.5703125" style="2" customWidth="1"/>
    <col min="14862" max="14862" width="50.85546875" style="2" customWidth="1"/>
    <col min="14863" max="14863" width="12.5703125" style="2" customWidth="1"/>
    <col min="14864" max="14864" width="14.7109375" style="2" customWidth="1"/>
    <col min="14865" max="14865" width="12.28515625" style="2" customWidth="1"/>
    <col min="14866" max="14866" width="9.28515625" style="2" bestFit="1" customWidth="1"/>
    <col min="14867" max="15108" width="9.140625" style="2"/>
    <col min="15109" max="15109" width="16.28515625" style="2" customWidth="1"/>
    <col min="15110" max="15110" width="13.85546875" style="2" customWidth="1"/>
    <col min="15111" max="15111" width="12.42578125" style="2" customWidth="1"/>
    <col min="15112" max="15112" width="16" style="2" customWidth="1"/>
    <col min="15113" max="15113" width="15.7109375" style="2" customWidth="1"/>
    <col min="15114" max="15114" width="12.7109375" style="2" customWidth="1"/>
    <col min="15115" max="15115" width="12" style="2" customWidth="1"/>
    <col min="15116" max="15116" width="41.5703125" style="2" customWidth="1"/>
    <col min="15117" max="15117" width="15.5703125" style="2" customWidth="1"/>
    <col min="15118" max="15118" width="50.85546875" style="2" customWidth="1"/>
    <col min="15119" max="15119" width="12.5703125" style="2" customWidth="1"/>
    <col min="15120" max="15120" width="14.7109375" style="2" customWidth="1"/>
    <col min="15121" max="15121" width="12.28515625" style="2" customWidth="1"/>
    <col min="15122" max="15122" width="9.28515625" style="2" bestFit="1" customWidth="1"/>
    <col min="15123" max="15364" width="9.140625" style="2"/>
    <col min="15365" max="15365" width="16.28515625" style="2" customWidth="1"/>
    <col min="15366" max="15366" width="13.85546875" style="2" customWidth="1"/>
    <col min="15367" max="15367" width="12.42578125" style="2" customWidth="1"/>
    <col min="15368" max="15368" width="16" style="2" customWidth="1"/>
    <col min="15369" max="15369" width="15.7109375" style="2" customWidth="1"/>
    <col min="15370" max="15370" width="12.7109375" style="2" customWidth="1"/>
    <col min="15371" max="15371" width="12" style="2" customWidth="1"/>
    <col min="15372" max="15372" width="41.5703125" style="2" customWidth="1"/>
    <col min="15373" max="15373" width="15.5703125" style="2" customWidth="1"/>
    <col min="15374" max="15374" width="50.85546875" style="2" customWidth="1"/>
    <col min="15375" max="15375" width="12.5703125" style="2" customWidth="1"/>
    <col min="15376" max="15376" width="14.7109375" style="2" customWidth="1"/>
    <col min="15377" max="15377" width="12.28515625" style="2" customWidth="1"/>
    <col min="15378" max="15378" width="9.28515625" style="2" bestFit="1" customWidth="1"/>
    <col min="15379" max="15620" width="9.140625" style="2"/>
    <col min="15621" max="15621" width="16.28515625" style="2" customWidth="1"/>
    <col min="15622" max="15622" width="13.85546875" style="2" customWidth="1"/>
    <col min="15623" max="15623" width="12.42578125" style="2" customWidth="1"/>
    <col min="15624" max="15624" width="16" style="2" customWidth="1"/>
    <col min="15625" max="15625" width="15.7109375" style="2" customWidth="1"/>
    <col min="15626" max="15626" width="12.7109375" style="2" customWidth="1"/>
    <col min="15627" max="15627" width="12" style="2" customWidth="1"/>
    <col min="15628" max="15628" width="41.5703125" style="2" customWidth="1"/>
    <col min="15629" max="15629" width="15.5703125" style="2" customWidth="1"/>
    <col min="15630" max="15630" width="50.85546875" style="2" customWidth="1"/>
    <col min="15631" max="15631" width="12.5703125" style="2" customWidth="1"/>
    <col min="15632" max="15632" width="14.7109375" style="2" customWidth="1"/>
    <col min="15633" max="15633" width="12.28515625" style="2" customWidth="1"/>
    <col min="15634" max="15634" width="9.28515625" style="2" bestFit="1" customWidth="1"/>
    <col min="15635" max="15876" width="9.140625" style="2"/>
    <col min="15877" max="15877" width="16.28515625" style="2" customWidth="1"/>
    <col min="15878" max="15878" width="13.85546875" style="2" customWidth="1"/>
    <col min="15879" max="15879" width="12.42578125" style="2" customWidth="1"/>
    <col min="15880" max="15880" width="16" style="2" customWidth="1"/>
    <col min="15881" max="15881" width="15.7109375" style="2" customWidth="1"/>
    <col min="15882" max="15882" width="12.7109375" style="2" customWidth="1"/>
    <col min="15883" max="15883" width="12" style="2" customWidth="1"/>
    <col min="15884" max="15884" width="41.5703125" style="2" customWidth="1"/>
    <col min="15885" max="15885" width="15.5703125" style="2" customWidth="1"/>
    <col min="15886" max="15886" width="50.85546875" style="2" customWidth="1"/>
    <col min="15887" max="15887" width="12.5703125" style="2" customWidth="1"/>
    <col min="15888" max="15888" width="14.7109375" style="2" customWidth="1"/>
    <col min="15889" max="15889" width="12.28515625" style="2" customWidth="1"/>
    <col min="15890" max="15890" width="9.28515625" style="2" bestFit="1" customWidth="1"/>
    <col min="15891" max="16132" width="9.140625" style="2"/>
    <col min="16133" max="16133" width="16.28515625" style="2" customWidth="1"/>
    <col min="16134" max="16134" width="13.85546875" style="2" customWidth="1"/>
    <col min="16135" max="16135" width="12.42578125" style="2" customWidth="1"/>
    <col min="16136" max="16136" width="16" style="2" customWidth="1"/>
    <col min="16137" max="16137" width="15.7109375" style="2" customWidth="1"/>
    <col min="16138" max="16138" width="12.7109375" style="2" customWidth="1"/>
    <col min="16139" max="16139" width="12" style="2" customWidth="1"/>
    <col min="16140" max="16140" width="41.5703125" style="2" customWidth="1"/>
    <col min="16141" max="16141" width="15.5703125" style="2" customWidth="1"/>
    <col min="16142" max="16142" width="50.85546875" style="2" customWidth="1"/>
    <col min="16143" max="16143" width="12.5703125" style="2" customWidth="1"/>
    <col min="16144" max="16144" width="14.7109375" style="2" customWidth="1"/>
    <col min="16145" max="16145" width="12.28515625" style="2" customWidth="1"/>
    <col min="16146" max="16146" width="9.28515625" style="2" bestFit="1" customWidth="1"/>
    <col min="16147" max="16384" width="9.140625" style="2"/>
  </cols>
  <sheetData>
    <row r="1" spans="1:18" x14ac:dyDescent="0.25">
      <c r="A1" s="1" t="s">
        <v>131</v>
      </c>
      <c r="B1" s="1"/>
      <c r="C1" s="1"/>
      <c r="D1" s="1"/>
    </row>
    <row r="2" spans="1:18" x14ac:dyDescent="0.25">
      <c r="A2" s="1" t="s">
        <v>1</v>
      </c>
      <c r="B2" s="1"/>
      <c r="C2" s="1"/>
      <c r="D2" s="1"/>
    </row>
    <row r="3" spans="1:18" x14ac:dyDescent="0.25">
      <c r="A3" s="1" t="s">
        <v>209</v>
      </c>
      <c r="B3" s="1"/>
      <c r="C3" s="1"/>
      <c r="D3" s="1"/>
    </row>
    <row r="4" spans="1:18" x14ac:dyDescent="0.25">
      <c r="F4" s="4"/>
      <c r="G4" s="5"/>
      <c r="H4" s="4"/>
      <c r="I4" s="6"/>
    </row>
    <row r="5" spans="1:18" x14ac:dyDescent="0.25">
      <c r="A5" s="303" t="s">
        <v>2</v>
      </c>
      <c r="B5" s="155" t="s">
        <v>32</v>
      </c>
      <c r="C5" s="155" t="s">
        <v>98</v>
      </c>
      <c r="D5" s="155" t="s">
        <v>87</v>
      </c>
      <c r="E5" s="297" t="s">
        <v>73</v>
      </c>
      <c r="F5" s="297" t="s">
        <v>72</v>
      </c>
      <c r="G5" s="297" t="s">
        <v>3</v>
      </c>
      <c r="H5" s="305" t="s">
        <v>4</v>
      </c>
      <c r="I5" s="306"/>
      <c r="J5" s="305" t="s">
        <v>5</v>
      </c>
      <c r="K5" s="306"/>
      <c r="L5" s="297" t="s">
        <v>6</v>
      </c>
      <c r="M5" s="297" t="s">
        <v>7</v>
      </c>
      <c r="N5" s="297" t="s">
        <v>8</v>
      </c>
      <c r="O5" s="300" t="s">
        <v>9</v>
      </c>
    </row>
    <row r="6" spans="1:18" x14ac:dyDescent="0.25">
      <c r="A6" s="303"/>
      <c r="B6" s="156"/>
      <c r="C6" s="156" t="s">
        <v>99</v>
      </c>
      <c r="D6" s="156" t="s">
        <v>88</v>
      </c>
      <c r="E6" s="304"/>
      <c r="F6" s="298"/>
      <c r="G6" s="298"/>
      <c r="H6" s="7" t="s">
        <v>10</v>
      </c>
      <c r="I6" s="7" t="s">
        <v>11</v>
      </c>
      <c r="J6" s="7" t="s">
        <v>11</v>
      </c>
      <c r="K6" s="7" t="s">
        <v>12</v>
      </c>
      <c r="L6" s="298"/>
      <c r="M6" s="298"/>
      <c r="N6" s="299"/>
      <c r="O6" s="300"/>
    </row>
    <row r="7" spans="1:18" s="11" customFormat="1" ht="16.5" x14ac:dyDescent="0.3">
      <c r="A7" s="27" t="s">
        <v>13</v>
      </c>
      <c r="B7" s="159">
        <v>327489573</v>
      </c>
      <c r="C7" s="159">
        <v>205522761</v>
      </c>
      <c r="D7" s="173">
        <f>300198777+188395865</f>
        <v>488594642</v>
      </c>
      <c r="E7" s="174">
        <v>36023853</v>
      </c>
      <c r="F7" s="29">
        <v>12001021</v>
      </c>
      <c r="G7" s="29">
        <f t="shared" ref="G7:G20" si="0">E7-F7</f>
        <v>24022832</v>
      </c>
      <c r="H7" s="30">
        <f>G7</f>
        <v>24022832</v>
      </c>
      <c r="I7" s="31">
        <v>46058</v>
      </c>
      <c r="J7" s="31">
        <v>46058</v>
      </c>
      <c r="K7" s="32" t="s">
        <v>300</v>
      </c>
      <c r="L7" s="265">
        <v>0</v>
      </c>
      <c r="M7" s="33">
        <f>H7-G7</f>
        <v>0</v>
      </c>
      <c r="N7" s="30" t="s">
        <v>14</v>
      </c>
      <c r="O7" s="38"/>
      <c r="P7" s="9"/>
      <c r="Q7" s="10"/>
    </row>
    <row r="8" spans="1:18" ht="16.5" x14ac:dyDescent="0.25">
      <c r="A8" s="27" t="s">
        <v>15</v>
      </c>
      <c r="B8" s="159">
        <v>350771654</v>
      </c>
      <c r="C8" s="159">
        <v>145350000</v>
      </c>
      <c r="D8" s="173">
        <f>335276934+133237500</f>
        <v>468514434</v>
      </c>
      <c r="E8" s="174">
        <v>40233232</v>
      </c>
      <c r="F8" s="29">
        <v>13131663</v>
      </c>
      <c r="G8" s="29">
        <v>25453219</v>
      </c>
      <c r="H8" s="30">
        <v>27101569</v>
      </c>
      <c r="I8" s="31">
        <v>46083</v>
      </c>
      <c r="J8" s="31">
        <v>46083</v>
      </c>
      <c r="K8" s="34" t="s">
        <v>301</v>
      </c>
      <c r="L8" s="265">
        <v>0</v>
      </c>
      <c r="M8" s="33">
        <f>H8-G8</f>
        <v>1648350</v>
      </c>
      <c r="N8" s="30" t="s">
        <v>14</v>
      </c>
      <c r="O8" s="8" t="s">
        <v>259</v>
      </c>
      <c r="P8" s="9"/>
      <c r="Q8" s="10"/>
    </row>
    <row r="9" spans="1:18" ht="16.5" x14ac:dyDescent="0.25">
      <c r="A9" s="27" t="s">
        <v>16</v>
      </c>
      <c r="B9" s="159">
        <v>296772040</v>
      </c>
      <c r="C9" s="159">
        <v>306715565</v>
      </c>
      <c r="D9" s="159">
        <f>272041037+281155934</f>
        <v>553196971</v>
      </c>
      <c r="E9" s="29">
        <v>32644924</v>
      </c>
      <c r="F9" s="29">
        <f>14482458+M8</f>
        <v>16130808</v>
      </c>
      <c r="G9" s="29">
        <f t="shared" si="0"/>
        <v>16514116</v>
      </c>
      <c r="H9" s="30">
        <f>G9</f>
        <v>16514116</v>
      </c>
      <c r="I9" s="31">
        <v>46115</v>
      </c>
      <c r="J9" s="31">
        <v>46115</v>
      </c>
      <c r="K9" s="34" t="s">
        <v>318</v>
      </c>
      <c r="L9" s="265">
        <v>0</v>
      </c>
      <c r="M9" s="33">
        <f t="shared" ref="M9:M20" si="1">H9-G9</f>
        <v>0</v>
      </c>
      <c r="N9" s="30" t="s">
        <v>14</v>
      </c>
      <c r="O9" s="12"/>
      <c r="P9" s="13"/>
      <c r="Q9" s="10"/>
      <c r="R9" s="5"/>
    </row>
    <row r="10" spans="1:18" ht="33" x14ac:dyDescent="0.25">
      <c r="A10" s="263" t="s">
        <v>335</v>
      </c>
      <c r="B10" s="159">
        <f>B9-8071000</f>
        <v>288701040</v>
      </c>
      <c r="C10" s="159">
        <f>C9</f>
        <v>306715565</v>
      </c>
      <c r="D10" s="159">
        <f>D9-7398417</f>
        <v>545798554</v>
      </c>
      <c r="E10" s="29">
        <f>E9-887810</f>
        <v>31757114</v>
      </c>
      <c r="F10" s="29">
        <f>F9</f>
        <v>16130808</v>
      </c>
      <c r="G10" s="29">
        <f>E10-F10</f>
        <v>15626306</v>
      </c>
      <c r="H10" s="30">
        <f>H9</f>
        <v>16514116</v>
      </c>
      <c r="I10" s="31">
        <v>46115</v>
      </c>
      <c r="J10" s="31">
        <v>46127</v>
      </c>
      <c r="K10" s="264" t="s">
        <v>336</v>
      </c>
      <c r="L10" s="265">
        <v>0</v>
      </c>
      <c r="M10" s="33">
        <f>H10-G10</f>
        <v>887810</v>
      </c>
      <c r="N10" s="30" t="s">
        <v>14</v>
      </c>
      <c r="O10" s="8" t="s">
        <v>337</v>
      </c>
      <c r="P10" s="13"/>
      <c r="Q10" s="10"/>
      <c r="R10" s="5"/>
    </row>
    <row r="11" spans="1:18" ht="16.5" x14ac:dyDescent="0.25">
      <c r="A11" s="27" t="s">
        <v>17</v>
      </c>
      <c r="B11" s="159">
        <v>300780278</v>
      </c>
      <c r="C11" s="159">
        <v>1083667501</v>
      </c>
      <c r="D11" s="159">
        <f>275715257+993361876</f>
        <v>1269077133</v>
      </c>
      <c r="E11" s="29">
        <v>33085831</v>
      </c>
      <c r="F11" s="29">
        <f>11908555+M10</f>
        <v>12796365</v>
      </c>
      <c r="G11" s="29">
        <f t="shared" si="0"/>
        <v>20289466</v>
      </c>
      <c r="H11" s="30">
        <f>G11</f>
        <v>20289466</v>
      </c>
      <c r="I11" s="31">
        <v>46147</v>
      </c>
      <c r="J11" s="31">
        <v>46147</v>
      </c>
      <c r="K11" s="34" t="s">
        <v>377</v>
      </c>
      <c r="L11" s="265">
        <v>0</v>
      </c>
      <c r="M11" s="33">
        <f t="shared" si="1"/>
        <v>0</v>
      </c>
      <c r="N11" s="30" t="s">
        <v>14</v>
      </c>
      <c r="O11" s="12"/>
      <c r="P11" s="13"/>
      <c r="Q11" s="10"/>
    </row>
    <row r="12" spans="1:18" ht="16.5" x14ac:dyDescent="0.25">
      <c r="A12" s="27" t="s">
        <v>18</v>
      </c>
      <c r="B12" s="159">
        <v>357128039</v>
      </c>
      <c r="C12" s="159">
        <v>82963243</v>
      </c>
      <c r="D12" s="159">
        <f>327367370+76049639</f>
        <v>403417009</v>
      </c>
      <c r="E12" s="29">
        <v>39284085</v>
      </c>
      <c r="F12" s="29">
        <v>9368566</v>
      </c>
      <c r="G12" s="29">
        <f t="shared" si="0"/>
        <v>29915519</v>
      </c>
      <c r="H12" s="30">
        <f>G12</f>
        <v>29915519</v>
      </c>
      <c r="I12" s="31">
        <v>46181</v>
      </c>
      <c r="J12" s="31">
        <v>46181</v>
      </c>
      <c r="K12" s="34" t="s">
        <v>473</v>
      </c>
      <c r="L12" s="265">
        <v>0</v>
      </c>
      <c r="M12" s="33">
        <f t="shared" si="1"/>
        <v>0</v>
      </c>
      <c r="N12" s="30" t="s">
        <v>14</v>
      </c>
      <c r="O12" s="8"/>
      <c r="P12" s="13"/>
    </row>
    <row r="13" spans="1:18" ht="16.5" x14ac:dyDescent="0.25">
      <c r="A13" s="27" t="s">
        <v>19</v>
      </c>
      <c r="B13" s="159">
        <v>522688860</v>
      </c>
      <c r="C13" s="159">
        <v>61242239</v>
      </c>
      <c r="D13" s="159">
        <f>479131456+56138719</f>
        <v>535270175</v>
      </c>
      <c r="E13" s="29">
        <v>57495775</v>
      </c>
      <c r="F13" s="29">
        <v>9368566</v>
      </c>
      <c r="G13" s="29">
        <f t="shared" si="0"/>
        <v>48127209</v>
      </c>
      <c r="H13" s="30"/>
      <c r="I13" s="31"/>
      <c r="J13" s="35"/>
      <c r="K13" s="34"/>
      <c r="L13" s="265">
        <v>0</v>
      </c>
      <c r="M13" s="33">
        <f t="shared" si="1"/>
        <v>-48127209</v>
      </c>
      <c r="N13" s="36" t="s">
        <v>14</v>
      </c>
      <c r="O13" s="12"/>
      <c r="P13" s="13"/>
    </row>
    <row r="14" spans="1:18" ht="16.5" x14ac:dyDescent="0.3">
      <c r="A14" s="27" t="s">
        <v>20</v>
      </c>
      <c r="B14" s="159"/>
      <c r="C14" s="159"/>
      <c r="D14" s="159"/>
      <c r="E14" s="29"/>
      <c r="F14" s="29"/>
      <c r="G14" s="29">
        <f t="shared" si="0"/>
        <v>0</v>
      </c>
      <c r="H14" s="30"/>
      <c r="I14" s="31"/>
      <c r="J14" s="31"/>
      <c r="K14" s="180"/>
      <c r="L14" s="265">
        <v>0</v>
      </c>
      <c r="M14" s="33">
        <f>H14-G14</f>
        <v>0</v>
      </c>
      <c r="N14" s="30" t="s">
        <v>14</v>
      </c>
      <c r="O14" s="12"/>
      <c r="P14" s="13"/>
    </row>
    <row r="15" spans="1:18" ht="16.5" x14ac:dyDescent="0.3">
      <c r="A15" s="27" t="s">
        <v>21</v>
      </c>
      <c r="B15" s="159"/>
      <c r="C15" s="159"/>
      <c r="D15" s="159"/>
      <c r="E15" s="29"/>
      <c r="F15" s="29"/>
      <c r="G15" s="29">
        <f t="shared" si="0"/>
        <v>0</v>
      </c>
      <c r="H15" s="30">
        <f t="shared" ref="H15:H20" si="2">G15</f>
        <v>0</v>
      </c>
      <c r="I15" s="31"/>
      <c r="J15" s="31"/>
      <c r="K15" s="187"/>
      <c r="L15" s="265">
        <v>0</v>
      </c>
      <c r="M15" s="33">
        <f t="shared" si="1"/>
        <v>0</v>
      </c>
      <c r="N15" s="30" t="s">
        <v>14</v>
      </c>
      <c r="O15" s="12"/>
      <c r="P15" s="13"/>
    </row>
    <row r="16" spans="1:18" ht="16.5" x14ac:dyDescent="0.3">
      <c r="A16" s="27" t="s">
        <v>22</v>
      </c>
      <c r="B16" s="159"/>
      <c r="C16" s="159"/>
      <c r="D16" s="159"/>
      <c r="E16" s="29"/>
      <c r="F16" s="29"/>
      <c r="G16" s="29">
        <f>E16-F16</f>
        <v>0</v>
      </c>
      <c r="H16" s="30">
        <f t="shared" si="2"/>
        <v>0</v>
      </c>
      <c r="I16" s="31"/>
      <c r="J16" s="31"/>
      <c r="K16" s="187"/>
      <c r="L16" s="265">
        <v>0</v>
      </c>
      <c r="M16" s="33">
        <f t="shared" si="1"/>
        <v>0</v>
      </c>
      <c r="N16" s="30" t="s">
        <v>14</v>
      </c>
      <c r="O16" s="12"/>
      <c r="P16" s="14"/>
    </row>
    <row r="17" spans="1:16" ht="16.5" x14ac:dyDescent="0.3">
      <c r="A17" s="27" t="s">
        <v>22</v>
      </c>
      <c r="B17" s="159"/>
      <c r="C17" s="159"/>
      <c r="D17" s="159"/>
      <c r="E17" s="29"/>
      <c r="F17" s="29"/>
      <c r="G17" s="29">
        <f>E17-F17</f>
        <v>0</v>
      </c>
      <c r="H17" s="30">
        <f t="shared" si="2"/>
        <v>0</v>
      </c>
      <c r="I17" s="31"/>
      <c r="J17" s="31"/>
      <c r="K17" s="187"/>
      <c r="L17" s="265">
        <v>0</v>
      </c>
      <c r="M17" s="33">
        <v>0</v>
      </c>
      <c r="N17" s="30" t="s">
        <v>14</v>
      </c>
      <c r="O17" s="12"/>
      <c r="P17" s="14"/>
    </row>
    <row r="18" spans="1:16" ht="16.5" x14ac:dyDescent="0.3">
      <c r="A18" s="27" t="s">
        <v>23</v>
      </c>
      <c r="B18" s="159"/>
      <c r="C18" s="159"/>
      <c r="D18" s="159"/>
      <c r="E18" s="29"/>
      <c r="F18" s="29"/>
      <c r="G18" s="29">
        <f>E18-F18</f>
        <v>0</v>
      </c>
      <c r="H18" s="30">
        <f>G18</f>
        <v>0</v>
      </c>
      <c r="I18" s="31"/>
      <c r="J18" s="31"/>
      <c r="K18" s="187"/>
      <c r="L18" s="265">
        <v>0</v>
      </c>
      <c r="M18" s="33">
        <f>H18-G18</f>
        <v>0</v>
      </c>
      <c r="N18" s="30" t="s">
        <v>14</v>
      </c>
      <c r="O18" s="12"/>
      <c r="P18" s="14"/>
    </row>
    <row r="19" spans="1:16" ht="16.5" x14ac:dyDescent="0.3">
      <c r="A19" s="27" t="s">
        <v>24</v>
      </c>
      <c r="B19" s="159"/>
      <c r="C19" s="159"/>
      <c r="D19" s="159"/>
      <c r="E19" s="29"/>
      <c r="F19" s="29"/>
      <c r="G19" s="29">
        <f t="shared" si="0"/>
        <v>0</v>
      </c>
      <c r="H19" s="30">
        <f t="shared" si="2"/>
        <v>0</v>
      </c>
      <c r="I19" s="31"/>
      <c r="J19" s="31"/>
      <c r="K19" s="180"/>
      <c r="L19" s="265">
        <v>0</v>
      </c>
      <c r="M19" s="33">
        <f t="shared" si="1"/>
        <v>0</v>
      </c>
      <c r="N19" s="30" t="s">
        <v>14</v>
      </c>
      <c r="O19" s="8"/>
      <c r="P19" s="13"/>
    </row>
    <row r="20" spans="1:16" ht="16.5" x14ac:dyDescent="0.25">
      <c r="A20" s="27" t="s">
        <v>25</v>
      </c>
      <c r="B20" s="159"/>
      <c r="C20" s="159"/>
      <c r="D20" s="159"/>
      <c r="E20" s="29"/>
      <c r="F20" s="29"/>
      <c r="G20" s="29">
        <f t="shared" si="0"/>
        <v>0</v>
      </c>
      <c r="H20" s="30">
        <f t="shared" si="2"/>
        <v>0</v>
      </c>
      <c r="I20" s="31"/>
      <c r="J20" s="31"/>
      <c r="K20" s="37"/>
      <c r="L20" s="265">
        <v>0</v>
      </c>
      <c r="M20" s="33">
        <f t="shared" si="1"/>
        <v>0</v>
      </c>
      <c r="N20" s="30" t="s">
        <v>14</v>
      </c>
      <c r="O20" s="8"/>
      <c r="P20" s="13"/>
    </row>
    <row r="21" spans="1:16" x14ac:dyDescent="0.25">
      <c r="A21" s="15"/>
      <c r="B21" s="147"/>
      <c r="C21" s="168"/>
      <c r="D21" s="160"/>
      <c r="E21" s="16">
        <f>SUM(E7:E20)</f>
        <v>270524814</v>
      </c>
      <c r="F21" s="16">
        <f>SUM(F7:F20)</f>
        <v>88927797</v>
      </c>
      <c r="G21" s="16">
        <f>SUM(G7:G20)</f>
        <v>179948667</v>
      </c>
      <c r="H21" s="16">
        <f>SUM(H7:H20)</f>
        <v>134357618</v>
      </c>
      <c r="I21" s="16"/>
      <c r="J21" s="16"/>
      <c r="K21" s="16"/>
      <c r="L21" s="16">
        <v>0</v>
      </c>
      <c r="M21" s="16"/>
      <c r="N21" s="16">
        <v>0</v>
      </c>
      <c r="O21" s="16">
        <f>SUM(O7:O20)</f>
        <v>0</v>
      </c>
      <c r="P21" s="17">
        <f>E23+O21</f>
        <v>0</v>
      </c>
    </row>
    <row r="22" spans="1:16" x14ac:dyDescent="0.25">
      <c r="A22" s="11"/>
      <c r="B22" s="11"/>
      <c r="C22" s="11"/>
      <c r="D22" s="11"/>
      <c r="E22" s="18"/>
      <c r="F22" s="11"/>
      <c r="G22" s="10">
        <f>+E21</f>
        <v>270524814</v>
      </c>
      <c r="H22" s="10"/>
      <c r="I22" s="19"/>
      <c r="J22" s="19"/>
      <c r="K22" s="19"/>
      <c r="L22" s="10">
        <f>L16+L20</f>
        <v>0</v>
      </c>
      <c r="M22" s="10"/>
      <c r="N22" s="11"/>
      <c r="O22" s="17"/>
      <c r="P22" s="4">
        <f>+G22+P21</f>
        <v>270524814</v>
      </c>
    </row>
    <row r="23" spans="1:16" x14ac:dyDescent="0.25">
      <c r="A23" s="11"/>
      <c r="B23" s="11"/>
      <c r="C23" s="11"/>
      <c r="D23" s="11"/>
      <c r="E23" s="10"/>
      <c r="F23" s="17"/>
      <c r="G23" s="10">
        <f>G22+O21</f>
        <v>270524814</v>
      </c>
      <c r="H23" s="10"/>
      <c r="I23" s="19"/>
      <c r="J23" s="19"/>
      <c r="K23" s="20">
        <f>+E23+O22</f>
        <v>0</v>
      </c>
      <c r="L23" s="10"/>
      <c r="M23" s="10"/>
      <c r="N23" s="11"/>
      <c r="O23" s="17"/>
      <c r="P23" s="4"/>
    </row>
    <row r="24" spans="1:16" x14ac:dyDescent="0.25">
      <c r="A24" s="21"/>
      <c r="B24" s="21"/>
      <c r="C24" s="21"/>
      <c r="D24" s="21"/>
      <c r="E24" s="11"/>
      <c r="F24" s="11"/>
      <c r="G24" s="11"/>
      <c r="H24" s="11"/>
      <c r="I24" s="19"/>
      <c r="J24" s="19"/>
      <c r="K24" s="19"/>
      <c r="L24" s="11"/>
      <c r="M24" s="11"/>
      <c r="N24" s="11"/>
      <c r="O24" s="17"/>
      <c r="P24" s="4">
        <f>P22-P23</f>
        <v>270524814</v>
      </c>
    </row>
    <row r="25" spans="1:16" x14ac:dyDescent="0.25">
      <c r="A25" s="11"/>
      <c r="B25" s="11"/>
      <c r="C25" s="11"/>
      <c r="D25" s="11"/>
      <c r="E25" s="11"/>
      <c r="F25" s="11"/>
      <c r="G25" s="11"/>
      <c r="H25" s="11"/>
      <c r="I25" s="19"/>
      <c r="J25" s="19"/>
      <c r="K25" s="19"/>
      <c r="L25" s="11"/>
      <c r="M25" s="11"/>
      <c r="N25" s="11"/>
      <c r="O25" s="11"/>
    </row>
    <row r="26" spans="1:16" x14ac:dyDescent="0.25">
      <c r="A26" s="301"/>
      <c r="B26" s="301"/>
      <c r="C26" s="301"/>
      <c r="D26" s="301"/>
      <c r="E26" s="301"/>
      <c r="F26" s="301"/>
      <c r="G26" s="301"/>
      <c r="H26" s="302"/>
      <c r="I26" s="302"/>
      <c r="J26" s="19"/>
      <c r="K26" s="19"/>
      <c r="L26" s="11"/>
      <c r="M26" s="11"/>
      <c r="N26" s="11"/>
      <c r="O26" s="11"/>
    </row>
    <row r="27" spans="1:16" x14ac:dyDescent="0.25">
      <c r="H27" s="22"/>
      <c r="I27" s="6"/>
      <c r="K27" s="23"/>
      <c r="L27" s="24"/>
      <c r="M27" s="24"/>
      <c r="N27" s="24"/>
    </row>
    <row r="28" spans="1:16" x14ac:dyDescent="0.25">
      <c r="H28" s="22"/>
      <c r="K28" s="23"/>
      <c r="L28" s="24"/>
      <c r="M28" s="24"/>
      <c r="N28" s="24"/>
    </row>
    <row r="29" spans="1:16" x14ac:dyDescent="0.25">
      <c r="E29" s="5"/>
      <c r="H29" s="4"/>
      <c r="I29" s="25"/>
      <c r="K29" s="23"/>
      <c r="L29" s="24"/>
      <c r="M29" s="24"/>
      <c r="N29" s="24"/>
    </row>
    <row r="30" spans="1:16" x14ac:dyDescent="0.25">
      <c r="E30" s="26"/>
      <c r="I30" s="25"/>
      <c r="K30" s="23"/>
      <c r="L30" s="24"/>
      <c r="M30" s="24"/>
      <c r="N30" s="24"/>
    </row>
    <row r="31" spans="1:16" x14ac:dyDescent="0.25">
      <c r="A31" s="4"/>
      <c r="B31" s="4"/>
      <c r="C31" s="4"/>
      <c r="D31" s="4"/>
      <c r="E31" s="5"/>
      <c r="G31" s="5"/>
      <c r="H31" s="4"/>
      <c r="I31" s="6"/>
      <c r="K31" s="23"/>
      <c r="L31" s="162">
        <f>7700000*11/12</f>
        <v>7058333.333333333</v>
      </c>
      <c r="M31" s="24"/>
      <c r="N31" s="24"/>
    </row>
    <row r="32" spans="1:16" x14ac:dyDescent="0.25">
      <c r="E32" s="26"/>
      <c r="L32" s="163">
        <f>3189000*11/12</f>
        <v>2923250</v>
      </c>
    </row>
    <row r="33" spans="11:12" x14ac:dyDescent="0.25">
      <c r="K33" s="3" t="s">
        <v>70</v>
      </c>
      <c r="L33" s="163">
        <f>41199099*11/12</f>
        <v>37765840.75</v>
      </c>
    </row>
    <row r="34" spans="11:12" x14ac:dyDescent="0.25">
      <c r="L34" s="163">
        <f>142420421*11/12</f>
        <v>130552052.58333333</v>
      </c>
    </row>
    <row r="35" spans="11:12" x14ac:dyDescent="0.25">
      <c r="L35" s="163">
        <f>45665766*11/12</f>
        <v>41860285.5</v>
      </c>
    </row>
    <row r="36" spans="11:12" x14ac:dyDescent="0.25">
      <c r="L36" s="163">
        <f>4490015*11/12</f>
        <v>4115847.0833333335</v>
      </c>
    </row>
    <row r="37" spans="11:12" x14ac:dyDescent="0.25">
      <c r="L37" s="163">
        <f>5838202*11/12</f>
        <v>5351685.166666667</v>
      </c>
    </row>
  </sheetData>
  <mergeCells count="12">
    <mergeCell ref="L5:L6"/>
    <mergeCell ref="M5:M6"/>
    <mergeCell ref="N5:N6"/>
    <mergeCell ref="O5:O6"/>
    <mergeCell ref="A26:G26"/>
    <mergeCell ref="H26:I26"/>
    <mergeCell ref="A5:A6"/>
    <mergeCell ref="E5:E6"/>
    <mergeCell ref="F5:F6"/>
    <mergeCell ref="G5:G6"/>
    <mergeCell ref="H5:I5"/>
    <mergeCell ref="J5:K5"/>
  </mergeCells>
  <pageMargins left="0.7" right="0.7" top="0.75" bottom="0.75" header="0.3" footer="0.3"/>
  <pageSetup scale="42"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view="pageBreakPreview" zoomScale="90" zoomScaleNormal="100" zoomScaleSheetLayoutView="90" workbookViewId="0">
      <selection activeCell="E12" sqref="E12"/>
    </sheetView>
  </sheetViews>
  <sheetFormatPr defaultRowHeight="15" x14ac:dyDescent="0.25"/>
  <cols>
    <col min="1" max="1" width="13.7109375" customWidth="1"/>
    <col min="2" max="2" width="11.5703125" customWidth="1"/>
    <col min="3" max="3" width="18.140625" customWidth="1"/>
    <col min="4" max="4" width="16.42578125" bestFit="1" customWidth="1"/>
    <col min="5" max="5" width="16.42578125" customWidth="1"/>
    <col min="6" max="6" width="17.140625" customWidth="1"/>
    <col min="7" max="7" width="14.42578125" customWidth="1"/>
    <col min="8" max="8" width="25.85546875" customWidth="1"/>
    <col min="9" max="9" width="26.140625" customWidth="1"/>
  </cols>
  <sheetData>
    <row r="1" spans="1:10" ht="15.75" x14ac:dyDescent="0.25">
      <c r="A1" s="1" t="s">
        <v>131</v>
      </c>
    </row>
    <row r="2" spans="1:10" ht="15.75" x14ac:dyDescent="0.25">
      <c r="A2" s="1" t="s">
        <v>39</v>
      </c>
    </row>
    <row r="3" spans="1:10" ht="15.75" x14ac:dyDescent="0.25">
      <c r="A3" s="1" t="s">
        <v>74</v>
      </c>
    </row>
    <row r="5" spans="1:10" ht="16.5" x14ac:dyDescent="0.25">
      <c r="A5" s="307" t="s">
        <v>2</v>
      </c>
      <c r="B5" s="308" t="s">
        <v>40</v>
      </c>
      <c r="C5" s="308" t="s">
        <v>41</v>
      </c>
      <c r="D5" s="311" t="s">
        <v>42</v>
      </c>
      <c r="E5" s="312"/>
      <c r="F5" s="313"/>
      <c r="G5" s="315" t="s">
        <v>271</v>
      </c>
      <c r="H5" s="315" t="s">
        <v>12</v>
      </c>
      <c r="I5" s="308" t="s">
        <v>8</v>
      </c>
    </row>
    <row r="6" spans="1:10" ht="33" x14ac:dyDescent="0.25">
      <c r="A6" s="307"/>
      <c r="B6" s="309"/>
      <c r="C6" s="310"/>
      <c r="D6" s="50" t="s">
        <v>10</v>
      </c>
      <c r="E6" s="96" t="s">
        <v>69</v>
      </c>
      <c r="F6" s="50" t="s">
        <v>11</v>
      </c>
      <c r="G6" s="316"/>
      <c r="H6" s="316"/>
      <c r="I6" s="314"/>
    </row>
    <row r="7" spans="1:10" ht="16.5" x14ac:dyDescent="0.3">
      <c r="A7" s="27" t="s">
        <v>13</v>
      </c>
      <c r="B7" s="28">
        <v>43</v>
      </c>
      <c r="C7" s="51">
        <f>'[1]pph 21 Jan'!$M$50</f>
        <v>184187668</v>
      </c>
      <c r="D7" s="52">
        <f>C7</f>
        <v>184187668</v>
      </c>
      <c r="E7" s="52">
        <v>0</v>
      </c>
      <c r="F7" s="31">
        <v>46063</v>
      </c>
      <c r="G7" s="252">
        <v>5895121</v>
      </c>
      <c r="H7" s="252" t="s">
        <v>298</v>
      </c>
      <c r="I7" s="30" t="s">
        <v>14</v>
      </c>
      <c r="J7" s="122" t="s">
        <v>380</v>
      </c>
    </row>
    <row r="8" spans="1:10" ht="16.5" x14ac:dyDescent="0.25">
      <c r="A8" s="27" t="s">
        <v>15</v>
      </c>
      <c r="B8" s="28">
        <v>43</v>
      </c>
      <c r="C8" s="53">
        <f>'[1]pph 21 Feb'!$M$50</f>
        <v>195715788.83999997</v>
      </c>
      <c r="D8" s="52">
        <f t="shared" ref="D8:D11" si="0">C8</f>
        <v>195715788.83999997</v>
      </c>
      <c r="E8" s="52">
        <v>308928</v>
      </c>
      <c r="F8" s="31">
        <v>46092</v>
      </c>
      <c r="G8" s="52">
        <f>6025314-E8</f>
        <v>5716386</v>
      </c>
      <c r="H8" s="52" t="s">
        <v>299</v>
      </c>
      <c r="I8" s="30" t="s">
        <v>14</v>
      </c>
      <c r="J8" s="122" t="s">
        <v>381</v>
      </c>
    </row>
    <row r="9" spans="1:10" ht="16.5" x14ac:dyDescent="0.25">
      <c r="A9" s="27" t="s">
        <v>16</v>
      </c>
      <c r="B9" s="28">
        <v>43</v>
      </c>
      <c r="C9" s="53">
        <f>'[1]pph 21 Mar'!$M$50</f>
        <v>334009243.84000003</v>
      </c>
      <c r="D9" s="52">
        <f t="shared" si="0"/>
        <v>334009243.84000003</v>
      </c>
      <c r="E9" s="52">
        <v>3809969</v>
      </c>
      <c r="F9" s="31">
        <v>46127</v>
      </c>
      <c r="G9" s="52">
        <f>G8-E9</f>
        <v>1906417</v>
      </c>
      <c r="H9" s="52" t="s">
        <v>336</v>
      </c>
      <c r="I9" s="30" t="s">
        <v>14</v>
      </c>
      <c r="J9" s="122" t="s">
        <v>383</v>
      </c>
    </row>
    <row r="10" spans="1:10" ht="16.5" x14ac:dyDescent="0.3">
      <c r="A10" s="27" t="s">
        <v>17</v>
      </c>
      <c r="B10" s="28">
        <v>43</v>
      </c>
      <c r="C10" s="53">
        <f>'[1]pph 21 Apr'!$M$50</f>
        <v>194945810</v>
      </c>
      <c r="D10" s="52">
        <f t="shared" si="0"/>
        <v>194945810</v>
      </c>
      <c r="E10" s="52">
        <v>253246</v>
      </c>
      <c r="F10" s="31">
        <v>46148</v>
      </c>
      <c r="G10" s="52">
        <f>G9-E10</f>
        <v>1653171</v>
      </c>
      <c r="H10" s="180" t="s">
        <v>382</v>
      </c>
      <c r="I10" s="30" t="s">
        <v>14</v>
      </c>
      <c r="J10" s="122"/>
    </row>
    <row r="11" spans="1:10" ht="16.5" x14ac:dyDescent="0.25">
      <c r="A11" s="27" t="s">
        <v>18</v>
      </c>
      <c r="B11" s="28">
        <v>43</v>
      </c>
      <c r="C11" s="53">
        <f>'[1]pph 21 Mei'!$M$50</f>
        <v>193063029</v>
      </c>
      <c r="D11" s="52">
        <f t="shared" si="0"/>
        <v>193063029</v>
      </c>
      <c r="E11" s="52">
        <v>207589</v>
      </c>
      <c r="F11" s="31">
        <v>46178</v>
      </c>
      <c r="G11" s="52">
        <f>G10-E11</f>
        <v>1445582</v>
      </c>
      <c r="H11" s="31" t="s">
        <v>469</v>
      </c>
      <c r="I11" s="30" t="s">
        <v>14</v>
      </c>
    </row>
    <row r="12" spans="1:10" ht="16.5" x14ac:dyDescent="0.25">
      <c r="A12" s="27" t="s">
        <v>19</v>
      </c>
      <c r="B12" s="28"/>
      <c r="C12" s="53"/>
      <c r="D12" s="52"/>
      <c r="E12" s="52"/>
      <c r="F12" s="31"/>
      <c r="G12" s="31"/>
      <c r="H12" s="31"/>
      <c r="I12" s="36" t="s">
        <v>14</v>
      </c>
    </row>
    <row r="13" spans="1:10" ht="16.5" x14ac:dyDescent="0.25">
      <c r="A13" s="27" t="s">
        <v>20</v>
      </c>
      <c r="B13" s="28"/>
      <c r="C13" s="53"/>
      <c r="D13" s="52"/>
      <c r="E13" s="52"/>
      <c r="F13" s="31"/>
      <c r="G13" s="31"/>
      <c r="H13" s="31"/>
      <c r="I13" s="30" t="s">
        <v>14</v>
      </c>
    </row>
    <row r="14" spans="1:10" ht="16.5" x14ac:dyDescent="0.25">
      <c r="A14" s="27" t="s">
        <v>21</v>
      </c>
      <c r="B14" s="28"/>
      <c r="C14" s="53"/>
      <c r="D14" s="52"/>
      <c r="E14" s="52"/>
      <c r="F14" s="31"/>
      <c r="G14" s="31"/>
      <c r="H14" s="31"/>
      <c r="I14" s="30" t="s">
        <v>14</v>
      </c>
    </row>
    <row r="15" spans="1:10" ht="16.5" x14ac:dyDescent="0.25">
      <c r="A15" s="27" t="s">
        <v>22</v>
      </c>
      <c r="B15" s="28"/>
      <c r="C15" s="53"/>
      <c r="D15" s="52"/>
      <c r="E15" s="52"/>
      <c r="F15" s="31"/>
      <c r="G15" s="31"/>
      <c r="H15" s="31"/>
      <c r="I15" s="30" t="s">
        <v>14</v>
      </c>
      <c r="J15">
        <f>1776224-1906417</f>
        <v>-130193</v>
      </c>
    </row>
    <row r="16" spans="1:10" ht="16.5" x14ac:dyDescent="0.25">
      <c r="A16" s="27" t="s">
        <v>23</v>
      </c>
      <c r="B16" s="28"/>
      <c r="C16" s="53"/>
      <c r="D16" s="52"/>
      <c r="E16" s="52"/>
      <c r="F16" s="31"/>
      <c r="G16" s="31"/>
      <c r="H16" s="31"/>
      <c r="I16" s="30" t="s">
        <v>14</v>
      </c>
    </row>
    <row r="17" spans="1:10" ht="16.5" x14ac:dyDescent="0.25">
      <c r="A17" s="27" t="s">
        <v>24</v>
      </c>
      <c r="B17" s="28"/>
      <c r="C17" s="53"/>
      <c r="D17" s="52"/>
      <c r="E17" s="52"/>
      <c r="F17" s="31"/>
      <c r="G17" s="31"/>
      <c r="H17" s="31"/>
      <c r="I17" s="30" t="s">
        <v>14</v>
      </c>
    </row>
    <row r="18" spans="1:10" ht="16.5" x14ac:dyDescent="0.25">
      <c r="A18" s="27" t="s">
        <v>25</v>
      </c>
      <c r="B18" s="28"/>
      <c r="C18" s="53"/>
      <c r="D18" s="52"/>
      <c r="E18" s="52"/>
      <c r="F18" s="31"/>
      <c r="G18" s="31"/>
      <c r="H18" s="31"/>
      <c r="I18" s="30" t="s">
        <v>14</v>
      </c>
      <c r="J18" s="122"/>
    </row>
    <row r="19" spans="1:10" ht="15.75" x14ac:dyDescent="0.25">
      <c r="A19" s="49"/>
      <c r="B19" s="16">
        <f>SUM(B7:B18)</f>
        <v>215</v>
      </c>
      <c r="C19" s="54">
        <f>SUM(C7:C18)</f>
        <v>1101921539.6800001</v>
      </c>
      <c r="D19" s="54">
        <f>SUM(D7:D18)</f>
        <v>1101921539.6800001</v>
      </c>
      <c r="E19" s="54"/>
      <c r="F19" s="16"/>
      <c r="G19" s="16"/>
      <c r="H19" s="16"/>
      <c r="I19" s="16">
        <v>0</v>
      </c>
    </row>
    <row r="23" spans="1:10" x14ac:dyDescent="0.25">
      <c r="F23" s="55"/>
      <c r="G23" s="55"/>
      <c r="H23" s="55"/>
    </row>
  </sheetData>
  <mergeCells count="7">
    <mergeCell ref="A5:A6"/>
    <mergeCell ref="B5:B6"/>
    <mergeCell ref="C5:C6"/>
    <mergeCell ref="D5:F5"/>
    <mergeCell ref="I5:I6"/>
    <mergeCell ref="G5:G6"/>
    <mergeCell ref="H5:H6"/>
  </mergeCells>
  <pageMargins left="0.7" right="0.7" top="0.75" bottom="0.75" header="0.3" footer="0.3"/>
  <pageSetup scale="87"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view="pageBreakPreview" topLeftCell="A16" zoomScale="90" zoomScaleNormal="100" zoomScaleSheetLayoutView="90" workbookViewId="0">
      <selection activeCell="I30" sqref="I30"/>
    </sheetView>
  </sheetViews>
  <sheetFormatPr defaultRowHeight="15" x14ac:dyDescent="0.25"/>
  <cols>
    <col min="1" max="1" width="4.7109375" customWidth="1"/>
    <col min="2" max="2" width="12.7109375" customWidth="1"/>
    <col min="3" max="3" width="21.7109375" customWidth="1"/>
    <col min="4" max="4" width="35.7109375" customWidth="1"/>
    <col min="5" max="5" width="15.28515625" customWidth="1"/>
    <col min="6" max="6" width="15.140625" bestFit="1" customWidth="1"/>
    <col min="7" max="8" width="13.42578125" customWidth="1"/>
    <col min="9" max="9" width="26.140625" style="74" customWidth="1"/>
    <col min="10" max="10" width="17.140625" customWidth="1"/>
    <col min="11" max="11" width="16.7109375" customWidth="1"/>
  </cols>
  <sheetData>
    <row r="1" spans="1:12" ht="15.75" x14ac:dyDescent="0.25">
      <c r="A1" s="1" t="s">
        <v>131</v>
      </c>
      <c r="B1" s="1"/>
      <c r="C1" s="1"/>
    </row>
    <row r="2" spans="1:12" ht="15.75" x14ac:dyDescent="0.25">
      <c r="A2" s="1" t="s">
        <v>130</v>
      </c>
      <c r="B2" s="1"/>
      <c r="C2" s="1"/>
    </row>
    <row r="3" spans="1:12" ht="15.75" x14ac:dyDescent="0.25">
      <c r="A3" s="1" t="s">
        <v>209</v>
      </c>
      <c r="B3" s="1"/>
      <c r="C3" s="1"/>
    </row>
    <row r="5" spans="1:12" ht="16.5" customHeight="1" x14ac:dyDescent="0.25">
      <c r="A5" s="307" t="s">
        <v>49</v>
      </c>
      <c r="B5" s="315" t="s">
        <v>2</v>
      </c>
      <c r="C5" s="308" t="s">
        <v>50</v>
      </c>
      <c r="D5" s="308" t="s">
        <v>51</v>
      </c>
      <c r="E5" s="317" t="s">
        <v>32</v>
      </c>
      <c r="F5" s="317" t="s">
        <v>60</v>
      </c>
      <c r="G5" s="317" t="s">
        <v>62</v>
      </c>
      <c r="H5" s="317" t="s">
        <v>61</v>
      </c>
      <c r="I5" s="311" t="s">
        <v>42</v>
      </c>
      <c r="J5" s="313"/>
      <c r="K5" s="308" t="s">
        <v>8</v>
      </c>
    </row>
    <row r="6" spans="1:12" ht="16.5" x14ac:dyDescent="0.25">
      <c r="A6" s="307"/>
      <c r="B6" s="316"/>
      <c r="C6" s="310"/>
      <c r="D6" s="309"/>
      <c r="E6" s="318"/>
      <c r="F6" s="318"/>
      <c r="G6" s="318"/>
      <c r="H6" s="318"/>
      <c r="I6" s="181" t="s">
        <v>12</v>
      </c>
      <c r="J6" s="50" t="s">
        <v>47</v>
      </c>
      <c r="K6" s="314"/>
    </row>
    <row r="7" spans="1:12" ht="16.5" x14ac:dyDescent="0.3">
      <c r="A7" s="27">
        <v>1</v>
      </c>
      <c r="B7" s="27" t="s">
        <v>13</v>
      </c>
      <c r="C7" s="27" t="s">
        <v>261</v>
      </c>
      <c r="D7" s="102" t="s">
        <v>262</v>
      </c>
      <c r="E7" s="28">
        <v>2113723</v>
      </c>
      <c r="F7" s="28">
        <f t="shared" ref="F7:F14" si="0">E7*2%</f>
        <v>42274.46</v>
      </c>
      <c r="G7" s="101" t="s">
        <v>267</v>
      </c>
      <c r="H7" s="100">
        <v>46048</v>
      </c>
      <c r="I7" s="187" t="s">
        <v>302</v>
      </c>
      <c r="J7" s="31">
        <v>46058</v>
      </c>
      <c r="K7" s="30" t="s">
        <v>14</v>
      </c>
    </row>
    <row r="8" spans="1:12" ht="16.5" x14ac:dyDescent="0.3">
      <c r="A8" s="27">
        <v>2</v>
      </c>
      <c r="B8" s="27" t="s">
        <v>13</v>
      </c>
      <c r="C8" s="27" t="s">
        <v>65</v>
      </c>
      <c r="D8" s="102" t="s">
        <v>66</v>
      </c>
      <c r="E8" s="28">
        <v>49826436</v>
      </c>
      <c r="F8" s="28">
        <f t="shared" si="0"/>
        <v>996528.72</v>
      </c>
      <c r="G8" s="101" t="s">
        <v>269</v>
      </c>
      <c r="H8" s="100">
        <v>46048</v>
      </c>
      <c r="I8" s="187" t="s">
        <v>302</v>
      </c>
      <c r="J8" s="31">
        <v>46027</v>
      </c>
      <c r="K8" s="30" t="s">
        <v>14</v>
      </c>
    </row>
    <row r="9" spans="1:12" ht="16.5" x14ac:dyDescent="0.3">
      <c r="A9" s="27">
        <v>3</v>
      </c>
      <c r="B9" s="27" t="s">
        <v>13</v>
      </c>
      <c r="C9" s="27" t="s">
        <v>63</v>
      </c>
      <c r="D9" s="102" t="s">
        <v>64</v>
      </c>
      <c r="E9" s="28">
        <v>46850600</v>
      </c>
      <c r="F9" s="28">
        <f t="shared" si="0"/>
        <v>937012</v>
      </c>
      <c r="G9" s="101" t="s">
        <v>270</v>
      </c>
      <c r="H9" s="100">
        <v>46038</v>
      </c>
      <c r="I9" s="187" t="s">
        <v>302</v>
      </c>
      <c r="J9" s="31">
        <v>46058</v>
      </c>
      <c r="K9" s="30" t="s">
        <v>14</v>
      </c>
    </row>
    <row r="10" spans="1:12" ht="16.5" x14ac:dyDescent="0.3">
      <c r="A10" s="27">
        <v>4</v>
      </c>
      <c r="B10" s="27" t="s">
        <v>13</v>
      </c>
      <c r="C10" s="27" t="s">
        <v>52</v>
      </c>
      <c r="D10" s="102" t="s">
        <v>67</v>
      </c>
      <c r="E10" s="28">
        <v>9729648</v>
      </c>
      <c r="F10" s="28">
        <f t="shared" si="0"/>
        <v>194592.96</v>
      </c>
      <c r="G10" s="101" t="s">
        <v>268</v>
      </c>
      <c r="H10" s="100">
        <v>46048</v>
      </c>
      <c r="I10" s="187" t="s">
        <v>302</v>
      </c>
      <c r="J10" s="31">
        <v>46058</v>
      </c>
      <c r="K10" s="30" t="s">
        <v>14</v>
      </c>
    </row>
    <row r="11" spans="1:12" ht="16.5" x14ac:dyDescent="0.3">
      <c r="A11" s="27">
        <v>5</v>
      </c>
      <c r="B11" s="27" t="s">
        <v>15</v>
      </c>
      <c r="C11" s="27" t="s">
        <v>65</v>
      </c>
      <c r="D11" s="102" t="s">
        <v>66</v>
      </c>
      <c r="E11" s="28">
        <v>49826436</v>
      </c>
      <c r="F11" s="28">
        <f t="shared" si="0"/>
        <v>996528.72</v>
      </c>
      <c r="G11" s="101" t="s">
        <v>304</v>
      </c>
      <c r="H11" s="100">
        <v>46070</v>
      </c>
      <c r="I11" s="187" t="s">
        <v>303</v>
      </c>
      <c r="J11" s="31">
        <v>46083</v>
      </c>
      <c r="K11" s="30" t="s">
        <v>14</v>
      </c>
    </row>
    <row r="12" spans="1:12" ht="16.5" x14ac:dyDescent="0.3">
      <c r="A12" s="27">
        <v>6</v>
      </c>
      <c r="B12" s="27" t="s">
        <v>15</v>
      </c>
      <c r="C12" s="27" t="s">
        <v>63</v>
      </c>
      <c r="D12" s="102" t="s">
        <v>64</v>
      </c>
      <c r="E12" s="28">
        <v>46850600</v>
      </c>
      <c r="F12" s="28">
        <f t="shared" si="0"/>
        <v>937012</v>
      </c>
      <c r="G12" s="101" t="s">
        <v>305</v>
      </c>
      <c r="H12" s="100">
        <v>46070</v>
      </c>
      <c r="I12" s="187" t="s">
        <v>303</v>
      </c>
      <c r="J12" s="31">
        <v>46083</v>
      </c>
      <c r="K12" s="30" t="s">
        <v>14</v>
      </c>
    </row>
    <row r="13" spans="1:12" ht="16.5" x14ac:dyDescent="0.3">
      <c r="A13" s="27">
        <v>7</v>
      </c>
      <c r="B13" s="27" t="s">
        <v>15</v>
      </c>
      <c r="C13" s="27" t="s">
        <v>52</v>
      </c>
      <c r="D13" s="102" t="s">
        <v>67</v>
      </c>
      <c r="E13" s="28">
        <v>9729648</v>
      </c>
      <c r="F13" s="28">
        <f t="shared" si="0"/>
        <v>194592.96</v>
      </c>
      <c r="G13" s="101" t="s">
        <v>306</v>
      </c>
      <c r="H13" s="100">
        <v>46070</v>
      </c>
      <c r="I13" s="187" t="s">
        <v>303</v>
      </c>
      <c r="J13" s="31">
        <v>46083</v>
      </c>
      <c r="K13" s="36" t="s">
        <v>14</v>
      </c>
    </row>
    <row r="14" spans="1:12" ht="16.5" x14ac:dyDescent="0.3">
      <c r="A14" s="27">
        <v>8</v>
      </c>
      <c r="B14" s="27" t="s">
        <v>15</v>
      </c>
      <c r="C14" s="27" t="s">
        <v>261</v>
      </c>
      <c r="D14" s="102" t="s">
        <v>262</v>
      </c>
      <c r="E14" s="28">
        <v>2693524</v>
      </c>
      <c r="F14" s="28">
        <f t="shared" si="0"/>
        <v>53870.48</v>
      </c>
      <c r="G14" s="101" t="s">
        <v>307</v>
      </c>
      <c r="H14" s="100">
        <v>46070</v>
      </c>
      <c r="I14" s="187" t="s">
        <v>303</v>
      </c>
      <c r="J14" s="31">
        <v>46083</v>
      </c>
      <c r="K14" s="36" t="s">
        <v>14</v>
      </c>
    </row>
    <row r="15" spans="1:12" ht="16.5" x14ac:dyDescent="0.3">
      <c r="A15" s="27">
        <v>9</v>
      </c>
      <c r="B15" s="27" t="s">
        <v>16</v>
      </c>
      <c r="C15" s="27" t="s">
        <v>65</v>
      </c>
      <c r="D15" s="102" t="s">
        <v>66</v>
      </c>
      <c r="E15" s="28">
        <v>49826436</v>
      </c>
      <c r="F15" s="28">
        <f t="shared" ref="F15:F52" si="1">E15*2%</f>
        <v>996528.72</v>
      </c>
      <c r="G15" s="101" t="s">
        <v>266</v>
      </c>
      <c r="H15" s="100">
        <v>46091</v>
      </c>
      <c r="I15" s="187" t="s">
        <v>374</v>
      </c>
      <c r="J15" s="31">
        <v>46134</v>
      </c>
      <c r="K15" s="30" t="s">
        <v>14</v>
      </c>
      <c r="L15" s="122"/>
    </row>
    <row r="16" spans="1:12" ht="16.5" x14ac:dyDescent="0.3">
      <c r="A16" s="27">
        <v>10</v>
      </c>
      <c r="B16" s="27" t="s">
        <v>16</v>
      </c>
      <c r="C16" s="27" t="s">
        <v>63</v>
      </c>
      <c r="D16" s="102" t="s">
        <v>64</v>
      </c>
      <c r="E16" s="28">
        <v>46850600</v>
      </c>
      <c r="F16" s="28">
        <f t="shared" si="1"/>
        <v>937012</v>
      </c>
      <c r="G16" s="101" t="s">
        <v>265</v>
      </c>
      <c r="H16" s="100">
        <v>46091</v>
      </c>
      <c r="I16" s="187" t="s">
        <v>374</v>
      </c>
      <c r="J16" s="31">
        <v>46134</v>
      </c>
      <c r="K16" s="30" t="s">
        <v>14</v>
      </c>
      <c r="L16" s="122"/>
    </row>
    <row r="17" spans="1:12" ht="16.5" x14ac:dyDescent="0.3">
      <c r="A17" s="27">
        <v>11</v>
      </c>
      <c r="B17" s="27" t="s">
        <v>16</v>
      </c>
      <c r="C17" s="27" t="s">
        <v>52</v>
      </c>
      <c r="D17" s="102" t="s">
        <v>67</v>
      </c>
      <c r="E17" s="28">
        <v>9729648</v>
      </c>
      <c r="F17" s="28">
        <f t="shared" si="1"/>
        <v>194592.96</v>
      </c>
      <c r="G17" s="101" t="s">
        <v>264</v>
      </c>
      <c r="H17" s="100">
        <v>46091</v>
      </c>
      <c r="I17" s="187" t="s">
        <v>374</v>
      </c>
      <c r="J17" s="31">
        <v>46134</v>
      </c>
      <c r="K17" s="30" t="s">
        <v>14</v>
      </c>
      <c r="L17" s="122"/>
    </row>
    <row r="18" spans="1:12" ht="16.5" x14ac:dyDescent="0.3">
      <c r="A18" s="27">
        <v>12</v>
      </c>
      <c r="B18" s="27" t="s">
        <v>16</v>
      </c>
      <c r="C18" s="27" t="s">
        <v>261</v>
      </c>
      <c r="D18" s="102" t="s">
        <v>262</v>
      </c>
      <c r="E18" s="28">
        <v>1769712</v>
      </c>
      <c r="F18" s="28">
        <f t="shared" si="1"/>
        <v>35394.239999999998</v>
      </c>
      <c r="G18" s="101" t="s">
        <v>263</v>
      </c>
      <c r="H18" s="100">
        <v>46091</v>
      </c>
      <c r="I18" s="187" t="s">
        <v>374</v>
      </c>
      <c r="J18" s="31">
        <v>46134</v>
      </c>
      <c r="K18" s="30" t="s">
        <v>14</v>
      </c>
    </row>
    <row r="19" spans="1:12" ht="16.5" x14ac:dyDescent="0.3">
      <c r="A19" s="27">
        <v>13</v>
      </c>
      <c r="B19" s="27" t="s">
        <v>17</v>
      </c>
      <c r="C19" s="27" t="s">
        <v>65</v>
      </c>
      <c r="D19" s="102" t="s">
        <v>66</v>
      </c>
      <c r="E19" s="28">
        <v>49826436</v>
      </c>
      <c r="F19" s="28">
        <f t="shared" si="1"/>
        <v>996528.72</v>
      </c>
      <c r="G19" s="101" t="s">
        <v>365</v>
      </c>
      <c r="H19" s="100">
        <v>46129</v>
      </c>
      <c r="I19" s="187" t="s">
        <v>376</v>
      </c>
      <c r="J19" s="31">
        <v>46147</v>
      </c>
      <c r="K19" s="30" t="s">
        <v>14</v>
      </c>
    </row>
    <row r="20" spans="1:12" ht="16.5" x14ac:dyDescent="0.3">
      <c r="A20" s="27">
        <v>14</v>
      </c>
      <c r="B20" s="27" t="s">
        <v>17</v>
      </c>
      <c r="C20" s="27" t="s">
        <v>63</v>
      </c>
      <c r="D20" s="102" t="s">
        <v>64</v>
      </c>
      <c r="E20" s="28">
        <v>46850600</v>
      </c>
      <c r="F20" s="28">
        <f t="shared" si="1"/>
        <v>937012</v>
      </c>
      <c r="G20" s="101" t="s">
        <v>364</v>
      </c>
      <c r="H20" s="100">
        <v>46129</v>
      </c>
      <c r="I20" s="187" t="s">
        <v>376</v>
      </c>
      <c r="J20" s="31">
        <v>46147</v>
      </c>
      <c r="K20" s="30" t="s">
        <v>14</v>
      </c>
    </row>
    <row r="21" spans="1:12" ht="16.5" x14ac:dyDescent="0.3">
      <c r="A21" s="27">
        <v>15</v>
      </c>
      <c r="B21" s="27" t="s">
        <v>17</v>
      </c>
      <c r="C21" s="27" t="s">
        <v>52</v>
      </c>
      <c r="D21" s="102" t="s">
        <v>67</v>
      </c>
      <c r="E21" s="28">
        <v>9729648</v>
      </c>
      <c r="F21" s="28">
        <f t="shared" si="1"/>
        <v>194592.96</v>
      </c>
      <c r="G21" s="101" t="s">
        <v>363</v>
      </c>
      <c r="H21" s="100">
        <v>46129</v>
      </c>
      <c r="I21" s="187" t="s">
        <v>376</v>
      </c>
      <c r="J21" s="31">
        <v>46147</v>
      </c>
      <c r="K21" s="30" t="s">
        <v>14</v>
      </c>
    </row>
    <row r="22" spans="1:12" ht="16.5" x14ac:dyDescent="0.3">
      <c r="A22" s="27">
        <v>16</v>
      </c>
      <c r="B22" s="27" t="s">
        <v>17</v>
      </c>
      <c r="C22" s="27" t="s">
        <v>367</v>
      </c>
      <c r="D22" s="102" t="s">
        <v>366</v>
      </c>
      <c r="E22" s="28">
        <v>1000000</v>
      </c>
      <c r="F22" s="28">
        <f t="shared" si="1"/>
        <v>20000</v>
      </c>
      <c r="G22" s="101" t="s">
        <v>368</v>
      </c>
      <c r="H22" s="100">
        <v>46129</v>
      </c>
      <c r="I22" s="187" t="s">
        <v>376</v>
      </c>
      <c r="J22" s="31">
        <v>46147</v>
      </c>
      <c r="K22" s="30" t="s">
        <v>14</v>
      </c>
    </row>
    <row r="23" spans="1:12" ht="16.5" x14ac:dyDescent="0.3">
      <c r="A23" s="27">
        <v>17</v>
      </c>
      <c r="B23" s="27" t="s">
        <v>17</v>
      </c>
      <c r="C23" s="27" t="s">
        <v>261</v>
      </c>
      <c r="D23" s="102" t="s">
        <v>262</v>
      </c>
      <c r="E23" s="28">
        <v>252027</v>
      </c>
      <c r="F23" s="28">
        <f t="shared" si="1"/>
        <v>5040.54</v>
      </c>
      <c r="G23" s="101" t="s">
        <v>369</v>
      </c>
      <c r="H23" s="100">
        <v>46132</v>
      </c>
      <c r="I23" s="187" t="s">
        <v>376</v>
      </c>
      <c r="J23" s="31">
        <v>46147</v>
      </c>
      <c r="K23" s="30" t="s">
        <v>14</v>
      </c>
    </row>
    <row r="24" spans="1:12" ht="16.5" x14ac:dyDescent="0.3">
      <c r="A24" s="27">
        <v>18</v>
      </c>
      <c r="B24" s="27" t="s">
        <v>17</v>
      </c>
      <c r="C24" s="180" t="s">
        <v>370</v>
      </c>
      <c r="D24" s="102" t="s">
        <v>372</v>
      </c>
      <c r="E24" s="28">
        <v>7500000</v>
      </c>
      <c r="F24" s="28">
        <f t="shared" si="1"/>
        <v>150000</v>
      </c>
      <c r="G24" s="101" t="s">
        <v>371</v>
      </c>
      <c r="H24" s="100">
        <v>46141</v>
      </c>
      <c r="I24" s="187" t="s">
        <v>376</v>
      </c>
      <c r="J24" s="31">
        <v>46147</v>
      </c>
      <c r="K24" s="30" t="s">
        <v>14</v>
      </c>
    </row>
    <row r="25" spans="1:12" ht="16.5" x14ac:dyDescent="0.3">
      <c r="A25" s="27">
        <v>19</v>
      </c>
      <c r="B25" s="27" t="s">
        <v>17</v>
      </c>
      <c r="C25" s="180" t="s">
        <v>370</v>
      </c>
      <c r="D25" s="102" t="s">
        <v>372</v>
      </c>
      <c r="E25" s="28">
        <v>7500000</v>
      </c>
      <c r="F25" s="28">
        <f t="shared" si="1"/>
        <v>150000</v>
      </c>
      <c r="G25" s="101" t="s">
        <v>373</v>
      </c>
      <c r="H25" s="100">
        <v>46141</v>
      </c>
      <c r="I25" s="187" t="s">
        <v>376</v>
      </c>
      <c r="J25" s="31">
        <v>46147</v>
      </c>
      <c r="K25" s="30" t="s">
        <v>14</v>
      </c>
    </row>
    <row r="26" spans="1:12" ht="16.5" x14ac:dyDescent="0.3">
      <c r="A26" s="27">
        <v>20</v>
      </c>
      <c r="B26" s="27" t="s">
        <v>425</v>
      </c>
      <c r="C26" s="27" t="s">
        <v>261</v>
      </c>
      <c r="D26" s="102" t="s">
        <v>262</v>
      </c>
      <c r="E26" s="28">
        <v>1852905</v>
      </c>
      <c r="F26" s="28">
        <f t="shared" si="1"/>
        <v>37058.1</v>
      </c>
      <c r="G26" s="101" t="s">
        <v>424</v>
      </c>
      <c r="H26" s="100">
        <v>46153</v>
      </c>
      <c r="I26" s="187" t="s">
        <v>470</v>
      </c>
      <c r="J26" s="31">
        <v>46177</v>
      </c>
      <c r="K26" s="30" t="s">
        <v>14</v>
      </c>
    </row>
    <row r="27" spans="1:12" ht="16.5" x14ac:dyDescent="0.3">
      <c r="A27" s="27">
        <v>21</v>
      </c>
      <c r="B27" s="27" t="s">
        <v>425</v>
      </c>
      <c r="C27" s="27" t="s">
        <v>63</v>
      </c>
      <c r="D27" s="102" t="s">
        <v>64</v>
      </c>
      <c r="E27" s="28">
        <v>46850600</v>
      </c>
      <c r="F27" s="28">
        <f t="shared" si="1"/>
        <v>937012</v>
      </c>
      <c r="G27" s="101" t="s">
        <v>426</v>
      </c>
      <c r="H27" s="100">
        <v>46153</v>
      </c>
      <c r="I27" s="187" t="s">
        <v>470</v>
      </c>
      <c r="J27" s="31">
        <v>46177</v>
      </c>
      <c r="K27" s="30" t="s">
        <v>14</v>
      </c>
    </row>
    <row r="28" spans="1:12" ht="16.5" x14ac:dyDescent="0.3">
      <c r="A28" s="27">
        <v>22</v>
      </c>
      <c r="B28" s="27" t="s">
        <v>425</v>
      </c>
      <c r="C28" s="27" t="s">
        <v>52</v>
      </c>
      <c r="D28" s="102" t="s">
        <v>67</v>
      </c>
      <c r="E28" s="28">
        <v>9729648</v>
      </c>
      <c r="F28" s="28">
        <f t="shared" si="1"/>
        <v>194592.96</v>
      </c>
      <c r="G28" s="101" t="s">
        <v>427</v>
      </c>
      <c r="H28" s="100">
        <v>46153</v>
      </c>
      <c r="I28" s="187" t="s">
        <v>470</v>
      </c>
      <c r="J28" s="31">
        <v>46177</v>
      </c>
      <c r="K28" s="30" t="s">
        <v>14</v>
      </c>
    </row>
    <row r="29" spans="1:12" ht="16.5" x14ac:dyDescent="0.3">
      <c r="A29" s="27">
        <v>23</v>
      </c>
      <c r="B29" s="27" t="s">
        <v>425</v>
      </c>
      <c r="C29" s="27" t="s">
        <v>65</v>
      </c>
      <c r="D29" s="102" t="s">
        <v>66</v>
      </c>
      <c r="E29" s="28">
        <v>49826436</v>
      </c>
      <c r="F29" s="28">
        <f t="shared" si="1"/>
        <v>996528.72</v>
      </c>
      <c r="G29" s="101" t="s">
        <v>428</v>
      </c>
      <c r="H29" s="100">
        <v>46153</v>
      </c>
      <c r="I29" s="187" t="s">
        <v>470</v>
      </c>
      <c r="J29" s="31">
        <v>46177</v>
      </c>
      <c r="K29" s="30" t="s">
        <v>14</v>
      </c>
    </row>
    <row r="30" spans="1:12" ht="16.5" x14ac:dyDescent="0.3">
      <c r="A30" s="27">
        <v>24</v>
      </c>
      <c r="B30" s="27" t="s">
        <v>19</v>
      </c>
      <c r="C30" s="27" t="s">
        <v>65</v>
      </c>
      <c r="D30" s="102" t="s">
        <v>66</v>
      </c>
      <c r="E30" s="28">
        <v>33177777</v>
      </c>
      <c r="F30" s="28">
        <f t="shared" si="1"/>
        <v>663555.54</v>
      </c>
      <c r="G30" s="101" t="s">
        <v>498</v>
      </c>
      <c r="H30" s="100">
        <v>46181</v>
      </c>
      <c r="I30" s="187"/>
      <c r="J30" s="31"/>
      <c r="K30" s="30" t="s">
        <v>14</v>
      </c>
    </row>
    <row r="31" spans="1:12" ht="16.5" x14ac:dyDescent="0.3">
      <c r="A31" s="27">
        <v>25</v>
      </c>
      <c r="B31" s="27" t="s">
        <v>19</v>
      </c>
      <c r="C31" s="27" t="s">
        <v>63</v>
      </c>
      <c r="D31" s="102" t="s">
        <v>64</v>
      </c>
      <c r="E31" s="28">
        <v>42261367</v>
      </c>
      <c r="F31" s="28">
        <f t="shared" si="1"/>
        <v>845227.34</v>
      </c>
      <c r="G31" s="180" t="s">
        <v>499</v>
      </c>
      <c r="H31" s="100">
        <v>46199</v>
      </c>
      <c r="I31" s="187"/>
      <c r="J31" s="31"/>
      <c r="K31" s="30" t="s">
        <v>14</v>
      </c>
    </row>
    <row r="32" spans="1:12" ht="16.5" x14ac:dyDescent="0.3">
      <c r="A32" s="27">
        <v>26</v>
      </c>
      <c r="B32" s="27" t="s">
        <v>19</v>
      </c>
      <c r="C32" s="27" t="s">
        <v>52</v>
      </c>
      <c r="D32" s="102" t="s">
        <v>67</v>
      </c>
      <c r="E32" s="28">
        <v>9729648</v>
      </c>
      <c r="F32" s="28">
        <f t="shared" si="1"/>
        <v>194592.96</v>
      </c>
      <c r="G32" s="101" t="s">
        <v>500</v>
      </c>
      <c r="H32" s="100">
        <v>46199</v>
      </c>
      <c r="I32" s="187"/>
      <c r="J32" s="31"/>
      <c r="K32" s="30" t="s">
        <v>14</v>
      </c>
    </row>
    <row r="33" spans="1:11" ht="16.5" x14ac:dyDescent="0.3">
      <c r="A33" s="27">
        <v>27</v>
      </c>
      <c r="B33" s="27" t="s">
        <v>19</v>
      </c>
      <c r="C33" s="27" t="s">
        <v>63</v>
      </c>
      <c r="D33" s="102" t="s">
        <v>64</v>
      </c>
      <c r="E33" s="28">
        <v>42261367</v>
      </c>
      <c r="F33" s="28">
        <f t="shared" si="1"/>
        <v>845227.34</v>
      </c>
      <c r="G33" s="101" t="s">
        <v>501</v>
      </c>
      <c r="H33" s="100">
        <v>46199</v>
      </c>
      <c r="I33" s="187"/>
      <c r="J33" s="31"/>
      <c r="K33" s="30" t="s">
        <v>14</v>
      </c>
    </row>
    <row r="34" spans="1:11" ht="16.5" x14ac:dyDescent="0.3">
      <c r="A34" s="27">
        <v>28</v>
      </c>
      <c r="B34" s="27" t="s">
        <v>19</v>
      </c>
      <c r="C34" s="27" t="s">
        <v>65</v>
      </c>
      <c r="D34" s="102" t="s">
        <v>66</v>
      </c>
      <c r="E34" s="28">
        <v>33177777</v>
      </c>
      <c r="F34" s="28">
        <f t="shared" si="1"/>
        <v>663555.54</v>
      </c>
      <c r="G34" s="101" t="s">
        <v>502</v>
      </c>
      <c r="H34" s="100">
        <v>46199</v>
      </c>
      <c r="I34" s="187"/>
      <c r="J34" s="31"/>
      <c r="K34" s="30" t="s">
        <v>14</v>
      </c>
    </row>
    <row r="35" spans="1:11" ht="16.5" x14ac:dyDescent="0.3">
      <c r="A35" s="27">
        <v>29</v>
      </c>
      <c r="B35" s="27" t="s">
        <v>19</v>
      </c>
      <c r="C35" s="27" t="s">
        <v>52</v>
      </c>
      <c r="D35" s="102" t="s">
        <v>67</v>
      </c>
      <c r="E35" s="28">
        <v>9729648</v>
      </c>
      <c r="F35" s="28">
        <f t="shared" si="1"/>
        <v>194592.96</v>
      </c>
      <c r="G35" s="101" t="s">
        <v>503</v>
      </c>
      <c r="H35" s="100">
        <v>46199</v>
      </c>
      <c r="I35" s="187"/>
      <c r="J35" s="31"/>
      <c r="K35" s="30" t="s">
        <v>14</v>
      </c>
    </row>
    <row r="36" spans="1:11" ht="16.5" x14ac:dyDescent="0.3">
      <c r="A36" s="27">
        <v>30</v>
      </c>
      <c r="B36" s="27"/>
      <c r="C36" s="27"/>
      <c r="D36" s="102"/>
      <c r="E36" s="28"/>
      <c r="F36" s="28">
        <f t="shared" si="1"/>
        <v>0</v>
      </c>
      <c r="G36" s="101"/>
      <c r="H36" s="100"/>
      <c r="I36" s="187"/>
      <c r="J36" s="31"/>
      <c r="K36" s="30" t="s">
        <v>14</v>
      </c>
    </row>
    <row r="37" spans="1:11" ht="16.5" x14ac:dyDescent="0.3">
      <c r="A37" s="27">
        <v>31</v>
      </c>
      <c r="B37" s="27"/>
      <c r="C37" s="27"/>
      <c r="D37" s="102"/>
      <c r="E37" s="28"/>
      <c r="F37" s="28">
        <f t="shared" si="1"/>
        <v>0</v>
      </c>
      <c r="G37" s="101"/>
      <c r="H37" s="100"/>
      <c r="I37" s="180"/>
      <c r="J37" s="31"/>
      <c r="K37" s="30" t="s">
        <v>14</v>
      </c>
    </row>
    <row r="38" spans="1:11" ht="16.5" x14ac:dyDescent="0.3">
      <c r="A38" s="27">
        <v>32</v>
      </c>
      <c r="B38" s="27"/>
      <c r="C38" s="27"/>
      <c r="D38" s="102"/>
      <c r="E38" s="28"/>
      <c r="F38" s="28">
        <f t="shared" si="1"/>
        <v>0</v>
      </c>
      <c r="G38" s="180"/>
      <c r="H38" s="100"/>
      <c r="I38" s="187"/>
      <c r="J38" s="31"/>
      <c r="K38" s="30" t="s">
        <v>14</v>
      </c>
    </row>
    <row r="39" spans="1:11" ht="16.5" x14ac:dyDescent="0.3">
      <c r="A39" s="27">
        <v>33</v>
      </c>
      <c r="B39" s="27"/>
      <c r="C39" s="27"/>
      <c r="D39" s="102"/>
      <c r="E39" s="28"/>
      <c r="F39" s="28">
        <f t="shared" si="1"/>
        <v>0</v>
      </c>
      <c r="G39" s="187"/>
      <c r="H39" s="100"/>
      <c r="I39" s="187"/>
      <c r="J39" s="31"/>
      <c r="K39" s="30" t="s">
        <v>14</v>
      </c>
    </row>
    <row r="40" spans="1:11" ht="16.5" x14ac:dyDescent="0.3">
      <c r="A40" s="27">
        <v>34</v>
      </c>
      <c r="B40" s="27"/>
      <c r="C40" s="27"/>
      <c r="D40" s="102"/>
      <c r="E40" s="28"/>
      <c r="F40" s="28">
        <f t="shared" si="1"/>
        <v>0</v>
      </c>
      <c r="G40" s="187"/>
      <c r="H40" s="100"/>
      <c r="I40" s="187"/>
      <c r="J40" s="31"/>
      <c r="K40" s="30" t="s">
        <v>14</v>
      </c>
    </row>
    <row r="41" spans="1:11" ht="16.5" x14ac:dyDescent="0.3">
      <c r="A41" s="27">
        <v>35</v>
      </c>
      <c r="B41" s="27"/>
      <c r="C41" s="27"/>
      <c r="D41" s="102"/>
      <c r="E41" s="28"/>
      <c r="F41" s="28">
        <f t="shared" si="1"/>
        <v>0</v>
      </c>
      <c r="G41" s="187"/>
      <c r="H41" s="100"/>
      <c r="I41" s="187"/>
      <c r="J41" s="31"/>
      <c r="K41" s="30" t="s">
        <v>14</v>
      </c>
    </row>
    <row r="42" spans="1:11" ht="16.5" x14ac:dyDescent="0.3">
      <c r="A42" s="27">
        <v>36</v>
      </c>
      <c r="B42" s="27"/>
      <c r="C42" s="27"/>
      <c r="D42" s="102"/>
      <c r="E42" s="28"/>
      <c r="F42" s="28">
        <f t="shared" si="1"/>
        <v>0</v>
      </c>
      <c r="G42" s="187"/>
      <c r="H42" s="100"/>
      <c r="I42" s="187"/>
      <c r="J42" s="31"/>
      <c r="K42" s="30" t="s">
        <v>14</v>
      </c>
    </row>
    <row r="43" spans="1:11" ht="16.5" x14ac:dyDescent="0.3">
      <c r="A43" s="27">
        <v>37</v>
      </c>
      <c r="B43" s="27"/>
      <c r="C43" s="27"/>
      <c r="D43" s="102"/>
      <c r="E43" s="28"/>
      <c r="F43" s="28">
        <f t="shared" si="1"/>
        <v>0</v>
      </c>
      <c r="G43" s="187"/>
      <c r="H43" s="100"/>
      <c r="I43" s="187"/>
      <c r="J43" s="31"/>
      <c r="K43" s="30" t="s">
        <v>14</v>
      </c>
    </row>
    <row r="44" spans="1:11" ht="16.5" x14ac:dyDescent="0.3">
      <c r="A44" s="27">
        <v>38</v>
      </c>
      <c r="B44" s="27"/>
      <c r="C44" s="27"/>
      <c r="D44" s="102"/>
      <c r="E44" s="28"/>
      <c r="F44" s="28">
        <f t="shared" si="1"/>
        <v>0</v>
      </c>
      <c r="G44" s="187"/>
      <c r="H44" s="100"/>
      <c r="I44" s="98"/>
      <c r="J44" s="31"/>
      <c r="K44" s="30"/>
    </row>
    <row r="45" spans="1:11" ht="16.5" x14ac:dyDescent="0.3">
      <c r="A45" s="27">
        <v>39</v>
      </c>
      <c r="B45" s="27"/>
      <c r="C45" s="27"/>
      <c r="D45" s="102"/>
      <c r="E45" s="28"/>
      <c r="F45" s="28">
        <f t="shared" si="1"/>
        <v>0</v>
      </c>
      <c r="G45" s="187"/>
      <c r="H45" s="100"/>
      <c r="I45" s="98"/>
      <c r="J45" s="31"/>
      <c r="K45" s="30"/>
    </row>
    <row r="46" spans="1:11" ht="16.5" x14ac:dyDescent="0.3">
      <c r="A46" s="27">
        <v>40</v>
      </c>
      <c r="B46" s="27"/>
      <c r="C46" s="27"/>
      <c r="D46" s="102"/>
      <c r="E46" s="28"/>
      <c r="F46" s="28">
        <f t="shared" si="1"/>
        <v>0</v>
      </c>
      <c r="G46" s="187"/>
      <c r="H46" s="100"/>
      <c r="I46" s="98"/>
      <c r="J46" s="31"/>
      <c r="K46" s="30"/>
    </row>
    <row r="47" spans="1:11" ht="16.5" x14ac:dyDescent="0.25">
      <c r="A47" s="27">
        <v>41</v>
      </c>
      <c r="B47" s="27"/>
      <c r="C47" s="27"/>
      <c r="D47" s="102"/>
      <c r="E47" s="28"/>
      <c r="F47" s="28">
        <f t="shared" si="1"/>
        <v>0</v>
      </c>
      <c r="G47" s="66"/>
      <c r="H47" s="100"/>
      <c r="I47" s="98"/>
      <c r="J47" s="31"/>
      <c r="K47" s="30"/>
    </row>
    <row r="48" spans="1:11" ht="16.5" x14ac:dyDescent="0.25">
      <c r="A48" s="27">
        <v>42</v>
      </c>
      <c r="B48" s="27"/>
      <c r="C48" s="27"/>
      <c r="D48" s="102"/>
      <c r="E48" s="28"/>
      <c r="F48" s="28">
        <f t="shared" si="1"/>
        <v>0</v>
      </c>
      <c r="G48" s="66"/>
      <c r="H48" s="100"/>
      <c r="I48" s="98"/>
      <c r="J48" s="31"/>
      <c r="K48" s="30"/>
    </row>
    <row r="49" spans="1:11" ht="16.5" x14ac:dyDescent="0.25">
      <c r="A49" s="27">
        <v>43</v>
      </c>
      <c r="B49" s="27"/>
      <c r="C49" s="27"/>
      <c r="D49" s="102"/>
      <c r="E49" s="28"/>
      <c r="F49" s="28">
        <f t="shared" si="1"/>
        <v>0</v>
      </c>
      <c r="G49" s="101"/>
      <c r="H49" s="100"/>
      <c r="I49" s="98"/>
      <c r="J49" s="31"/>
      <c r="K49" s="30"/>
    </row>
    <row r="50" spans="1:11" ht="16.5" x14ac:dyDescent="0.25">
      <c r="A50" s="27">
        <v>44</v>
      </c>
      <c r="B50" s="27"/>
      <c r="C50" s="27"/>
      <c r="D50" s="102"/>
      <c r="E50" s="28"/>
      <c r="F50" s="28">
        <f t="shared" si="1"/>
        <v>0</v>
      </c>
      <c r="G50" s="101"/>
      <c r="H50" s="100"/>
      <c r="I50" s="98"/>
      <c r="J50" s="31"/>
      <c r="K50" s="30"/>
    </row>
    <row r="51" spans="1:11" ht="16.5" x14ac:dyDescent="0.25">
      <c r="A51" s="27">
        <v>45</v>
      </c>
      <c r="B51" s="27"/>
      <c r="C51" s="27"/>
      <c r="D51" s="102"/>
      <c r="E51" s="28"/>
      <c r="F51" s="28">
        <f t="shared" si="1"/>
        <v>0</v>
      </c>
      <c r="G51" s="101"/>
      <c r="H51" s="100"/>
      <c r="I51" s="98"/>
      <c r="J51" s="31"/>
      <c r="K51" s="30"/>
    </row>
    <row r="52" spans="1:11" ht="16.5" x14ac:dyDescent="0.25">
      <c r="A52" s="27">
        <v>46</v>
      </c>
      <c r="B52" s="27"/>
      <c r="C52" s="27"/>
      <c r="D52" s="102"/>
      <c r="E52" s="28"/>
      <c r="F52" s="28">
        <f t="shared" si="1"/>
        <v>0</v>
      </c>
      <c r="G52" s="101"/>
      <c r="H52" s="100"/>
      <c r="I52" s="98"/>
      <c r="J52" s="31"/>
      <c r="K52" s="30"/>
    </row>
    <row r="53" spans="1:11" ht="15.75" x14ac:dyDescent="0.25">
      <c r="A53" s="49"/>
      <c r="B53" s="93"/>
      <c r="C53" s="60"/>
      <c r="D53" s="16">
        <f>SUM(D7:D52)</f>
        <v>0</v>
      </c>
      <c r="E53" s="16">
        <f>SUM(E7:E52)</f>
        <v>727052895</v>
      </c>
      <c r="F53" s="16">
        <f>SUM(F7:F52)</f>
        <v>14541057.900000002</v>
      </c>
      <c r="G53" s="16"/>
      <c r="H53" s="16"/>
      <c r="I53" s="186">
        <f>SUM(I7:I52)</f>
        <v>0</v>
      </c>
      <c r="J53" s="16"/>
      <c r="K53" s="16">
        <v>0</v>
      </c>
    </row>
    <row r="57" spans="1:11" x14ac:dyDescent="0.25">
      <c r="F57" s="142">
        <f>15674516*11/12</f>
        <v>14368306.333333334</v>
      </c>
      <c r="J57" s="55"/>
    </row>
  </sheetData>
  <mergeCells count="10">
    <mergeCell ref="A5:A6"/>
    <mergeCell ref="D5:D6"/>
    <mergeCell ref="I5:J5"/>
    <mergeCell ref="K5:K6"/>
    <mergeCell ref="C5:C6"/>
    <mergeCell ref="F5:F6"/>
    <mergeCell ref="E5:E6"/>
    <mergeCell ref="H5:H6"/>
    <mergeCell ref="G5:G6"/>
    <mergeCell ref="B5:B6"/>
  </mergeCells>
  <pageMargins left="1.1023622047244095" right="0.70866141732283472" top="0.74803149606299213" bottom="0.74803149606299213" header="0.31496062992125984" footer="0.31496062992125984"/>
  <pageSetup scale="56"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view="pageBreakPreview" zoomScale="90" zoomScaleNormal="100" zoomScaleSheetLayoutView="90" workbookViewId="0">
      <selection activeCell="C13" sqref="C13"/>
    </sheetView>
  </sheetViews>
  <sheetFormatPr defaultRowHeight="15" x14ac:dyDescent="0.25"/>
  <cols>
    <col min="1" max="1" width="12.85546875" customWidth="1"/>
    <col min="2" max="2" width="25.42578125" customWidth="1"/>
    <col min="3" max="3" width="14.5703125" customWidth="1"/>
    <col min="4" max="4" width="13.140625" customWidth="1"/>
    <col min="5" max="5" width="27.42578125" hidden="1" customWidth="1"/>
    <col min="6" max="6" width="17.140625" hidden="1" customWidth="1"/>
    <col min="7" max="7" width="17.140625" customWidth="1"/>
    <col min="8" max="8" width="26.140625" customWidth="1"/>
    <col min="11" max="11" width="15" bestFit="1" customWidth="1"/>
  </cols>
  <sheetData>
    <row r="1" spans="1:9" ht="15.75" x14ac:dyDescent="0.25">
      <c r="A1" s="1" t="s">
        <v>131</v>
      </c>
    </row>
    <row r="2" spans="1:9" ht="15.75" x14ac:dyDescent="0.25">
      <c r="A2" s="1" t="s">
        <v>48</v>
      </c>
    </row>
    <row r="3" spans="1:9" ht="15.75" x14ac:dyDescent="0.25">
      <c r="A3" s="1" t="s">
        <v>209</v>
      </c>
    </row>
    <row r="5" spans="1:9" ht="16.5" customHeight="1" x14ac:dyDescent="0.25">
      <c r="A5" s="307" t="s">
        <v>2</v>
      </c>
      <c r="B5" s="308" t="s">
        <v>43</v>
      </c>
      <c r="C5" s="319" t="s">
        <v>44</v>
      </c>
      <c r="D5" s="320"/>
      <c r="E5" s="311" t="s">
        <v>42</v>
      </c>
      <c r="F5" s="313"/>
      <c r="G5" s="308" t="s">
        <v>378</v>
      </c>
      <c r="H5" s="308" t="s">
        <v>8</v>
      </c>
    </row>
    <row r="6" spans="1:9" ht="16.5" x14ac:dyDescent="0.25">
      <c r="A6" s="307"/>
      <c r="B6" s="309"/>
      <c r="C6" s="56" t="s">
        <v>45</v>
      </c>
      <c r="D6" s="57" t="s">
        <v>46</v>
      </c>
      <c r="E6" s="50" t="s">
        <v>12</v>
      </c>
      <c r="F6" s="50" t="s">
        <v>47</v>
      </c>
      <c r="G6" s="310"/>
      <c r="H6" s="314"/>
    </row>
    <row r="7" spans="1:9" ht="16.5" x14ac:dyDescent="0.3">
      <c r="A7" s="27" t="s">
        <v>13</v>
      </c>
      <c r="B7" s="28" t="s">
        <v>0</v>
      </c>
      <c r="C7" s="59">
        <v>5278654</v>
      </c>
      <c r="D7" s="103">
        <v>46063</v>
      </c>
      <c r="E7" s="52" t="s">
        <v>298</v>
      </c>
      <c r="F7" s="103">
        <v>46063</v>
      </c>
      <c r="G7" s="276">
        <v>0</v>
      </c>
      <c r="H7" s="30" t="s">
        <v>14</v>
      </c>
    </row>
    <row r="8" spans="1:9" ht="16.5" x14ac:dyDescent="0.25">
      <c r="A8" s="27" t="s">
        <v>15</v>
      </c>
      <c r="B8" s="28" t="s">
        <v>0</v>
      </c>
      <c r="C8" s="59">
        <v>5278654</v>
      </c>
      <c r="D8" s="100">
        <v>46092</v>
      </c>
      <c r="E8" s="99" t="s">
        <v>299</v>
      </c>
      <c r="F8" s="100">
        <v>46092</v>
      </c>
      <c r="G8" s="59">
        <v>0</v>
      </c>
      <c r="H8" s="30" t="s">
        <v>14</v>
      </c>
      <c r="I8" s="122"/>
    </row>
    <row r="9" spans="1:9" ht="16.5" x14ac:dyDescent="0.25">
      <c r="A9" s="27" t="s">
        <v>16</v>
      </c>
      <c r="B9" s="28" t="s">
        <v>0</v>
      </c>
      <c r="C9" s="59">
        <v>5278654</v>
      </c>
      <c r="D9" s="100">
        <v>46115</v>
      </c>
      <c r="E9" s="98" t="s">
        <v>89</v>
      </c>
      <c r="F9" s="100"/>
      <c r="G9" s="59">
        <v>0</v>
      </c>
      <c r="H9" s="30" t="s">
        <v>14</v>
      </c>
    </row>
    <row r="10" spans="1:9" ht="16.5" x14ac:dyDescent="0.3">
      <c r="A10" s="27" t="s">
        <v>17</v>
      </c>
      <c r="B10" s="28" t="s">
        <v>0</v>
      </c>
      <c r="C10" s="58">
        <v>5315708</v>
      </c>
      <c r="D10" s="97">
        <v>46147</v>
      </c>
      <c r="E10" s="98" t="s">
        <v>89</v>
      </c>
      <c r="F10" s="97">
        <v>46147</v>
      </c>
      <c r="G10" s="277">
        <v>0</v>
      </c>
      <c r="H10" s="30" t="s">
        <v>14</v>
      </c>
    </row>
    <row r="11" spans="1:9" ht="16.5" x14ac:dyDescent="0.3">
      <c r="A11" s="27" t="s">
        <v>18</v>
      </c>
      <c r="B11" s="28" t="s">
        <v>0</v>
      </c>
      <c r="C11" s="58">
        <v>5315800</v>
      </c>
      <c r="D11" s="97">
        <v>46177</v>
      </c>
      <c r="E11" s="98" t="s">
        <v>89</v>
      </c>
      <c r="F11" s="97"/>
      <c r="G11" s="277">
        <v>0</v>
      </c>
      <c r="H11" s="30" t="s">
        <v>14</v>
      </c>
    </row>
    <row r="12" spans="1:9" ht="16.5" x14ac:dyDescent="0.25">
      <c r="A12" s="27" t="s">
        <v>19</v>
      </c>
      <c r="B12" s="28" t="s">
        <v>0</v>
      </c>
      <c r="C12" s="59">
        <v>5278654</v>
      </c>
      <c r="D12" s="97">
        <v>45840</v>
      </c>
      <c r="E12" s="98" t="s">
        <v>89</v>
      </c>
      <c r="F12" s="97"/>
      <c r="G12" s="277">
        <v>0</v>
      </c>
      <c r="H12" s="36" t="s">
        <v>14</v>
      </c>
      <c r="I12" t="s">
        <v>308</v>
      </c>
    </row>
    <row r="13" spans="1:9" ht="16.5" x14ac:dyDescent="0.3">
      <c r="A13" s="27" t="s">
        <v>20</v>
      </c>
      <c r="B13" s="28" t="s">
        <v>0</v>
      </c>
      <c r="C13" s="58"/>
      <c r="D13" s="97"/>
      <c r="E13" s="98" t="s">
        <v>89</v>
      </c>
      <c r="F13" s="31"/>
      <c r="G13" s="277"/>
      <c r="H13" s="30" t="s">
        <v>14</v>
      </c>
    </row>
    <row r="14" spans="1:9" ht="16.5" x14ac:dyDescent="0.3">
      <c r="A14" s="27" t="s">
        <v>21</v>
      </c>
      <c r="B14" s="28" t="s">
        <v>0</v>
      </c>
      <c r="C14" s="58"/>
      <c r="D14" s="97"/>
      <c r="E14" s="98" t="s">
        <v>89</v>
      </c>
      <c r="F14" s="97"/>
      <c r="G14" s="277"/>
      <c r="H14" s="30" t="s">
        <v>14</v>
      </c>
    </row>
    <row r="15" spans="1:9" ht="16.5" x14ac:dyDescent="0.3">
      <c r="A15" s="27" t="s">
        <v>22</v>
      </c>
      <c r="B15" s="28" t="s">
        <v>0</v>
      </c>
      <c r="C15" s="58"/>
      <c r="D15" s="97"/>
      <c r="E15" s="98" t="s">
        <v>89</v>
      </c>
      <c r="F15" s="97"/>
      <c r="G15" s="277"/>
      <c r="H15" s="30" t="s">
        <v>14</v>
      </c>
    </row>
    <row r="16" spans="1:9" ht="16.5" x14ac:dyDescent="0.3">
      <c r="A16" s="27" t="s">
        <v>23</v>
      </c>
      <c r="B16" s="28" t="s">
        <v>0</v>
      </c>
      <c r="C16" s="58"/>
      <c r="D16" s="100"/>
      <c r="E16" s="98" t="s">
        <v>89</v>
      </c>
      <c r="F16" s="100"/>
      <c r="G16" s="59"/>
      <c r="H16" s="30" t="s">
        <v>14</v>
      </c>
    </row>
    <row r="17" spans="1:11" ht="16.5" x14ac:dyDescent="0.3">
      <c r="A17" s="27" t="s">
        <v>24</v>
      </c>
      <c r="B17" s="28" t="s">
        <v>0</v>
      </c>
      <c r="C17" s="58"/>
      <c r="D17" s="100"/>
      <c r="E17" s="98" t="s">
        <v>89</v>
      </c>
      <c r="F17" s="100"/>
      <c r="G17" s="59"/>
      <c r="H17" s="30" t="s">
        <v>14</v>
      </c>
    </row>
    <row r="18" spans="1:11" ht="16.5" x14ac:dyDescent="0.25">
      <c r="A18" s="27" t="s">
        <v>25</v>
      </c>
      <c r="B18" s="28" t="s">
        <v>0</v>
      </c>
      <c r="C18" s="59"/>
      <c r="D18" s="97"/>
      <c r="E18" s="98" t="s">
        <v>89</v>
      </c>
      <c r="F18" s="31"/>
      <c r="G18" s="277"/>
      <c r="H18" s="30" t="s">
        <v>14</v>
      </c>
    </row>
    <row r="19" spans="1:11" ht="15.75" x14ac:dyDescent="0.25">
      <c r="A19" s="49"/>
      <c r="B19" s="16"/>
      <c r="C19" s="54">
        <f>SUM(C7:C18)</f>
        <v>31746124</v>
      </c>
      <c r="D19" s="54"/>
      <c r="E19" s="54">
        <f>SUM(E7:E18)</f>
        <v>0</v>
      </c>
      <c r="F19" s="16"/>
      <c r="G19" s="16"/>
      <c r="H19" s="16">
        <v>0</v>
      </c>
    </row>
    <row r="20" spans="1:11" x14ac:dyDescent="0.25">
      <c r="K20" s="221">
        <f>22244036*11/12</f>
        <v>20390366.333333332</v>
      </c>
    </row>
    <row r="23" spans="1:11" x14ac:dyDescent="0.25">
      <c r="F23" s="55"/>
      <c r="G23" s="55"/>
      <c r="K23" s="142">
        <f>33645000*11/12</f>
        <v>30841250</v>
      </c>
    </row>
    <row r="25" spans="1:11" x14ac:dyDescent="0.25">
      <c r="E25" s="142"/>
    </row>
    <row r="26" spans="1:11" x14ac:dyDescent="0.25">
      <c r="E26" s="142"/>
    </row>
    <row r="27" spans="1:11" x14ac:dyDescent="0.25">
      <c r="E27" s="142"/>
    </row>
    <row r="28" spans="1:11" x14ac:dyDescent="0.25">
      <c r="E28" s="142"/>
      <c r="G28" s="142">
        <f>950000*11/12</f>
        <v>870833.33333333337</v>
      </c>
    </row>
  </sheetData>
  <mergeCells count="6">
    <mergeCell ref="A5:A6"/>
    <mergeCell ref="B5:B6"/>
    <mergeCell ref="C5:D5"/>
    <mergeCell ref="E5:F5"/>
    <mergeCell ref="H5:H6"/>
    <mergeCell ref="G5:G6"/>
  </mergeCells>
  <pageMargins left="0.7" right="0.7" top="0.75" bottom="0.75" header="0.3" footer="0.3"/>
  <pageSetup scale="65"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65"/>
  <sheetViews>
    <sheetView workbookViewId="0">
      <selection activeCell="C20" sqref="C20"/>
    </sheetView>
  </sheetViews>
  <sheetFormatPr defaultRowHeight="15" x14ac:dyDescent="0.25"/>
  <cols>
    <col min="1" max="1" width="12" customWidth="1"/>
    <col min="2" max="2" width="19.42578125" customWidth="1"/>
    <col min="3" max="3" width="88.28515625" customWidth="1"/>
    <col min="4" max="4" width="14.28515625" style="74" customWidth="1"/>
    <col min="5" max="5" width="11.140625" bestFit="1" customWidth="1"/>
    <col min="6" max="6" width="13.28515625" customWidth="1"/>
    <col min="7" max="7" width="17.42578125" customWidth="1"/>
  </cols>
  <sheetData>
    <row r="2" spans="1:7" ht="24.75" customHeight="1" x14ac:dyDescent="0.25">
      <c r="A2" s="61" t="s">
        <v>36</v>
      </c>
      <c r="B2" s="61" t="s">
        <v>57</v>
      </c>
      <c r="C2" s="61" t="s">
        <v>53</v>
      </c>
      <c r="D2" s="61" t="s">
        <v>32</v>
      </c>
      <c r="E2" s="61" t="s">
        <v>58</v>
      </c>
      <c r="F2" s="61" t="s">
        <v>55</v>
      </c>
      <c r="G2" s="61" t="s">
        <v>56</v>
      </c>
    </row>
    <row r="3" spans="1:7" x14ac:dyDescent="0.25">
      <c r="A3" s="62"/>
      <c r="B3" s="87"/>
      <c r="C3" s="67"/>
      <c r="D3" s="77"/>
      <c r="E3" s="64"/>
      <c r="F3" s="65"/>
      <c r="G3" s="66"/>
    </row>
    <row r="4" spans="1:7" x14ac:dyDescent="0.25">
      <c r="A4" s="62"/>
      <c r="B4" s="87"/>
      <c r="C4" s="68"/>
      <c r="D4" s="77"/>
      <c r="E4" s="64"/>
      <c r="F4" s="65"/>
      <c r="G4" s="66"/>
    </row>
    <row r="5" spans="1:7" x14ac:dyDescent="0.25">
      <c r="A5" s="62"/>
      <c r="B5" s="87"/>
      <c r="C5" s="68"/>
      <c r="D5" s="77"/>
      <c r="E5" s="64"/>
      <c r="F5" s="65"/>
      <c r="G5" s="66"/>
    </row>
    <row r="6" spans="1:7" x14ac:dyDescent="0.25">
      <c r="A6" s="73"/>
      <c r="B6" s="88"/>
      <c r="C6" s="68"/>
      <c r="D6" s="77"/>
      <c r="E6" s="132"/>
      <c r="F6" s="81"/>
      <c r="G6" s="82"/>
    </row>
    <row r="7" spans="1:7" x14ac:dyDescent="0.25">
      <c r="A7" s="62"/>
      <c r="B7" s="87"/>
      <c r="C7" s="63"/>
      <c r="D7" s="77"/>
      <c r="E7" s="64"/>
      <c r="F7" s="65"/>
      <c r="G7" s="66"/>
    </row>
    <row r="8" spans="1:7" x14ac:dyDescent="0.25">
      <c r="A8" s="62"/>
      <c r="B8" s="87"/>
      <c r="C8" s="68"/>
      <c r="D8" s="77"/>
      <c r="E8" s="132"/>
      <c r="F8" s="65"/>
      <c r="G8" s="82"/>
    </row>
    <row r="9" spans="1:7" x14ac:dyDescent="0.25">
      <c r="A9" s="73"/>
      <c r="B9" s="87"/>
      <c r="C9" s="68"/>
      <c r="D9" s="77"/>
      <c r="E9" s="80"/>
      <c r="F9" s="73"/>
      <c r="G9" s="82"/>
    </row>
    <row r="10" spans="1:7" s="84" customFormat="1" x14ac:dyDescent="0.25">
      <c r="A10" s="62"/>
      <c r="B10" s="87"/>
      <c r="C10" s="79"/>
      <c r="D10" s="77"/>
      <c r="E10" s="80"/>
      <c r="F10" s="83"/>
      <c r="G10" s="82"/>
    </row>
    <row r="11" spans="1:7" x14ac:dyDescent="0.25">
      <c r="A11" s="62"/>
      <c r="B11" s="87"/>
      <c r="C11" s="67"/>
      <c r="D11" s="76"/>
      <c r="E11" s="80"/>
      <c r="F11" s="81"/>
      <c r="G11" s="82"/>
    </row>
    <row r="12" spans="1:7" x14ac:dyDescent="0.25">
      <c r="A12" s="62"/>
      <c r="B12" s="87"/>
      <c r="C12" s="68"/>
      <c r="D12" s="77"/>
      <c r="E12" s="80"/>
      <c r="F12" s="81"/>
      <c r="G12" s="82"/>
    </row>
    <row r="13" spans="1:7" x14ac:dyDescent="0.25">
      <c r="A13" s="62"/>
      <c r="B13" s="87"/>
      <c r="C13" s="79"/>
      <c r="D13" s="77"/>
      <c r="E13" s="80"/>
      <c r="F13" s="81"/>
      <c r="G13" s="82"/>
    </row>
    <row r="14" spans="1:7" x14ac:dyDescent="0.25">
      <c r="A14" s="73"/>
      <c r="B14" s="88"/>
      <c r="C14" s="134"/>
      <c r="D14" s="75"/>
      <c r="E14" s="80"/>
      <c r="F14" s="81"/>
      <c r="G14" s="82"/>
    </row>
    <row r="15" spans="1:7" x14ac:dyDescent="0.25">
      <c r="A15" s="62"/>
      <c r="B15" s="87"/>
      <c r="C15" s="133"/>
      <c r="D15" s="77"/>
      <c r="E15" s="80"/>
      <c r="F15" s="81"/>
      <c r="G15" s="82"/>
    </row>
    <row r="16" spans="1:7" x14ac:dyDescent="0.25">
      <c r="A16" s="62"/>
      <c r="B16" s="87"/>
      <c r="C16" s="79"/>
      <c r="D16" s="77"/>
      <c r="E16" s="80"/>
      <c r="F16" s="69"/>
      <c r="G16" s="82"/>
    </row>
    <row r="17" spans="1:7" x14ac:dyDescent="0.25">
      <c r="A17" s="62"/>
      <c r="B17" s="88"/>
      <c r="C17" s="68"/>
      <c r="D17" s="77"/>
      <c r="E17" s="80"/>
      <c r="F17" s="94"/>
      <c r="G17" s="82"/>
    </row>
    <row r="18" spans="1:7" x14ac:dyDescent="0.25">
      <c r="A18" s="62"/>
      <c r="B18" s="87"/>
      <c r="C18" s="79"/>
      <c r="D18" s="77"/>
      <c r="E18" s="80"/>
      <c r="F18" s="94"/>
      <c r="G18" s="82"/>
    </row>
    <row r="19" spans="1:7" s="84" customFormat="1" x14ac:dyDescent="0.25">
      <c r="A19" s="62"/>
      <c r="B19" s="87"/>
      <c r="C19" s="68"/>
      <c r="D19" s="77"/>
      <c r="E19" s="80"/>
      <c r="F19" s="85"/>
      <c r="G19" s="82"/>
    </row>
    <row r="20" spans="1:7" s="84" customFormat="1" x14ac:dyDescent="0.25">
      <c r="A20" s="62"/>
      <c r="B20" s="87"/>
      <c r="C20" s="79"/>
      <c r="D20" s="77"/>
      <c r="E20" s="80"/>
      <c r="F20" s="95"/>
      <c r="G20" s="82"/>
    </row>
    <row r="21" spans="1:7" x14ac:dyDescent="0.25">
      <c r="A21" s="62"/>
      <c r="B21" s="87"/>
      <c r="C21" s="133"/>
      <c r="D21" s="77"/>
      <c r="E21" s="80"/>
      <c r="F21" s="94"/>
      <c r="G21" s="82"/>
    </row>
    <row r="22" spans="1:7" x14ac:dyDescent="0.25">
      <c r="A22" s="62"/>
      <c r="B22" s="87"/>
      <c r="C22" s="68"/>
      <c r="D22" s="77"/>
      <c r="E22" s="80"/>
      <c r="F22" s="70"/>
      <c r="G22" s="82"/>
    </row>
    <row r="23" spans="1:7" x14ac:dyDescent="0.25">
      <c r="A23" s="62"/>
      <c r="B23" s="87"/>
      <c r="C23" s="68"/>
      <c r="D23" s="77"/>
      <c r="E23" s="80"/>
      <c r="F23" s="69"/>
      <c r="G23" s="82"/>
    </row>
    <row r="24" spans="1:7" s="84" customFormat="1" x14ac:dyDescent="0.25">
      <c r="A24" s="62"/>
      <c r="B24" s="87"/>
      <c r="C24" s="71"/>
      <c r="D24" s="78"/>
      <c r="E24" s="80"/>
      <c r="F24" s="85"/>
      <c r="G24" s="86"/>
    </row>
    <row r="25" spans="1:7" s="84" customFormat="1" x14ac:dyDescent="0.25">
      <c r="A25" s="62"/>
      <c r="B25" s="87"/>
      <c r="C25" s="133"/>
      <c r="D25" s="77"/>
      <c r="E25" s="80"/>
      <c r="F25" s="85"/>
      <c r="G25" s="82"/>
    </row>
    <row r="26" spans="1:7" s="84" customFormat="1" x14ac:dyDescent="0.25">
      <c r="A26" s="62"/>
      <c r="B26" s="87"/>
      <c r="C26" s="68"/>
      <c r="D26" s="77"/>
      <c r="E26" s="80"/>
      <c r="F26" s="85"/>
      <c r="G26" s="82"/>
    </row>
    <row r="27" spans="1:7" x14ac:dyDescent="0.25">
      <c r="A27" s="62"/>
      <c r="B27" s="87"/>
      <c r="C27" s="79"/>
      <c r="D27" s="77"/>
      <c r="E27" s="80"/>
      <c r="F27" s="69"/>
      <c r="G27" s="82"/>
    </row>
    <row r="28" spans="1:7" x14ac:dyDescent="0.25">
      <c r="A28" s="62"/>
      <c r="B28" s="87"/>
      <c r="C28" s="133"/>
      <c r="D28" s="77"/>
      <c r="E28" s="80"/>
      <c r="F28" s="69"/>
      <c r="G28" s="82"/>
    </row>
    <row r="29" spans="1:7" x14ac:dyDescent="0.25">
      <c r="A29" s="62"/>
      <c r="B29" s="87"/>
      <c r="C29" s="133"/>
      <c r="D29" s="77"/>
      <c r="E29" s="80"/>
      <c r="F29" s="94"/>
      <c r="G29" s="82"/>
    </row>
    <row r="30" spans="1:7" s="84" customFormat="1" x14ac:dyDescent="0.25">
      <c r="A30" s="62"/>
      <c r="B30" s="87"/>
      <c r="C30" s="136"/>
      <c r="D30" s="77"/>
      <c r="E30" s="80"/>
      <c r="F30" s="85"/>
      <c r="G30" s="82"/>
    </row>
    <row r="31" spans="1:7" x14ac:dyDescent="0.25">
      <c r="A31" s="62"/>
      <c r="B31" s="87"/>
      <c r="C31" s="79"/>
      <c r="D31" s="77"/>
      <c r="E31" s="80"/>
      <c r="F31" s="69"/>
      <c r="G31" s="82"/>
    </row>
    <row r="32" spans="1:7" x14ac:dyDescent="0.25">
      <c r="A32" s="62"/>
      <c r="B32" s="87"/>
      <c r="C32" s="133"/>
      <c r="D32" s="77"/>
      <c r="E32" s="80"/>
      <c r="F32" s="69"/>
      <c r="G32" s="82"/>
    </row>
    <row r="33" spans="1:7" x14ac:dyDescent="0.25">
      <c r="A33" s="62"/>
      <c r="B33" s="87"/>
      <c r="C33" s="135"/>
      <c r="D33" s="77"/>
      <c r="E33" s="80"/>
      <c r="F33" s="94"/>
      <c r="G33" s="82"/>
    </row>
    <row r="34" spans="1:7" x14ac:dyDescent="0.25">
      <c r="A34" s="62"/>
      <c r="B34" s="87"/>
      <c r="C34" s="68"/>
      <c r="D34" s="77"/>
      <c r="E34" s="80"/>
      <c r="F34" s="69"/>
      <c r="G34" s="82"/>
    </row>
    <row r="35" spans="1:7" x14ac:dyDescent="0.25">
      <c r="A35" s="62"/>
      <c r="B35" s="87"/>
      <c r="C35" s="68"/>
      <c r="D35" s="77"/>
      <c r="E35" s="80"/>
      <c r="F35" s="69"/>
      <c r="G35" s="82"/>
    </row>
    <row r="36" spans="1:7" x14ac:dyDescent="0.25">
      <c r="A36" s="62"/>
      <c r="B36" s="87"/>
      <c r="C36" s="133"/>
      <c r="D36" s="77"/>
      <c r="E36" s="80"/>
      <c r="F36" s="69"/>
      <c r="G36" s="82"/>
    </row>
    <row r="37" spans="1:7" x14ac:dyDescent="0.25">
      <c r="A37" s="65"/>
      <c r="B37" s="87"/>
      <c r="C37" s="67"/>
      <c r="D37" s="77"/>
      <c r="E37" s="80"/>
      <c r="F37" s="65"/>
      <c r="G37" s="82"/>
    </row>
    <row r="38" spans="1:7" x14ac:dyDescent="0.25">
      <c r="A38" s="65"/>
      <c r="B38" s="87"/>
      <c r="C38" s="133"/>
      <c r="D38" s="77"/>
      <c r="E38" s="80"/>
      <c r="F38" s="65"/>
      <c r="G38" s="82"/>
    </row>
    <row r="39" spans="1:7" x14ac:dyDescent="0.25">
      <c r="A39" s="65"/>
      <c r="B39" s="87"/>
      <c r="C39" s="68"/>
      <c r="D39" s="77"/>
      <c r="E39" s="80"/>
      <c r="F39" s="65"/>
      <c r="G39" s="82"/>
    </row>
    <row r="40" spans="1:7" x14ac:dyDescent="0.25">
      <c r="A40" s="65"/>
      <c r="B40" s="87"/>
      <c r="C40" s="133"/>
      <c r="D40" s="77"/>
      <c r="E40" s="80"/>
      <c r="F40" s="65"/>
      <c r="G40" s="82"/>
    </row>
    <row r="41" spans="1:7" x14ac:dyDescent="0.25">
      <c r="A41" s="65"/>
      <c r="B41" s="87"/>
      <c r="C41" s="133"/>
      <c r="D41" s="77"/>
      <c r="E41" s="80"/>
      <c r="F41" s="65"/>
      <c r="G41" s="82"/>
    </row>
    <row r="42" spans="1:7" x14ac:dyDescent="0.25">
      <c r="A42" s="65"/>
      <c r="B42" s="87"/>
      <c r="C42" s="68"/>
      <c r="D42" s="77"/>
      <c r="E42" s="80"/>
      <c r="F42" s="65"/>
      <c r="G42" s="82"/>
    </row>
    <row r="43" spans="1:7" x14ac:dyDescent="0.25">
      <c r="A43" s="81"/>
      <c r="B43" s="87"/>
      <c r="C43" s="68"/>
      <c r="D43" s="77"/>
      <c r="E43" s="80"/>
      <c r="F43" s="81"/>
      <c r="G43" s="82"/>
    </row>
    <row r="44" spans="1:7" x14ac:dyDescent="0.25">
      <c r="A44" s="81"/>
      <c r="B44" s="87"/>
      <c r="C44" s="68"/>
      <c r="D44" s="77"/>
      <c r="E44" s="80"/>
      <c r="F44" s="81"/>
      <c r="G44" s="82"/>
    </row>
    <row r="45" spans="1:7" x14ac:dyDescent="0.25">
      <c r="A45" s="62"/>
      <c r="B45" s="87"/>
      <c r="C45" s="68"/>
      <c r="D45" s="77"/>
      <c r="E45" s="80"/>
      <c r="F45" s="73"/>
      <c r="G45" s="82"/>
    </row>
    <row r="46" spans="1:7" x14ac:dyDescent="0.25">
      <c r="A46" s="62"/>
      <c r="B46" s="87"/>
      <c r="C46" s="137"/>
      <c r="D46" s="77"/>
      <c r="E46" s="80"/>
      <c r="F46" s="73"/>
      <c r="G46" s="82"/>
    </row>
    <row r="47" spans="1:7" x14ac:dyDescent="0.25">
      <c r="A47" s="62"/>
      <c r="B47" s="87"/>
      <c r="C47" s="68"/>
      <c r="D47" s="77"/>
      <c r="E47" s="80"/>
      <c r="F47" s="73"/>
      <c r="G47" s="82"/>
    </row>
    <row r="48" spans="1:7" x14ac:dyDescent="0.25">
      <c r="A48" s="73"/>
      <c r="B48" s="87"/>
      <c r="C48" s="68"/>
      <c r="D48" s="77"/>
      <c r="E48" s="80"/>
      <c r="F48" s="73"/>
      <c r="G48" s="82"/>
    </row>
    <row r="49" spans="1:7" x14ac:dyDescent="0.25">
      <c r="A49" s="62"/>
      <c r="B49" s="87"/>
      <c r="C49" s="133"/>
      <c r="D49" s="77"/>
      <c r="E49" s="80"/>
      <c r="F49" s="69"/>
      <c r="G49" s="82"/>
    </row>
    <row r="50" spans="1:7" x14ac:dyDescent="0.25">
      <c r="A50" s="62"/>
      <c r="B50" s="87"/>
      <c r="C50" s="133"/>
      <c r="D50" s="77"/>
      <c r="E50" s="80"/>
      <c r="F50" s="69"/>
      <c r="G50" s="82"/>
    </row>
    <row r="51" spans="1:7" x14ac:dyDescent="0.25">
      <c r="A51" s="62"/>
      <c r="B51" s="87"/>
      <c r="C51" s="133"/>
      <c r="D51" s="77"/>
      <c r="E51" s="80"/>
      <c r="F51" s="69"/>
      <c r="G51" s="82"/>
    </row>
    <row r="52" spans="1:7" x14ac:dyDescent="0.25">
      <c r="A52" s="62"/>
      <c r="B52" s="87"/>
      <c r="C52" s="68"/>
      <c r="D52" s="77"/>
      <c r="E52" s="80"/>
      <c r="F52" s="69"/>
      <c r="G52" s="82"/>
    </row>
    <row r="53" spans="1:7" x14ac:dyDescent="0.25">
      <c r="A53" s="62"/>
      <c r="B53" s="87"/>
      <c r="C53" s="133"/>
      <c r="D53" s="77"/>
      <c r="E53" s="80"/>
      <c r="F53" s="69"/>
      <c r="G53" s="82"/>
    </row>
    <row r="54" spans="1:7" x14ac:dyDescent="0.25">
      <c r="A54" s="73"/>
      <c r="B54" s="87"/>
      <c r="C54" s="79"/>
      <c r="D54" s="77"/>
      <c r="E54" s="80"/>
      <c r="F54" s="69"/>
      <c r="G54" s="82"/>
    </row>
    <row r="55" spans="1:7" x14ac:dyDescent="0.25">
      <c r="A55" s="62"/>
      <c r="B55" s="87"/>
      <c r="C55" s="68"/>
      <c r="D55" s="77"/>
      <c r="E55" s="80"/>
      <c r="F55" s="69"/>
      <c r="G55" s="66"/>
    </row>
    <row r="56" spans="1:7" x14ac:dyDescent="0.25">
      <c r="A56" s="62"/>
      <c r="B56" s="87"/>
      <c r="C56" s="137"/>
      <c r="D56" s="78"/>
      <c r="E56" s="80"/>
      <c r="F56" s="69"/>
      <c r="G56" s="82"/>
    </row>
    <row r="57" spans="1:7" x14ac:dyDescent="0.25">
      <c r="A57" s="62"/>
      <c r="B57" s="87"/>
      <c r="C57" s="133"/>
      <c r="D57" s="77"/>
      <c r="E57" s="80"/>
      <c r="F57" s="69"/>
      <c r="G57" s="82"/>
    </row>
    <row r="58" spans="1:7" x14ac:dyDescent="0.25">
      <c r="A58" s="62"/>
      <c r="B58" s="87"/>
      <c r="C58" s="68"/>
      <c r="D58" s="77"/>
      <c r="E58" s="80"/>
      <c r="F58" s="69"/>
      <c r="G58" s="82"/>
    </row>
    <row r="59" spans="1:7" x14ac:dyDescent="0.25">
      <c r="A59" s="62"/>
      <c r="B59" s="87"/>
      <c r="C59" s="68"/>
      <c r="D59" s="77"/>
      <c r="E59" s="80"/>
      <c r="F59" s="69"/>
      <c r="G59" s="82"/>
    </row>
    <row r="60" spans="1:7" x14ac:dyDescent="0.25">
      <c r="A60" s="62"/>
      <c r="B60" s="87"/>
      <c r="C60" s="71"/>
      <c r="D60" s="78"/>
      <c r="E60" s="80"/>
      <c r="F60" s="69"/>
      <c r="G60" s="82"/>
    </row>
    <row r="61" spans="1:7" x14ac:dyDescent="0.25">
      <c r="A61" s="62"/>
      <c r="B61" s="87"/>
      <c r="C61" s="71"/>
      <c r="D61" s="78"/>
      <c r="E61" s="80"/>
      <c r="F61" s="69"/>
      <c r="G61" s="82"/>
    </row>
    <row r="62" spans="1:7" x14ac:dyDescent="0.25">
      <c r="A62" s="62"/>
      <c r="B62" s="87"/>
      <c r="C62" s="133"/>
      <c r="D62" s="77"/>
      <c r="E62" s="80"/>
      <c r="F62" s="69"/>
      <c r="G62" s="82"/>
    </row>
    <row r="63" spans="1:7" x14ac:dyDescent="0.25">
      <c r="A63" s="62"/>
      <c r="B63" s="87" t="s">
        <v>35</v>
      </c>
      <c r="C63" s="71"/>
      <c r="D63" s="78"/>
      <c r="E63" s="80">
        <f t="shared" ref="E63:E65" si="0">D63*2%</f>
        <v>0</v>
      </c>
      <c r="F63" s="72"/>
      <c r="G63" s="66"/>
    </row>
    <row r="64" spans="1:7" x14ac:dyDescent="0.25">
      <c r="A64" s="62"/>
      <c r="B64" s="87" t="s">
        <v>35</v>
      </c>
      <c r="C64" s="71"/>
      <c r="D64" s="78"/>
      <c r="E64" s="80">
        <f t="shared" si="0"/>
        <v>0</v>
      </c>
      <c r="F64" s="72"/>
      <c r="G64" s="66"/>
    </row>
    <row r="65" spans="1:7" x14ac:dyDescent="0.25">
      <c r="A65" s="62"/>
      <c r="B65" s="87" t="s">
        <v>35</v>
      </c>
      <c r="C65" s="71"/>
      <c r="D65" s="78"/>
      <c r="E65" s="80">
        <f t="shared" si="0"/>
        <v>0</v>
      </c>
      <c r="F65" s="72"/>
      <c r="G65" s="66"/>
    </row>
  </sheetData>
  <pageMargins left="0.7" right="0.7" top="0.75" bottom="0.75" header="0.3" footer="0.3"/>
  <pageSetup orientation="portrait" horizontalDpi="360" verticalDpi="36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09"/>
  <sheetViews>
    <sheetView topLeftCell="A28" workbookViewId="0">
      <selection activeCell="C44" sqref="C44"/>
    </sheetView>
  </sheetViews>
  <sheetFormatPr defaultRowHeight="16.5" x14ac:dyDescent="0.3"/>
  <cols>
    <col min="1" max="1" width="12" style="115" customWidth="1"/>
    <col min="2" max="2" width="19.42578125" customWidth="1"/>
    <col min="3" max="3" width="93.28515625" customWidth="1"/>
    <col min="4" max="4" width="14.28515625" style="74" customWidth="1"/>
    <col min="5" max="5" width="11.140625" bestFit="1" customWidth="1"/>
    <col min="6" max="6" width="11.140625" customWidth="1"/>
    <col min="7" max="7" width="13.28515625" style="205" customWidth="1"/>
    <col min="8" max="8" width="17.42578125" style="205" customWidth="1"/>
  </cols>
  <sheetData>
    <row r="2" spans="1:8" ht="24.75" customHeight="1" x14ac:dyDescent="0.25">
      <c r="A2" s="112" t="s">
        <v>36</v>
      </c>
      <c r="B2" s="61" t="s">
        <v>57</v>
      </c>
      <c r="C2" s="61" t="s">
        <v>53</v>
      </c>
      <c r="D2" s="61" t="s">
        <v>32</v>
      </c>
      <c r="E2" s="61" t="s">
        <v>59</v>
      </c>
      <c r="F2" s="61" t="s">
        <v>58</v>
      </c>
      <c r="G2" s="202" t="s">
        <v>55</v>
      </c>
      <c r="H2" s="202" t="s">
        <v>56</v>
      </c>
    </row>
    <row r="3" spans="1:8" s="89" customFormat="1" ht="15" x14ac:dyDescent="0.25">
      <c r="A3" s="195">
        <v>45688</v>
      </c>
      <c r="B3" s="111" t="s">
        <v>37</v>
      </c>
      <c r="C3" s="198" t="s">
        <v>140</v>
      </c>
      <c r="D3" s="199">
        <v>14675000</v>
      </c>
      <c r="E3" s="218">
        <f>D3*1.5%</f>
        <v>220125</v>
      </c>
      <c r="F3" s="196"/>
      <c r="G3" s="195">
        <v>45688</v>
      </c>
      <c r="H3" s="206" t="s">
        <v>141</v>
      </c>
    </row>
    <row r="4" spans="1:8" s="89" customFormat="1" ht="15" x14ac:dyDescent="0.25">
      <c r="A4" s="195">
        <v>45688</v>
      </c>
      <c r="B4" s="111" t="s">
        <v>37</v>
      </c>
      <c r="C4" s="216" t="s">
        <v>142</v>
      </c>
      <c r="D4" s="199">
        <v>33460800</v>
      </c>
      <c r="E4" s="218">
        <f>D4*1.5%</f>
        <v>501912</v>
      </c>
      <c r="F4" s="196"/>
      <c r="G4" s="195">
        <v>45688</v>
      </c>
      <c r="H4" s="206" t="s">
        <v>143</v>
      </c>
    </row>
    <row r="5" spans="1:8" s="89" customFormat="1" ht="15" x14ac:dyDescent="0.25">
      <c r="A5" s="195">
        <v>45688</v>
      </c>
      <c r="B5" s="111" t="s">
        <v>37</v>
      </c>
      <c r="C5" s="116" t="s">
        <v>144</v>
      </c>
      <c r="D5" s="214">
        <v>38350000</v>
      </c>
      <c r="E5" s="218">
        <f t="shared" ref="E5:E6" si="0">D5*1.5%</f>
        <v>575250</v>
      </c>
      <c r="F5" s="196"/>
      <c r="G5" s="195">
        <v>45688</v>
      </c>
      <c r="H5" s="206" t="s">
        <v>145</v>
      </c>
    </row>
    <row r="6" spans="1:8" s="89" customFormat="1" ht="15" x14ac:dyDescent="0.25">
      <c r="A6" s="195">
        <v>45688</v>
      </c>
      <c r="B6" s="111" t="s">
        <v>37</v>
      </c>
      <c r="C6" s="217" t="s">
        <v>147</v>
      </c>
      <c r="D6" s="215">
        <v>52000000</v>
      </c>
      <c r="E6" s="218">
        <f t="shared" si="0"/>
        <v>780000</v>
      </c>
      <c r="F6" s="196"/>
      <c r="G6" s="195">
        <v>45688</v>
      </c>
      <c r="H6" s="206" t="s">
        <v>146</v>
      </c>
    </row>
    <row r="7" spans="1:8" s="89" customFormat="1" ht="15.75" x14ac:dyDescent="0.25">
      <c r="A7" s="197"/>
      <c r="B7" s="196"/>
      <c r="C7" s="196"/>
      <c r="D7" s="196"/>
      <c r="E7" s="197"/>
      <c r="F7" s="197"/>
      <c r="G7" s="203"/>
      <c r="H7" s="197"/>
    </row>
    <row r="8" spans="1:8" s="89" customFormat="1" ht="15" x14ac:dyDescent="0.25">
      <c r="A8" s="113">
        <v>45692</v>
      </c>
      <c r="B8" s="111" t="s">
        <v>37</v>
      </c>
      <c r="C8" s="198" t="s">
        <v>134</v>
      </c>
      <c r="D8" s="199">
        <v>13968100</v>
      </c>
      <c r="E8" s="232">
        <v>0</v>
      </c>
      <c r="F8" s="232">
        <f>D8*2%</f>
        <v>279362</v>
      </c>
      <c r="G8" s="195">
        <v>45692</v>
      </c>
      <c r="H8" s="206" t="s">
        <v>135</v>
      </c>
    </row>
    <row r="9" spans="1:8" s="89" customFormat="1" ht="15" x14ac:dyDescent="0.25">
      <c r="A9" s="113">
        <v>45713</v>
      </c>
      <c r="B9" s="111" t="s">
        <v>37</v>
      </c>
      <c r="C9" s="200" t="s">
        <v>101</v>
      </c>
      <c r="D9" s="201">
        <v>14015000</v>
      </c>
      <c r="E9" s="232">
        <f>D9*1.5%</f>
        <v>210225</v>
      </c>
      <c r="F9" s="232">
        <v>0</v>
      </c>
      <c r="G9" s="195">
        <v>45713</v>
      </c>
      <c r="H9" s="206" t="s">
        <v>136</v>
      </c>
    </row>
    <row r="10" spans="1:8" s="89" customFormat="1" ht="15" x14ac:dyDescent="0.25">
      <c r="A10" s="113">
        <v>45693</v>
      </c>
      <c r="B10" s="111" t="s">
        <v>37</v>
      </c>
      <c r="C10" s="200" t="s">
        <v>106</v>
      </c>
      <c r="D10" s="201">
        <v>169995005</v>
      </c>
      <c r="E10" s="232">
        <v>0</v>
      </c>
      <c r="F10" s="232">
        <f>D10*2%</f>
        <v>3399900.1</v>
      </c>
      <c r="G10" s="195">
        <v>45693</v>
      </c>
      <c r="H10" s="206" t="s">
        <v>137</v>
      </c>
    </row>
    <row r="11" spans="1:8" s="89" customFormat="1" ht="15" x14ac:dyDescent="0.25">
      <c r="A11" s="113">
        <v>45705</v>
      </c>
      <c r="B11" s="111" t="s">
        <v>37</v>
      </c>
      <c r="C11" s="200" t="s">
        <v>103</v>
      </c>
      <c r="D11" s="201">
        <v>825000</v>
      </c>
      <c r="E11" s="232">
        <v>0</v>
      </c>
      <c r="F11" s="232">
        <f>D11*2%</f>
        <v>16500</v>
      </c>
      <c r="G11" s="195">
        <v>45705</v>
      </c>
      <c r="H11" s="206" t="s">
        <v>138</v>
      </c>
    </row>
    <row r="12" spans="1:8" s="89" customFormat="1" ht="15" x14ac:dyDescent="0.25">
      <c r="A12" s="114">
        <v>45705</v>
      </c>
      <c r="B12" s="111" t="s">
        <v>37</v>
      </c>
      <c r="C12" s="200" t="s">
        <v>102</v>
      </c>
      <c r="D12" s="201">
        <v>2706000</v>
      </c>
      <c r="E12" s="232">
        <v>0</v>
      </c>
      <c r="F12" s="232">
        <f>D12*2%</f>
        <v>54120</v>
      </c>
      <c r="G12" s="195">
        <v>45705</v>
      </c>
      <c r="H12" s="206" t="s">
        <v>139</v>
      </c>
    </row>
    <row r="13" spans="1:8" s="89" customFormat="1" ht="15" x14ac:dyDescent="0.25">
      <c r="A13" s="113"/>
      <c r="B13" s="87"/>
      <c r="C13" s="91"/>
      <c r="D13" s="90"/>
      <c r="E13" s="232"/>
      <c r="F13" s="232"/>
      <c r="G13" s="195"/>
      <c r="H13" s="207"/>
    </row>
    <row r="14" spans="1:8" s="89" customFormat="1" ht="15" x14ac:dyDescent="0.25">
      <c r="A14" s="113">
        <v>45727</v>
      </c>
      <c r="B14" s="111" t="s">
        <v>37</v>
      </c>
      <c r="C14" s="200" t="s">
        <v>100</v>
      </c>
      <c r="D14" s="201">
        <v>15757950</v>
      </c>
      <c r="E14" s="232">
        <v>0</v>
      </c>
      <c r="F14" s="232">
        <f>D14*2%</f>
        <v>315159</v>
      </c>
      <c r="G14" s="195">
        <v>45727</v>
      </c>
      <c r="H14" s="206" t="s">
        <v>148</v>
      </c>
    </row>
    <row r="15" spans="1:8" s="89" customFormat="1" ht="15" x14ac:dyDescent="0.25">
      <c r="A15" s="114">
        <v>45741</v>
      </c>
      <c r="B15" s="111" t="s">
        <v>37</v>
      </c>
      <c r="C15" s="200" t="s">
        <v>106</v>
      </c>
      <c r="D15" s="201">
        <v>169995005</v>
      </c>
      <c r="E15" s="232">
        <v>0</v>
      </c>
      <c r="F15" s="232">
        <f>D15*2%</f>
        <v>3399900.1</v>
      </c>
      <c r="G15" s="195">
        <v>45741</v>
      </c>
      <c r="H15" s="206" t="s">
        <v>149</v>
      </c>
    </row>
    <row r="16" spans="1:8" s="89" customFormat="1" ht="15" x14ac:dyDescent="0.25">
      <c r="A16" s="114">
        <v>45733</v>
      </c>
      <c r="B16" s="111" t="s">
        <v>37</v>
      </c>
      <c r="C16" s="200" t="s">
        <v>107</v>
      </c>
      <c r="D16" s="201">
        <v>18785000</v>
      </c>
      <c r="E16" s="232">
        <f>D16*1.5%</f>
        <v>281775</v>
      </c>
      <c r="F16" s="232">
        <v>0</v>
      </c>
      <c r="G16" s="195">
        <v>45733</v>
      </c>
      <c r="H16" s="206" t="s">
        <v>150</v>
      </c>
    </row>
    <row r="17" spans="1:8" s="89" customFormat="1" ht="15" x14ac:dyDescent="0.25">
      <c r="A17" s="113">
        <v>45736</v>
      </c>
      <c r="B17" s="111" t="s">
        <v>37</v>
      </c>
      <c r="C17" s="200" t="s">
        <v>109</v>
      </c>
      <c r="D17" s="201">
        <v>14010600</v>
      </c>
      <c r="E17" s="232">
        <f>D17*1.5%</f>
        <v>210159</v>
      </c>
      <c r="F17" s="232">
        <v>0</v>
      </c>
      <c r="G17" s="195">
        <v>45736</v>
      </c>
      <c r="H17" s="206" t="s">
        <v>151</v>
      </c>
    </row>
    <row r="18" spans="1:8" s="89" customFormat="1" ht="18.75" customHeight="1" x14ac:dyDescent="0.25">
      <c r="A18" s="113">
        <v>45736</v>
      </c>
      <c r="B18" s="140" t="s">
        <v>37</v>
      </c>
      <c r="C18" s="235" t="s">
        <v>108</v>
      </c>
      <c r="D18" s="236">
        <v>7900000</v>
      </c>
      <c r="E18" s="232">
        <v>0</v>
      </c>
      <c r="F18" s="232">
        <f>D18*2%</f>
        <v>158000</v>
      </c>
      <c r="G18" s="195">
        <v>45736</v>
      </c>
      <c r="H18" s="206" t="s">
        <v>152</v>
      </c>
    </row>
    <row r="19" spans="1:8" s="89" customFormat="1" ht="18.75" customHeight="1" x14ac:dyDescent="0.25">
      <c r="A19" s="113">
        <v>45741</v>
      </c>
      <c r="B19" s="140" t="s">
        <v>37</v>
      </c>
      <c r="C19" s="235" t="s">
        <v>110</v>
      </c>
      <c r="D19" s="236">
        <v>15162533</v>
      </c>
      <c r="E19" s="232">
        <f>D19*1.5%</f>
        <v>227437.995</v>
      </c>
      <c r="F19" s="232">
        <v>0</v>
      </c>
      <c r="G19" s="195">
        <v>45741</v>
      </c>
      <c r="H19" s="206" t="s">
        <v>153</v>
      </c>
    </row>
    <row r="20" spans="1:8" s="89" customFormat="1" ht="18.75" customHeight="1" x14ac:dyDescent="0.25">
      <c r="A20" s="113"/>
      <c r="B20" s="87"/>
      <c r="C20" s="91"/>
      <c r="D20" s="90"/>
      <c r="E20" s="232"/>
      <c r="F20" s="232"/>
      <c r="G20" s="195"/>
      <c r="H20" s="207"/>
    </row>
    <row r="21" spans="1:8" s="89" customFormat="1" ht="15" x14ac:dyDescent="0.25">
      <c r="A21" s="113">
        <v>45755</v>
      </c>
      <c r="B21" s="111" t="s">
        <v>37</v>
      </c>
      <c r="C21" s="200" t="s">
        <v>104</v>
      </c>
      <c r="D21" s="201">
        <v>169995005</v>
      </c>
      <c r="E21" s="232">
        <v>0</v>
      </c>
      <c r="F21" s="232">
        <f>D21*2%</f>
        <v>3399900.1</v>
      </c>
      <c r="G21" s="195">
        <v>45755</v>
      </c>
      <c r="H21" s="206" t="s">
        <v>154</v>
      </c>
    </row>
    <row r="22" spans="1:8" s="89" customFormat="1" ht="18.75" customHeight="1" x14ac:dyDescent="0.25">
      <c r="A22" s="113"/>
      <c r="B22" s="87"/>
      <c r="C22" s="91"/>
      <c r="D22" s="90"/>
      <c r="E22" s="232"/>
      <c r="F22" s="232"/>
      <c r="G22" s="195"/>
      <c r="H22" s="207"/>
    </row>
    <row r="23" spans="1:8" s="89" customFormat="1" ht="15" x14ac:dyDescent="0.25">
      <c r="A23" s="113">
        <v>45791</v>
      </c>
      <c r="B23" s="111" t="s">
        <v>37</v>
      </c>
      <c r="C23" s="200" t="s">
        <v>115</v>
      </c>
      <c r="D23" s="201">
        <v>11000000</v>
      </c>
      <c r="E23" s="232">
        <v>0</v>
      </c>
      <c r="F23" s="232">
        <f t="shared" ref="F23:F31" si="1">D23*2%</f>
        <v>220000</v>
      </c>
      <c r="G23" s="195">
        <v>45791</v>
      </c>
      <c r="H23" s="206" t="s">
        <v>155</v>
      </c>
    </row>
    <row r="24" spans="1:8" s="89" customFormat="1" ht="18.75" customHeight="1" x14ac:dyDescent="0.25">
      <c r="A24" s="114">
        <v>45782</v>
      </c>
      <c r="B24" s="140" t="s">
        <v>37</v>
      </c>
      <c r="C24" s="235" t="s">
        <v>105</v>
      </c>
      <c r="D24" s="201">
        <v>169995005</v>
      </c>
      <c r="E24" s="232">
        <v>0</v>
      </c>
      <c r="F24" s="232">
        <f t="shared" si="1"/>
        <v>3399900.1</v>
      </c>
      <c r="G24" s="195">
        <v>45782</v>
      </c>
      <c r="H24" s="206" t="s">
        <v>156</v>
      </c>
    </row>
    <row r="25" spans="1:8" s="237" customFormat="1" ht="18.75" customHeight="1" x14ac:dyDescent="0.25">
      <c r="A25" s="114">
        <v>45792</v>
      </c>
      <c r="B25" s="140" t="s">
        <v>37</v>
      </c>
      <c r="C25" s="235" t="s">
        <v>111</v>
      </c>
      <c r="D25" s="236">
        <v>24911750</v>
      </c>
      <c r="E25" s="232">
        <v>0</v>
      </c>
      <c r="F25" s="232">
        <f t="shared" si="1"/>
        <v>498235</v>
      </c>
      <c r="G25" s="195">
        <v>45792</v>
      </c>
      <c r="H25" s="207" t="s">
        <v>157</v>
      </c>
    </row>
    <row r="26" spans="1:8" s="237" customFormat="1" ht="18.75" customHeight="1" x14ac:dyDescent="0.25">
      <c r="A26" s="114">
        <v>45793</v>
      </c>
      <c r="B26" s="140" t="s">
        <v>37</v>
      </c>
      <c r="C26" s="235" t="s">
        <v>118</v>
      </c>
      <c r="D26" s="236">
        <v>4400000</v>
      </c>
      <c r="E26" s="232">
        <v>0</v>
      </c>
      <c r="F26" s="232">
        <f t="shared" si="1"/>
        <v>88000</v>
      </c>
      <c r="G26" s="195">
        <v>45793</v>
      </c>
      <c r="H26" s="207" t="s">
        <v>158</v>
      </c>
    </row>
    <row r="27" spans="1:8" s="89" customFormat="1" ht="15" x14ac:dyDescent="0.25">
      <c r="A27" s="113">
        <v>45803</v>
      </c>
      <c r="B27" s="111" t="s">
        <v>37</v>
      </c>
      <c r="C27" s="200" t="s">
        <v>114</v>
      </c>
      <c r="D27" s="201">
        <v>10545000</v>
      </c>
      <c r="E27" s="232">
        <v>0</v>
      </c>
      <c r="F27" s="232">
        <f t="shared" si="1"/>
        <v>210900</v>
      </c>
      <c r="G27" s="195">
        <v>45803</v>
      </c>
      <c r="H27" s="206" t="s">
        <v>159</v>
      </c>
    </row>
    <row r="28" spans="1:8" s="89" customFormat="1" ht="15" x14ac:dyDescent="0.25">
      <c r="A28" s="113">
        <v>45782</v>
      </c>
      <c r="B28" s="111" t="s">
        <v>37</v>
      </c>
      <c r="C28" s="200" t="s">
        <v>112</v>
      </c>
      <c r="D28" s="201">
        <v>1500000</v>
      </c>
      <c r="E28" s="232">
        <v>0</v>
      </c>
      <c r="F28" s="232">
        <f t="shared" si="1"/>
        <v>30000</v>
      </c>
      <c r="G28" s="195">
        <v>45782</v>
      </c>
      <c r="H28" s="206" t="s">
        <v>160</v>
      </c>
    </row>
    <row r="29" spans="1:8" s="89" customFormat="1" ht="15" x14ac:dyDescent="0.25">
      <c r="A29" s="113"/>
      <c r="B29" s="87"/>
      <c r="C29" s="123"/>
      <c r="D29" s="90"/>
      <c r="E29" s="232"/>
      <c r="F29" s="232"/>
      <c r="G29" s="195"/>
      <c r="H29" s="207"/>
    </row>
    <row r="30" spans="1:8" s="237" customFormat="1" ht="18.75" customHeight="1" x14ac:dyDescent="0.25">
      <c r="A30" s="114">
        <v>45813</v>
      </c>
      <c r="B30" s="140" t="s">
        <v>37</v>
      </c>
      <c r="C30" s="235" t="s">
        <v>121</v>
      </c>
      <c r="D30" s="236">
        <v>13745000</v>
      </c>
      <c r="E30" s="232">
        <v>0</v>
      </c>
      <c r="F30" s="232">
        <f t="shared" si="1"/>
        <v>274900</v>
      </c>
      <c r="G30" s="195">
        <v>45813</v>
      </c>
      <c r="H30" s="207" t="s">
        <v>161</v>
      </c>
    </row>
    <row r="31" spans="1:8" s="89" customFormat="1" ht="15" x14ac:dyDescent="0.25">
      <c r="A31" s="113">
        <v>45813</v>
      </c>
      <c r="B31" s="111" t="s">
        <v>37</v>
      </c>
      <c r="C31" s="200" t="s">
        <v>120</v>
      </c>
      <c r="D31" s="201">
        <v>9900000</v>
      </c>
      <c r="E31" s="232">
        <v>0</v>
      </c>
      <c r="F31" s="232">
        <f t="shared" si="1"/>
        <v>198000</v>
      </c>
      <c r="G31" s="195">
        <v>45813</v>
      </c>
      <c r="H31" s="207" t="s">
        <v>162</v>
      </c>
    </row>
    <row r="32" spans="1:8" s="89" customFormat="1" ht="15" x14ac:dyDescent="0.25">
      <c r="A32" s="113">
        <v>45813</v>
      </c>
      <c r="B32" s="111" t="s">
        <v>37</v>
      </c>
      <c r="C32" s="200" t="s">
        <v>116</v>
      </c>
      <c r="D32" s="201">
        <v>28800000</v>
      </c>
      <c r="E32" s="232">
        <f>D32*1.5%</f>
        <v>432000</v>
      </c>
      <c r="F32" s="232">
        <v>0</v>
      </c>
      <c r="G32" s="195">
        <v>45813</v>
      </c>
      <c r="H32" s="207" t="s">
        <v>163</v>
      </c>
    </row>
    <row r="33" spans="1:8" s="89" customFormat="1" ht="18.75" customHeight="1" x14ac:dyDescent="0.25">
      <c r="A33" s="113">
        <v>45813</v>
      </c>
      <c r="B33" s="111" t="s">
        <v>37</v>
      </c>
      <c r="C33" s="200" t="s">
        <v>122</v>
      </c>
      <c r="D33" s="201">
        <v>20749533</v>
      </c>
      <c r="E33" s="232">
        <f>D33*1.5%</f>
        <v>311242.995</v>
      </c>
      <c r="F33" s="232">
        <v>0</v>
      </c>
      <c r="G33" s="195">
        <v>45813</v>
      </c>
      <c r="H33" s="207" t="s">
        <v>164</v>
      </c>
    </row>
    <row r="34" spans="1:8" s="89" customFormat="1" ht="18.75" customHeight="1" x14ac:dyDescent="0.25">
      <c r="A34" s="113">
        <v>45833</v>
      </c>
      <c r="B34" s="111" t="s">
        <v>37</v>
      </c>
      <c r="C34" s="200" t="s">
        <v>123</v>
      </c>
      <c r="D34" s="201">
        <v>10050000</v>
      </c>
      <c r="E34" s="232">
        <f>D34*1.5%</f>
        <v>150750</v>
      </c>
      <c r="F34" s="232">
        <v>0</v>
      </c>
      <c r="G34" s="195">
        <v>45833</v>
      </c>
      <c r="H34" s="207" t="s">
        <v>165</v>
      </c>
    </row>
    <row r="35" spans="1:8" s="89" customFormat="1" ht="18.75" customHeight="1" x14ac:dyDescent="0.25">
      <c r="A35" s="113">
        <v>45833</v>
      </c>
      <c r="B35" s="111" t="s">
        <v>37</v>
      </c>
      <c r="C35" s="200" t="s">
        <v>113</v>
      </c>
      <c r="D35" s="201">
        <v>14052000</v>
      </c>
      <c r="E35" s="232">
        <f>D35*1.5%</f>
        <v>210780</v>
      </c>
      <c r="F35" s="232">
        <v>0</v>
      </c>
      <c r="G35" s="195">
        <v>45833</v>
      </c>
      <c r="H35" s="207" t="s">
        <v>166</v>
      </c>
    </row>
    <row r="36" spans="1:8" s="89" customFormat="1" ht="18.75" customHeight="1" x14ac:dyDescent="0.25">
      <c r="A36" s="113">
        <v>45824</v>
      </c>
      <c r="B36" s="111" t="s">
        <v>37</v>
      </c>
      <c r="C36" s="200" t="s">
        <v>126</v>
      </c>
      <c r="D36" s="201">
        <v>7250000</v>
      </c>
      <c r="E36" s="232">
        <v>0</v>
      </c>
      <c r="F36" s="232">
        <f t="shared" ref="F36:F41" si="2">D36*2%</f>
        <v>145000</v>
      </c>
      <c r="G36" s="195">
        <v>45824</v>
      </c>
      <c r="H36" s="207" t="s">
        <v>167</v>
      </c>
    </row>
    <row r="37" spans="1:8" s="89" customFormat="1" ht="18.75" customHeight="1" x14ac:dyDescent="0.25">
      <c r="A37" s="113">
        <v>45833</v>
      </c>
      <c r="B37" s="111" t="s">
        <v>37</v>
      </c>
      <c r="C37" s="200" t="s">
        <v>124</v>
      </c>
      <c r="D37" s="201">
        <v>2200000</v>
      </c>
      <c r="E37" s="232">
        <v>0</v>
      </c>
      <c r="F37" s="232">
        <f t="shared" si="2"/>
        <v>44000</v>
      </c>
      <c r="G37" s="195">
        <v>45833</v>
      </c>
      <c r="H37" s="207" t="s">
        <v>168</v>
      </c>
    </row>
    <row r="38" spans="1:8" s="89" customFormat="1" ht="18.75" customHeight="1" x14ac:dyDescent="0.25">
      <c r="A38" s="113">
        <v>45833</v>
      </c>
      <c r="B38" s="111" t="s">
        <v>37</v>
      </c>
      <c r="C38" s="200" t="s">
        <v>128</v>
      </c>
      <c r="D38" s="201">
        <v>1950000</v>
      </c>
      <c r="E38" s="232">
        <v>0</v>
      </c>
      <c r="F38" s="232">
        <f t="shared" si="2"/>
        <v>39000</v>
      </c>
      <c r="G38" s="195">
        <v>45833</v>
      </c>
      <c r="H38" s="207" t="s">
        <v>169</v>
      </c>
    </row>
    <row r="39" spans="1:8" s="237" customFormat="1" ht="18.75" customHeight="1" x14ac:dyDescent="0.25">
      <c r="A39" s="114">
        <v>45820</v>
      </c>
      <c r="B39" s="140" t="s">
        <v>37</v>
      </c>
      <c r="C39" s="235" t="s">
        <v>119</v>
      </c>
      <c r="D39" s="236">
        <v>7012500</v>
      </c>
      <c r="E39" s="232">
        <v>0</v>
      </c>
      <c r="F39" s="232">
        <f t="shared" si="2"/>
        <v>140250</v>
      </c>
      <c r="G39" s="195">
        <v>45820</v>
      </c>
      <c r="H39" s="207" t="s">
        <v>170</v>
      </c>
    </row>
    <row r="40" spans="1:8" s="237" customFormat="1" ht="18.75" customHeight="1" x14ac:dyDescent="0.25">
      <c r="A40" s="114">
        <v>45833</v>
      </c>
      <c r="B40" s="140" t="s">
        <v>37</v>
      </c>
      <c r="C40" s="235" t="s">
        <v>125</v>
      </c>
      <c r="D40" s="236">
        <v>16748000</v>
      </c>
      <c r="E40" s="232">
        <f>D40*1.5%</f>
        <v>251220</v>
      </c>
      <c r="F40" s="232">
        <v>0</v>
      </c>
      <c r="G40" s="195">
        <v>45833</v>
      </c>
      <c r="H40" s="207" t="s">
        <v>171</v>
      </c>
    </row>
    <row r="41" spans="1:8" s="237" customFormat="1" ht="18.75" customHeight="1" x14ac:dyDescent="0.25">
      <c r="A41" s="114">
        <v>45833</v>
      </c>
      <c r="B41" s="140" t="s">
        <v>37</v>
      </c>
      <c r="C41" s="235" t="s">
        <v>127</v>
      </c>
      <c r="D41" s="236">
        <v>24993700</v>
      </c>
      <c r="E41" s="232">
        <v>0</v>
      </c>
      <c r="F41" s="232">
        <f t="shared" si="2"/>
        <v>499874</v>
      </c>
      <c r="G41" s="195">
        <v>45833</v>
      </c>
      <c r="H41" s="207" t="s">
        <v>172</v>
      </c>
    </row>
    <row r="42" spans="1:8" ht="15" x14ac:dyDescent="0.25">
      <c r="A42" s="113">
        <v>45832</v>
      </c>
      <c r="B42" s="111" t="s">
        <v>37</v>
      </c>
      <c r="C42" s="200" t="s">
        <v>117</v>
      </c>
      <c r="D42" s="201">
        <v>6154600</v>
      </c>
      <c r="E42" s="218">
        <v>0</v>
      </c>
      <c r="F42" s="232">
        <f>D42*2%</f>
        <v>123092</v>
      </c>
      <c r="G42" s="195">
        <v>45832</v>
      </c>
      <c r="H42" s="207" t="s">
        <v>173</v>
      </c>
    </row>
    <row r="43" spans="1:8" x14ac:dyDescent="0.3">
      <c r="A43" s="113"/>
      <c r="B43" s="87"/>
      <c r="C43" s="124"/>
      <c r="D43" s="76"/>
      <c r="E43" s="218"/>
      <c r="F43" s="233"/>
      <c r="G43" s="195"/>
      <c r="H43" s="207"/>
    </row>
    <row r="44" spans="1:8" ht="15" x14ac:dyDescent="0.25">
      <c r="A44" s="113"/>
      <c r="B44" s="111" t="s">
        <v>37</v>
      </c>
      <c r="C44" s="117"/>
      <c r="D44" s="90"/>
      <c r="E44" s="218">
        <v>0</v>
      </c>
      <c r="F44" s="232">
        <f>D44*2%</f>
        <v>0</v>
      </c>
      <c r="G44" s="195"/>
      <c r="H44" s="206"/>
    </row>
    <row r="45" spans="1:8" ht="15" x14ac:dyDescent="0.25">
      <c r="A45" s="113"/>
      <c r="B45" s="111" t="s">
        <v>37</v>
      </c>
      <c r="C45" s="116"/>
      <c r="D45" s="90"/>
      <c r="E45" s="232">
        <f>D45*1.5%</f>
        <v>0</v>
      </c>
      <c r="F45" s="232">
        <v>0</v>
      </c>
      <c r="G45" s="195"/>
      <c r="H45" s="206"/>
    </row>
    <row r="46" spans="1:8" ht="15" x14ac:dyDescent="0.25">
      <c r="A46" s="113"/>
      <c r="B46" s="111" t="s">
        <v>37</v>
      </c>
      <c r="C46" s="116"/>
      <c r="D46" s="90"/>
      <c r="E46" s="232">
        <f>D46*1.5%</f>
        <v>0</v>
      </c>
      <c r="F46" s="232">
        <v>0</v>
      </c>
      <c r="G46" s="195"/>
      <c r="H46" s="206"/>
    </row>
    <row r="47" spans="1:8" x14ac:dyDescent="0.3">
      <c r="A47" s="114"/>
      <c r="B47" s="111" t="s">
        <v>37</v>
      </c>
      <c r="C47" s="117"/>
      <c r="D47" s="77"/>
      <c r="E47" s="233">
        <v>0</v>
      </c>
      <c r="F47" s="233">
        <f>D47*2%</f>
        <v>0</v>
      </c>
      <c r="G47" s="210"/>
      <c r="H47" s="206"/>
    </row>
    <row r="48" spans="1:8" s="84" customFormat="1" x14ac:dyDescent="0.3">
      <c r="A48" s="113"/>
      <c r="B48" s="111" t="s">
        <v>37</v>
      </c>
      <c r="C48" s="125"/>
      <c r="D48" s="77"/>
      <c r="E48" s="232">
        <f>D48*1.5%</f>
        <v>0</v>
      </c>
      <c r="F48" s="233">
        <v>0</v>
      </c>
      <c r="G48" s="211"/>
      <c r="H48" s="206"/>
    </row>
    <row r="49" spans="1:8" x14ac:dyDescent="0.3">
      <c r="A49" s="114"/>
      <c r="B49" s="111"/>
      <c r="C49" s="92"/>
      <c r="D49" s="75"/>
      <c r="E49" s="234"/>
      <c r="F49" s="233"/>
      <c r="G49" s="210"/>
      <c r="H49" s="207"/>
    </row>
    <row r="50" spans="1:8" x14ac:dyDescent="0.3">
      <c r="A50" s="113"/>
      <c r="B50" s="111" t="s">
        <v>37</v>
      </c>
      <c r="C50" s="124"/>
      <c r="D50" s="76"/>
      <c r="E50" s="233">
        <v>0</v>
      </c>
      <c r="F50" s="233">
        <f>D50*2%</f>
        <v>0</v>
      </c>
      <c r="G50" s="210"/>
      <c r="H50" s="206"/>
    </row>
    <row r="51" spans="1:8" x14ac:dyDescent="0.3">
      <c r="A51" s="113"/>
      <c r="B51" s="111" t="s">
        <v>37</v>
      </c>
      <c r="C51" s="126"/>
      <c r="D51" s="77"/>
      <c r="E51" s="233">
        <v>0</v>
      </c>
      <c r="F51" s="233">
        <f>D51*2%</f>
        <v>0</v>
      </c>
      <c r="G51" s="210"/>
      <c r="H51" s="206"/>
    </row>
    <row r="52" spans="1:8" x14ac:dyDescent="0.3">
      <c r="A52" s="113"/>
      <c r="B52" s="111" t="s">
        <v>37</v>
      </c>
      <c r="C52" s="124"/>
      <c r="D52" s="76"/>
      <c r="E52" s="233">
        <v>0</v>
      </c>
      <c r="F52" s="233">
        <f>D52*2%</f>
        <v>0</v>
      </c>
      <c r="G52" s="210"/>
      <c r="H52" s="206"/>
    </row>
    <row r="53" spans="1:8" x14ac:dyDescent="0.3">
      <c r="A53" s="113"/>
      <c r="B53" s="111" t="s">
        <v>37</v>
      </c>
      <c r="C53" s="117"/>
      <c r="D53" s="77"/>
      <c r="E53" s="233">
        <v>0</v>
      </c>
      <c r="F53" s="233">
        <f>D53*2%</f>
        <v>0</v>
      </c>
      <c r="G53" s="210"/>
      <c r="H53" s="206"/>
    </row>
    <row r="54" spans="1:8" x14ac:dyDescent="0.3">
      <c r="A54" s="113"/>
      <c r="B54" s="87"/>
      <c r="C54" s="68"/>
      <c r="D54" s="77"/>
      <c r="E54" s="233"/>
      <c r="F54" s="233"/>
      <c r="G54" s="113"/>
      <c r="H54" s="207"/>
    </row>
    <row r="55" spans="1:8" x14ac:dyDescent="0.3">
      <c r="A55" s="113"/>
      <c r="B55" s="87"/>
      <c r="C55" s="68"/>
      <c r="D55" s="77"/>
      <c r="E55" s="233"/>
      <c r="F55" s="233"/>
      <c r="G55" s="113"/>
      <c r="H55" s="207"/>
    </row>
    <row r="56" spans="1:8" ht="18.75" customHeight="1" x14ac:dyDescent="0.3">
      <c r="A56" s="113"/>
      <c r="B56" s="87"/>
      <c r="C56" s="91"/>
      <c r="D56" s="90"/>
      <c r="E56" s="233"/>
      <c r="F56" s="233"/>
      <c r="G56" s="113"/>
      <c r="H56" s="207"/>
    </row>
    <row r="57" spans="1:8" ht="18" customHeight="1" x14ac:dyDescent="0.3">
      <c r="A57" s="113"/>
      <c r="B57" s="87"/>
      <c r="C57" s="68"/>
      <c r="D57" s="77"/>
      <c r="E57" s="233"/>
      <c r="F57" s="233"/>
      <c r="G57" s="113"/>
      <c r="H57" s="207"/>
    </row>
    <row r="58" spans="1:8" x14ac:dyDescent="0.3">
      <c r="A58" s="113"/>
      <c r="B58" s="87"/>
      <c r="C58" s="68"/>
      <c r="D58" s="77"/>
      <c r="E58" s="233"/>
      <c r="F58" s="233"/>
      <c r="G58" s="113"/>
      <c r="H58" s="207"/>
    </row>
    <row r="59" spans="1:8" x14ac:dyDescent="0.3">
      <c r="A59" s="113"/>
      <c r="B59" s="87"/>
      <c r="C59" s="68"/>
      <c r="D59" s="77"/>
      <c r="E59" s="233"/>
      <c r="F59" s="233"/>
      <c r="G59" s="113"/>
      <c r="H59" s="207"/>
    </row>
    <row r="60" spans="1:8" x14ac:dyDescent="0.3">
      <c r="A60" s="113"/>
      <c r="B60" s="87"/>
      <c r="C60" s="68"/>
      <c r="D60" s="77"/>
      <c r="E60" s="233"/>
      <c r="F60" s="233"/>
      <c r="G60" s="113"/>
      <c r="H60" s="207"/>
    </row>
    <row r="61" spans="1:8" x14ac:dyDescent="0.3">
      <c r="A61" s="113"/>
      <c r="B61" s="87"/>
      <c r="C61" s="68"/>
      <c r="D61" s="77"/>
      <c r="E61" s="233"/>
      <c r="F61" s="233"/>
      <c r="G61" s="113"/>
      <c r="H61" s="207"/>
    </row>
    <row r="62" spans="1:8" x14ac:dyDescent="0.3">
      <c r="A62" s="113"/>
      <c r="B62" s="87"/>
      <c r="C62" s="91"/>
      <c r="D62" s="90"/>
      <c r="E62" s="233"/>
      <c r="F62" s="233"/>
      <c r="G62" s="113"/>
      <c r="H62" s="207"/>
    </row>
    <row r="63" spans="1:8" x14ac:dyDescent="0.3">
      <c r="A63" s="113"/>
      <c r="B63" s="87"/>
      <c r="C63" s="91"/>
      <c r="D63" s="90"/>
      <c r="E63" s="233"/>
      <c r="F63" s="233"/>
      <c r="G63" s="113"/>
      <c r="H63" s="207"/>
    </row>
    <row r="64" spans="1:8" x14ac:dyDescent="0.3">
      <c r="A64" s="113"/>
      <c r="B64" s="87"/>
      <c r="C64" s="91"/>
      <c r="D64" s="90"/>
      <c r="E64" s="233"/>
      <c r="F64" s="233"/>
      <c r="G64" s="113"/>
      <c r="H64" s="207"/>
    </row>
    <row r="65" spans="1:8" x14ac:dyDescent="0.3">
      <c r="A65" s="113"/>
      <c r="B65" s="87"/>
      <c r="C65" s="68"/>
      <c r="D65" s="77"/>
      <c r="E65" s="233"/>
      <c r="F65" s="233"/>
      <c r="G65" s="212"/>
      <c r="H65" s="207"/>
    </row>
    <row r="66" spans="1:8" x14ac:dyDescent="0.3">
      <c r="A66" s="113"/>
      <c r="B66" s="87"/>
      <c r="C66" s="68"/>
      <c r="D66" s="77"/>
      <c r="E66" s="233"/>
      <c r="F66" s="233"/>
      <c r="G66" s="212"/>
      <c r="H66" s="207"/>
    </row>
    <row r="67" spans="1:8" x14ac:dyDescent="0.3">
      <c r="A67" s="113"/>
      <c r="B67" s="87"/>
      <c r="C67" s="68"/>
      <c r="D67" s="77"/>
      <c r="E67" s="233"/>
      <c r="F67" s="233"/>
      <c r="G67" s="212"/>
      <c r="H67" s="207"/>
    </row>
    <row r="68" spans="1:8" s="84" customFormat="1" x14ac:dyDescent="0.3">
      <c r="A68" s="113"/>
      <c r="B68" s="87"/>
      <c r="C68" s="71"/>
      <c r="D68" s="78"/>
      <c r="E68" s="233"/>
      <c r="F68" s="233"/>
      <c r="G68" s="213"/>
      <c r="H68" s="197"/>
    </row>
    <row r="69" spans="1:8" s="84" customFormat="1" x14ac:dyDescent="0.3">
      <c r="A69" s="113"/>
      <c r="B69" s="87"/>
      <c r="C69" s="71"/>
      <c r="D69" s="78"/>
      <c r="E69" s="233"/>
      <c r="F69" s="233"/>
      <c r="G69" s="213"/>
      <c r="H69" s="197"/>
    </row>
    <row r="70" spans="1:8" s="84" customFormat="1" x14ac:dyDescent="0.3">
      <c r="A70" s="113"/>
      <c r="B70" s="87"/>
      <c r="C70" s="71"/>
      <c r="D70" s="77"/>
      <c r="E70" s="233"/>
      <c r="F70" s="233"/>
      <c r="G70" s="213"/>
      <c r="H70" s="197"/>
    </row>
    <row r="71" spans="1:8" x14ac:dyDescent="0.3">
      <c r="A71" s="113"/>
      <c r="B71" s="87"/>
      <c r="C71" s="68"/>
      <c r="D71" s="77"/>
      <c r="E71" s="233"/>
      <c r="F71" s="233"/>
      <c r="G71" s="213"/>
      <c r="H71" s="197"/>
    </row>
    <row r="72" spans="1:8" x14ac:dyDescent="0.3">
      <c r="A72" s="113"/>
      <c r="B72" s="87"/>
      <c r="C72" s="91"/>
      <c r="D72" s="90"/>
      <c r="E72" s="233"/>
      <c r="F72" s="233"/>
      <c r="G72" s="213"/>
      <c r="H72" s="197"/>
    </row>
    <row r="73" spans="1:8" x14ac:dyDescent="0.3">
      <c r="A73" s="113"/>
      <c r="B73" s="87"/>
      <c r="C73" s="91"/>
      <c r="D73" s="90"/>
      <c r="E73" s="233"/>
      <c r="F73" s="233"/>
      <c r="G73" s="208"/>
      <c r="H73" s="197"/>
    </row>
    <row r="74" spans="1:8" x14ac:dyDescent="0.3">
      <c r="A74" s="113"/>
      <c r="B74" s="87"/>
      <c r="C74" s="68"/>
      <c r="D74" s="77"/>
      <c r="E74" s="233"/>
      <c r="F74" s="233"/>
      <c r="G74" s="103"/>
      <c r="H74" s="207"/>
    </row>
    <row r="75" spans="1:8" x14ac:dyDescent="0.3">
      <c r="A75" s="113"/>
      <c r="B75" s="87"/>
      <c r="C75" s="68"/>
      <c r="D75" s="77"/>
      <c r="E75" s="233"/>
      <c r="F75" s="233"/>
      <c r="G75" s="103"/>
      <c r="H75" s="204"/>
    </row>
    <row r="76" spans="1:8" x14ac:dyDescent="0.3">
      <c r="A76" s="113"/>
      <c r="B76" s="87"/>
      <c r="C76" s="68"/>
      <c r="D76" s="77"/>
      <c r="E76" s="233"/>
      <c r="F76" s="233"/>
      <c r="G76" s="103"/>
      <c r="H76" s="204"/>
    </row>
    <row r="77" spans="1:8" x14ac:dyDescent="0.3">
      <c r="A77" s="113"/>
      <c r="B77" s="87"/>
      <c r="C77" s="68"/>
      <c r="D77" s="77"/>
      <c r="E77" s="233"/>
      <c r="F77" s="233"/>
      <c r="G77" s="103"/>
      <c r="H77" s="204"/>
    </row>
    <row r="78" spans="1:8" x14ac:dyDescent="0.3">
      <c r="A78" s="113"/>
      <c r="B78" s="87"/>
      <c r="C78" s="68"/>
      <c r="D78" s="77"/>
      <c r="E78" s="233"/>
      <c r="F78" s="233"/>
      <c r="G78" s="103"/>
      <c r="H78" s="204"/>
    </row>
    <row r="79" spans="1:8" x14ac:dyDescent="0.3">
      <c r="A79" s="113"/>
      <c r="B79" s="87"/>
      <c r="C79" s="68"/>
      <c r="D79" s="77"/>
      <c r="E79" s="233"/>
      <c r="F79" s="233"/>
      <c r="G79" s="103"/>
      <c r="H79" s="204"/>
    </row>
    <row r="80" spans="1:8" x14ac:dyDescent="0.3">
      <c r="A80" s="113"/>
      <c r="B80" s="87"/>
      <c r="C80" s="68"/>
      <c r="D80" s="77"/>
      <c r="E80" s="233"/>
      <c r="F80" s="233"/>
      <c r="G80" s="103"/>
      <c r="H80" s="204"/>
    </row>
    <row r="81" spans="1:8" x14ac:dyDescent="0.3">
      <c r="A81" s="113"/>
      <c r="B81" s="87"/>
      <c r="C81" s="71"/>
      <c r="D81" s="77"/>
      <c r="E81" s="233"/>
      <c r="F81" s="233"/>
      <c r="G81" s="103"/>
      <c r="H81" s="204"/>
    </row>
    <row r="82" spans="1:8" x14ac:dyDescent="0.3">
      <c r="A82" s="113"/>
      <c r="B82" s="87"/>
      <c r="C82" s="68"/>
      <c r="D82" s="77"/>
      <c r="E82" s="233"/>
      <c r="F82" s="233"/>
      <c r="G82" s="103"/>
      <c r="H82" s="204"/>
    </row>
    <row r="83" spans="1:8" x14ac:dyDescent="0.3">
      <c r="A83" s="113"/>
      <c r="B83" s="87"/>
      <c r="C83" s="91"/>
      <c r="D83" s="90"/>
      <c r="E83" s="233"/>
      <c r="F83" s="233"/>
      <c r="G83" s="103"/>
      <c r="H83" s="204"/>
    </row>
    <row r="84" spans="1:8" x14ac:dyDescent="0.3">
      <c r="A84" s="113"/>
      <c r="B84" s="42" t="s">
        <v>37</v>
      </c>
      <c r="C84" s="68"/>
      <c r="D84" s="77"/>
      <c r="E84" s="233">
        <f t="shared" ref="E84:E109" si="3">D84*1.5%</f>
        <v>0</v>
      </c>
      <c r="F84" s="233">
        <f t="shared" ref="F84:F109" si="4">D84*2%</f>
        <v>0</v>
      </c>
      <c r="G84" s="103"/>
      <c r="H84" s="204"/>
    </row>
    <row r="85" spans="1:8" x14ac:dyDescent="0.3">
      <c r="A85" s="113"/>
      <c r="B85" s="42" t="s">
        <v>37</v>
      </c>
      <c r="C85" s="68"/>
      <c r="D85" s="77"/>
      <c r="E85" s="233">
        <f t="shared" si="3"/>
        <v>0</v>
      </c>
      <c r="F85" s="233">
        <f t="shared" si="4"/>
        <v>0</v>
      </c>
      <c r="G85" s="103"/>
      <c r="H85" s="204"/>
    </row>
    <row r="86" spans="1:8" x14ac:dyDescent="0.3">
      <c r="A86" s="113"/>
      <c r="B86" s="42" t="s">
        <v>37</v>
      </c>
      <c r="C86" s="68"/>
      <c r="D86" s="77"/>
      <c r="E86" s="233">
        <f t="shared" si="3"/>
        <v>0</v>
      </c>
      <c r="F86" s="233">
        <f t="shared" si="4"/>
        <v>0</v>
      </c>
      <c r="G86" s="187"/>
      <c r="H86" s="187"/>
    </row>
    <row r="87" spans="1:8" x14ac:dyDescent="0.3">
      <c r="A87" s="113"/>
      <c r="B87" s="42" t="s">
        <v>37</v>
      </c>
      <c r="C87" s="68"/>
      <c r="D87" s="77"/>
      <c r="E87" s="233">
        <f t="shared" si="3"/>
        <v>0</v>
      </c>
      <c r="F87" s="233">
        <f t="shared" si="4"/>
        <v>0</v>
      </c>
      <c r="G87" s="187"/>
      <c r="H87" s="187"/>
    </row>
    <row r="88" spans="1:8" x14ac:dyDescent="0.3">
      <c r="A88" s="113"/>
      <c r="B88" s="42" t="s">
        <v>37</v>
      </c>
      <c r="C88" s="68"/>
      <c r="D88" s="77"/>
      <c r="E88" s="233">
        <f t="shared" si="3"/>
        <v>0</v>
      </c>
      <c r="F88" s="233">
        <f t="shared" si="4"/>
        <v>0</v>
      </c>
      <c r="G88" s="187"/>
      <c r="H88" s="187"/>
    </row>
    <row r="89" spans="1:8" x14ac:dyDescent="0.3">
      <c r="A89" s="113"/>
      <c r="B89" s="42" t="s">
        <v>37</v>
      </c>
      <c r="C89" s="68"/>
      <c r="D89" s="77"/>
      <c r="E89" s="233">
        <f t="shared" si="3"/>
        <v>0</v>
      </c>
      <c r="F89" s="233">
        <f t="shared" si="4"/>
        <v>0</v>
      </c>
      <c r="G89" s="187"/>
      <c r="H89" s="187"/>
    </row>
    <row r="90" spans="1:8" x14ac:dyDescent="0.3">
      <c r="A90" s="113"/>
      <c r="B90" s="42" t="s">
        <v>37</v>
      </c>
      <c r="C90" s="68"/>
      <c r="D90" s="77"/>
      <c r="E90" s="233">
        <f t="shared" si="3"/>
        <v>0</v>
      </c>
      <c r="F90" s="233">
        <f t="shared" si="4"/>
        <v>0</v>
      </c>
      <c r="G90" s="103"/>
      <c r="H90" s="187"/>
    </row>
    <row r="91" spans="1:8" x14ac:dyDescent="0.3">
      <c r="A91" s="113"/>
      <c r="B91" s="42" t="s">
        <v>37</v>
      </c>
      <c r="C91" s="68"/>
      <c r="D91" s="77"/>
      <c r="E91" s="233">
        <f t="shared" si="3"/>
        <v>0</v>
      </c>
      <c r="F91" s="233">
        <f t="shared" si="4"/>
        <v>0</v>
      </c>
      <c r="G91" s="103"/>
      <c r="H91" s="187"/>
    </row>
    <row r="92" spans="1:8" x14ac:dyDescent="0.3">
      <c r="A92" s="113"/>
      <c r="B92" s="42" t="s">
        <v>37</v>
      </c>
      <c r="C92" s="71"/>
      <c r="D92" s="78"/>
      <c r="E92" s="233">
        <f t="shared" si="3"/>
        <v>0</v>
      </c>
      <c r="F92" s="233">
        <f t="shared" si="4"/>
        <v>0</v>
      </c>
      <c r="G92" s="103"/>
      <c r="H92" s="187"/>
    </row>
    <row r="93" spans="1:8" x14ac:dyDescent="0.3">
      <c r="A93" s="113"/>
      <c r="B93" s="42" t="s">
        <v>37</v>
      </c>
      <c r="C93" s="68"/>
      <c r="D93" s="77"/>
      <c r="E93" s="233">
        <f t="shared" si="3"/>
        <v>0</v>
      </c>
      <c r="F93" s="233">
        <f t="shared" si="4"/>
        <v>0</v>
      </c>
      <c r="G93" s="103"/>
      <c r="H93" s="187"/>
    </row>
    <row r="94" spans="1:8" x14ac:dyDescent="0.3">
      <c r="A94" s="113"/>
      <c r="B94" s="42" t="s">
        <v>37</v>
      </c>
      <c r="C94" s="68"/>
      <c r="D94" s="77"/>
      <c r="E94" s="233">
        <f t="shared" si="3"/>
        <v>0</v>
      </c>
      <c r="F94" s="233">
        <f t="shared" si="4"/>
        <v>0</v>
      </c>
      <c r="G94" s="103"/>
      <c r="H94" s="187"/>
    </row>
    <row r="95" spans="1:8" x14ac:dyDescent="0.3">
      <c r="A95" s="113"/>
      <c r="B95" s="42" t="s">
        <v>37</v>
      </c>
      <c r="C95" s="68"/>
      <c r="D95" s="77"/>
      <c r="E95" s="233">
        <f t="shared" si="3"/>
        <v>0</v>
      </c>
      <c r="F95" s="233">
        <f t="shared" si="4"/>
        <v>0</v>
      </c>
      <c r="G95" s="103"/>
      <c r="H95" s="187"/>
    </row>
    <row r="96" spans="1:8" x14ac:dyDescent="0.3">
      <c r="A96" s="113"/>
      <c r="B96" s="42" t="s">
        <v>37</v>
      </c>
      <c r="C96" s="68"/>
      <c r="D96" s="77"/>
      <c r="E96" s="233">
        <f t="shared" si="3"/>
        <v>0</v>
      </c>
      <c r="F96" s="233">
        <f t="shared" si="4"/>
        <v>0</v>
      </c>
      <c r="G96" s="103"/>
      <c r="H96" s="187"/>
    </row>
    <row r="97" spans="1:8" x14ac:dyDescent="0.3">
      <c r="A97" s="113"/>
      <c r="B97" s="42" t="s">
        <v>37</v>
      </c>
      <c r="C97" s="68"/>
      <c r="D97" s="77"/>
      <c r="E97" s="233">
        <f t="shared" si="3"/>
        <v>0</v>
      </c>
      <c r="F97" s="233">
        <f t="shared" si="4"/>
        <v>0</v>
      </c>
      <c r="G97" s="103"/>
      <c r="H97" s="187"/>
    </row>
    <row r="98" spans="1:8" x14ac:dyDescent="0.3">
      <c r="A98" s="114"/>
      <c r="B98" s="42" t="s">
        <v>37</v>
      </c>
      <c r="C98" s="68"/>
      <c r="D98" s="77"/>
      <c r="E98" s="233">
        <f t="shared" si="3"/>
        <v>0</v>
      </c>
      <c r="F98" s="233">
        <f t="shared" si="4"/>
        <v>0</v>
      </c>
      <c r="G98" s="103"/>
      <c r="H98" s="187"/>
    </row>
    <row r="99" spans="1:8" x14ac:dyDescent="0.3">
      <c r="A99" s="113"/>
      <c r="B99" s="42" t="s">
        <v>37</v>
      </c>
      <c r="C99" s="68"/>
      <c r="D99" s="77"/>
      <c r="E99" s="233">
        <f t="shared" si="3"/>
        <v>0</v>
      </c>
      <c r="F99" s="233">
        <f t="shared" si="4"/>
        <v>0</v>
      </c>
      <c r="G99" s="103"/>
      <c r="H99" s="187"/>
    </row>
    <row r="100" spans="1:8" x14ac:dyDescent="0.3">
      <c r="A100" s="113"/>
      <c r="B100" s="42" t="s">
        <v>37</v>
      </c>
      <c r="C100" s="71"/>
      <c r="D100" s="78"/>
      <c r="E100" s="233">
        <f t="shared" si="3"/>
        <v>0</v>
      </c>
      <c r="F100" s="233">
        <f t="shared" si="4"/>
        <v>0</v>
      </c>
      <c r="G100" s="103"/>
      <c r="H100" s="187"/>
    </row>
    <row r="101" spans="1:8" x14ac:dyDescent="0.3">
      <c r="A101" s="113"/>
      <c r="B101" s="42" t="s">
        <v>37</v>
      </c>
      <c r="C101" s="71"/>
      <c r="D101" s="78"/>
      <c r="E101" s="233">
        <f t="shared" si="3"/>
        <v>0</v>
      </c>
      <c r="F101" s="233">
        <f t="shared" si="4"/>
        <v>0</v>
      </c>
      <c r="G101" s="103"/>
      <c r="H101" s="187"/>
    </row>
    <row r="102" spans="1:8" x14ac:dyDescent="0.3">
      <c r="A102" s="113"/>
      <c r="B102" s="42" t="s">
        <v>37</v>
      </c>
      <c r="C102" s="71"/>
      <c r="D102" s="78"/>
      <c r="E102" s="233">
        <f t="shared" si="3"/>
        <v>0</v>
      </c>
      <c r="F102" s="233">
        <f t="shared" si="4"/>
        <v>0</v>
      </c>
      <c r="G102" s="209"/>
      <c r="H102" s="187"/>
    </row>
    <row r="103" spans="1:8" x14ac:dyDescent="0.3">
      <c r="A103" s="113"/>
      <c r="B103" s="42" t="s">
        <v>37</v>
      </c>
      <c r="C103" s="71"/>
      <c r="D103" s="78"/>
      <c r="E103" s="233">
        <f t="shared" si="3"/>
        <v>0</v>
      </c>
      <c r="F103" s="233">
        <f t="shared" si="4"/>
        <v>0</v>
      </c>
      <c r="G103" s="209"/>
      <c r="H103" s="187"/>
    </row>
    <row r="104" spans="1:8" x14ac:dyDescent="0.3">
      <c r="A104" s="113"/>
      <c r="B104" s="42" t="s">
        <v>37</v>
      </c>
      <c r="C104" s="71"/>
      <c r="D104" s="78"/>
      <c r="E104" s="64">
        <f t="shared" si="3"/>
        <v>0</v>
      </c>
      <c r="F104" s="64">
        <f t="shared" si="4"/>
        <v>0</v>
      </c>
      <c r="G104" s="209"/>
      <c r="H104" s="187"/>
    </row>
    <row r="105" spans="1:8" x14ac:dyDescent="0.3">
      <c r="A105" s="113"/>
      <c r="B105" s="42" t="s">
        <v>37</v>
      </c>
      <c r="C105" s="71"/>
      <c r="D105" s="78"/>
      <c r="E105" s="64">
        <f t="shared" si="3"/>
        <v>0</v>
      </c>
      <c r="F105" s="64">
        <f t="shared" si="4"/>
        <v>0</v>
      </c>
      <c r="G105" s="209"/>
      <c r="H105" s="187"/>
    </row>
    <row r="106" spans="1:8" x14ac:dyDescent="0.3">
      <c r="A106" s="113"/>
      <c r="B106" s="42" t="s">
        <v>37</v>
      </c>
      <c r="C106" s="71"/>
      <c r="D106" s="78"/>
      <c r="E106" s="64">
        <f t="shared" si="3"/>
        <v>0</v>
      </c>
      <c r="F106" s="64">
        <f t="shared" si="4"/>
        <v>0</v>
      </c>
      <c r="G106" s="209"/>
      <c r="H106" s="187"/>
    </row>
    <row r="107" spans="1:8" x14ac:dyDescent="0.3">
      <c r="A107" s="113"/>
      <c r="B107" s="42" t="s">
        <v>37</v>
      </c>
      <c r="C107" s="71"/>
      <c r="D107" s="78"/>
      <c r="E107" s="64">
        <f t="shared" si="3"/>
        <v>0</v>
      </c>
      <c r="F107" s="64">
        <f t="shared" si="4"/>
        <v>0</v>
      </c>
      <c r="G107" s="209"/>
      <c r="H107" s="187"/>
    </row>
    <row r="108" spans="1:8" x14ac:dyDescent="0.3">
      <c r="A108" s="113"/>
      <c r="B108" s="42" t="s">
        <v>37</v>
      </c>
      <c r="C108" s="71"/>
      <c r="D108" s="78"/>
      <c r="E108" s="64">
        <f t="shared" si="3"/>
        <v>0</v>
      </c>
      <c r="F108" s="64">
        <f t="shared" si="4"/>
        <v>0</v>
      </c>
      <c r="G108" s="209"/>
      <c r="H108" s="187"/>
    </row>
    <row r="109" spans="1:8" x14ac:dyDescent="0.3">
      <c r="A109" s="113"/>
      <c r="B109" s="42" t="s">
        <v>37</v>
      </c>
      <c r="C109" s="71"/>
      <c r="D109" s="78"/>
      <c r="E109" s="64">
        <f t="shared" si="3"/>
        <v>0</v>
      </c>
      <c r="F109" s="64">
        <f t="shared" si="4"/>
        <v>0</v>
      </c>
      <c r="G109" s="209"/>
      <c r="H109" s="187"/>
    </row>
  </sheetData>
  <pageMargins left="0.7" right="0.7" top="0.75" bottom="0.75" header="0.3" footer="0.3"/>
  <pageSetup orientation="portrait" horizontalDpi="360" verticalDpi="36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65"/>
  <sheetViews>
    <sheetView workbookViewId="0">
      <selection activeCell="F22" sqref="F22"/>
    </sheetView>
  </sheetViews>
  <sheetFormatPr defaultRowHeight="15" x14ac:dyDescent="0.25"/>
  <cols>
    <col min="1" max="1" width="12" customWidth="1"/>
    <col min="2" max="2" width="18.140625" customWidth="1"/>
    <col min="3" max="3" width="84.140625" bestFit="1" customWidth="1"/>
    <col min="4" max="4" width="14.28515625" style="74" customWidth="1"/>
    <col min="5" max="5" width="11.140625" bestFit="1" customWidth="1"/>
    <col min="6" max="6" width="13.28515625" customWidth="1"/>
    <col min="7" max="7" width="17.42578125" customWidth="1"/>
    <col min="8" max="8" width="14.28515625" bestFit="1" customWidth="1"/>
  </cols>
  <sheetData>
    <row r="2" spans="1:8" ht="24.75" customHeight="1" x14ac:dyDescent="0.25">
      <c r="A2" s="61" t="s">
        <v>36</v>
      </c>
      <c r="B2" s="61" t="s">
        <v>57</v>
      </c>
      <c r="C2" s="61" t="s">
        <v>53</v>
      </c>
      <c r="D2" s="61" t="s">
        <v>32</v>
      </c>
      <c r="E2" s="61" t="s">
        <v>54</v>
      </c>
      <c r="F2" s="61" t="s">
        <v>55</v>
      </c>
      <c r="G2" s="61" t="s">
        <v>56</v>
      </c>
    </row>
    <row r="3" spans="1:8" x14ac:dyDescent="0.25">
      <c r="A3" s="73"/>
      <c r="B3" s="139" t="s">
        <v>71</v>
      </c>
      <c r="C3" s="138"/>
      <c r="D3" s="75"/>
      <c r="E3" s="80">
        <f>D3*2%</f>
        <v>0</v>
      </c>
      <c r="F3" s="81"/>
      <c r="G3" s="82"/>
    </row>
    <row r="4" spans="1:8" x14ac:dyDescent="0.25">
      <c r="A4" s="62"/>
      <c r="B4" s="87"/>
      <c r="C4" s="67"/>
      <c r="D4" s="76"/>
      <c r="E4" s="64"/>
      <c r="F4" s="65"/>
      <c r="G4" s="66"/>
    </row>
    <row r="5" spans="1:8" x14ac:dyDescent="0.25">
      <c r="A5" s="73"/>
      <c r="B5" s="139" t="s">
        <v>71</v>
      </c>
      <c r="C5" s="138"/>
      <c r="D5" s="77"/>
      <c r="E5" s="80">
        <f>D5*2%</f>
        <v>0</v>
      </c>
      <c r="F5" s="81"/>
      <c r="G5" s="82"/>
    </row>
    <row r="6" spans="1:8" x14ac:dyDescent="0.25">
      <c r="A6" s="62"/>
      <c r="B6" s="140"/>
      <c r="C6" s="67"/>
      <c r="D6" s="76"/>
      <c r="E6" s="80">
        <f t="shared" ref="E6:E65" si="0">D6*2%</f>
        <v>0</v>
      </c>
      <c r="F6" s="65"/>
      <c r="G6" s="66"/>
    </row>
    <row r="7" spans="1:8" x14ac:dyDescent="0.25">
      <c r="A7" s="73"/>
      <c r="B7" s="139" t="s">
        <v>71</v>
      </c>
      <c r="C7" s="109"/>
      <c r="D7" s="77"/>
      <c r="E7" s="80">
        <f t="shared" si="0"/>
        <v>0</v>
      </c>
      <c r="F7" s="81"/>
      <c r="G7" s="82"/>
    </row>
    <row r="8" spans="1:8" x14ac:dyDescent="0.25">
      <c r="A8" s="62"/>
      <c r="B8" s="140"/>
      <c r="C8" s="79"/>
      <c r="D8" s="77"/>
      <c r="E8" s="80">
        <f t="shared" si="0"/>
        <v>0</v>
      </c>
      <c r="F8" s="65"/>
      <c r="G8" s="66"/>
    </row>
    <row r="9" spans="1:8" x14ac:dyDescent="0.25">
      <c r="A9" s="73"/>
      <c r="B9" s="140" t="s">
        <v>71</v>
      </c>
      <c r="C9" s="109"/>
      <c r="D9" s="77"/>
      <c r="E9" s="80">
        <f t="shared" si="0"/>
        <v>0</v>
      </c>
      <c r="F9" s="81"/>
      <c r="G9" s="82"/>
    </row>
    <row r="10" spans="1:8" s="84" customFormat="1" x14ac:dyDescent="0.25">
      <c r="A10" s="73"/>
      <c r="B10" s="139" t="s">
        <v>71</v>
      </c>
      <c r="C10" s="109"/>
      <c r="D10" s="77"/>
      <c r="E10" s="80">
        <f t="shared" si="0"/>
        <v>0</v>
      </c>
      <c r="F10" s="141"/>
      <c r="G10" s="82"/>
    </row>
    <row r="11" spans="1:8" x14ac:dyDescent="0.25">
      <c r="A11" s="62"/>
      <c r="B11" s="140"/>
      <c r="C11" s="67"/>
      <c r="D11" s="76"/>
      <c r="E11" s="80">
        <f t="shared" si="0"/>
        <v>0</v>
      </c>
      <c r="F11" s="81"/>
      <c r="G11" s="82"/>
    </row>
    <row r="12" spans="1:8" x14ac:dyDescent="0.25">
      <c r="A12" s="62"/>
      <c r="B12" s="140" t="s">
        <v>71</v>
      </c>
      <c r="C12" s="67"/>
      <c r="D12" s="76"/>
      <c r="E12" s="80">
        <f t="shared" si="0"/>
        <v>0</v>
      </c>
      <c r="F12" s="81"/>
      <c r="G12" s="82"/>
    </row>
    <row r="13" spans="1:8" x14ac:dyDescent="0.25">
      <c r="A13" s="62"/>
      <c r="B13" s="140" t="s">
        <v>71</v>
      </c>
      <c r="C13" s="63"/>
      <c r="D13" s="77"/>
      <c r="E13" s="80">
        <f t="shared" si="0"/>
        <v>0</v>
      </c>
      <c r="F13" s="81"/>
      <c r="G13" s="82"/>
      <c r="H13" s="142"/>
    </row>
    <row r="14" spans="1:8" x14ac:dyDescent="0.25">
      <c r="A14" s="62"/>
      <c r="B14" s="140" t="s">
        <v>71</v>
      </c>
      <c r="C14" s="67"/>
      <c r="D14" s="76"/>
      <c r="E14" s="80">
        <f t="shared" si="0"/>
        <v>0</v>
      </c>
      <c r="F14" s="81"/>
      <c r="G14" s="82"/>
    </row>
    <row r="15" spans="1:8" x14ac:dyDescent="0.25">
      <c r="A15" s="62"/>
      <c r="B15" s="140" t="s">
        <v>71</v>
      </c>
      <c r="C15" s="68"/>
      <c r="D15" s="77"/>
      <c r="E15" s="80">
        <f t="shared" si="0"/>
        <v>0</v>
      </c>
      <c r="F15" s="81"/>
      <c r="G15" s="82"/>
    </row>
    <row r="16" spans="1:8" x14ac:dyDescent="0.25">
      <c r="A16" s="62"/>
      <c r="B16" s="140" t="s">
        <v>71</v>
      </c>
      <c r="C16" s="68"/>
      <c r="D16" s="77"/>
      <c r="E16" s="80">
        <f t="shared" si="0"/>
        <v>0</v>
      </c>
      <c r="F16" s="69"/>
      <c r="G16" s="82"/>
    </row>
    <row r="17" spans="1:7" ht="20.25" customHeight="1" x14ac:dyDescent="0.25">
      <c r="A17" s="62"/>
      <c r="B17" s="140" t="s">
        <v>71</v>
      </c>
      <c r="C17" s="68"/>
      <c r="D17" s="77"/>
      <c r="E17" s="80">
        <f t="shared" si="0"/>
        <v>0</v>
      </c>
      <c r="F17" s="94"/>
      <c r="G17" s="82"/>
    </row>
    <row r="18" spans="1:7" x14ac:dyDescent="0.25">
      <c r="A18" s="62"/>
      <c r="B18" s="140" t="s">
        <v>71</v>
      </c>
      <c r="C18" s="68"/>
      <c r="D18" s="77"/>
      <c r="E18" s="80">
        <f t="shared" si="0"/>
        <v>0</v>
      </c>
      <c r="F18" s="94"/>
      <c r="G18" s="82"/>
    </row>
    <row r="19" spans="1:7" s="84" customFormat="1" x14ac:dyDescent="0.25">
      <c r="A19" s="62"/>
      <c r="B19" s="140" t="s">
        <v>71</v>
      </c>
      <c r="C19" s="68"/>
      <c r="D19" s="77"/>
      <c r="E19" s="80">
        <f t="shared" si="0"/>
        <v>0</v>
      </c>
      <c r="F19" s="85"/>
      <c r="G19" s="86"/>
    </row>
    <row r="20" spans="1:7" s="84" customFormat="1" x14ac:dyDescent="0.25">
      <c r="A20" s="62"/>
      <c r="B20" s="140" t="s">
        <v>71</v>
      </c>
      <c r="C20" s="68"/>
      <c r="D20" s="77"/>
      <c r="E20" s="80">
        <f t="shared" si="0"/>
        <v>0</v>
      </c>
      <c r="F20" s="95"/>
      <c r="G20" s="86"/>
    </row>
    <row r="21" spans="1:7" x14ac:dyDescent="0.25">
      <c r="A21" s="62"/>
      <c r="B21" s="140" t="s">
        <v>71</v>
      </c>
      <c r="C21" s="68"/>
      <c r="D21" s="77"/>
      <c r="E21" s="80">
        <f t="shared" si="0"/>
        <v>0</v>
      </c>
      <c r="F21" s="94"/>
      <c r="G21" s="82"/>
    </row>
    <row r="22" spans="1:7" x14ac:dyDescent="0.25">
      <c r="A22" s="62"/>
      <c r="B22" s="140" t="s">
        <v>71</v>
      </c>
      <c r="C22" s="68"/>
      <c r="D22" s="77"/>
      <c r="E22" s="80">
        <f t="shared" si="0"/>
        <v>0</v>
      </c>
      <c r="F22" s="70"/>
      <c r="G22" s="82"/>
    </row>
    <row r="23" spans="1:7" x14ac:dyDescent="0.25">
      <c r="A23" s="62"/>
      <c r="B23" s="140" t="s">
        <v>71</v>
      </c>
      <c r="C23" s="68"/>
      <c r="D23" s="77"/>
      <c r="E23" s="80">
        <f t="shared" si="0"/>
        <v>0</v>
      </c>
      <c r="F23" s="69"/>
      <c r="G23" s="82"/>
    </row>
    <row r="24" spans="1:7" s="84" customFormat="1" x14ac:dyDescent="0.25">
      <c r="A24" s="62"/>
      <c r="B24" s="140" t="s">
        <v>71</v>
      </c>
      <c r="C24" s="71"/>
      <c r="D24" s="78"/>
      <c r="E24" s="80">
        <f t="shared" si="0"/>
        <v>0</v>
      </c>
      <c r="F24" s="85"/>
      <c r="G24" s="86"/>
    </row>
    <row r="25" spans="1:7" s="84" customFormat="1" x14ac:dyDescent="0.25">
      <c r="A25" s="62"/>
      <c r="B25" s="140" t="s">
        <v>71</v>
      </c>
      <c r="C25" s="71"/>
      <c r="D25" s="78"/>
      <c r="E25" s="80">
        <f t="shared" si="0"/>
        <v>0</v>
      </c>
      <c r="F25" s="85"/>
      <c r="G25" s="86"/>
    </row>
    <row r="26" spans="1:7" s="84" customFormat="1" x14ac:dyDescent="0.25">
      <c r="A26" s="62"/>
      <c r="B26" s="140" t="s">
        <v>71</v>
      </c>
      <c r="C26" s="68"/>
      <c r="D26" s="77"/>
      <c r="E26" s="80">
        <f t="shared" si="0"/>
        <v>0</v>
      </c>
      <c r="F26" s="85"/>
      <c r="G26" s="86"/>
    </row>
    <row r="27" spans="1:7" x14ac:dyDescent="0.25">
      <c r="A27" s="62"/>
      <c r="B27" s="140" t="s">
        <v>71</v>
      </c>
      <c r="C27" s="68"/>
      <c r="D27" s="77"/>
      <c r="E27" s="80">
        <f t="shared" si="0"/>
        <v>0</v>
      </c>
      <c r="F27" s="69"/>
      <c r="G27" s="82"/>
    </row>
    <row r="28" spans="1:7" x14ac:dyDescent="0.25">
      <c r="A28" s="62"/>
      <c r="B28" s="140" t="s">
        <v>71</v>
      </c>
      <c r="C28" s="68"/>
      <c r="D28" s="77"/>
      <c r="E28" s="80">
        <f t="shared" si="0"/>
        <v>0</v>
      </c>
      <c r="F28" s="69"/>
      <c r="G28" s="82"/>
    </row>
    <row r="29" spans="1:7" x14ac:dyDescent="0.25">
      <c r="A29" s="62"/>
      <c r="B29" s="140" t="s">
        <v>71</v>
      </c>
      <c r="C29" s="68"/>
      <c r="D29" s="77"/>
      <c r="E29" s="80">
        <f t="shared" si="0"/>
        <v>0</v>
      </c>
      <c r="F29" s="94"/>
      <c r="G29" s="82"/>
    </row>
    <row r="30" spans="1:7" s="84" customFormat="1" x14ac:dyDescent="0.25">
      <c r="A30" s="62"/>
      <c r="B30" s="140" t="s">
        <v>71</v>
      </c>
      <c r="C30" s="68"/>
      <c r="D30" s="77"/>
      <c r="E30" s="80">
        <f t="shared" si="0"/>
        <v>0</v>
      </c>
      <c r="F30" s="85"/>
      <c r="G30" s="86"/>
    </row>
    <row r="31" spans="1:7" x14ac:dyDescent="0.25">
      <c r="A31" s="62"/>
      <c r="B31" s="140" t="s">
        <v>71</v>
      </c>
      <c r="C31" s="68"/>
      <c r="D31" s="77"/>
      <c r="E31" s="80">
        <f t="shared" si="0"/>
        <v>0</v>
      </c>
      <c r="F31" s="69"/>
      <c r="G31" s="82"/>
    </row>
    <row r="32" spans="1:7" x14ac:dyDescent="0.25">
      <c r="A32" s="62"/>
      <c r="B32" s="140" t="s">
        <v>71</v>
      </c>
      <c r="C32" s="71"/>
      <c r="D32" s="77"/>
      <c r="E32" s="80">
        <f t="shared" si="0"/>
        <v>0</v>
      </c>
      <c r="F32" s="69"/>
      <c r="G32" s="82"/>
    </row>
    <row r="33" spans="1:7" x14ac:dyDescent="0.25">
      <c r="A33" s="62"/>
      <c r="B33" s="140" t="s">
        <v>71</v>
      </c>
      <c r="C33" s="68"/>
      <c r="D33" s="77"/>
      <c r="E33" s="80">
        <f t="shared" si="0"/>
        <v>0</v>
      </c>
      <c r="F33" s="94"/>
      <c r="G33" s="82"/>
    </row>
    <row r="34" spans="1:7" x14ac:dyDescent="0.25">
      <c r="A34" s="62"/>
      <c r="B34" s="140" t="s">
        <v>71</v>
      </c>
      <c r="C34" s="68"/>
      <c r="D34" s="77"/>
      <c r="E34" s="80">
        <f t="shared" si="0"/>
        <v>0</v>
      </c>
      <c r="F34" s="69"/>
      <c r="G34" s="82"/>
    </row>
    <row r="35" spans="1:7" x14ac:dyDescent="0.25">
      <c r="A35" s="62"/>
      <c r="B35" s="140" t="s">
        <v>71</v>
      </c>
      <c r="C35" s="68"/>
      <c r="D35" s="77"/>
      <c r="E35" s="80">
        <f t="shared" si="0"/>
        <v>0</v>
      </c>
      <c r="F35" s="69"/>
      <c r="G35" s="82"/>
    </row>
    <row r="36" spans="1:7" x14ac:dyDescent="0.25">
      <c r="A36" s="62"/>
      <c r="B36" s="140" t="s">
        <v>71</v>
      </c>
      <c r="C36" s="68"/>
      <c r="D36" s="77"/>
      <c r="E36" s="80">
        <f t="shared" si="0"/>
        <v>0</v>
      </c>
      <c r="F36" s="69"/>
      <c r="G36" s="82"/>
    </row>
    <row r="37" spans="1:7" x14ac:dyDescent="0.25">
      <c r="A37" s="65"/>
      <c r="B37" s="140" t="s">
        <v>71</v>
      </c>
      <c r="C37" s="67"/>
      <c r="D37" s="77"/>
      <c r="E37" s="80">
        <f t="shared" si="0"/>
        <v>0</v>
      </c>
      <c r="F37" s="65"/>
      <c r="G37" s="82"/>
    </row>
    <row r="38" spans="1:7" x14ac:dyDescent="0.25">
      <c r="A38" s="65"/>
      <c r="B38" s="140" t="s">
        <v>71</v>
      </c>
      <c r="C38" s="67"/>
      <c r="D38" s="77"/>
      <c r="E38" s="80">
        <f t="shared" si="0"/>
        <v>0</v>
      </c>
      <c r="F38" s="65"/>
      <c r="G38" s="82"/>
    </row>
    <row r="39" spans="1:7" x14ac:dyDescent="0.25">
      <c r="A39" s="65"/>
      <c r="B39" s="140" t="s">
        <v>71</v>
      </c>
      <c r="C39" s="67"/>
      <c r="D39" s="77"/>
      <c r="E39" s="80">
        <f t="shared" si="0"/>
        <v>0</v>
      </c>
      <c r="F39" s="65"/>
      <c r="G39" s="82"/>
    </row>
    <row r="40" spans="1:7" x14ac:dyDescent="0.25">
      <c r="A40" s="65"/>
      <c r="B40" s="140" t="s">
        <v>71</v>
      </c>
      <c r="C40" s="67"/>
      <c r="D40" s="77"/>
      <c r="E40" s="80">
        <f t="shared" si="0"/>
        <v>0</v>
      </c>
      <c r="F40" s="65"/>
      <c r="G40" s="82"/>
    </row>
    <row r="41" spans="1:7" x14ac:dyDescent="0.25">
      <c r="A41" s="65"/>
      <c r="B41" s="140" t="s">
        <v>71</v>
      </c>
      <c r="C41" s="68"/>
      <c r="D41" s="77"/>
      <c r="E41" s="80">
        <f t="shared" si="0"/>
        <v>0</v>
      </c>
      <c r="F41" s="65"/>
      <c r="G41" s="82"/>
    </row>
    <row r="42" spans="1:7" x14ac:dyDescent="0.25">
      <c r="A42" s="65"/>
      <c r="B42" s="140" t="s">
        <v>71</v>
      </c>
      <c r="C42" s="68"/>
      <c r="D42" s="77"/>
      <c r="E42" s="80">
        <f t="shared" si="0"/>
        <v>0</v>
      </c>
      <c r="F42" s="65"/>
      <c r="G42" s="82"/>
    </row>
    <row r="43" spans="1:7" x14ac:dyDescent="0.25">
      <c r="A43" s="81"/>
      <c r="B43" s="140" t="s">
        <v>71</v>
      </c>
      <c r="C43" s="68"/>
      <c r="D43" s="77"/>
      <c r="E43" s="80">
        <f t="shared" si="0"/>
        <v>0</v>
      </c>
      <c r="F43" s="81"/>
      <c r="G43" s="82"/>
    </row>
    <row r="44" spans="1:7" x14ac:dyDescent="0.25">
      <c r="A44" s="81"/>
      <c r="B44" s="140" t="s">
        <v>71</v>
      </c>
      <c r="C44" s="68"/>
      <c r="D44" s="77"/>
      <c r="E44" s="80">
        <f t="shared" si="0"/>
        <v>0</v>
      </c>
      <c r="F44" s="81"/>
      <c r="G44" s="82"/>
    </row>
    <row r="45" spans="1:7" x14ac:dyDescent="0.25">
      <c r="A45" s="62"/>
      <c r="B45" s="140" t="s">
        <v>71</v>
      </c>
      <c r="C45" s="67"/>
      <c r="D45" s="77"/>
      <c r="E45" s="80">
        <f t="shared" si="0"/>
        <v>0</v>
      </c>
      <c r="F45" s="73"/>
      <c r="G45" s="82"/>
    </row>
    <row r="46" spans="1:7" x14ac:dyDescent="0.25">
      <c r="A46" s="62"/>
      <c r="B46" s="140" t="s">
        <v>71</v>
      </c>
      <c r="C46" s="68"/>
      <c r="D46" s="77"/>
      <c r="E46" s="80">
        <f t="shared" si="0"/>
        <v>0</v>
      </c>
      <c r="F46" s="73"/>
      <c r="G46" s="82"/>
    </row>
    <row r="47" spans="1:7" x14ac:dyDescent="0.25">
      <c r="A47" s="62"/>
      <c r="B47" s="140" t="s">
        <v>71</v>
      </c>
      <c r="C47" s="68"/>
      <c r="D47" s="77"/>
      <c r="E47" s="80">
        <f t="shared" si="0"/>
        <v>0</v>
      </c>
      <c r="F47" s="73"/>
      <c r="G47" s="82"/>
    </row>
    <row r="48" spans="1:7" x14ac:dyDescent="0.25">
      <c r="A48" s="73"/>
      <c r="B48" s="140" t="s">
        <v>71</v>
      </c>
      <c r="C48" s="68"/>
      <c r="D48" s="77"/>
      <c r="E48" s="80">
        <f t="shared" si="0"/>
        <v>0</v>
      </c>
      <c r="F48" s="73"/>
      <c r="G48" s="82"/>
    </row>
    <row r="49" spans="1:7" x14ac:dyDescent="0.25">
      <c r="A49" s="62"/>
      <c r="B49" s="140" t="s">
        <v>71</v>
      </c>
      <c r="C49" s="68"/>
      <c r="D49" s="77"/>
      <c r="E49" s="80">
        <f t="shared" si="0"/>
        <v>0</v>
      </c>
      <c r="F49" s="69"/>
      <c r="G49" s="66"/>
    </row>
    <row r="50" spans="1:7" x14ac:dyDescent="0.25">
      <c r="A50" s="62"/>
      <c r="B50" s="140" t="s">
        <v>71</v>
      </c>
      <c r="C50" s="68"/>
      <c r="D50" s="77"/>
      <c r="E50" s="80">
        <f t="shared" si="0"/>
        <v>0</v>
      </c>
      <c r="F50" s="69"/>
      <c r="G50" s="66"/>
    </row>
    <row r="51" spans="1:7" x14ac:dyDescent="0.25">
      <c r="A51" s="62"/>
      <c r="B51" s="140" t="s">
        <v>71</v>
      </c>
      <c r="C51" s="68"/>
      <c r="D51" s="77"/>
      <c r="E51" s="80">
        <f t="shared" si="0"/>
        <v>0</v>
      </c>
      <c r="F51" s="69"/>
      <c r="G51" s="66"/>
    </row>
    <row r="52" spans="1:7" x14ac:dyDescent="0.25">
      <c r="A52" s="62"/>
      <c r="B52" s="140" t="s">
        <v>71</v>
      </c>
      <c r="C52" s="68"/>
      <c r="D52" s="77"/>
      <c r="E52" s="80">
        <f t="shared" si="0"/>
        <v>0</v>
      </c>
      <c r="F52" s="69"/>
      <c r="G52" s="66"/>
    </row>
    <row r="53" spans="1:7" x14ac:dyDescent="0.25">
      <c r="A53" s="62"/>
      <c r="B53" s="140" t="s">
        <v>71</v>
      </c>
      <c r="C53" s="68"/>
      <c r="D53" s="77"/>
      <c r="E53" s="80">
        <f t="shared" si="0"/>
        <v>0</v>
      </c>
      <c r="F53" s="69"/>
      <c r="G53" s="66"/>
    </row>
    <row r="54" spans="1:7" x14ac:dyDescent="0.25">
      <c r="A54" s="73"/>
      <c r="B54" s="140" t="s">
        <v>71</v>
      </c>
      <c r="C54" s="68"/>
      <c r="D54" s="77"/>
      <c r="E54" s="80">
        <f t="shared" si="0"/>
        <v>0</v>
      </c>
      <c r="F54" s="69"/>
      <c r="G54" s="66"/>
    </row>
    <row r="55" spans="1:7" x14ac:dyDescent="0.25">
      <c r="A55" s="62"/>
      <c r="B55" s="140" t="s">
        <v>71</v>
      </c>
      <c r="C55" s="68"/>
      <c r="D55" s="77"/>
      <c r="E55" s="80">
        <f t="shared" si="0"/>
        <v>0</v>
      </c>
      <c r="F55" s="69"/>
      <c r="G55" s="66"/>
    </row>
    <row r="56" spans="1:7" x14ac:dyDescent="0.25">
      <c r="A56" s="62"/>
      <c r="B56" s="140" t="s">
        <v>71</v>
      </c>
      <c r="C56" s="71"/>
      <c r="D56" s="78"/>
      <c r="E56" s="80">
        <f t="shared" si="0"/>
        <v>0</v>
      </c>
      <c r="F56" s="69"/>
      <c r="G56" s="66"/>
    </row>
    <row r="57" spans="1:7" x14ac:dyDescent="0.25">
      <c r="A57" s="62"/>
      <c r="B57" s="140" t="s">
        <v>71</v>
      </c>
      <c r="C57" s="71"/>
      <c r="D57" s="78"/>
      <c r="E57" s="80">
        <f t="shared" si="0"/>
        <v>0</v>
      </c>
      <c r="F57" s="69"/>
      <c r="G57" s="66"/>
    </row>
    <row r="58" spans="1:7" x14ac:dyDescent="0.25">
      <c r="A58" s="62"/>
      <c r="B58" s="140" t="s">
        <v>71</v>
      </c>
      <c r="C58" s="71"/>
      <c r="D58" s="78"/>
      <c r="E58" s="80">
        <f t="shared" si="0"/>
        <v>0</v>
      </c>
      <c r="F58" s="72"/>
      <c r="G58" s="66"/>
    </row>
    <row r="59" spans="1:7" x14ac:dyDescent="0.25">
      <c r="A59" s="62"/>
      <c r="B59" s="140" t="s">
        <v>71</v>
      </c>
      <c r="C59" s="71"/>
      <c r="D59" s="78"/>
      <c r="E59" s="80">
        <f t="shared" si="0"/>
        <v>0</v>
      </c>
      <c r="F59" s="72"/>
      <c r="G59" s="66"/>
    </row>
    <row r="60" spans="1:7" x14ac:dyDescent="0.25">
      <c r="A60" s="62"/>
      <c r="B60" s="140" t="s">
        <v>71</v>
      </c>
      <c r="C60" s="71"/>
      <c r="D60" s="78"/>
      <c r="E60" s="80">
        <f t="shared" si="0"/>
        <v>0</v>
      </c>
      <c r="F60" s="72"/>
      <c r="G60" s="66"/>
    </row>
    <row r="61" spans="1:7" x14ac:dyDescent="0.25">
      <c r="A61" s="62"/>
      <c r="B61" s="140" t="s">
        <v>71</v>
      </c>
      <c r="C61" s="71"/>
      <c r="D61" s="78"/>
      <c r="E61" s="80">
        <f t="shared" si="0"/>
        <v>0</v>
      </c>
      <c r="F61" s="72"/>
      <c r="G61" s="66"/>
    </row>
    <row r="62" spans="1:7" x14ac:dyDescent="0.25">
      <c r="A62" s="62"/>
      <c r="B62" s="140" t="s">
        <v>71</v>
      </c>
      <c r="C62" s="71"/>
      <c r="D62" s="78"/>
      <c r="E62" s="80">
        <f t="shared" si="0"/>
        <v>0</v>
      </c>
      <c r="F62" s="72"/>
      <c r="G62" s="66"/>
    </row>
    <row r="63" spans="1:7" x14ac:dyDescent="0.25">
      <c r="A63" s="62"/>
      <c r="B63" s="140" t="s">
        <v>71</v>
      </c>
      <c r="C63" s="71"/>
      <c r="D63" s="78"/>
      <c r="E63" s="80">
        <f t="shared" si="0"/>
        <v>0</v>
      </c>
      <c r="F63" s="72"/>
      <c r="G63" s="66"/>
    </row>
    <row r="64" spans="1:7" x14ac:dyDescent="0.25">
      <c r="A64" s="62"/>
      <c r="B64" s="140" t="s">
        <v>71</v>
      </c>
      <c r="C64" s="71"/>
      <c r="D64" s="78"/>
      <c r="E64" s="80">
        <f t="shared" si="0"/>
        <v>0</v>
      </c>
      <c r="F64" s="72"/>
      <c r="G64" s="66"/>
    </row>
    <row r="65" spans="1:7" x14ac:dyDescent="0.25">
      <c r="A65" s="62"/>
      <c r="B65" s="140" t="s">
        <v>71</v>
      </c>
      <c r="C65" s="71"/>
      <c r="D65" s="78"/>
      <c r="E65" s="80">
        <f t="shared" si="0"/>
        <v>0</v>
      </c>
      <c r="F65" s="72"/>
      <c r="G65" s="66"/>
    </row>
  </sheetData>
  <pageMargins left="0.7" right="0.7" top="0.75" bottom="0.75" header="0.3" footer="0.3"/>
  <pageSetup orientation="portrait" horizontalDpi="360" verticalDpi="36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view="pageBreakPreview" zoomScale="90" zoomScaleNormal="100" zoomScaleSheetLayoutView="90" workbookViewId="0">
      <selection activeCell="C15" sqref="C15"/>
    </sheetView>
  </sheetViews>
  <sheetFormatPr defaultRowHeight="15" x14ac:dyDescent="0.25"/>
  <cols>
    <col min="1" max="1" width="12.85546875" customWidth="1"/>
    <col min="2" max="3" width="25.42578125" customWidth="1"/>
    <col min="4" max="4" width="14.5703125" customWidth="1"/>
    <col min="5" max="5" width="13.140625" customWidth="1"/>
    <col min="6" max="6" width="21" bestFit="1" customWidth="1"/>
    <col min="7" max="7" width="17.140625" customWidth="1"/>
    <col min="8" max="8" width="26.140625" customWidth="1"/>
  </cols>
  <sheetData>
    <row r="1" spans="1:9" ht="15.75" x14ac:dyDescent="0.25">
      <c r="A1" s="1" t="s">
        <v>0</v>
      </c>
    </row>
    <row r="2" spans="1:9" ht="15.75" x14ac:dyDescent="0.25">
      <c r="A2" s="1" t="s">
        <v>175</v>
      </c>
    </row>
    <row r="3" spans="1:9" ht="15.75" x14ac:dyDescent="0.25">
      <c r="A3" s="1" t="s">
        <v>504</v>
      </c>
    </row>
    <row r="5" spans="1:9" ht="16.5" customHeight="1" x14ac:dyDescent="0.25">
      <c r="A5" s="307" t="s">
        <v>2</v>
      </c>
      <c r="B5" s="308" t="s">
        <v>43</v>
      </c>
      <c r="C5" s="317" t="s">
        <v>176</v>
      </c>
      <c r="D5" s="319" t="s">
        <v>44</v>
      </c>
      <c r="E5" s="320"/>
      <c r="F5" s="311" t="s">
        <v>42</v>
      </c>
      <c r="G5" s="313"/>
      <c r="H5" s="308" t="s">
        <v>8</v>
      </c>
    </row>
    <row r="6" spans="1:9" ht="16.5" x14ac:dyDescent="0.25">
      <c r="A6" s="307"/>
      <c r="B6" s="309"/>
      <c r="C6" s="318"/>
      <c r="D6" s="56" t="s">
        <v>45</v>
      </c>
      <c r="E6" s="57" t="s">
        <v>46</v>
      </c>
      <c r="F6" s="220" t="s">
        <v>12</v>
      </c>
      <c r="G6" s="220" t="s">
        <v>47</v>
      </c>
      <c r="H6" s="314"/>
    </row>
    <row r="7" spans="1:9" ht="16.5" x14ac:dyDescent="0.3">
      <c r="A7" s="27" t="s">
        <v>22</v>
      </c>
      <c r="B7" s="28" t="s">
        <v>0</v>
      </c>
      <c r="C7" s="28"/>
      <c r="D7" s="58"/>
      <c r="E7" s="103"/>
      <c r="F7" s="52"/>
      <c r="G7" s="103"/>
      <c r="H7" s="30"/>
    </row>
    <row r="8" spans="1:9" ht="16.5" x14ac:dyDescent="0.3">
      <c r="A8" s="27" t="s">
        <v>22</v>
      </c>
      <c r="B8" s="28" t="s">
        <v>0</v>
      </c>
      <c r="C8" s="28"/>
      <c r="D8" s="58"/>
      <c r="E8" s="100"/>
      <c r="F8" s="99"/>
      <c r="G8" s="100"/>
      <c r="H8" s="30"/>
      <c r="I8" s="122"/>
    </row>
    <row r="9" spans="1:9" ht="16.5" x14ac:dyDescent="0.3">
      <c r="A9" s="27" t="s">
        <v>22</v>
      </c>
      <c r="B9" s="28" t="s">
        <v>0</v>
      </c>
      <c r="C9" s="28"/>
      <c r="D9" s="58"/>
      <c r="E9" s="100"/>
      <c r="F9" s="98"/>
      <c r="G9" s="100"/>
      <c r="H9" s="30"/>
    </row>
    <row r="10" spans="1:9" ht="16.5" x14ac:dyDescent="0.3">
      <c r="A10" s="27" t="s">
        <v>22</v>
      </c>
      <c r="B10" s="28" t="s">
        <v>0</v>
      </c>
      <c r="C10" s="28"/>
      <c r="D10" s="58"/>
      <c r="E10" s="97"/>
      <c r="F10" s="98"/>
      <c r="G10" s="97"/>
      <c r="H10" s="30"/>
    </row>
    <row r="11" spans="1:9" ht="16.5" x14ac:dyDescent="0.25">
      <c r="A11" s="27"/>
      <c r="B11" s="28"/>
      <c r="C11" s="28"/>
      <c r="D11" s="59"/>
      <c r="E11" s="97"/>
      <c r="F11" s="98"/>
      <c r="G11" s="31"/>
      <c r="H11" s="30"/>
    </row>
    <row r="12" spans="1:9" ht="15.75" x14ac:dyDescent="0.25">
      <c r="A12" s="219"/>
      <c r="B12" s="16">
        <f>SUM(B7:B11)</f>
        <v>0</v>
      </c>
      <c r="C12" s="16"/>
      <c r="D12" s="54">
        <f>SUM(D7:D11)</f>
        <v>0</v>
      </c>
      <c r="E12" s="54"/>
      <c r="F12" s="54">
        <f>SUM(F7:F11)</f>
        <v>0</v>
      </c>
      <c r="G12" s="16"/>
      <c r="H12" s="16">
        <v>0</v>
      </c>
    </row>
    <row r="16" spans="1:9" x14ac:dyDescent="0.25">
      <c r="G16" s="55"/>
    </row>
    <row r="18" spans="6:6" x14ac:dyDescent="0.25">
      <c r="F18" s="142">
        <f>6275000*11/12</f>
        <v>5752083.333333333</v>
      </c>
    </row>
    <row r="19" spans="6:6" x14ac:dyDescent="0.25">
      <c r="F19" s="142">
        <f>2907000*11/12</f>
        <v>2664750</v>
      </c>
    </row>
    <row r="20" spans="6:6" x14ac:dyDescent="0.25">
      <c r="F20" s="142">
        <f>5450000*11/12</f>
        <v>4995833.333333333</v>
      </c>
    </row>
    <row r="22" spans="6:6" x14ac:dyDescent="0.25">
      <c r="F22">
        <f>18650000*11/12</f>
        <v>17095833.333333332</v>
      </c>
    </row>
  </sheetData>
  <mergeCells count="6">
    <mergeCell ref="A5:A6"/>
    <mergeCell ref="B5:B6"/>
    <mergeCell ref="D5:E5"/>
    <mergeCell ref="F5:G5"/>
    <mergeCell ref="H5:H6"/>
    <mergeCell ref="C5:C6"/>
  </mergeCells>
  <pageMargins left="0.7" right="0.7" top="0.75" bottom="0.75" header="0.3" footer="0.3"/>
  <pageSetup scale="65" orientation="portrait" horizontalDpi="360" verticalDpi="36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F42"/>
  <sheetViews>
    <sheetView topLeftCell="A25" workbookViewId="0">
      <selection activeCell="I45" sqref="I45"/>
    </sheetView>
  </sheetViews>
  <sheetFormatPr defaultRowHeight="15" x14ac:dyDescent="0.25"/>
  <cols>
    <col min="1" max="1" width="14.42578125" customWidth="1"/>
    <col min="2" max="2" width="14.7109375" customWidth="1"/>
    <col min="3" max="3" width="13.5703125" customWidth="1"/>
    <col min="5" max="5" width="11.5703125" bestFit="1" customWidth="1"/>
    <col min="6" max="6" width="14.85546875" customWidth="1"/>
  </cols>
  <sheetData>
    <row r="8" spans="1:2" x14ac:dyDescent="0.25">
      <c r="A8" t="s">
        <v>210</v>
      </c>
      <c r="B8" s="242">
        <v>30000000</v>
      </c>
    </row>
    <row r="9" spans="1:2" x14ac:dyDescent="0.25">
      <c r="A9" t="s">
        <v>211</v>
      </c>
      <c r="B9" s="243">
        <f>B8*10%</f>
        <v>3000000</v>
      </c>
    </row>
    <row r="10" spans="1:2" x14ac:dyDescent="0.25">
      <c r="B10" s="242">
        <f>B8+B9</f>
        <v>33000000</v>
      </c>
    </row>
    <row r="11" spans="1:2" x14ac:dyDescent="0.25">
      <c r="A11" t="s">
        <v>212</v>
      </c>
      <c r="B11" s="243">
        <f>B10*2%</f>
        <v>660000</v>
      </c>
    </row>
    <row r="12" spans="1:2" x14ac:dyDescent="0.25">
      <c r="B12" s="242">
        <f>SUM(B10:B11)</f>
        <v>33660000</v>
      </c>
    </row>
    <row r="13" spans="1:2" x14ac:dyDescent="0.25">
      <c r="A13" t="s">
        <v>213</v>
      </c>
      <c r="B13" s="244">
        <f>B12*11%</f>
        <v>3702600</v>
      </c>
    </row>
    <row r="14" spans="1:2" x14ac:dyDescent="0.25">
      <c r="A14" t="s">
        <v>214</v>
      </c>
      <c r="B14" s="242">
        <f>B12+B13</f>
        <v>37362600</v>
      </c>
    </row>
    <row r="19" spans="1:6" x14ac:dyDescent="0.25">
      <c r="A19" s="295" t="s">
        <v>484</v>
      </c>
      <c r="B19" t="s">
        <v>32</v>
      </c>
      <c r="C19" s="242">
        <v>33177777</v>
      </c>
    </row>
    <row r="20" spans="1:6" ht="17.25" x14ac:dyDescent="0.4">
      <c r="A20" s="295"/>
      <c r="B20" t="s">
        <v>213</v>
      </c>
      <c r="C20" s="290">
        <f>C19*11%</f>
        <v>3649555.47</v>
      </c>
    </row>
    <row r="21" spans="1:6" x14ac:dyDescent="0.25">
      <c r="A21" s="295"/>
      <c r="C21" s="242">
        <f>C19+C20</f>
        <v>36827332.469999999</v>
      </c>
    </row>
    <row r="22" spans="1:6" ht="17.25" x14ac:dyDescent="0.4">
      <c r="A22" s="295"/>
      <c r="B22" t="s">
        <v>485</v>
      </c>
      <c r="C22" s="290">
        <f>C19*2%</f>
        <v>663555.54</v>
      </c>
    </row>
    <row r="23" spans="1:6" x14ac:dyDescent="0.25">
      <c r="A23" s="295"/>
      <c r="C23" s="242">
        <f>C21-C22</f>
        <v>36163776.93</v>
      </c>
    </row>
    <row r="24" spans="1:6" ht="17.25" x14ac:dyDescent="0.4">
      <c r="A24" s="295"/>
      <c r="B24" t="s">
        <v>486</v>
      </c>
      <c r="C24" s="290">
        <v>3500000</v>
      </c>
    </row>
    <row r="25" spans="1:6" x14ac:dyDescent="0.25">
      <c r="A25" s="295"/>
      <c r="C25" s="242">
        <f>C23-C24</f>
        <v>32663776.93</v>
      </c>
      <c r="E25" s="292">
        <f>C25-C20</f>
        <v>29014221.460000001</v>
      </c>
      <c r="F25" s="130" t="s">
        <v>489</v>
      </c>
    </row>
    <row r="26" spans="1:6" x14ac:dyDescent="0.25">
      <c r="A26" s="295"/>
      <c r="B26" s="293" t="s">
        <v>490</v>
      </c>
      <c r="C26" s="294">
        <f>C20</f>
        <v>3649555.47</v>
      </c>
      <c r="E26" s="292"/>
      <c r="F26" s="130"/>
    </row>
    <row r="27" spans="1:6" x14ac:dyDescent="0.25">
      <c r="A27" s="295"/>
    </row>
    <row r="28" spans="1:6" x14ac:dyDescent="0.25">
      <c r="A28" s="295"/>
    </row>
    <row r="29" spans="1:6" x14ac:dyDescent="0.25">
      <c r="A29" s="295" t="s">
        <v>487</v>
      </c>
      <c r="B29" t="s">
        <v>32</v>
      </c>
      <c r="C29" s="242">
        <v>42261367</v>
      </c>
    </row>
    <row r="30" spans="1:6" ht="17.25" x14ac:dyDescent="0.4">
      <c r="A30" s="295"/>
      <c r="B30" t="s">
        <v>213</v>
      </c>
      <c r="C30" s="290">
        <f>C29*11%</f>
        <v>4648750.37</v>
      </c>
    </row>
    <row r="31" spans="1:6" x14ac:dyDescent="0.25">
      <c r="A31" s="295"/>
      <c r="C31" s="242">
        <f>C29+C30</f>
        <v>46910117.369999997</v>
      </c>
    </row>
    <row r="32" spans="1:6" ht="17.25" x14ac:dyDescent="0.4">
      <c r="A32" s="295"/>
      <c r="B32" t="s">
        <v>485</v>
      </c>
      <c r="C32" s="290">
        <f>C29*2%</f>
        <v>845227.34</v>
      </c>
    </row>
    <row r="33" spans="1:6" x14ac:dyDescent="0.25">
      <c r="A33" s="295"/>
      <c r="C33" s="291">
        <f>C31-C32</f>
        <v>46064890.029999994</v>
      </c>
      <c r="E33" s="292">
        <f>C33-C30</f>
        <v>41416139.659999996</v>
      </c>
      <c r="F33" s="130" t="s">
        <v>489</v>
      </c>
    </row>
    <row r="34" spans="1:6" x14ac:dyDescent="0.25">
      <c r="A34" s="295"/>
      <c r="B34" s="293" t="s">
        <v>490</v>
      </c>
      <c r="C34" s="294">
        <f>C30</f>
        <v>4648750.37</v>
      </c>
    </row>
    <row r="35" spans="1:6" x14ac:dyDescent="0.25">
      <c r="A35" s="295"/>
    </row>
    <row r="36" spans="1:6" x14ac:dyDescent="0.25">
      <c r="A36" s="295"/>
    </row>
    <row r="37" spans="1:6" x14ac:dyDescent="0.25">
      <c r="A37" s="295" t="s">
        <v>488</v>
      </c>
      <c r="B37" t="s">
        <v>32</v>
      </c>
      <c r="C37" s="242">
        <v>9729648</v>
      </c>
    </row>
    <row r="38" spans="1:6" ht="17.25" x14ac:dyDescent="0.4">
      <c r="A38" s="74"/>
      <c r="B38" t="s">
        <v>213</v>
      </c>
      <c r="C38" s="290">
        <f>C37*11%</f>
        <v>1070261.28</v>
      </c>
    </row>
    <row r="39" spans="1:6" x14ac:dyDescent="0.25">
      <c r="C39" s="242">
        <f>C37+C38</f>
        <v>10799909.279999999</v>
      </c>
    </row>
    <row r="40" spans="1:6" ht="17.25" x14ac:dyDescent="0.4">
      <c r="B40" t="s">
        <v>485</v>
      </c>
      <c r="C40" s="290">
        <f>C37*2%</f>
        <v>194592.96</v>
      </c>
    </row>
    <row r="41" spans="1:6" x14ac:dyDescent="0.25">
      <c r="C41" s="242">
        <f>C39-C40</f>
        <v>10605316.319999998</v>
      </c>
      <c r="E41" s="292">
        <f>C41-C38</f>
        <v>9535055.0399999991</v>
      </c>
      <c r="F41" s="130" t="s">
        <v>489</v>
      </c>
    </row>
    <row r="42" spans="1:6" x14ac:dyDescent="0.25">
      <c r="B42" s="293" t="s">
        <v>490</v>
      </c>
      <c r="C42" s="294">
        <f>C38</f>
        <v>1070261.28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5</vt:i4>
      </vt:variant>
    </vt:vector>
  </HeadingPairs>
  <TitlesOfParts>
    <vt:vector size="26" baseType="lpstr">
      <vt:lpstr>jan</vt:lpstr>
      <vt:lpstr>Feb</vt:lpstr>
      <vt:lpstr>Mar</vt:lpstr>
      <vt:lpstr>Apr</vt:lpstr>
      <vt:lpstr>Mei</vt:lpstr>
      <vt:lpstr>Jun</vt:lpstr>
      <vt:lpstr>Jul</vt:lpstr>
      <vt:lpstr>Agust</vt:lpstr>
      <vt:lpstr>Sept</vt:lpstr>
      <vt:lpstr>Okt</vt:lpstr>
      <vt:lpstr>Nop</vt:lpstr>
      <vt:lpstr>Des</vt:lpstr>
      <vt:lpstr>PPN</vt:lpstr>
      <vt:lpstr>PPH 21</vt:lpstr>
      <vt:lpstr>PPH 23</vt:lpstr>
      <vt:lpstr>PPH 25</vt:lpstr>
      <vt:lpstr>PTP</vt:lpstr>
      <vt:lpstr>PELINDO</vt:lpstr>
      <vt:lpstr>SPJM</vt:lpstr>
      <vt:lpstr>rekap</vt:lpstr>
      <vt:lpstr>vendor</vt:lpstr>
      <vt:lpstr>'PPH 21'!Print_Area</vt:lpstr>
      <vt:lpstr>'PPH 23'!Print_Area</vt:lpstr>
      <vt:lpstr>'PPH 25'!Print_Area</vt:lpstr>
      <vt:lpstr>PPN!Print_Area</vt:lpstr>
      <vt:lpstr>rekap!Print_Area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2026-07-01T09:50:32Z</dcterms:modified>
</cp:coreProperties>
</file>