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PKAR BANDAR BANTEN 2025\TRANSAKSI BANK MANDIRI\PENCATATAN REKENING KORAN\"/>
    </mc:Choice>
  </mc:AlternateContent>
  <xr:revisionPtr revIDLastSave="0" documentId="13_ncr:1_{A7583C62-3420-409D-871B-30ED1DC7C9B2}" xr6:coauthVersionLast="45" xr6:coauthVersionMax="45" xr10:uidLastSave="{00000000-0000-0000-0000-000000000000}"/>
  <bookViews>
    <workbookView xWindow="-120" yWindow="-120" windowWidth="20640" windowHeight="11160" tabRatio="782" activeTab="5" xr2:uid="{00000000-000D-0000-FFFF-FFFF00000000}"/>
  </bookViews>
  <sheets>
    <sheet name="01, JAN 2026" sheetId="76" r:id="rId1"/>
    <sheet name="02, FEB 2026" sheetId="77" r:id="rId2"/>
    <sheet name="03, MAR 26" sheetId="78" r:id="rId3"/>
    <sheet name="04, APRIL 26" sheetId="79" r:id="rId4"/>
    <sheet name="05,MEI 26" sheetId="80" r:id="rId5"/>
    <sheet name="06, JUNI 26" sheetId="81" r:id="rId6"/>
    <sheet name="Sheet1" sheetId="82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42" i="81" l="1"/>
  <c r="G336" i="81"/>
  <c r="G337" i="81"/>
  <c r="G338" i="81" s="1"/>
  <c r="G329" i="81" l="1"/>
  <c r="G330" i="81" s="1"/>
  <c r="G331" i="81" s="1"/>
  <c r="G332" i="81" s="1"/>
  <c r="G333" i="81" s="1"/>
  <c r="G334" i="81" s="1"/>
  <c r="G335" i="81" s="1"/>
  <c r="G320" i="81"/>
  <c r="G321" i="81" s="1"/>
  <c r="F291" i="81"/>
  <c r="F263" i="81"/>
  <c r="F262" i="81"/>
  <c r="G322" i="81" l="1"/>
  <c r="G323" i="81" s="1"/>
  <c r="G324" i="81" s="1"/>
  <c r="G325" i="81" s="1"/>
  <c r="G326" i="81" s="1"/>
  <c r="G327" i="81" s="1"/>
  <c r="G328" i="81" s="1"/>
  <c r="F60" i="81" l="1"/>
  <c r="G9" i="81" l="1"/>
  <c r="G10" i="81" s="1"/>
  <c r="G11" i="81" s="1"/>
  <c r="G12" i="81" s="1"/>
  <c r="G13" i="81" s="1"/>
  <c r="G14" i="81" s="1"/>
  <c r="G15" i="81" s="1"/>
  <c r="G16" i="81" s="1"/>
  <c r="G17" i="81" s="1"/>
  <c r="G18" i="81" s="1"/>
  <c r="G19" i="81" s="1"/>
  <c r="G20" i="81" s="1"/>
  <c r="G21" i="81" s="1"/>
  <c r="G22" i="81" s="1"/>
  <c r="G23" i="81" s="1"/>
  <c r="G24" i="81" s="1"/>
  <c r="G25" i="81" s="1"/>
  <c r="G26" i="81" s="1"/>
  <c r="F342" i="81"/>
  <c r="E342" i="81"/>
  <c r="G27" i="81" l="1"/>
  <c r="G28" i="81" s="1"/>
  <c r="G29" i="81" s="1"/>
  <c r="G30" i="81" s="1"/>
  <c r="G31" i="81" s="1"/>
  <c r="G32" i="81" s="1"/>
  <c r="G33" i="81" s="1"/>
  <c r="G34" i="81" s="1"/>
  <c r="G35" i="81" s="1"/>
  <c r="G36" i="81" s="1"/>
  <c r="G37" i="81" s="1"/>
  <c r="G38" i="81" s="1"/>
  <c r="G39" i="81" s="1"/>
  <c r="G40" i="81" s="1"/>
  <c r="G41" i="81" s="1"/>
  <c r="G42" i="81" s="1"/>
  <c r="G43" i="81" s="1"/>
  <c r="G44" i="81" s="1"/>
  <c r="G45" i="81" s="1"/>
  <c r="G46" i="81" s="1"/>
  <c r="G47" i="81" s="1"/>
  <c r="G48" i="81" s="1"/>
  <c r="G49" i="81" s="1"/>
  <c r="G50" i="81" s="1"/>
  <c r="G51" i="81" s="1"/>
  <c r="G52" i="81" s="1"/>
  <c r="G53" i="81" s="1"/>
  <c r="E268" i="80"/>
  <c r="G242" i="80"/>
  <c r="G243" i="80"/>
  <c r="G244" i="80" s="1"/>
  <c r="G245" i="80" s="1"/>
  <c r="G246" i="80" s="1"/>
  <c r="G247" i="80" s="1"/>
  <c r="G248" i="80" s="1"/>
  <c r="G249" i="80" s="1"/>
  <c r="G250" i="80" s="1"/>
  <c r="G251" i="80" s="1"/>
  <c r="G252" i="80" s="1"/>
  <c r="G253" i="80" s="1"/>
  <c r="G254" i="80" s="1"/>
  <c r="G255" i="80" s="1"/>
  <c r="G54" i="81" l="1"/>
  <c r="G55" i="81" s="1"/>
  <c r="G56" i="81" s="1"/>
  <c r="G57" i="81" s="1"/>
  <c r="G58" i="81" s="1"/>
  <c r="G230" i="80"/>
  <c r="G231" i="80"/>
  <c r="G232" i="80"/>
  <c r="G233" i="80" s="1"/>
  <c r="G234" i="80" s="1"/>
  <c r="G235" i="80" s="1"/>
  <c r="G236" i="80" s="1"/>
  <c r="G237" i="80" s="1"/>
  <c r="G238" i="80" s="1"/>
  <c r="G239" i="80" s="1"/>
  <c r="G240" i="80" s="1"/>
  <c r="G241" i="80" s="1"/>
  <c r="G225" i="80"/>
  <c r="G226" i="80" s="1"/>
  <c r="G227" i="80" s="1"/>
  <c r="G228" i="80" s="1"/>
  <c r="G229" i="80" s="1"/>
  <c r="E147" i="79"/>
  <c r="G59" i="81" l="1"/>
  <c r="G60" i="81" s="1"/>
  <c r="G61" i="81" s="1"/>
  <c r="G62" i="81" s="1"/>
  <c r="G63" i="81" s="1"/>
  <c r="G64" i="81" s="1"/>
  <c r="G65" i="81" s="1"/>
  <c r="G66" i="81" s="1"/>
  <c r="G67" i="81" s="1"/>
  <c r="F268" i="80"/>
  <c r="G68" i="81" l="1"/>
  <c r="G69" i="81" s="1"/>
  <c r="G70" i="81" s="1"/>
  <c r="G71" i="81" s="1"/>
  <c r="G72" i="81" s="1"/>
  <c r="G73" i="81" s="1"/>
  <c r="G74" i="81" s="1"/>
  <c r="G75" i="81" s="1"/>
  <c r="G76" i="81" s="1"/>
  <c r="G77" i="81" s="1"/>
  <c r="G78" i="81" s="1"/>
  <c r="E119" i="79"/>
  <c r="G79" i="81" l="1"/>
  <c r="G80" i="81" s="1"/>
  <c r="G81" i="81" s="1"/>
  <c r="G82" i="81" s="1"/>
  <c r="G83" i="81" s="1"/>
  <c r="G84" i="81" s="1"/>
  <c r="G85" i="81" s="1"/>
  <c r="G86" i="81" s="1"/>
  <c r="G87" i="81" s="1"/>
  <c r="G88" i="81" s="1"/>
  <c r="G89" i="81" s="1"/>
  <c r="G90" i="81" s="1"/>
  <c r="G91" i="81" s="1"/>
  <c r="G92" i="81" s="1"/>
  <c r="G93" i="81" s="1"/>
  <c r="G94" i="81" s="1"/>
  <c r="G95" i="81" s="1"/>
  <c r="G96" i="81" s="1"/>
  <c r="G97" i="81" s="1"/>
  <c r="G98" i="81" s="1"/>
  <c r="G99" i="81" s="1"/>
  <c r="G100" i="81" s="1"/>
  <c r="G101" i="81" s="1"/>
  <c r="G102" i="81" s="1"/>
  <c r="G103" i="81" s="1"/>
  <c r="G104" i="81" s="1"/>
  <c r="G105" i="81" s="1"/>
  <c r="G106" i="81" s="1"/>
  <c r="G107" i="81" s="1"/>
  <c r="G108" i="81" s="1"/>
  <c r="G109" i="81" s="1"/>
  <c r="G110" i="81" s="1"/>
  <c r="G111" i="81" s="1"/>
  <c r="G112" i="81" s="1"/>
  <c r="G113" i="81" s="1"/>
  <c r="G114" i="81" s="1"/>
  <c r="G115" i="81" s="1"/>
  <c r="G116" i="81" s="1"/>
  <c r="G117" i="81" s="1"/>
  <c r="G118" i="81" s="1"/>
  <c r="G119" i="81" s="1"/>
  <c r="G120" i="81" s="1"/>
  <c r="G121" i="81" s="1"/>
  <c r="G122" i="81" s="1"/>
  <c r="G123" i="81" s="1"/>
  <c r="G124" i="81" s="1"/>
  <c r="G125" i="81" s="1"/>
  <c r="G126" i="81" s="1"/>
  <c r="G127" i="81" s="1"/>
  <c r="G128" i="81" s="1"/>
  <c r="G129" i="81" s="1"/>
  <c r="G130" i="81" s="1"/>
  <c r="H76" i="81"/>
  <c r="E23" i="79"/>
  <c r="G131" i="81" l="1"/>
  <c r="G132" i="81" s="1"/>
  <c r="G133" i="81" s="1"/>
  <c r="G134" i="81" s="1"/>
  <c r="G135" i="81" s="1"/>
  <c r="G136" i="81" s="1"/>
  <c r="G137" i="81" s="1"/>
  <c r="G138" i="81" s="1"/>
  <c r="G139" i="81" s="1"/>
  <c r="G140" i="81" s="1"/>
  <c r="G141" i="81" s="1"/>
  <c r="G142" i="81" s="1"/>
  <c r="G143" i="81" s="1"/>
  <c r="G144" i="81" s="1"/>
  <c r="G145" i="81" s="1"/>
  <c r="G146" i="81" s="1"/>
  <c r="G147" i="81" s="1"/>
  <c r="G148" i="81" s="1"/>
  <c r="G149" i="81" s="1"/>
  <c r="G150" i="81" s="1"/>
  <c r="G151" i="81" s="1"/>
  <c r="E200" i="79"/>
  <c r="F200" i="79"/>
  <c r="F201" i="78"/>
  <c r="G152" i="81" l="1"/>
  <c r="G153" i="81" s="1"/>
  <c r="G154" i="81" s="1"/>
  <c r="G155" i="81" s="1"/>
  <c r="G156" i="81" s="1"/>
  <c r="G157" i="81" s="1"/>
  <c r="G158" i="81" s="1"/>
  <c r="G159" i="81" s="1"/>
  <c r="G160" i="81" s="1"/>
  <c r="G161" i="81" s="1"/>
  <c r="G162" i="81" s="1"/>
  <c r="G163" i="81" s="1"/>
  <c r="G164" i="81" s="1"/>
  <c r="G165" i="81" s="1"/>
  <c r="G166" i="81" s="1"/>
  <c r="G167" i="81" s="1"/>
  <c r="G168" i="81" s="1"/>
  <c r="G169" i="81" s="1"/>
  <c r="G170" i="81" s="1"/>
  <c r="G171" i="81" s="1"/>
  <c r="G172" i="81" s="1"/>
  <c r="G173" i="81" s="1"/>
  <c r="G174" i="81" s="1"/>
  <c r="G175" i="81" s="1"/>
  <c r="F265" i="78"/>
  <c r="G176" i="81" l="1"/>
  <c r="G177" i="81" s="1"/>
  <c r="G178" i="81" s="1"/>
  <c r="G179" i="81" s="1"/>
  <c r="G180" i="81" s="1"/>
  <c r="G181" i="81" s="1"/>
  <c r="G182" i="81" s="1"/>
  <c r="G183" i="81" s="1"/>
  <c r="G184" i="81" s="1"/>
  <c r="G185" i="81" s="1"/>
  <c r="G186" i="81" s="1"/>
  <c r="G187" i="81" s="1"/>
  <c r="G188" i="81" s="1"/>
  <c r="G189" i="81" s="1"/>
  <c r="G190" i="81" s="1"/>
  <c r="E222" i="78"/>
  <c r="E221" i="78"/>
  <c r="F220" i="78"/>
  <c r="F294" i="78" s="1"/>
  <c r="G191" i="81" l="1"/>
  <c r="G192" i="81" s="1"/>
  <c r="E71" i="78"/>
  <c r="E294" i="78" s="1"/>
  <c r="G193" i="81" l="1"/>
  <c r="G194" i="81" s="1"/>
  <c r="G195" i="81" s="1"/>
  <c r="G196" i="81" s="1"/>
  <c r="G197" i="81" s="1"/>
  <c r="G198" i="81" s="1"/>
  <c r="G199" i="81" s="1"/>
  <c r="G200" i="81" s="1"/>
  <c r="G201" i="81" s="1"/>
  <c r="G202" i="81" s="1"/>
  <c r="G203" i="81" s="1"/>
  <c r="G204" i="81" s="1"/>
  <c r="G205" i="81" s="1"/>
  <c r="G206" i="81" s="1"/>
  <c r="G207" i="81" s="1"/>
  <c r="G208" i="81" s="1"/>
  <c r="G209" i="81" s="1"/>
  <c r="G210" i="81" s="1"/>
  <c r="G211" i="81" s="1"/>
  <c r="G212" i="81" s="1"/>
  <c r="G213" i="81" s="1"/>
  <c r="G214" i="81" s="1"/>
  <c r="G215" i="81" s="1"/>
  <c r="G216" i="81" s="1"/>
  <c r="G217" i="81" s="1"/>
  <c r="G218" i="81" s="1"/>
  <c r="G219" i="81" s="1"/>
  <c r="G220" i="81" s="1"/>
  <c r="G221" i="81" s="1"/>
  <c r="E77" i="77"/>
  <c r="E116" i="77"/>
  <c r="G222" i="81" l="1"/>
  <c r="I259" i="78"/>
  <c r="I258" i="78"/>
  <c r="I234" i="78"/>
  <c r="I224" i="78"/>
  <c r="F203" i="77"/>
  <c r="E248" i="76"/>
  <c r="E255" i="76"/>
  <c r="G223" i="81" l="1"/>
  <c r="G224" i="81" s="1"/>
  <c r="G225" i="81" s="1"/>
  <c r="G226" i="81" s="1"/>
  <c r="G227" i="81" s="1"/>
  <c r="G228" i="81" s="1"/>
  <c r="G229" i="81" s="1"/>
  <c r="G230" i="81" s="1"/>
  <c r="G231" i="81" s="1"/>
  <c r="G232" i="81" s="1"/>
  <c r="G233" i="81" s="1"/>
  <c r="G234" i="81" s="1"/>
  <c r="G235" i="81" s="1"/>
  <c r="H235" i="81" s="1"/>
  <c r="E106" i="77"/>
  <c r="G236" i="81" l="1"/>
  <c r="G237" i="81" s="1"/>
  <c r="G238" i="81" s="1"/>
  <c r="G239" i="81" s="1"/>
  <c r="G240" i="81" s="1"/>
  <c r="G241" i="81" s="1"/>
  <c r="G242" i="81" s="1"/>
  <c r="G243" i="81" s="1"/>
  <c r="G244" i="81" s="1"/>
  <c r="G245" i="81" s="1"/>
  <c r="G246" i="81" s="1"/>
  <c r="G247" i="81" s="1"/>
  <c r="G248" i="81" s="1"/>
  <c r="G249" i="81" s="1"/>
  <c r="G250" i="81" s="1"/>
  <c r="G251" i="81" s="1"/>
  <c r="G252" i="81" s="1"/>
  <c r="G253" i="81" s="1"/>
  <c r="G254" i="81" s="1"/>
  <c r="G255" i="81" s="1"/>
  <c r="G256" i="81" s="1"/>
  <c r="G257" i="81" s="1"/>
  <c r="E89" i="77"/>
  <c r="G258" i="81" l="1"/>
  <c r="G259" i="81" s="1"/>
  <c r="E33" i="77"/>
  <c r="G260" i="81" l="1"/>
  <c r="G261" i="81" s="1"/>
  <c r="G262" i="81" s="1"/>
  <c r="G263" i="81" s="1"/>
  <c r="G264" i="81" s="1"/>
  <c r="G265" i="81" s="1"/>
  <c r="G266" i="81" s="1"/>
  <c r="G267" i="81" s="1"/>
  <c r="G268" i="81" s="1"/>
  <c r="G269" i="81" s="1"/>
  <c r="G270" i="81" s="1"/>
  <c r="G271" i="81" s="1"/>
  <c r="G272" i="81" s="1"/>
  <c r="G273" i="81" s="1"/>
  <c r="G274" i="81" s="1"/>
  <c r="G275" i="81" s="1"/>
  <c r="G276" i="81" s="1"/>
  <c r="G277" i="81" s="1"/>
  <c r="G278" i="81" s="1"/>
  <c r="I191" i="77"/>
  <c r="I190" i="77"/>
  <c r="I170" i="77"/>
  <c r="I164" i="77"/>
  <c r="E37" i="77"/>
  <c r="E203" i="77" s="1"/>
  <c r="G279" i="81" l="1"/>
  <c r="G280" i="81" s="1"/>
  <c r="G281" i="81" s="1"/>
  <c r="G282" i="81" s="1"/>
  <c r="G283" i="81" s="1"/>
  <c r="G284" i="81" s="1"/>
  <c r="G285" i="81" s="1"/>
  <c r="G286" i="81" s="1"/>
  <c r="G287" i="81" s="1"/>
  <c r="G288" i="81" s="1"/>
  <c r="G289" i="81" s="1"/>
  <c r="G290" i="81" s="1"/>
  <c r="G291" i="81" s="1"/>
  <c r="G292" i="81" s="1"/>
  <c r="G293" i="81" s="1"/>
  <c r="G294" i="81" s="1"/>
  <c r="G295" i="81" s="1"/>
  <c r="G296" i="81" s="1"/>
  <c r="G297" i="81" s="1"/>
  <c r="G298" i="81" s="1"/>
  <c r="G299" i="81" s="1"/>
  <c r="F264" i="76"/>
  <c r="G300" i="81" l="1"/>
  <c r="G301" i="81" s="1"/>
  <c r="G302" i="81" s="1"/>
  <c r="G303" i="81" s="1"/>
  <c r="G304" i="81" s="1"/>
  <c r="H299" i="81"/>
  <c r="E139" i="76"/>
  <c r="G305" i="81" l="1"/>
  <c r="G306" i="81" s="1"/>
  <c r="G307" i="81" s="1"/>
  <c r="G308" i="81" s="1"/>
  <c r="G309" i="81" s="1"/>
  <c r="G310" i="81" s="1"/>
  <c r="G311" i="81" s="1"/>
  <c r="G312" i="81" s="1"/>
  <c r="G313" i="81" s="1"/>
  <c r="E12" i="76"/>
  <c r="G314" i="81" l="1"/>
  <c r="G315" i="81" s="1"/>
  <c r="G316" i="81" s="1"/>
  <c r="G317" i="81" s="1"/>
  <c r="G318" i="81" s="1"/>
  <c r="G319" i="81" s="1"/>
  <c r="F348" i="81" s="1"/>
  <c r="E122" i="76"/>
  <c r="E118" i="76"/>
  <c r="E84" i="76" l="1"/>
  <c r="E77" i="76"/>
  <c r="E34" i="76"/>
  <c r="E10" i="76"/>
  <c r="E264" i="76" l="1"/>
  <c r="E68" i="76"/>
  <c r="E73" i="76"/>
  <c r="I213" i="76" l="1"/>
  <c r="I212" i="76"/>
  <c r="I192" i="76"/>
  <c r="I186" i="76"/>
  <c r="J36" i="76"/>
  <c r="G9" i="76" l="1"/>
  <c r="G10" i="76" s="1"/>
  <c r="G11" i="76" s="1"/>
  <c r="G12" i="76" l="1"/>
  <c r="G13" i="76" s="1"/>
  <c r="G14" i="76" s="1"/>
  <c r="G15" i="76" s="1"/>
  <c r="G16" i="76" s="1"/>
  <c r="G17" i="76" s="1"/>
  <c r="G18" i="76" s="1"/>
  <c r="G19" i="76" s="1"/>
  <c r="G21" i="76" l="1"/>
  <c r="G22" i="76" s="1"/>
  <c r="G23" i="76" s="1"/>
  <c r="G24" i="76" s="1"/>
  <c r="G25" i="76" s="1"/>
  <c r="G26" i="76" s="1"/>
  <c r="G27" i="76" s="1"/>
  <c r="G28" i="76" s="1"/>
  <c r="G29" i="76" s="1"/>
  <c r="G30" i="76" s="1"/>
  <c r="G31" i="76" s="1"/>
  <c r="G32" i="76" s="1"/>
  <c r="G33" i="76" s="1"/>
  <c r="G34" i="76" s="1"/>
  <c r="G35" i="76" s="1"/>
  <c r="G36" i="76" s="1"/>
  <c r="G37" i="76" s="1"/>
  <c r="G38" i="76" s="1"/>
  <c r="G39" i="76" s="1"/>
  <c r="G40" i="76" s="1"/>
  <c r="G41" i="76" s="1"/>
  <c r="G42" i="76" s="1"/>
  <c r="G43" i="76" s="1"/>
  <c r="G44" i="76" s="1"/>
  <c r="G45" i="76" s="1"/>
  <c r="G46" i="76" s="1"/>
  <c r="G47" i="76" s="1"/>
  <c r="G48" i="76" s="1"/>
  <c r="G49" i="76" s="1"/>
  <c r="G50" i="76" s="1"/>
  <c r="G51" i="76" s="1"/>
  <c r="G52" i="76" s="1"/>
  <c r="G53" i="76" s="1"/>
  <c r="G54" i="76" s="1"/>
  <c r="G20" i="76"/>
  <c r="G55" i="76" l="1"/>
  <c r="G56" i="76" s="1"/>
  <c r="G57" i="76" s="1"/>
  <c r="G58" i="76" s="1"/>
  <c r="G59" i="76" s="1"/>
  <c r="G60" i="76" s="1"/>
  <c r="G61" i="76" s="1"/>
  <c r="G62" i="76" s="1"/>
  <c r="G63" i="76" s="1"/>
  <c r="G64" i="76" s="1"/>
  <c r="G65" i="76" s="1"/>
  <c r="G66" i="76" s="1"/>
  <c r="G67" i="76" s="1"/>
  <c r="G68" i="76" s="1"/>
  <c r="G69" i="76" s="1"/>
  <c r="G70" i="76" s="1"/>
  <c r="G71" i="76" s="1"/>
  <c r="G72" i="76" s="1"/>
  <c r="G73" i="76" s="1"/>
  <c r="G74" i="76" s="1"/>
  <c r="G75" i="76" s="1"/>
  <c r="G76" i="76" s="1"/>
  <c r="G77" i="76" s="1"/>
  <c r="G78" i="76" s="1"/>
  <c r="G79" i="76" s="1"/>
  <c r="G80" i="76" s="1"/>
  <c r="G81" i="76" s="1"/>
  <c r="G82" i="76" s="1"/>
  <c r="G83" i="76" s="1"/>
  <c r="G84" i="76" s="1"/>
  <c r="G85" i="76" s="1"/>
  <c r="G86" i="76" s="1"/>
  <c r="G87" i="76" s="1"/>
  <c r="G88" i="76" s="1"/>
  <c r="G89" i="76" s="1"/>
  <c r="G90" i="76" s="1"/>
  <c r="G91" i="76" s="1"/>
  <c r="G92" i="76" s="1"/>
  <c r="G93" i="76" s="1"/>
  <c r="G94" i="76" s="1"/>
  <c r="G95" i="76" s="1"/>
  <c r="G96" i="76" s="1"/>
  <c r="G97" i="76" s="1"/>
  <c r="G98" i="76" s="1"/>
  <c r="G99" i="76" s="1"/>
  <c r="G100" i="76" s="1"/>
  <c r="G101" i="76" s="1"/>
  <c r="G102" i="76" s="1"/>
  <c r="G103" i="76" s="1"/>
  <c r="G104" i="76" s="1"/>
  <c r="G105" i="76" s="1"/>
  <c r="G106" i="76" s="1"/>
  <c r="G107" i="76" s="1"/>
  <c r="G108" i="76" s="1"/>
  <c r="G109" i="76" s="1"/>
  <c r="G110" i="76" s="1"/>
  <c r="G111" i="76" s="1"/>
  <c r="G112" i="76" s="1"/>
  <c r="G113" i="76" s="1"/>
  <c r="G114" i="76" s="1"/>
  <c r="G115" i="76" s="1"/>
  <c r="G116" i="76" s="1"/>
  <c r="G117" i="76" s="1"/>
  <c r="G118" i="76" s="1"/>
  <c r="G119" i="76" s="1"/>
  <c r="G120" i="76" s="1"/>
  <c r="G121" i="76" s="1"/>
  <c r="G122" i="76" s="1"/>
  <c r="G123" i="76" s="1"/>
  <c r="G124" i="76" s="1"/>
  <c r="G125" i="76" s="1"/>
  <c r="G126" i="76" s="1"/>
  <c r="G127" i="76" s="1"/>
  <c r="G128" i="76" s="1"/>
  <c r="G129" i="76" s="1"/>
  <c r="G130" i="76" s="1"/>
  <c r="G131" i="76" s="1"/>
  <c r="G132" i="76" s="1"/>
  <c r="G133" i="76" s="1"/>
  <c r="G134" i="76" s="1"/>
  <c r="G135" i="76" s="1"/>
  <c r="G136" i="76" s="1"/>
  <c r="G137" i="76" s="1"/>
  <c r="G138" i="76" s="1"/>
  <c r="G139" i="76" s="1"/>
  <c r="G140" i="76" s="1"/>
  <c r="G141" i="76" s="1"/>
  <c r="G142" i="76" s="1"/>
  <c r="G143" i="76" s="1"/>
  <c r="G144" i="76" s="1"/>
  <c r="G145" i="76" s="1"/>
  <c r="G146" i="76" s="1"/>
  <c r="G147" i="76" s="1"/>
  <c r="G148" i="76" s="1"/>
  <c r="G149" i="76" s="1"/>
  <c r="G150" i="76" s="1"/>
  <c r="G151" i="76" s="1"/>
  <c r="G152" i="76" s="1"/>
  <c r="G153" i="76" s="1"/>
  <c r="G154" i="76" s="1"/>
  <c r="G155" i="76" s="1"/>
  <c r="G156" i="76" s="1"/>
  <c r="G157" i="76" s="1"/>
  <c r="G158" i="76" s="1"/>
  <c r="G159" i="76" s="1"/>
  <c r="G160" i="76" s="1"/>
  <c r="G161" i="76" s="1"/>
  <c r="G162" i="76" s="1"/>
  <c r="G163" i="76" s="1"/>
  <c r="G164" i="76" s="1"/>
  <c r="G165" i="76" s="1"/>
  <c r="G166" i="76" s="1"/>
  <c r="G167" i="76" s="1"/>
  <c r="G168" i="76" s="1"/>
  <c r="G169" i="76" s="1"/>
  <c r="G170" i="76" s="1"/>
  <c r="G171" i="76" s="1"/>
  <c r="G172" i="76" s="1"/>
  <c r="G173" i="76" s="1"/>
  <c r="G174" i="76" s="1"/>
  <c r="G175" i="76" s="1"/>
  <c r="G176" i="76" s="1"/>
  <c r="G177" i="76" s="1"/>
  <c r="G178" i="76" s="1"/>
  <c r="G179" i="76" s="1"/>
  <c r="G180" i="76" s="1"/>
  <c r="G181" i="76" s="1"/>
  <c r="G182" i="76" s="1"/>
  <c r="G183" i="76" s="1"/>
  <c r="G184" i="76" s="1"/>
  <c r="G185" i="76" s="1"/>
  <c r="G186" i="76" s="1"/>
  <c r="G187" i="76" s="1"/>
  <c r="G188" i="76" s="1"/>
  <c r="G189" i="76" s="1"/>
  <c r="G190" i="76" s="1"/>
  <c r="G191" i="76" s="1"/>
  <c r="G192" i="76" s="1"/>
  <c r="G193" i="76" s="1"/>
  <c r="G194" i="76" s="1"/>
  <c r="G195" i="76" s="1"/>
  <c r="G196" i="76" s="1"/>
  <c r="G197" i="76" s="1"/>
  <c r="G198" i="76" s="1"/>
  <c r="G199" i="76" s="1"/>
  <c r="G200" i="76" s="1"/>
  <c r="G201" i="76" s="1"/>
  <c r="G202" i="76" s="1"/>
  <c r="G203" i="76" s="1"/>
  <c r="G204" i="76" s="1"/>
  <c r="G205" i="76" s="1"/>
  <c r="G206" i="76" s="1"/>
  <c r="G207" i="76" s="1"/>
  <c r="G208" i="76" s="1"/>
  <c r="G209" i="76" s="1"/>
  <c r="G210" i="76" s="1"/>
  <c r="G211" i="76" s="1"/>
  <c r="G212" i="76" s="1"/>
  <c r="G213" i="76" s="1"/>
  <c r="G214" i="76" s="1"/>
  <c r="G215" i="76" s="1"/>
  <c r="G216" i="76" s="1"/>
  <c r="G217" i="76" s="1"/>
  <c r="G218" i="76" s="1"/>
  <c r="G219" i="76" s="1"/>
  <c r="G220" i="76" s="1"/>
  <c r="G221" i="76" s="1"/>
  <c r="G222" i="76" s="1"/>
  <c r="G223" i="76" s="1"/>
  <c r="G224" i="76" s="1"/>
  <c r="G225" i="76" s="1"/>
  <c r="G226" i="76" s="1"/>
  <c r="G227" i="76" s="1"/>
  <c r="G228" i="76" s="1"/>
  <c r="G229" i="76" s="1"/>
  <c r="G230" i="76" s="1"/>
  <c r="G231" i="76" s="1"/>
  <c r="G232" i="76" s="1"/>
  <c r="G233" i="76" s="1"/>
  <c r="G234" i="76" s="1"/>
  <c r="G235" i="76" s="1"/>
  <c r="G236" i="76" s="1"/>
  <c r="G237" i="76" s="1"/>
  <c r="G238" i="76" s="1"/>
  <c r="G239" i="76" s="1"/>
  <c r="G240" i="76" s="1"/>
  <c r="G241" i="76" s="1"/>
  <c r="G242" i="76" s="1"/>
  <c r="G243" i="76" s="1"/>
  <c r="G244" i="76" s="1"/>
  <c r="G245" i="76" s="1"/>
  <c r="G246" i="76" s="1"/>
  <c r="G247" i="76" s="1"/>
  <c r="G248" i="76" s="1"/>
  <c r="G249" i="76" s="1"/>
  <c r="G250" i="76" s="1"/>
  <c r="G251" i="76" s="1"/>
  <c r="G252" i="76" s="1"/>
  <c r="G253" i="76" s="1"/>
  <c r="G254" i="76" s="1"/>
  <c r="G255" i="76" s="1"/>
  <c r="G256" i="76" s="1"/>
  <c r="G257" i="76" s="1"/>
  <c r="G258" i="76" s="1"/>
  <c r="G259" i="76" s="1"/>
  <c r="G260" i="76" s="1"/>
  <c r="G264" i="76" l="1"/>
  <c r="G9" i="77" s="1"/>
  <c r="G10" i="77" s="1"/>
  <c r="G11" i="77" s="1"/>
  <c r="G12" i="77" s="1"/>
  <c r="G13" i="77" s="1"/>
  <c r="G14" i="77" s="1"/>
  <c r="G15" i="77" s="1"/>
  <c r="G16" i="77" s="1"/>
  <c r="G17" i="77" s="1"/>
  <c r="G18" i="77" s="1"/>
  <c r="G19" i="77" s="1"/>
  <c r="G20" i="77" s="1"/>
  <c r="G21" i="77" s="1"/>
  <c r="G22" i="77" s="1"/>
  <c r="G23" i="77" s="1"/>
  <c r="G24" i="77" s="1"/>
  <c r="G25" i="77" s="1"/>
  <c r="G26" i="77" s="1"/>
  <c r="G27" i="77" s="1"/>
  <c r="G28" i="77" s="1"/>
  <c r="F270" i="76" l="1"/>
  <c r="G29" i="77"/>
  <c r="G30" i="77" s="1"/>
  <c r="G31" i="77" s="1"/>
  <c r="G32" i="77" s="1"/>
  <c r="G33" i="77" s="1"/>
  <c r="G34" i="77" s="1"/>
  <c r="G35" i="77" s="1"/>
  <c r="G36" i="77" s="1"/>
  <c r="G37" i="77" s="1"/>
  <c r="G38" i="77" s="1"/>
  <c r="G39" i="77" s="1"/>
  <c r="G40" i="77" s="1"/>
  <c r="G41" i="77" s="1"/>
  <c r="G42" i="77" s="1"/>
  <c r="G43" i="77" s="1"/>
  <c r="G44" i="77" s="1"/>
  <c r="G45" i="77" s="1"/>
  <c r="G46" i="77" s="1"/>
  <c r="G47" i="77" s="1"/>
  <c r="G48" i="77" s="1"/>
  <c r="G49" i="77" s="1"/>
  <c r="G50" i="77" s="1"/>
  <c r="G51" i="77" s="1"/>
  <c r="G52" i="77" s="1"/>
  <c r="G53" i="77" s="1"/>
  <c r="G54" i="77" s="1"/>
  <c r="G55" i="77" s="1"/>
  <c r="G56" i="77" s="1"/>
  <c r="G57" i="77" s="1"/>
  <c r="G58" i="77" s="1"/>
  <c r="G59" i="77" s="1"/>
  <c r="G60" i="77" s="1"/>
  <c r="G61" i="77" s="1"/>
  <c r="G62" i="77" s="1"/>
  <c r="G63" i="77" s="1"/>
  <c r="G64" i="77" l="1"/>
  <c r="G65" i="77" s="1"/>
  <c r="G66" i="77" s="1"/>
  <c r="G67" i="77" l="1"/>
  <c r="G68" i="77" s="1"/>
  <c r="G69" i="77" s="1"/>
  <c r="G70" i="77" s="1"/>
  <c r="G71" i="77" s="1"/>
  <c r="G72" i="77" s="1"/>
  <c r="G73" i="77" s="1"/>
  <c r="G74" i="77" s="1"/>
  <c r="G75" i="77" s="1"/>
  <c r="G76" i="77" s="1"/>
  <c r="G77" i="77" s="1"/>
  <c r="G78" i="77" s="1"/>
  <c r="G79" i="77" s="1"/>
  <c r="G80" i="77" s="1"/>
  <c r="G81" i="77" l="1"/>
  <c r="G82" i="77" s="1"/>
  <c r="G83" i="77" s="1"/>
  <c r="G84" i="77" s="1"/>
  <c r="G85" i="77" s="1"/>
  <c r="G86" i="77" s="1"/>
  <c r="G87" i="77" l="1"/>
  <c r="G88" i="77" s="1"/>
  <c r="G89" i="77" s="1"/>
  <c r="G90" i="77" s="1"/>
  <c r="G91" i="77" s="1"/>
  <c r="G92" i="77" s="1"/>
  <c r="G93" i="77" s="1"/>
  <c r="G94" i="77" s="1"/>
  <c r="G95" i="77" s="1"/>
  <c r="G96" i="77" s="1"/>
  <c r="G97" i="77" s="1"/>
  <c r="G98" i="77" s="1"/>
  <c r="G99" i="77" s="1"/>
  <c r="G100" i="77" s="1"/>
  <c r="G101" i="77" s="1"/>
  <c r="G102" i="77" s="1"/>
  <c r="G103" i="77" s="1"/>
  <c r="G104" i="77" s="1"/>
  <c r="G105" i="77" s="1"/>
  <c r="G106" i="77" s="1"/>
  <c r="G107" i="77" s="1"/>
  <c r="G108" i="77" s="1"/>
  <c r="G109" i="77" s="1"/>
  <c r="G110" i="77" s="1"/>
  <c r="G111" i="77" s="1"/>
  <c r="G112" i="77" s="1"/>
  <c r="G113" i="77" s="1"/>
  <c r="G114" i="77" s="1"/>
  <c r="G115" i="77" s="1"/>
  <c r="G116" i="77" s="1"/>
  <c r="G117" i="77" s="1"/>
  <c r="G118" i="77" s="1"/>
  <c r="G119" i="77" s="1"/>
  <c r="G120" i="77" s="1"/>
  <c r="G121" i="77" s="1"/>
  <c r="G122" i="77" s="1"/>
  <c r="G123" i="77" s="1"/>
  <c r="G124" i="77" s="1"/>
  <c r="G125" i="77" s="1"/>
  <c r="G126" i="77" s="1"/>
  <c r="G127" i="77" s="1"/>
  <c r="G128" i="77" s="1"/>
  <c r="G129" i="77" s="1"/>
  <c r="G130" i="77" s="1"/>
  <c r="G131" i="77" s="1"/>
  <c r="G132" i="77" s="1"/>
  <c r="G133" i="77" s="1"/>
  <c r="G134" i="77" s="1"/>
  <c r="G135" i="77" s="1"/>
  <c r="G136" i="77" s="1"/>
  <c r="G137" i="77" s="1"/>
  <c r="G138" i="77" s="1"/>
  <c r="G139" i="77" l="1"/>
  <c r="G140" i="77" s="1"/>
  <c r="G141" i="77" s="1"/>
  <c r="G142" i="77" s="1"/>
  <c r="G143" i="77" s="1"/>
  <c r="G144" i="77" s="1"/>
  <c r="G145" i="77" s="1"/>
  <c r="G146" i="77" s="1"/>
  <c r="G147" i="77" s="1"/>
  <c r="G148" i="77" s="1"/>
  <c r="G149" i="77" s="1"/>
  <c r="G150" i="77" s="1"/>
  <c r="G151" i="77" s="1"/>
  <c r="G152" i="77" s="1"/>
  <c r="G153" i="77" s="1"/>
  <c r="G154" i="77" s="1"/>
  <c r="G155" i="77" s="1"/>
  <c r="G156" i="77" s="1"/>
  <c r="G157" i="77" s="1"/>
  <c r="G158" i="77" s="1"/>
  <c r="G159" i="77" s="1"/>
  <c r="G160" i="77" s="1"/>
  <c r="G161" i="77" s="1"/>
  <c r="G162" i="77" l="1"/>
  <c r="G163" i="77" s="1"/>
  <c r="G164" i="77" s="1"/>
  <c r="G165" i="77" s="1"/>
  <c r="G166" i="77" s="1"/>
  <c r="G167" i="77" s="1"/>
  <c r="G168" i="77" s="1"/>
  <c r="G169" i="77" s="1"/>
  <c r="G170" i="77" s="1"/>
  <c r="G171" i="77" s="1"/>
  <c r="G172" i="77" s="1"/>
  <c r="G173" i="77" s="1"/>
  <c r="G174" i="77" s="1"/>
  <c r="G175" i="77" s="1"/>
  <c r="G176" i="77" s="1"/>
  <c r="G177" i="77" s="1"/>
  <c r="G178" i="77" s="1"/>
  <c r="G179" i="77" s="1"/>
  <c r="G180" i="77" s="1"/>
  <c r="G181" i="77" s="1"/>
  <c r="G182" i="77" s="1"/>
  <c r="G183" i="77" s="1"/>
  <c r="G184" i="77" s="1"/>
  <c r="G185" i="77" s="1"/>
  <c r="G186" i="77" s="1"/>
  <c r="G187" i="77" s="1"/>
  <c r="G188" i="77" s="1"/>
  <c r="G189" i="77" l="1"/>
  <c r="G190" i="77" s="1"/>
  <c r="G191" i="77" s="1"/>
  <c r="G192" i="77" s="1"/>
  <c r="G193" i="77" s="1"/>
  <c r="G194" i="77" s="1"/>
  <c r="G195" i="77" s="1"/>
  <c r="G196" i="77" s="1"/>
  <c r="G197" i="77" s="1"/>
  <c r="G198" i="77" s="1"/>
  <c r="G199" i="77" s="1"/>
  <c r="G9" i="78" l="1"/>
  <c r="G10" i="78" s="1"/>
  <c r="G11" i="78" s="1"/>
  <c r="G12" i="78" s="1"/>
  <c r="G13" i="78" s="1"/>
  <c r="G14" i="78" s="1"/>
  <c r="G15" i="78" s="1"/>
  <c r="G16" i="78" s="1"/>
  <c r="G17" i="78" s="1"/>
  <c r="G18" i="78" s="1"/>
  <c r="G19" i="78" s="1"/>
  <c r="G20" i="78" s="1"/>
  <c r="G21" i="78" s="1"/>
  <c r="G22" i="78" s="1"/>
  <c r="G23" i="78" s="1"/>
  <c r="G24" i="78" s="1"/>
  <c r="G25" i="78" s="1"/>
  <c r="G26" i="78" s="1"/>
  <c r="G27" i="78" s="1"/>
  <c r="G28" i="78" s="1"/>
  <c r="G29" i="78" s="1"/>
  <c r="G30" i="78" s="1"/>
  <c r="G31" i="78" s="1"/>
  <c r="G32" i="78" s="1"/>
  <c r="G33" i="78" s="1"/>
  <c r="G34" i="78" s="1"/>
  <c r="G35" i="78" s="1"/>
  <c r="G36" i="78" s="1"/>
  <c r="G37" i="78" s="1"/>
  <c r="G38" i="78" s="1"/>
  <c r="G39" i="78" s="1"/>
  <c r="G203" i="77"/>
  <c r="F209" i="77" s="1"/>
  <c r="G40" i="78" l="1"/>
  <c r="G41" i="78" s="1"/>
  <c r="G42" i="78" s="1"/>
  <c r="G43" i="78" s="1"/>
  <c r="G44" i="78" s="1"/>
  <c r="G45" i="78" s="1"/>
  <c r="G46" i="78" s="1"/>
  <c r="G47" i="78" s="1"/>
  <c r="G48" i="78" s="1"/>
  <c r="G49" i="78" s="1"/>
  <c r="G50" i="78" s="1"/>
  <c r="G51" i="78" s="1"/>
  <c r="G52" i="78" s="1"/>
  <c r="G53" i="78" s="1"/>
  <c r="G54" i="78" s="1"/>
  <c r="G55" i="78" s="1"/>
  <c r="G56" i="78" s="1"/>
  <c r="G57" i="78" s="1"/>
  <c r="G58" i="78" s="1"/>
  <c r="G59" i="78" s="1"/>
  <c r="G60" i="78" s="1"/>
  <c r="G61" i="78" l="1"/>
  <c r="G62" i="78" s="1"/>
  <c r="G63" i="78" s="1"/>
  <c r="G64" i="78" s="1"/>
  <c r="G65" i="78" l="1"/>
  <c r="G66" i="78" s="1"/>
  <c r="G67" i="78" s="1"/>
  <c r="G68" i="78" s="1"/>
  <c r="G69" i="78" s="1"/>
  <c r="G70" i="78" s="1"/>
  <c r="G71" i="78" s="1"/>
  <c r="G72" i="78" s="1"/>
  <c r="G73" i="78" s="1"/>
  <c r="G74" i="78" s="1"/>
  <c r="G75" i="78" s="1"/>
  <c r="G76" i="78" s="1"/>
  <c r="G77" i="78" s="1"/>
  <c r="G78" i="78" s="1"/>
  <c r="G79" i="78" s="1"/>
  <c r="G80" i="78" s="1"/>
  <c r="G81" i="78" s="1"/>
  <c r="G82" i="78" s="1"/>
  <c r="G83" i="78" s="1"/>
  <c r="G84" i="78" s="1"/>
  <c r="G85" i="78" s="1"/>
  <c r="G86" i="78" s="1"/>
  <c r="G87" i="78" s="1"/>
  <c r="G88" i="78" s="1"/>
  <c r="G89" i="78" s="1"/>
  <c r="G90" i="78" s="1"/>
  <c r="G91" i="78" s="1"/>
  <c r="G92" i="78" l="1"/>
  <c r="G93" i="78" s="1"/>
  <c r="G94" i="78" s="1"/>
  <c r="G95" i="78" s="1"/>
  <c r="G96" i="78" s="1"/>
  <c r="G97" i="78" s="1"/>
  <c r="G98" i="78" s="1"/>
  <c r="G99" i="78" s="1"/>
  <c r="G100" i="78" s="1"/>
  <c r="G101" i="78" s="1"/>
  <c r="G102" i="78" s="1"/>
  <c r="G103" i="78" s="1"/>
  <c r="G104" i="78" s="1"/>
  <c r="G105" i="78" s="1"/>
  <c r="G106" i="78" s="1"/>
  <c r="G107" i="78" s="1"/>
  <c r="G108" i="78" s="1"/>
  <c r="G109" i="78" s="1"/>
  <c r="G110" i="78" s="1"/>
  <c r="G111" i="78" s="1"/>
  <c r="G112" i="78" s="1"/>
  <c r="G113" i="78" s="1"/>
  <c r="G114" i="78" s="1"/>
  <c r="G115" i="78" s="1"/>
  <c r="G116" i="78" s="1"/>
  <c r="G117" i="78" s="1"/>
  <c r="G118" i="78" s="1"/>
  <c r="G119" i="78" s="1"/>
  <c r="G120" i="78" s="1"/>
  <c r="G121" i="78" s="1"/>
  <c r="G122" i="78" s="1"/>
  <c r="G123" i="78" s="1"/>
  <c r="G124" i="78" s="1"/>
  <c r="G125" i="78" s="1"/>
  <c r="G126" i="78" s="1"/>
  <c r="G127" i="78" s="1"/>
  <c r="G128" i="78" s="1"/>
  <c r="G129" i="78" s="1"/>
  <c r="G130" i="78" s="1"/>
  <c r="G131" i="78" s="1"/>
  <c r="G132" i="78" s="1"/>
  <c r="G133" i="78" l="1"/>
  <c r="G134" i="78" s="1"/>
  <c r="G135" i="78" s="1"/>
  <c r="G136" i="78" s="1"/>
  <c r="G137" i="78" s="1"/>
  <c r="G138" i="78" s="1"/>
  <c r="G139" i="78" s="1"/>
  <c r="G140" i="78" s="1"/>
  <c r="G141" i="78" s="1"/>
  <c r="G142" i="78" s="1"/>
  <c r="G143" i="78" s="1"/>
  <c r="G144" i="78" s="1"/>
  <c r="G145" i="78" s="1"/>
  <c r="G146" i="78" s="1"/>
  <c r="G147" i="78" s="1"/>
  <c r="G148" i="78" s="1"/>
  <c r="G149" i="78" s="1"/>
  <c r="G150" i="78" s="1"/>
  <c r="G151" i="78" s="1"/>
  <c r="G152" i="78" s="1"/>
  <c r="G153" i="78" s="1"/>
  <c r="G154" i="78" s="1"/>
  <c r="G155" i="78" s="1"/>
  <c r="G156" i="78" s="1"/>
  <c r="G157" i="78" s="1"/>
  <c r="G158" i="78" s="1"/>
  <c r="H133" i="78"/>
  <c r="G159" i="78" l="1"/>
  <c r="G160" i="78" l="1"/>
  <c r="G161" i="78" s="1"/>
  <c r="G162" i="78" s="1"/>
  <c r="G163" i="78" s="1"/>
  <c r="G164" i="78" s="1"/>
  <c r="G165" i="78" l="1"/>
  <c r="G166" i="78" l="1"/>
  <c r="G167" i="78" s="1"/>
  <c r="G168" i="78" s="1"/>
  <c r="G169" i="78" s="1"/>
  <c r="G170" i="78" s="1"/>
  <c r="G171" i="78" s="1"/>
  <c r="G172" i="78" s="1"/>
  <c r="G173" i="78" s="1"/>
  <c r="G174" i="78" s="1"/>
  <c r="G175" i="78" s="1"/>
  <c r="G176" i="78" s="1"/>
  <c r="G177" i="78" s="1"/>
  <c r="G178" i="78" s="1"/>
  <c r="G179" i="78" s="1"/>
  <c r="G180" i="78" s="1"/>
  <c r="G181" i="78" s="1"/>
  <c r="G182" i="78" s="1"/>
  <c r="G183" i="78" s="1"/>
  <c r="G184" i="78" s="1"/>
  <c r="G185" i="78" s="1"/>
  <c r="G186" i="78" s="1"/>
  <c r="G187" i="78" s="1"/>
  <c r="G188" i="78" s="1"/>
  <c r="G189" i="78" s="1"/>
  <c r="G190" i="78" s="1"/>
  <c r="G191" i="78" s="1"/>
  <c r="G192" i="78" s="1"/>
  <c r="G193" i="78" s="1"/>
  <c r="G194" i="78" s="1"/>
  <c r="G195" i="78" s="1"/>
  <c r="G196" i="78" s="1"/>
  <c r="G197" i="78" s="1"/>
  <c r="G198" i="78" s="1"/>
  <c r="G199" i="78" s="1"/>
  <c r="G200" i="78" s="1"/>
  <c r="G201" i="78" s="1"/>
  <c r="G202" i="78" s="1"/>
  <c r="G203" i="78" s="1"/>
  <c r="G204" i="78" s="1"/>
  <c r="G205" i="78" s="1"/>
  <c r="G206" i="78" s="1"/>
  <c r="G207" i="78" s="1"/>
  <c r="G208" i="78" s="1"/>
  <c r="G209" i="78" s="1"/>
  <c r="G210" i="78" s="1"/>
  <c r="G211" i="78" s="1"/>
  <c r="G212" i="78" s="1"/>
  <c r="G213" i="78" s="1"/>
  <c r="G214" i="78" s="1"/>
  <c r="G215" i="78" s="1"/>
  <c r="G216" i="78" s="1"/>
  <c r="G217" i="78" s="1"/>
  <c r="G218" i="78" s="1"/>
  <c r="G219" i="78" s="1"/>
  <c r="G220" i="78" s="1"/>
  <c r="G221" i="78" s="1"/>
  <c r="G222" i="78" s="1"/>
  <c r="G223" i="78" s="1"/>
  <c r="G224" i="78" s="1"/>
  <c r="G225" i="78" s="1"/>
  <c r="G226" i="78" s="1"/>
  <c r="G227" i="78" s="1"/>
  <c r="G228" i="78" s="1"/>
  <c r="G229" i="78" s="1"/>
  <c r="G230" i="78" s="1"/>
  <c r="G231" i="78" s="1"/>
  <c r="G232" i="78" s="1"/>
  <c r="G233" i="78" s="1"/>
  <c r="G234" i="78" s="1"/>
  <c r="G235" i="78" s="1"/>
  <c r="G236" i="78" s="1"/>
  <c r="G237" i="78" s="1"/>
  <c r="G238" i="78" s="1"/>
  <c r="G239" i="78" s="1"/>
  <c r="G240" i="78" s="1"/>
  <c r="G241" i="78" s="1"/>
  <c r="G242" i="78" s="1"/>
  <c r="G243" i="78" s="1"/>
  <c r="G244" i="78" s="1"/>
  <c r="G245" i="78" s="1"/>
  <c r="G246" i="78" s="1"/>
  <c r="G247" i="78" s="1"/>
  <c r="G248" i="78" s="1"/>
  <c r="G249" i="78" s="1"/>
  <c r="G250" i="78" s="1"/>
  <c r="G251" i="78" s="1"/>
  <c r="G252" i="78" s="1"/>
  <c r="G253" i="78" s="1"/>
  <c r="G254" i="78" s="1"/>
  <c r="G255" i="78" s="1"/>
  <c r="G256" i="78" s="1"/>
  <c r="G257" i="78" s="1"/>
  <c r="G258" i="78" s="1"/>
  <c r="G259" i="78" s="1"/>
  <c r="G260" i="78" s="1"/>
  <c r="G261" i="78" s="1"/>
  <c r="G262" i="78" s="1"/>
  <c r="G263" i="78" s="1"/>
  <c r="G264" i="78" s="1"/>
  <c r="G265" i="78" s="1"/>
  <c r="G266" i="78" s="1"/>
  <c r="G267" i="78" s="1"/>
  <c r="G268" i="78" s="1"/>
  <c r="G269" i="78" s="1"/>
  <c r="G270" i="78" s="1"/>
  <c r="G271" i="78" s="1"/>
  <c r="G272" i="78" s="1"/>
  <c r="G273" i="78" s="1"/>
  <c r="G274" i="78" l="1"/>
  <c r="G275" i="78" s="1"/>
  <c r="G276" i="78" s="1"/>
  <c r="G277" i="78" s="1"/>
  <c r="G278" i="78" s="1"/>
  <c r="G279" i="78" s="1"/>
  <c r="G280" i="78" s="1"/>
  <c r="G281" i="78" s="1"/>
  <c r="G282" i="78" s="1"/>
  <c r="G283" i="78" s="1"/>
  <c r="G284" i="78" s="1"/>
  <c r="G285" i="78" s="1"/>
  <c r="G286" i="78" s="1"/>
  <c r="G287" i="78" s="1"/>
  <c r="G288" i="78" s="1"/>
  <c r="G289" i="78" s="1"/>
  <c r="G290" i="78" s="1"/>
  <c r="G291" i="78" s="1"/>
  <c r="G294" i="78" l="1"/>
  <c r="F300" i="78" s="1"/>
  <c r="G9" i="79"/>
  <c r="G10" i="79" s="1"/>
  <c r="G11" i="79" s="1"/>
  <c r="G12" i="79" s="1"/>
  <c r="G13" i="79" s="1"/>
  <c r="G14" i="79" s="1"/>
  <c r="G15" i="79" s="1"/>
  <c r="G16" i="79" s="1"/>
  <c r="G17" i="79" s="1"/>
  <c r="G18" i="79" s="1"/>
  <c r="G19" i="79" s="1"/>
  <c r="G20" i="79" s="1"/>
  <c r="G21" i="79" s="1"/>
  <c r="G22" i="79" s="1"/>
  <c r="G23" i="79" s="1"/>
  <c r="G24" i="79" s="1"/>
  <c r="G25" i="79" s="1"/>
  <c r="G26" i="79" s="1"/>
  <c r="G27" i="79" s="1"/>
  <c r="G28" i="79" s="1"/>
  <c r="G29" i="79" s="1"/>
  <c r="G30" i="79" s="1"/>
  <c r="G31" i="79" s="1"/>
  <c r="G32" i="79" s="1"/>
  <c r="G33" i="79" s="1"/>
  <c r="G34" i="79" s="1"/>
  <c r="G35" i="79" s="1"/>
  <c r="G36" i="79" s="1"/>
  <c r="G37" i="79" s="1"/>
  <c r="G38" i="79" s="1"/>
  <c r="G39" i="79" s="1"/>
  <c r="G40" i="79" s="1"/>
  <c r="G41" i="79" s="1"/>
  <c r="G42" i="79" s="1"/>
  <c r="G43" i="79" s="1"/>
  <c r="G44" i="79" s="1"/>
  <c r="G45" i="79" s="1"/>
  <c r="G46" i="79" s="1"/>
  <c r="G47" i="79" s="1"/>
  <c r="G48" i="79" s="1"/>
  <c r="G49" i="79" s="1"/>
  <c r="G50" i="79" s="1"/>
  <c r="G51" i="79" s="1"/>
  <c r="G52" i="79" s="1"/>
  <c r="G53" i="79" s="1"/>
  <c r="G54" i="79" s="1"/>
  <c r="G55" i="79" s="1"/>
  <c r="G56" i="79" s="1"/>
  <c r="G57" i="79" s="1"/>
  <c r="G58" i="79" s="1"/>
  <c r="G59" i="79" s="1"/>
  <c r="G60" i="79" s="1"/>
  <c r="G61" i="79" s="1"/>
  <c r="G62" i="79" s="1"/>
  <c r="G63" i="79" s="1"/>
  <c r="G64" i="79" s="1"/>
  <c r="G65" i="79" s="1"/>
  <c r="G66" i="79" s="1"/>
  <c r="G67" i="79" s="1"/>
  <c r="G68" i="79" s="1"/>
  <c r="G69" i="79" s="1"/>
  <c r="G70" i="79" s="1"/>
  <c r="G71" i="79" s="1"/>
  <c r="G72" i="79" s="1"/>
  <c r="G73" i="79" s="1"/>
  <c r="G74" i="79" s="1"/>
  <c r="G75" i="79" s="1"/>
  <c r="G76" i="79" s="1"/>
  <c r="G77" i="79" s="1"/>
  <c r="G78" i="79" s="1"/>
  <c r="G79" i="79" s="1"/>
  <c r="G80" i="79" s="1"/>
  <c r="G81" i="79" s="1"/>
  <c r="G82" i="79" s="1"/>
  <c r="G83" i="79" s="1"/>
  <c r="G84" i="79" s="1"/>
  <c r="G85" i="79" s="1"/>
  <c r="G86" i="79" s="1"/>
  <c r="G87" i="79" s="1"/>
  <c r="G88" i="79" s="1"/>
  <c r="G89" i="79" s="1"/>
  <c r="G90" i="79" s="1"/>
  <c r="G91" i="79" s="1"/>
  <c r="G92" i="79" s="1"/>
  <c r="G93" i="79" s="1"/>
  <c r="G94" i="79" s="1"/>
  <c r="G95" i="79" s="1"/>
  <c r="G96" i="79" s="1"/>
  <c r="G97" i="79" s="1"/>
  <c r="G98" i="79" s="1"/>
  <c r="G99" i="79" s="1"/>
  <c r="G100" i="79" s="1"/>
  <c r="G101" i="79" s="1"/>
  <c r="G102" i="79" s="1"/>
  <c r="G103" i="79" s="1"/>
  <c r="G104" i="79" s="1"/>
  <c r="G105" i="79" s="1"/>
  <c r="G106" i="79" s="1"/>
  <c r="G107" i="79" s="1"/>
  <c r="G108" i="79" s="1"/>
  <c r="G109" i="79" s="1"/>
  <c r="G110" i="79" s="1"/>
  <c r="G111" i="79" s="1"/>
  <c r="G112" i="79" s="1"/>
  <c r="G113" i="79" s="1"/>
  <c r="G114" i="79" s="1"/>
  <c r="G115" i="79" s="1"/>
  <c r="G116" i="79" s="1"/>
  <c r="G117" i="79" s="1"/>
  <c r="G118" i="79" s="1"/>
  <c r="G119" i="79" s="1"/>
  <c r="G120" i="79" s="1"/>
  <c r="G121" i="79" s="1"/>
  <c r="G122" i="79" s="1"/>
  <c r="G123" i="79" s="1"/>
  <c r="G124" i="79" s="1"/>
  <c r="G125" i="79" s="1"/>
  <c r="G126" i="79" s="1"/>
  <c r="G127" i="79" s="1"/>
  <c r="G128" i="79" s="1"/>
  <c r="G129" i="79" s="1"/>
  <c r="G130" i="79" s="1"/>
  <c r="G131" i="79" s="1"/>
  <c r="G132" i="79" s="1"/>
  <c r="G133" i="79" s="1"/>
  <c r="G134" i="79" s="1"/>
  <c r="G135" i="79" s="1"/>
  <c r="G136" i="79" s="1"/>
  <c r="G137" i="79" s="1"/>
  <c r="G138" i="79" s="1"/>
  <c r="G139" i="79" s="1"/>
  <c r="G140" i="79" s="1"/>
  <c r="G141" i="79" s="1"/>
  <c r="G142" i="79" s="1"/>
  <c r="G143" i="79" s="1"/>
  <c r="G144" i="79" s="1"/>
  <c r="G145" i="79" s="1"/>
  <c r="G146" i="79" s="1"/>
  <c r="G147" i="79" s="1"/>
  <c r="G148" i="79" s="1"/>
  <c r="G149" i="79" s="1"/>
  <c r="G150" i="79" l="1"/>
  <c r="G151" i="79" s="1"/>
  <c r="G152" i="79" s="1"/>
  <c r="G153" i="79" s="1"/>
  <c r="G154" i="79" s="1"/>
  <c r="G155" i="79" s="1"/>
  <c r="G156" i="79" s="1"/>
  <c r="G157" i="79" l="1"/>
  <c r="G158" i="79" s="1"/>
  <c r="G159" i="79" s="1"/>
  <c r="G160" i="79" s="1"/>
  <c r="G161" i="79" l="1"/>
  <c r="G162" i="79" s="1"/>
  <c r="G163" i="79" s="1"/>
  <c r="G164" i="79" s="1"/>
  <c r="G165" i="79" s="1"/>
  <c r="G166" i="79" s="1"/>
  <c r="G167" i="79" s="1"/>
  <c r="G168" i="79" s="1"/>
  <c r="G169" i="79" s="1"/>
  <c r="G170" i="79" s="1"/>
  <c r="G171" i="79" s="1"/>
  <c r="G172" i="79" s="1"/>
  <c r="G173" i="79" s="1"/>
  <c r="G174" i="79" s="1"/>
  <c r="G175" i="79" s="1"/>
  <c r="G176" i="79" s="1"/>
  <c r="G177" i="79" s="1"/>
  <c r="G178" i="79" s="1"/>
  <c r="G179" i="79" s="1"/>
  <c r="G180" i="79" s="1"/>
  <c r="G181" i="79" s="1"/>
  <c r="G182" i="79" s="1"/>
  <c r="G183" i="79" s="1"/>
  <c r="G184" i="79" s="1"/>
  <c r="G185" i="79" s="1"/>
  <c r="G186" i="79" s="1"/>
  <c r="G187" i="79" s="1"/>
  <c r="G188" i="79" s="1"/>
  <c r="G189" i="79" s="1"/>
  <c r="G190" i="79" s="1"/>
  <c r="G191" i="79" s="1"/>
  <c r="G192" i="79" s="1"/>
  <c r="G193" i="79" s="1"/>
  <c r="G194" i="79" s="1"/>
  <c r="G195" i="79" s="1"/>
  <c r="G200" i="79" l="1"/>
  <c r="F206" i="79" l="1"/>
  <c r="G9" i="80"/>
  <c r="G10" i="80" s="1"/>
  <c r="G11" i="80" s="1"/>
  <c r="G12" i="80" s="1"/>
  <c r="G13" i="80" s="1"/>
  <c r="G14" i="80" s="1"/>
  <c r="G15" i="80" s="1"/>
  <c r="G16" i="80" s="1"/>
  <c r="G17" i="80" s="1"/>
  <c r="G18" i="80" s="1"/>
  <c r="G19" i="80" s="1"/>
  <c r="G20" i="80" s="1"/>
  <c r="G21" i="80" s="1"/>
  <c r="G22" i="80" s="1"/>
  <c r="G23" i="80" s="1"/>
  <c r="G24" i="80" s="1"/>
  <c r="G25" i="80" s="1"/>
  <c r="G26" i="80" s="1"/>
  <c r="G27" i="80" s="1"/>
  <c r="G28" i="80" s="1"/>
  <c r="G29" i="80" s="1"/>
  <c r="G30" i="80" s="1"/>
  <c r="G31" i="80" s="1"/>
  <c r="G32" i="80" s="1"/>
  <c r="G33" i="80" s="1"/>
  <c r="G34" i="80" s="1"/>
  <c r="G35" i="80" s="1"/>
  <c r="G36" i="80" s="1"/>
  <c r="G37" i="80" s="1"/>
  <c r="G38" i="80" s="1"/>
  <c r="G39" i="80" s="1"/>
  <c r="G40" i="80" s="1"/>
  <c r="G41" i="80" s="1"/>
  <c r="G42" i="80" s="1"/>
  <c r="G43" i="80" s="1"/>
  <c r="G44" i="80" s="1"/>
  <c r="G45" i="80" s="1"/>
  <c r="G46" i="80" s="1"/>
  <c r="G47" i="80" s="1"/>
  <c r="G48" i="80" s="1"/>
  <c r="G49" i="80" s="1"/>
  <c r="G50" i="80" s="1"/>
  <c r="G51" i="80" s="1"/>
  <c r="G52" i="80" s="1"/>
  <c r="G53" i="80" s="1"/>
  <c r="G54" i="80" s="1"/>
  <c r="G55" i="80" s="1"/>
  <c r="G56" i="80" s="1"/>
  <c r="G57" i="80" s="1"/>
  <c r="G58" i="80" s="1"/>
  <c r="G59" i="80" s="1"/>
  <c r="G60" i="80" s="1"/>
  <c r="G61" i="80" s="1"/>
  <c r="G62" i="80" s="1"/>
  <c r="G63" i="80" s="1"/>
  <c r="G64" i="80" s="1"/>
  <c r="G65" i="80" s="1"/>
  <c r="G66" i="80" s="1"/>
  <c r="G67" i="80" s="1"/>
  <c r="G68" i="80" s="1"/>
  <c r="G69" i="80" s="1"/>
  <c r="G70" i="80" s="1"/>
  <c r="G71" i="80" s="1"/>
  <c r="G72" i="80" s="1"/>
  <c r="G73" i="80" s="1"/>
  <c r="G74" i="80" s="1"/>
  <c r="G75" i="80" s="1"/>
  <c r="G76" i="80" s="1"/>
  <c r="G77" i="80" s="1"/>
  <c r="G78" i="80" s="1"/>
  <c r="G79" i="80" s="1"/>
  <c r="G80" i="80" s="1"/>
  <c r="G81" i="80" s="1"/>
  <c r="G82" i="80" s="1"/>
  <c r="G83" i="80" s="1"/>
  <c r="G84" i="80" s="1"/>
  <c r="G85" i="80" s="1"/>
  <c r="G86" i="80" s="1"/>
  <c r="G87" i="80" s="1"/>
  <c r="G88" i="80" s="1"/>
  <c r="G89" i="80" s="1"/>
  <c r="G90" i="80" s="1"/>
  <c r="G91" i="80" s="1"/>
  <c r="G92" i="80" s="1"/>
  <c r="G93" i="80" s="1"/>
  <c r="G94" i="80" s="1"/>
  <c r="G95" i="80" s="1"/>
  <c r="G96" i="80" s="1"/>
  <c r="G97" i="80" s="1"/>
  <c r="G98" i="80" s="1"/>
  <c r="G99" i="80" s="1"/>
  <c r="G100" i="80" s="1"/>
  <c r="G101" i="80" s="1"/>
  <c r="G102" i="80" s="1"/>
  <c r="G103" i="80" s="1"/>
  <c r="G104" i="80" s="1"/>
  <c r="G105" i="80" s="1"/>
  <c r="G106" i="80" s="1"/>
  <c r="G107" i="80" s="1"/>
  <c r="G108" i="80" s="1"/>
  <c r="G109" i="80" s="1"/>
  <c r="G110" i="80" s="1"/>
  <c r="G111" i="80" s="1"/>
  <c r="G112" i="80" s="1"/>
  <c r="G113" i="80" s="1"/>
  <c r="G114" i="80" s="1"/>
  <c r="G115" i="80" s="1"/>
  <c r="G116" i="80" s="1"/>
  <c r="G117" i="80" s="1"/>
  <c r="G118" i="80" s="1"/>
  <c r="G119" i="80" s="1"/>
  <c r="G120" i="80" s="1"/>
  <c r="G121" i="80" s="1"/>
  <c r="G122" i="80" s="1"/>
  <c r="G123" i="80" s="1"/>
  <c r="G124" i="80" s="1"/>
  <c r="G125" i="80" s="1"/>
  <c r="G126" i="80" s="1"/>
  <c r="G127" i="80" s="1"/>
  <c r="G128" i="80" s="1"/>
  <c r="G129" i="80" s="1"/>
  <c r="G130" i="80" s="1"/>
  <c r="G131" i="80" s="1"/>
  <c r="G132" i="80" s="1"/>
  <c r="G133" i="80" s="1"/>
  <c r="G134" i="80" s="1"/>
  <c r="G135" i="80" s="1"/>
  <c r="G136" i="80" s="1"/>
  <c r="G137" i="80" s="1"/>
  <c r="G138" i="80" s="1"/>
  <c r="G139" i="80" s="1"/>
  <c r="G140" i="80" s="1"/>
  <c r="G141" i="80" s="1"/>
  <c r="G142" i="80" s="1"/>
  <c r="G143" i="80" s="1"/>
  <c r="G144" i="80" s="1"/>
  <c r="G145" i="80" s="1"/>
  <c r="G146" i="80" s="1"/>
  <c r="G147" i="80" s="1"/>
  <c r="G148" i="80" s="1"/>
  <c r="G149" i="80" s="1"/>
  <c r="G150" i="80" s="1"/>
  <c r="G151" i="80" s="1"/>
  <c r="G152" i="80" s="1"/>
  <c r="G153" i="80" s="1"/>
  <c r="G154" i="80" s="1"/>
  <c r="G155" i="80" s="1"/>
  <c r="G156" i="80" s="1"/>
  <c r="G157" i="80" s="1"/>
  <c r="G158" i="80" s="1"/>
  <c r="G159" i="80" s="1"/>
  <c r="G160" i="80" s="1"/>
  <c r="G161" i="80" s="1"/>
  <c r="G162" i="80" s="1"/>
  <c r="G163" i="80" s="1"/>
  <c r="G164" i="80" s="1"/>
  <c r="G165" i="80" s="1"/>
  <c r="G166" i="80" s="1"/>
  <c r="G167" i="80" s="1"/>
  <c r="G168" i="80" s="1"/>
  <c r="G169" i="80" s="1"/>
  <c r="G170" i="80" s="1"/>
  <c r="G171" i="80" s="1"/>
  <c r="G172" i="80" s="1"/>
  <c r="G173" i="80" s="1"/>
  <c r="G174" i="80" s="1"/>
  <c r="G175" i="80" s="1"/>
  <c r="G176" i="80" s="1"/>
  <c r="G177" i="80" s="1"/>
  <c r="G178" i="80" s="1"/>
  <c r="G179" i="80" s="1"/>
  <c r="G180" i="80" s="1"/>
  <c r="G181" i="80" s="1"/>
  <c r="G182" i="80" s="1"/>
  <c r="G183" i="80" s="1"/>
  <c r="G184" i="80" s="1"/>
  <c r="G185" i="80" s="1"/>
  <c r="G186" i="80" s="1"/>
  <c r="G187" i="80" s="1"/>
  <c r="G188" i="80" s="1"/>
  <c r="G189" i="80" s="1"/>
  <c r="G190" i="80" s="1"/>
  <c r="G191" i="80" s="1"/>
  <c r="G192" i="80" s="1"/>
  <c r="G193" i="80" s="1"/>
  <c r="G194" i="80" s="1"/>
  <c r="G195" i="80" s="1"/>
  <c r="G196" i="80" s="1"/>
  <c r="G197" i="80" s="1"/>
  <c r="G198" i="80" s="1"/>
  <c r="G199" i="80" s="1"/>
  <c r="G200" i="80" s="1"/>
  <c r="G201" i="80" s="1"/>
  <c r="G202" i="80" s="1"/>
  <c r="G203" i="80" s="1"/>
  <c r="G204" i="80" s="1"/>
  <c r="G205" i="80" s="1"/>
  <c r="G206" i="80" s="1"/>
  <c r="G207" i="80" s="1"/>
  <c r="G208" i="80" s="1"/>
  <c r="G209" i="80" s="1"/>
  <c r="G210" i="80" s="1"/>
  <c r="G211" i="80" s="1"/>
  <c r="G212" i="80" s="1"/>
  <c r="G213" i="80" s="1"/>
  <c r="G214" i="80" s="1"/>
  <c r="G215" i="80" s="1"/>
  <c r="G216" i="80" s="1"/>
  <c r="G217" i="80" s="1"/>
  <c r="G218" i="80" s="1"/>
  <c r="G219" i="80" s="1"/>
  <c r="G220" i="80" s="1"/>
  <c r="G221" i="80" s="1"/>
  <c r="G222" i="80" s="1"/>
  <c r="G223" i="80" s="1"/>
  <c r="G224" i="80" s="1"/>
  <c r="G256" i="80" l="1"/>
  <c r="G257" i="80" s="1"/>
  <c r="G258" i="80" s="1"/>
  <c r="G259" i="80" l="1"/>
  <c r="G260" i="80" s="1"/>
  <c r="G261" i="80" s="1"/>
  <c r="G262" i="80" s="1"/>
  <c r="G263" i="80" s="1"/>
  <c r="G268" i="80" l="1"/>
  <c r="F274" i="80" s="1"/>
</calcChain>
</file>

<file path=xl/sharedStrings.xml><?xml version="1.0" encoding="utf-8"?>
<sst xmlns="http://schemas.openxmlformats.org/spreadsheetml/2006/main" count="2551" uniqueCount="1046">
  <si>
    <t>NO</t>
  </si>
  <si>
    <t>TGL</t>
  </si>
  <si>
    <t>KODE</t>
  </si>
  <si>
    <t>REK.</t>
  </si>
  <si>
    <t>URAIAN</t>
  </si>
  <si>
    <t>KREDIT</t>
  </si>
  <si>
    <t>SALDO</t>
  </si>
  <si>
    <t>SALDO PINDAHAN</t>
  </si>
  <si>
    <t xml:space="preserve">         KAS BANK MANDIRI</t>
  </si>
  <si>
    <t xml:space="preserve">    KOPKAR BANDAR BANTEN</t>
  </si>
  <si>
    <t>JUMLAH SELURUHNYA</t>
  </si>
  <si>
    <t>Koperasi Konsumen Karyawan Bandar Banten</t>
  </si>
  <si>
    <t xml:space="preserve"> </t>
  </si>
  <si>
    <t>Utip Arisan PIP Banten &amp; PTP</t>
  </si>
  <si>
    <t xml:space="preserve">Pendapatan Potongan BJB Tno Cabang </t>
  </si>
  <si>
    <t>Simpanan Wajib Security Cabang dan PTP</t>
  </si>
  <si>
    <t>Simpanan Sukarela Security Cabang dan PTP</t>
  </si>
  <si>
    <t>Pendapatan Potongan Kantin Security PTP Banten</t>
  </si>
  <si>
    <t>Pendapatan Potongan Kantin Security Cabang Banten</t>
  </si>
  <si>
    <t>Transfer BPJS Kesehatan Pegawai Koperasi</t>
  </si>
  <si>
    <t>Transfer BPJS Kesehatan Karyawan Cs dan Tkhl PTP</t>
  </si>
  <si>
    <t>Biaya Administrasi</t>
  </si>
  <si>
    <t>Simpanan Wajib an Tobin</t>
  </si>
  <si>
    <t>Pendapatan Potongan Piutang Uang Pegawai Pelabuhan Banten</t>
  </si>
  <si>
    <t>Pendapatan Potongan Piutang Barang Pegawai Pelabuhan Banten</t>
  </si>
  <si>
    <t>Utip Arisan PIP Banten an Ari Mulyasih</t>
  </si>
  <si>
    <t>Pendapatan Potongan BJB II Pelabuhan Banten</t>
  </si>
  <si>
    <t>Pendapatan Potongan Kantin Pegawai Pelabuhan Banten</t>
  </si>
  <si>
    <t>Simpanan Wajib an Irma Mardiyani</t>
  </si>
  <si>
    <t>Simpanan Sukarela an M Prihatin</t>
  </si>
  <si>
    <t>Simpanan Wajib an M Prihatin</t>
  </si>
  <si>
    <t xml:space="preserve">Pembayaran Gaji Pegawai Fotocopy </t>
  </si>
  <si>
    <t>Pembayaran Gaji Pegawai Kantin Koperasi</t>
  </si>
  <si>
    <t>Utip BPJS Ketenagakerjaan Pegawai Koperasi</t>
  </si>
  <si>
    <t>Utip BPJS Kesehatan Pegawai Koperasi</t>
  </si>
  <si>
    <t>Simpanan Wajib Pegawai Koperasi</t>
  </si>
  <si>
    <t>Simpanan Sukarela Pegawai Koperasi</t>
  </si>
  <si>
    <t>Pendapatan Potongan Uang Pegawai Koperasi</t>
  </si>
  <si>
    <t>Pendaatan Potongan Barang Pegawai Koperasi</t>
  </si>
  <si>
    <t>Pendapatan Potongan BJB</t>
  </si>
  <si>
    <t>Pendapatan Potongan Kantin koperasi an Tati Herawati</t>
  </si>
  <si>
    <t>Utip BPJS Ketenagakerjaan Cleaning Service Kantor</t>
  </si>
  <si>
    <t>Utip BPJS Kesehatan Cleaning Service Kantor</t>
  </si>
  <si>
    <t>Simpanan Wajib Cleaning Service kantor</t>
  </si>
  <si>
    <t>Simpanan Sukarela Cleaning Service Kantor</t>
  </si>
  <si>
    <t>Pendapatan Potongan Kantin Cleaning Service Kantor Cabang</t>
  </si>
  <si>
    <t>Utip BPJS Ketenagakerjaan Cleaning Service PTP</t>
  </si>
  <si>
    <t>Utip BPJS Kesehatan Cleaning Service PTP</t>
  </si>
  <si>
    <t xml:space="preserve">Simpanan Wajib Cleaning Service PTP </t>
  </si>
  <si>
    <t>Pendapatan Potongan BJB Cleaning Service PTP</t>
  </si>
  <si>
    <t xml:space="preserve">Pendapatan Potongan Kantin Cleaning Service PTP </t>
  </si>
  <si>
    <t xml:space="preserve">Pendapatan Potongan BJB </t>
  </si>
  <si>
    <t>Pendapatan Potongan Kantin Cleaning Service Zonasi PTP</t>
  </si>
  <si>
    <t xml:space="preserve">Simpanan Wajib Cleaning Service Zonasi PTP </t>
  </si>
  <si>
    <t>Utip BPJS Kesehatan Cleaning Service Zonasi PTP</t>
  </si>
  <si>
    <t>Utip BPJS Ketenagakerjaan Cleaning Service Zonasi PTP</t>
  </si>
  <si>
    <t xml:space="preserve">Simpanan Sukarela Cleaning Service Zonasi PTP </t>
  </si>
  <si>
    <t>Angsuran Potongan Uang Cleaning Service Zonasi PTP</t>
  </si>
  <si>
    <t>Angsuran Potongan Barang Cleaning Service kantor</t>
  </si>
  <si>
    <t>Angsuran Potongan Uang Cleaning Service kantor</t>
  </si>
  <si>
    <t>Utip BPJS Ketenagakerjaan Cleaning Service SPJM Banten</t>
  </si>
  <si>
    <t>Utip BPJS Kesehatan Cleaning Service SPJM Banten</t>
  </si>
  <si>
    <t>Simpanan Wajib Cleaning Service SPJM Banten</t>
  </si>
  <si>
    <t>Angsuran Potongan Uang Cleaning Service SPJM Banten</t>
  </si>
  <si>
    <t>Pembayaran Lembur Cleaning Service Kantor Cabang</t>
  </si>
  <si>
    <t>Pembayaran Lembur Cleaning Service PTP</t>
  </si>
  <si>
    <t>Pembayaran Lembur Cleaning Service Zonasi</t>
  </si>
  <si>
    <t>Pembayaran Lembur Cleaning Service SPJM</t>
  </si>
  <si>
    <t>Pendapatan Bunga</t>
  </si>
  <si>
    <t>Biaya Pajak</t>
  </si>
  <si>
    <t>Simpanan Wajib Pegawai TKK</t>
  </si>
  <si>
    <t>Simpanan Sukarela Pegawai TKK</t>
  </si>
  <si>
    <t>Pendapatan Potongan Piutang Uang Pegawai Cleaning Service TKK</t>
  </si>
  <si>
    <t>Pendapatan Potongan Kantin Pegawai TKK dan CS TKK</t>
  </si>
  <si>
    <t>Pendapatan Potongan Kantin PT TKK</t>
  </si>
  <si>
    <t>Pendapatan Potongan BJB Tno PTP Banten</t>
  </si>
  <si>
    <t>DEBET</t>
  </si>
  <si>
    <t>Utip BPJS Ketenagakerjaan TKHL PTP Banten</t>
  </si>
  <si>
    <t>Utip BPJS Kesehatan TKHL PTP Banten</t>
  </si>
  <si>
    <t>Biaya Kebutuhan Galon Kantor an Muadi</t>
  </si>
  <si>
    <t>Pengambilan Simpanan Sukarela an Rima Suteja</t>
  </si>
  <si>
    <t>Angsuran Potongan Uang Cleaning Service PTP</t>
  </si>
  <si>
    <t xml:space="preserve">Saldo </t>
  </si>
  <si>
    <t>Selisih</t>
  </si>
  <si>
    <t>Pendapatan Potongan Piutang Barang Pegawai TKK</t>
  </si>
  <si>
    <t xml:space="preserve">             TAHUN 2026</t>
  </si>
  <si>
    <t xml:space="preserve">                                                BULAN :  JANUARI 2026</t>
  </si>
  <si>
    <t>03-01-2026</t>
  </si>
  <si>
    <t>Pinjaman Uang Koperasi dan Pelunasan an Nahdi</t>
  </si>
  <si>
    <t xml:space="preserve">Biaya Honor Pengurus Periode November an Rajab Agus </t>
  </si>
  <si>
    <t>Pengambilan Simpanan Sukarela an Fahmi Rapsanjani</t>
  </si>
  <si>
    <t>Pengambilan Simpanan Pokok dan Wajib an Soleman Tkk</t>
  </si>
  <si>
    <t>Pengambilan Simpanan Pokok dan Wajib an Mu'min Tkk</t>
  </si>
  <si>
    <t>04-01-2026</t>
  </si>
  <si>
    <t>Biaya Exfood Pembelian Duren Keuangan &amp; SDM an Lukman Salamudin</t>
  </si>
  <si>
    <t>Biaya Pembayaran Paket Bak an Den Cahyadi</t>
  </si>
  <si>
    <t>Pendapatan Pelunasan Pinjaman Management KepBis an M Agus Alfian</t>
  </si>
  <si>
    <t>05-01-2026</t>
  </si>
  <si>
    <t>04-04-2026</t>
  </si>
  <si>
    <t>Simpanan Wajib an Evalin Bernadetha S</t>
  </si>
  <si>
    <t>Arisan an Evalin Bernadetha S</t>
  </si>
  <si>
    <t>Biaya Dana Bantuan TJSL Pelindo an Lukman Salamudin</t>
  </si>
  <si>
    <t>Pembayaran PPH 23 periode Desember 2025</t>
  </si>
  <si>
    <t>Pembayaran SPT masa PPH 25 Badan periode Desember 2025</t>
  </si>
  <si>
    <t>Pembayaran SPT PPN periode Desember 2025</t>
  </si>
  <si>
    <t>Pinjaman Barang dan Pelunasan Potongan Gaji 13 an Haryono</t>
  </si>
  <si>
    <t>Biaya Dana Bantuan TJSL Pelindo ke 2 an Lukman Salamudin</t>
  </si>
  <si>
    <t>Biaya Pembelian Kebutuhan Rumah Dinas Gm an Lia Meliawati</t>
  </si>
  <si>
    <t>Pinjaman Uang Koperasi an Haryono</t>
  </si>
  <si>
    <t>Pengambilan Simpanan Pokok dan Wajib an M Maulana Fathi</t>
  </si>
  <si>
    <t>Pengambilan Simpanan Pokok dan Wajib an Safroni</t>
  </si>
  <si>
    <t>Utip Arisan Karyawan PTP Banten an Asep Kosasih</t>
  </si>
  <si>
    <t>Biaya Sharing Bantuan an Rio Wijaya</t>
  </si>
  <si>
    <t>Pengambilan Simpanan Sukarela an Nurullah</t>
  </si>
  <si>
    <t>Pinjaman BS Koperasi an Yusuf Irsyad</t>
  </si>
  <si>
    <t>Pengambilan Simpanan Sukarela an Khaerul Umam</t>
  </si>
  <si>
    <t>Pinjaman Uang Koperasi an Rachmat Hidayat</t>
  </si>
  <si>
    <t>Pendapatan Padi Umkm</t>
  </si>
  <si>
    <t>Pendapatan Sewa Lahan Kantin Jus periode Desember 25 dan Januari 2026 an Lukman S</t>
  </si>
  <si>
    <t>06-01-2026</t>
  </si>
  <si>
    <t>08-01-2026</t>
  </si>
  <si>
    <t>Biaya Kebutuhan Belanja Rumah Tangga Kantor an Mulyani</t>
  </si>
  <si>
    <t xml:space="preserve">Pembelian Air Minum botol Lee Mineral kantin </t>
  </si>
  <si>
    <t>Biaya Kebutuhan Rumah Tangga Umum PTP Banten an Misar Ardiyanto</t>
  </si>
  <si>
    <t>Pembayaran Potongan PDS Periode Januari 2026</t>
  </si>
  <si>
    <t>Simpanan Wajib Tno Cabang dan PTP Gaji Desember 2025</t>
  </si>
  <si>
    <t>Simpanan Sukarela Tno Cabang dan PTP Gaji Desember 2025</t>
  </si>
  <si>
    <t>Pendapatan Potongan Piutang Uang Tno Cabang dan Ptp Gaji Desember 2025</t>
  </si>
  <si>
    <t>Pendapatan Potongan Piutang Barang Tno Cabang dan PTP Gaji Desember 2025</t>
  </si>
  <si>
    <t>Pendapatan Potongan Kantin Tno Cabang Gaji Desember 2025</t>
  </si>
  <si>
    <t>Pendapatan Potongan Kantin Tno PTP Gaji Desember 2025</t>
  </si>
  <si>
    <t>Pendapatan Potongan Piutang Uang dan Security Desember 2025</t>
  </si>
  <si>
    <t>Pinjaman Uang Koperasi dan Pelunasan Piutang an Saiman Hambali</t>
  </si>
  <si>
    <t>Pengambilan Simpanan Sukarela an Ari Hermawan</t>
  </si>
  <si>
    <t>Pembelian Pembelanjaan Kantin Koperasi</t>
  </si>
  <si>
    <t>Pinjaman Uang Koperasi dan Angsuran ke 1 an Dikdik Sofyan</t>
  </si>
  <si>
    <t>Pinjaman Uang Koperasi dan Pelunasan Piutang an Rohani</t>
  </si>
  <si>
    <t>Biaya Service Mesin Printer an Suherlina</t>
  </si>
  <si>
    <t>Pengambilan Simpanan Sukarela an Asep Supardi</t>
  </si>
  <si>
    <t>Pengambilan Simpanan Sukarela an Irwan Rosyadi</t>
  </si>
  <si>
    <t>Utip Piutang Yusuf Irsyad ke Dikdik Sofyan ke 3 &amp; 4</t>
  </si>
  <si>
    <t>Transfer BPJS Ketenagakerjaan Karyawan Cleaning Service</t>
  </si>
  <si>
    <t>Transfer BPJS Ketenagakerjaan Karyawan Koperasi</t>
  </si>
  <si>
    <t>UtipTransfer Pinjaman Yusuf Irsyad ke Dikdik Sofyan ke 3 dan 4</t>
  </si>
  <si>
    <t xml:space="preserve">Pendapatan Sewa Lahan Kantin Nasi periode Januari 2026 </t>
  </si>
  <si>
    <t>Biaya Catering SPJM Periode Desember 2025 an M Agustian</t>
  </si>
  <si>
    <t>Biaya Mooring Bojonegara an Aprizal</t>
  </si>
  <si>
    <t>10-01-2026</t>
  </si>
  <si>
    <t>Biaya Exfood Acara Nataru divisi SDM &amp; Keuangan an Haryono</t>
  </si>
  <si>
    <t>Pinjaman BS Koperasi an Muadi</t>
  </si>
  <si>
    <t>Biaya TJSL Pelindo ke 3 an Lukman Salamudin</t>
  </si>
  <si>
    <t>Simpanan Wajib periode Januari s/d Desember 2026 an Ade Mas'un Priyadi</t>
  </si>
  <si>
    <t>12-01-2026</t>
  </si>
  <si>
    <t>13-01-2026</t>
  </si>
  <si>
    <t>Penarikan Cek Bank Mandiri an Atik Salasih</t>
  </si>
  <si>
    <t>Pengembalian Kelebihan tf utip Arisan PTP an Asep Kosasih</t>
  </si>
  <si>
    <t>Pinjaman BS Koperasi jaminan Cuti an Asep Kosasih</t>
  </si>
  <si>
    <t>Biaya Spanduk Nataru SDM Keuangan an Den Cahyadi</t>
  </si>
  <si>
    <t>Pengambilan Simpanan Sukarela an Mufrodi</t>
  </si>
  <si>
    <t>Pengambilan Simpanan Sukarela an Basri</t>
  </si>
  <si>
    <t>14-01-2026</t>
  </si>
  <si>
    <t>Pendapatan Pekerjaan Marine Survey Test PT Jasa Armada Indonesia</t>
  </si>
  <si>
    <t>Transfer BPJS Ketenagakerjaan Karyawan TKHL PTP</t>
  </si>
  <si>
    <t>Pinjaman Uang Koperasi Japen an Purwaji Pegawai</t>
  </si>
  <si>
    <t>Pinjaman Uang Koperasi an Ferry Wahyudi</t>
  </si>
  <si>
    <t>Pinjaman Uang Koperasi an Andi Firmansyah</t>
  </si>
  <si>
    <t>Biaya Alat Tulis Kantor divisi Keuangan an Lia Meliawati</t>
  </si>
  <si>
    <t>Biaya Penyedotan Limbah Domestik PTP an Muadi</t>
  </si>
  <si>
    <t>15-01-2026</t>
  </si>
  <si>
    <t xml:space="preserve">Pinjaman Uang Koperasi an Ikromi </t>
  </si>
  <si>
    <t>Pinjaman Uang Koperasi an Leony Aristya Rahman</t>
  </si>
  <si>
    <t>Pinjaman Barang Koperasi an Eka Suryanto</t>
  </si>
  <si>
    <t>Pinjaman Uang Koperasi an Holis Salam</t>
  </si>
  <si>
    <t>Pinjaman Uang Koperasi an Hernita Sari</t>
  </si>
  <si>
    <t>Pinjaman Uang Koperasi an Ali Faisol</t>
  </si>
  <si>
    <t>Pinjaman Uang Koperasi dan Pelunasan an Adlani</t>
  </si>
  <si>
    <t>Pinjaman Uang Koperasi dan Pelunasan an Muhammad Bevi</t>
  </si>
  <si>
    <t>Pinjaman Uang Koperasi an Yudi</t>
  </si>
  <si>
    <t>Pinjaman Uang Koperasi an Insan Nugraha</t>
  </si>
  <si>
    <t>Pinjaman Uang Koperasi an Aan Jamian</t>
  </si>
  <si>
    <t>Pinjaman Uang Koperasi an Asmani</t>
  </si>
  <si>
    <t>Pendapatan Pekerjaan Kebersihan Zonasi Lini 1 Periode November 2025</t>
  </si>
  <si>
    <t>Pendapatan Pekerjaan Kaos dan Celana (Smart Casual) bagi Pekerja Pelabuhan Banten</t>
  </si>
  <si>
    <t>Pembayaran Uang Cuti Tahunan Karyawan Koperasi Tahun 2026</t>
  </si>
  <si>
    <t>Pembayaran Lembur Natal dan Tahun Baru Cleaning Service Cabang Banten</t>
  </si>
  <si>
    <t>16-01-2026</t>
  </si>
  <si>
    <t>Pengambilan Simpanan Sukarela an Rifki Angsori</t>
  </si>
  <si>
    <t>Pinjaman Uang Koperasi an Endin Oktaviana</t>
  </si>
  <si>
    <t>Pembayaran Pekerjaan Kebersihan KPK Periode November 2025</t>
  </si>
  <si>
    <t>Pendapatan Pekerjaan Kegiatan Fogging (Pengasapan) Dalam rangka Penyelenggaraan Nataru</t>
  </si>
  <si>
    <t>Pendapatan Pekerjaan Pelaksanaan Drill/Simulasi Gempa Bumi dan Tsunami di Pelabuhan</t>
  </si>
  <si>
    <t>Pinjaman Barang Koperasi an Atik Salasih</t>
  </si>
  <si>
    <t>Biaya Pinjaman Management Honor Rapat Kejaksaan Kejati an Yendi Permana Putra</t>
  </si>
  <si>
    <t>Pembayaran Pekerjaan Kebersihan KPSS November 2025</t>
  </si>
  <si>
    <t>19-01-2026</t>
  </si>
  <si>
    <t>22-01-2026</t>
  </si>
  <si>
    <t>Pinjaman Uang Koperasi an Dody Ahmad Fauzi</t>
  </si>
  <si>
    <t>Pengambilan Simpanan Sukarela an Abdul Azis Alamsyah</t>
  </si>
  <si>
    <t>Pembayaran Padi UMKM</t>
  </si>
  <si>
    <t>Pendapatan Simpanan Wajib PT PTP Bulan November 2025</t>
  </si>
  <si>
    <t>Pendapatan Simpanan Sukarela PT PTP</t>
  </si>
  <si>
    <t>Pendapatan Potongan Uang Pegawai PTP Banten</t>
  </si>
  <si>
    <t>Pendapatan Potongan Kantin Pegawai PTP Banten</t>
  </si>
  <si>
    <t>Pendapatan Potongan BJB PTP Banten</t>
  </si>
  <si>
    <t>Utip Arisan PIP PTP Banten</t>
  </si>
  <si>
    <t>Pendapatan Potongan BJB II Pegawai PTP Banten</t>
  </si>
  <si>
    <t>23-01-2026</t>
  </si>
  <si>
    <t>Pendapatan Simpanan Wajib periode Januari 2026 PT Jasa Armada Indonesia Banten</t>
  </si>
  <si>
    <t>Pembayaran Pelunasan Pinjaman Jaminan Cuti an Asep Kosasih</t>
  </si>
  <si>
    <t>LPJ Pengembalian Sisa Pekerjaan ATK Divisi KepBis an Lia M</t>
  </si>
  <si>
    <t>Pendapatan Pekerjaan Rekapitulasi Lembur TKHL periode Desember 2025</t>
  </si>
  <si>
    <t>Pembayaran Gaji Pegawai Koperasi Bulan Januari 2026</t>
  </si>
  <si>
    <t>Pembayaran Gaji Cleaning Service Kantor Cabang Potongan Bulan Februari 2026</t>
  </si>
  <si>
    <t>Pembayaran Gaji Cleaning Service PTP Potongan Bulan Februari 2026</t>
  </si>
  <si>
    <t>Pembayaran Gaji Cleaning Service Zonasi PTP Potongan Bulan Februari 2026</t>
  </si>
  <si>
    <t>Pembayaran Gaji Cleaning Service SPJM Banten Potongan Bulan Februari 2026</t>
  </si>
  <si>
    <t>Angsuran Potongan Barang Cleaning Service Zonasi PTP</t>
  </si>
  <si>
    <t>Pengambilan Simpanan Sukarela an Den Cahyadi</t>
  </si>
  <si>
    <t>25-01-2026</t>
  </si>
  <si>
    <t>Pelunasan Pinjaman Jaminan Bonus an Sudaryanto</t>
  </si>
  <si>
    <t>Pelunasan Pinjaman Jaminan Cuti an Tomi Hendri Suhartanto</t>
  </si>
  <si>
    <t>Angsuran Pinjaman Bonus an Haryono</t>
  </si>
  <si>
    <t>Angsuran Pinjaman Bonus an Risdianto Wibowo</t>
  </si>
  <si>
    <t>Biaya Lembur TKHL Bulan November 2025 an Angga Putra Permana</t>
  </si>
  <si>
    <t>Biaya Lembur TKHL Bulan November 2025 an Galiztan EQ Gunanditya</t>
  </si>
  <si>
    <t>Angsuran LPDB ke 26 an Suherlina</t>
  </si>
  <si>
    <t>26-01-2026</t>
  </si>
  <si>
    <t>Utip Arisan PTP an Evalin Bernadetha S</t>
  </si>
  <si>
    <t>Pengambilan Simpanan Wajib an Ratna Sari</t>
  </si>
  <si>
    <t>Pengambilan Simpanan Wajib an Ahmad Suryani</t>
  </si>
  <si>
    <t>Pelunasan Piutang BJB an Ahmad Suryani</t>
  </si>
  <si>
    <t>Pelunasan Piutang Koperasi an Ahmad Suryani</t>
  </si>
  <si>
    <t>Pelunasan Pinjaman Uang Jaminan Cuti an Rajab Agus</t>
  </si>
  <si>
    <t>Pelunasan Pinjaman Uang Jaminan Cuti an Rio Wijaya</t>
  </si>
  <si>
    <t>Pendapatan Pekerjaan Kebersihan Ruangan Kantor SPJM unit Banten periode November 2025</t>
  </si>
  <si>
    <t>Pendapatan Potongan Pegawai Pelabuhan periode Januari 2026</t>
  </si>
  <si>
    <t xml:space="preserve">Simpanan Wajib Pegawai Pelabuhan Banten </t>
  </si>
  <si>
    <t xml:space="preserve">Simpanan Sukarela Pegawai Pelabuhan Banten </t>
  </si>
  <si>
    <t>Pekerjaan Pelaksanaan Kegiatan Bulan K3 KepBis Pelabuhan an Suherlina</t>
  </si>
  <si>
    <t>Pendapatan Pekerjaan Kebersihan Ruangan Kantor SPJM unit Banten periode Desember 2025</t>
  </si>
  <si>
    <t>27-01-2026</t>
  </si>
  <si>
    <t>Pendapatan Pekerjaan Alat-alat Tekhnik Pelabuhan Banten Padi UMKM</t>
  </si>
  <si>
    <t>Pinjaman Uang Koperasi an Aprizal</t>
  </si>
  <si>
    <t>Utip KPK Pembayaran PT Marengmang Pelabuhan Banten</t>
  </si>
  <si>
    <t>Simpanan Wajib Oman Rahayu</t>
  </si>
  <si>
    <t>Simpanan Wajib Hayati Nufus</t>
  </si>
  <si>
    <t>28-01-2026</t>
  </si>
  <si>
    <t>29-01-2026</t>
  </si>
  <si>
    <t>Pembayaran Jasa Kebersihan PT MMS Periode November 2025</t>
  </si>
  <si>
    <t>Pengambilan Simpanan Wajib dan Pokok an Rusdiah</t>
  </si>
  <si>
    <t>Utip Pelunasan ke BJB an Ahmad Suryani</t>
  </si>
  <si>
    <t>Pengambilan Simpanan Wajib dan Pelunasan Uang an Dimas Gusman Permadi</t>
  </si>
  <si>
    <t>Pengembalian Biaya Pekerjaan Alat-Alat Tekhnik Pelabuhan Banten</t>
  </si>
  <si>
    <t>Pinjaman Uang Koperasi an Yohan Setiawan</t>
  </si>
  <si>
    <t>Utip piutang Yohan ke Dimas Gusman</t>
  </si>
  <si>
    <t>Pengambilan Simpanan Sukarela an Tati Herawati</t>
  </si>
  <si>
    <t>Biaya Spanduk PTP an Suherlina</t>
  </si>
  <si>
    <t>Pengembalian Kelebihan Potong BJB an Firman Maulana Gumilar</t>
  </si>
  <si>
    <t>Pengembalian Kelebihan Potong BJB an Hajali Juhri</t>
  </si>
  <si>
    <t>Pinjaman Management KepBis an Rajab Agus</t>
  </si>
  <si>
    <t>Pengambilan Simpanan Wajib an Lia Meliawati</t>
  </si>
  <si>
    <t>Angsuran ke 1 an Purwaji Pegawai</t>
  </si>
  <si>
    <t>Pinjaman dan Pelunasan Piutang Uang an M Ikhlas Adiguna</t>
  </si>
  <si>
    <t>30-01-2026</t>
  </si>
  <si>
    <t>Biaya Pekerjaan Perpanjang STNK Mobil Pelabuhan Banten an Muadi</t>
  </si>
  <si>
    <t>Pendapatan Potongan PT Tangga Karir Kita periode Februari 2026</t>
  </si>
  <si>
    <t>Pendapatan Fotocopy</t>
  </si>
  <si>
    <t>CIWANDAN, 31 JANUARI 2026</t>
  </si>
  <si>
    <t xml:space="preserve">                                                BULAN :  FEBRUARI 2026</t>
  </si>
  <si>
    <t>02 Feb 2026</t>
  </si>
  <si>
    <t>Pendapatan Sewa Tenan Kantin Jus periode Februari an Lukman Salamudin</t>
  </si>
  <si>
    <t>Biaya Service Kendaraan Roda 2 PTP an Ahmad Kurniawan</t>
  </si>
  <si>
    <t>03 Feb 2026</t>
  </si>
  <si>
    <t>Biaya  Kebutuhan Rumah Tangga dan Umum PTP an Misar Ardiyanto</t>
  </si>
  <si>
    <t>Pembelian Lee Mineral Kantin an Humasiyah</t>
  </si>
  <si>
    <t>Pelunasan Pinjaman BS Cuti an Muadi</t>
  </si>
  <si>
    <t>04 Feb 2026</t>
  </si>
  <si>
    <t>05 Feb 2026</t>
  </si>
  <si>
    <t>Pendapatan Pekerjaan Rekapitulasi Lembur TKHL periode Januari 2026</t>
  </si>
  <si>
    <t>Pendapatan Pekerjaan Kebersihan Zonasi Lini 1 Periode Desember 2025</t>
  </si>
  <si>
    <t>Pendapatan Pekerjaan Kebersihan Zonasi Lini 2 periode Desember 2025</t>
  </si>
  <si>
    <t>Pendapatan Pekerjaan Kebersihan Toilet Container periode Desember 2025</t>
  </si>
  <si>
    <t>Pendapatan Pekerjaan Kebersihan Halaman Gedung Kantor dan Workshop PTP periode Des 2025</t>
  </si>
  <si>
    <t>Pembayaran Potongan PDS Periode Februari 2026</t>
  </si>
  <si>
    <t>Simpanan Wajib Tno Cabang dan PTP Gaji Januari 2026</t>
  </si>
  <si>
    <t>Simpanan Sukarela Tno Cabang dan PTP Gaji Januari 2026</t>
  </si>
  <si>
    <t>Pendapatan Potongan Piutang Uang Tno Cabang dan Ptp Gaji Januari 2026</t>
  </si>
  <si>
    <t>Pendapatan Potongan Piutang Barang Tno Cabang dan PTP Gaji Januari 2026</t>
  </si>
  <si>
    <t>Pendapatan Potongan Kantin Tno Cabang Gaji Januari 2026</t>
  </si>
  <si>
    <t>Pendapatan Potongan Kantin Tno PTP Gaji Januari 2026</t>
  </si>
  <si>
    <t>Pendapatan Potongan Piutang Uang dan Security Januari 2026</t>
  </si>
  <si>
    <t>Utip Piutang Yusuf Irsyad ke Dikdik Sofyan ke 5 &amp; 6</t>
  </si>
  <si>
    <t>Pendapatan Pekerjaan Cleaning Service Cabang periode November 2025</t>
  </si>
  <si>
    <t>Biaya Catering SPJM Periode Januari 2026 an M Agustian</t>
  </si>
  <si>
    <t>Biaya Pembelian Sembako Menjelang Ramadhan Koperasi</t>
  </si>
  <si>
    <t>Pembayaran Vendor Kebersihan KPK Periode Desember 2025</t>
  </si>
  <si>
    <t>Biaya Pekerjaan Kaos dan Celana Olahraga Pelabuhan Banten an Lukman Salamudin</t>
  </si>
  <si>
    <t>Biaya Pergantian NFB Listrik PTP an Ahmad Kurniawan</t>
  </si>
  <si>
    <t>Angsuran Setoran Pinjaman BJB Anggota</t>
  </si>
  <si>
    <t>Pembayaran Vendor Kebersihan MMS Periode Desember 2025</t>
  </si>
  <si>
    <t>Biaya Pembelian TV Samsung an Elektronic City Indonesia</t>
  </si>
  <si>
    <t>Utip Arisan Pegawai dan Tno PTP Banten an Asep Kosasih</t>
  </si>
  <si>
    <t>Pembayaran PPH 23 periode Januari 2026</t>
  </si>
  <si>
    <t>Pembayaran SPT masa PPH 25 Badan periode Januari 2026</t>
  </si>
  <si>
    <t>Pembayaran SPT PPN periode Januari 2026</t>
  </si>
  <si>
    <t>Pembayaran Vendor Kebersihan KPSS Periode Desember 2025</t>
  </si>
  <si>
    <t>UtipTransfer Pinjaman Yusuf Irsyad ke Dikdik Sofyan ke 5 dan 6</t>
  </si>
  <si>
    <t>06 Feb 2026</t>
  </si>
  <si>
    <t>LPJ Pengembalian Sisa Pembelian Kebutuhan Rumdin GM an Lia M</t>
  </si>
  <si>
    <t>09 Feb 2026</t>
  </si>
  <si>
    <t xml:space="preserve">Biaya DP Audit Tahun 2026 an KAP Roza </t>
  </si>
  <si>
    <t>Biaya Pembelian Alat Kebersihan PTP an Muadi</t>
  </si>
  <si>
    <t>Biaya Kebutuhan RT Kantor an Mulyani</t>
  </si>
  <si>
    <t>Pinjaman Koperasi BS Bonus an Rio Wijaya</t>
  </si>
  <si>
    <t xml:space="preserve">Transfer BPJS Ketenegakerjaan TKHL </t>
  </si>
  <si>
    <t>Biaya Service TV Divisi Tekhnik an Dimyati</t>
  </si>
  <si>
    <t>10 Feb 2026</t>
  </si>
  <si>
    <t>Biaya Pekerjaan Sharing Biaya PTP an APBMI Banten</t>
  </si>
  <si>
    <t>Biaya Pekerjaan Tekhnik an Den Cahyadi</t>
  </si>
  <si>
    <t>Biaya Kebutuhan Rumah Dinas GM an Lia Meliawati</t>
  </si>
  <si>
    <t>11 Feb 2026</t>
  </si>
  <si>
    <t>12 Feb 2026</t>
  </si>
  <si>
    <t>Pengambilan Simpanan wajib an Dodi Ahmad Fauzi</t>
  </si>
  <si>
    <t>Pengembalian Sisa Belanja Pembelian Kebutuhan Rumdin GM an Lia M</t>
  </si>
  <si>
    <t>Pembayaran Simpanan Wajib periode Januari s/d Desember 2026 an Adi Suryana</t>
  </si>
  <si>
    <t xml:space="preserve">Pendapatan Pekerjaan Pelaksanaan Bulan K3 Nasional Tahun 2026 </t>
  </si>
  <si>
    <t>Pembelian Bahan Tiang Umbul-umbul an Sinar Mutiara Sukses</t>
  </si>
  <si>
    <t>Utip Pengembalian Piutang Gunawan ke Zainal Firdaus</t>
  </si>
  <si>
    <t>Pinjaman Koperasi Barang an Alit Nova Afriyani</t>
  </si>
  <si>
    <t>Pinjaman Koperasi Barang an Ahmad Kurniawan</t>
  </si>
  <si>
    <t>Pinjaman Uang Koperasi an Ega Gan Gan</t>
  </si>
  <si>
    <t>Biaya Pekerjaan Perbaikan Laptop 2026 an Dimyati</t>
  </si>
  <si>
    <t>Biaya Pekerjaan Perbaikan Laptop 2026 an Irwansyah</t>
  </si>
  <si>
    <t>Pengembalian LPJ Pekerjaan Bulan k3 tahun 2026 an Suherlina</t>
  </si>
  <si>
    <t>Biaya Silaturahmi terkait Kontrak Kebersihan PTP an Suherlina</t>
  </si>
  <si>
    <t>Pengembalian LPJ terkait Kontrak Kebersihan PTP an Suherlina</t>
  </si>
  <si>
    <t>Pembayaran Outstanding Divisi Komersial Piutang Ivan Zulhifan an Den Cahyadi</t>
  </si>
  <si>
    <t>13 Feb 2026</t>
  </si>
  <si>
    <t>14 Feb 2026</t>
  </si>
  <si>
    <t>15 Feb 2026</t>
  </si>
  <si>
    <t>16 Feb 2026</t>
  </si>
  <si>
    <t>18 Feb 2026</t>
  </si>
  <si>
    <t>19 Feb 2026</t>
  </si>
  <si>
    <t>Pinjaman Uang Koperasi an Adi Vikri Oktaviana</t>
  </si>
  <si>
    <t>Pengambilan Simpanan wajib dan pelunasan uang koperasi an Ainun Naim</t>
  </si>
  <si>
    <t>4 Feb 2026</t>
  </si>
  <si>
    <t>Biaya Gaji TKHL Bulan Januari 2026 an Angga Putra Permana</t>
  </si>
  <si>
    <t>Biaya Gaji TKHL Bulan Januari 2026 an Galiztan EQ Gunanditya</t>
  </si>
  <si>
    <t>Biaya Gaji TKHL Bulan Desember 2025 an Angga Putra Permana</t>
  </si>
  <si>
    <t>Biaya Gaji TKHL Bulan Desember 2025 an Galiztan EQ Gunanditya</t>
  </si>
  <si>
    <t>Biaya Ongkir Pembelian Drone an Den Cahyadi</t>
  </si>
  <si>
    <t>Pembayaran Potongan Koperasi Pegawai PTP Periode Desember 2025</t>
  </si>
  <si>
    <t>23 Feb 2026</t>
  </si>
  <si>
    <t>24 Feb 2026</t>
  </si>
  <si>
    <t>DP Pengelasan Tiang an Ahmad Hobis</t>
  </si>
  <si>
    <t>Pelunasan Pinjaman Koperasi an Purwaji</t>
  </si>
  <si>
    <t xml:space="preserve">Pendapatan Sewa Tenan Kantin Nasi periode Februari </t>
  </si>
  <si>
    <t>Biaya Vendor Perbaikan an Nugroho Widyo Laksono</t>
  </si>
  <si>
    <t>Pendapatan Simpanan Wajib periode Februari 2026 PT Jasa Armada Indonesia Banten</t>
  </si>
  <si>
    <t xml:space="preserve">Angsuran Piutang Uang ke 1 an Tobin </t>
  </si>
  <si>
    <t xml:space="preserve">Angsuran Piutang Uang ke 2 an Tobin </t>
  </si>
  <si>
    <t>25 Feb 2026</t>
  </si>
  <si>
    <t>Pendapatan Simpanan Wajib periode Januari dan Februari 2026 an Slamet Untoro</t>
  </si>
  <si>
    <t>Biaya Lembur TKHL Bulan Desember 2025 an Angga Putra Permana</t>
  </si>
  <si>
    <t>Biaya Lembur TKHL Bulan Desember 2025 an Galiztan EQ Gunanditya</t>
  </si>
  <si>
    <t>Angsuran LPDB ke 27 an Suherlina</t>
  </si>
  <si>
    <t>Pembayaran Gaji Pegawai Koperasi Bulan Februari 2026</t>
  </si>
  <si>
    <t>Pembayaran Gaji Cleaning Service Kantor Cabang Potongan Bulan Maret 2026</t>
  </si>
  <si>
    <t>Pembayaran Gaji Cleaning Service PTP Potongan Bulan Maret 2026</t>
  </si>
  <si>
    <t>Pembayaran Gaji Cleaning Service Zonasi PTP Potongan Bulan Maret 2026</t>
  </si>
  <si>
    <t>Pembayaran Gaji Cleaning Service SPJM Banten Potongan Bulan Maret 2026</t>
  </si>
  <si>
    <t>Pendapatan Potongan Pegawai Pelabuhan periode Februari 2026</t>
  </si>
  <si>
    <t>Pendapatan Pekerjaan PT Jasa Armada Indonesia</t>
  </si>
  <si>
    <t>Angsuran Piutang Barang ke 4 s/d 6 an Atik Salasih</t>
  </si>
  <si>
    <t>DP Pembuatan Posko an Dede Setiawan</t>
  </si>
  <si>
    <t>26 Feb 2026</t>
  </si>
  <si>
    <t>28 Feb 2026</t>
  </si>
  <si>
    <t>Biaya Penyedotan Wc Kantin Koperasi an Muadi</t>
  </si>
  <si>
    <t>Biaya Sedot WC Dermaga PTP an Muadi</t>
  </si>
  <si>
    <t>CIWANDAN, 28 FEBRUARI 2026</t>
  </si>
  <si>
    <t>Pendapatan Pekerjaan Pelaksanaan Safety Awereness dan Pemberian Bantuan TJSL (APD) PTP</t>
  </si>
  <si>
    <t>Pendapatan Pekerjaan Penyedotan Limbah Domestik Toilet Container PTP</t>
  </si>
  <si>
    <t>Pendapatan Pekerjaan Pesanan Karangan Bunga Ucapan Dirgahayu PTP</t>
  </si>
  <si>
    <t>Pendapatan Pekerjaan Sharing Dana Kegiatan Pelantikan Pengurus DPP PPSBBI PTP</t>
  </si>
  <si>
    <t>Pendapatan Pekerjaan Rekapitulasi Lembur TKHL periode November 2025</t>
  </si>
  <si>
    <t xml:space="preserve">                                                BULAN :  MARET 2026</t>
  </si>
  <si>
    <t>02 Mar 2026</t>
  </si>
  <si>
    <t>Pembayaran BPJS Ketenagakerjaan TKHL PTP Banten</t>
  </si>
  <si>
    <t>Biaya Gaji TKHL Bulan Februari 2026 an Angga Putra Permana</t>
  </si>
  <si>
    <t>Biaya Gaji TKHL Bulan Februari 2026 an Galiztan EQ Gunanditya</t>
  </si>
  <si>
    <t>Pembayaran PPH 23 periode Februari 2026</t>
  </si>
  <si>
    <t>Pembayaran SPT PPN periode Februari 2026</t>
  </si>
  <si>
    <t>Pembayaran SPT masa PPH 25 Badan periode Februari 2026</t>
  </si>
  <si>
    <t>Biaya Transport an Tuti Suimroh</t>
  </si>
  <si>
    <t>Transfer Angsuran BJB Anggota Koperasi</t>
  </si>
  <si>
    <t>Pembayaran Honor Pengurus periode Januari s/d Maret 2026 an Rajab Agus</t>
  </si>
  <si>
    <t>Pelunasan dan Pinjaman Uang Koperasi an M Agus Alfian</t>
  </si>
  <si>
    <t>Pengambilan Simpanan Sukarela an Taufik Hidayat</t>
  </si>
  <si>
    <t>Pinjaman Uang Koperasi an Melyawati</t>
  </si>
  <si>
    <t>Pengambilan Simpanan Wajib dan Pelunasan Piutang Barang an Atik Salasih</t>
  </si>
  <si>
    <t>Utip Transfer Arisan Pengurus Cabang Banten an Ari Mulyasih</t>
  </si>
  <si>
    <t>Pengambilan Simpanan Sukarela an Anis Rahmatullah</t>
  </si>
  <si>
    <t>Utip Transfer Arisan Anggota PTP an Asep Kosasih</t>
  </si>
  <si>
    <t>Pengembalian Kelebihan Transfer Pinjaman an Purwaji</t>
  </si>
  <si>
    <t>Pembayaran Honor Pengurus periode Januari s/d Maret 2026 an Jimmy Greei Ganap</t>
  </si>
  <si>
    <t>Biaya Rumah Tangga PTP Periode Maret an Misar Ardiyanto</t>
  </si>
  <si>
    <t>Pendapatan Simpanan Wajib dan Sukarela periode Juli sd Des 25 dan Jan sd Des 26 an M Fajar</t>
  </si>
  <si>
    <t>Pendapatan Simpanan Wajib an Hayati Nufus</t>
  </si>
  <si>
    <t>Pendapatan Simpanan wajib an Oman Rahayu</t>
  </si>
  <si>
    <t>03 Maret 2026</t>
  </si>
  <si>
    <t>Utip Transfer Piutang Yusuf Irsyad Ke 7 &amp; 8 an Dikdik Sofyan</t>
  </si>
  <si>
    <t>Pendapatan Potongan Koperasi pegawai SPJM Periode Januari 2026</t>
  </si>
  <si>
    <t>DP ke 2 Pekerjaan Las Tiang Umbul-umbul an Ahmad Hobis</t>
  </si>
  <si>
    <t xml:space="preserve">Simpanan Pokok Pegawai Pelabuhan Banten </t>
  </si>
  <si>
    <t>Pendapatan Potongan Piutang Uang Pegawai SPJM Banten</t>
  </si>
  <si>
    <t>Pendapatan Potongan Piutang barang Pegawai SPJM Banten</t>
  </si>
  <si>
    <t>Pendapatan Potongan BJB II Pegawai SPJM Banten</t>
  </si>
  <si>
    <t xml:space="preserve">Pendapatan Simpanan Wajib PTP SPJM Banten </t>
  </si>
  <si>
    <t>Pendapatan Potongan Koperasi Pegawai PTP Periode Januari 2026</t>
  </si>
  <si>
    <t>Pendapatan Simpanan Wajib PT PTP</t>
  </si>
  <si>
    <t>Utip Potongan Piutang Gunawan an Zaenal Firdaus</t>
  </si>
  <si>
    <t>Pendapatan Pekerjaan Foam Pemadam Kebakaran di Lingkungan Pelabuhan Banten</t>
  </si>
  <si>
    <t>Utip Pendapatan Angleb Tahun 2026 Pelabuhan Banten</t>
  </si>
  <si>
    <t>Pendapatan Sewa Tenan Kantin Nasi periode Maret 2026</t>
  </si>
  <si>
    <t>Pendapatan Simpanan Wajib PT SPJM</t>
  </si>
  <si>
    <t>Pendapatan Potongan Uang Pegawai SPJM</t>
  </si>
  <si>
    <t>Pendapatan Potongan Barang Pegawai SPJM</t>
  </si>
  <si>
    <t>Pembayaran Outstanding Divisi Komersial Piutang Ivan Zulhifan an Rio Wijaya</t>
  </si>
  <si>
    <t>04 Maret 2026</t>
  </si>
  <si>
    <t>Simpanan Sukarela an M Agustian</t>
  </si>
  <si>
    <t>05 Maret 2026</t>
  </si>
  <si>
    <t>Utip Arisan PIP Pengurus Cabang Banten an Ari Mulyasih</t>
  </si>
  <si>
    <t>Pembelian Lee Mineral kantin koperasi an Humasiyah</t>
  </si>
  <si>
    <t>Pembelian Dormakaba MDU ES 250 Pro an Cahaya Tritunggal Abadi</t>
  </si>
  <si>
    <t>Transfer BPJS Kesehatan Karyawan Cs dan Tkhl PTP dan Pembayaran Kekurangan</t>
  </si>
  <si>
    <t>Pendapatan Pekerjaan Kebersihan Toilet Container periode Januari 2026</t>
  </si>
  <si>
    <t>Pendapatan Pekerjaan Kebersihan Zonasi Lini 1 Periode Januari 2026</t>
  </si>
  <si>
    <t>Pendapatan Pekerjaan Kebersihan Halaman Gedung Kantor dan Workshop PTP periode Jan 2026</t>
  </si>
  <si>
    <t>Pendapatan Pekerjaan Kebersihan Zonasi Lini 2 periode Januari 2026</t>
  </si>
  <si>
    <t>Pendapatan Pekerjaan Perawatan Kendaraan Operasional Roda 2 PTP Banten</t>
  </si>
  <si>
    <t>Pembayaran Potongan PDS Periode Maret 2026</t>
  </si>
  <si>
    <t>Simpanan Wajib Tno Cabang dan PTP Gaji Februari 2026</t>
  </si>
  <si>
    <t>Simpanan Sukarela Tno Cabang dan PTP Gaji Februari 2026</t>
  </si>
  <si>
    <t>Pendapatan Potongan Piutang Uang Tno Cabang dan Ptp Gaji Februari 2026</t>
  </si>
  <si>
    <t>Pendapatan Potongan Piutang Barang Tno Cabang dan PTP Gaji Februari 2026</t>
  </si>
  <si>
    <t>Pendapatan Potongan Kantin Tno Cabang Gaji Februari 2026</t>
  </si>
  <si>
    <t>Pendapatan Potongan Kantin Tno PTP Gaji Februari 2026</t>
  </si>
  <si>
    <t>Utip Piutang Yusuf Irsyad ke Dikdik Sofyan ke 7 &amp; 8</t>
  </si>
  <si>
    <t>Pendapatan Potongan Piutang Uang dan Security Februari 2026</t>
  </si>
  <si>
    <t>Pendapatan Jasa Barang Tno Cabang dan Tno PTP</t>
  </si>
  <si>
    <t>Pendapatan Jasa Uang Tno Cabang dan Tno PTP</t>
  </si>
  <si>
    <t>06 Maret 2026</t>
  </si>
  <si>
    <t>Biaya Kebutuhan Galon Kantor Pelabuhan an Muadi</t>
  </si>
  <si>
    <t>Biaya Pembelian Papan Simbolis Pelabuhan an Muadi</t>
  </si>
  <si>
    <t>Pembayaran Vendor Jasa Kebersihan PT MMS periode Januari 2026</t>
  </si>
  <si>
    <t>Pembayaran Vendor Jasa Kebersihan PT KPK periode Januari 2026</t>
  </si>
  <si>
    <t>Pembayaran Vendor Jasa Kebersihan PT KPSS periode Januari 2026</t>
  </si>
  <si>
    <t>Biaya Pemasangan CCTV an Nugroho Widyo Laksono</t>
  </si>
  <si>
    <t>Biaya Pekerjaan Angkutan Lebaran Tahun 2026 an Muadi</t>
  </si>
  <si>
    <t>Pendapatan Sewa Lahan Kantin ASDP periode 09 Maret s/d 20 Maret 2026</t>
  </si>
  <si>
    <t>Kekurangan Biaya Pembelian Papan Simbolis Pelabuhan an Muadi</t>
  </si>
  <si>
    <t>Transfer Angsuran BJB Deden Suryadi periode Maret 2026</t>
  </si>
  <si>
    <t>Utip Transfer KPK ke PT Marengmang Putra Persada Pelabuhan Banten periode Januari 2026</t>
  </si>
  <si>
    <t>Biaya Catering SPJM Periode Februari 2026 an M Agustian</t>
  </si>
  <si>
    <t>Pembayaran THR Pegawai Koperasi</t>
  </si>
  <si>
    <t>Pembayaran THR Cleaning Service Cabang Pelabuhan Banten</t>
  </si>
  <si>
    <t>Pembayaran THR Cleaning Service PTP Pelabuhan Banten</t>
  </si>
  <si>
    <t>Pembayaran THR Cleaning Service Zonasi PTP Pelabuhan Banten</t>
  </si>
  <si>
    <t>Pembayaran THR Cleaning Service SPJM Pelabuhan Banten</t>
  </si>
  <si>
    <t>07 Maret 2026</t>
  </si>
  <si>
    <t>Biaya Instalasi Saluran Air Angkutan Lebaran an Niko Rudiyanto</t>
  </si>
  <si>
    <t>5 Maret 2026</t>
  </si>
  <si>
    <t>6 Maret 2026</t>
  </si>
  <si>
    <t>Pendapatan Pekerjaan Penyediaan TKHL Harian PTP periode Januari 2026</t>
  </si>
  <si>
    <t xml:space="preserve">Pendapatan Angkutan Lebaran an Christiawan </t>
  </si>
  <si>
    <t>09 Maret 2026</t>
  </si>
  <si>
    <t>10 Maret 2026</t>
  </si>
  <si>
    <t>Biaya Pelaksanaan Bukber Koperasi an Suherlina</t>
  </si>
  <si>
    <t>Pelunasan Posko Angkutan Lebaran an Dede Setiawan</t>
  </si>
  <si>
    <t>12 Maret 2026</t>
  </si>
  <si>
    <t>Pendapatan Padi Umkm Sinar Digital</t>
  </si>
  <si>
    <t>DP Sembako 1000 Paket Pelindo an Darma Putra Jaya Mandiri</t>
  </si>
  <si>
    <t>Pembelian Vit Air Mineral an Siti Amelia</t>
  </si>
  <si>
    <t>Belanja Kebutuhan RT Kantor an Mulyani</t>
  </si>
  <si>
    <t>Pendapatan Angkutan Lebaran an Rorian Himria</t>
  </si>
  <si>
    <t>Biaya Pengdaaan Modul Angleb an Lukman Salamudin</t>
  </si>
  <si>
    <t>13 Maret 2026</t>
  </si>
  <si>
    <t>Pendapatan Angkutan Lebaran an PT Cipta Komunika</t>
  </si>
  <si>
    <t>Pendapatan CFC Pelabuhan Ciwandan an Pioneerindo Gourmet International</t>
  </si>
  <si>
    <t>Pendapatan Pekerjaan Penyediaan TKHL Harian PTP periode Februari 2026</t>
  </si>
  <si>
    <t>Pendapatan Sharing Bantuan Dana Kegiatan APBWI PTP Banten</t>
  </si>
  <si>
    <t>Biaya Pekerjaan Sharing Kegiatan Penyuluhan an Lia Meliawati</t>
  </si>
  <si>
    <t>Biaya Rekap Jilid Hardcopy Tekhnik an Muadi</t>
  </si>
  <si>
    <t>Biaya Pekerjaan Takzil Pelindo Banten an Suherlina</t>
  </si>
  <si>
    <t>Biaya Kekurangan Bukber Koperasi an Suherlina (PT TKK)</t>
  </si>
  <si>
    <t>14 Maret 2026</t>
  </si>
  <si>
    <t>Biaya Voucher Anggota Koperasi Tahun 2026</t>
  </si>
  <si>
    <t>Pendapatan Angkutan Lebaran Tahun 2026 an Siti Amelia</t>
  </si>
  <si>
    <t>Pendapatan Angkutan Lebaran Tahun 2026 an Primer Koperasi Pelabuhan</t>
  </si>
  <si>
    <t>Pendapatan Angkutan Lebaran Tahun 2026 an Ayi Heryadi</t>
  </si>
  <si>
    <t>15 Maret 2026</t>
  </si>
  <si>
    <t>Biaya Pekerjaan Angkutan Lebaran Tahun 2026 an Aris Maulana</t>
  </si>
  <si>
    <t>Biaya Pekerjaan Angkutan Lebaran Tahun 2026 an Abid Kamaluddin</t>
  </si>
  <si>
    <t>16 Maret 2026</t>
  </si>
  <si>
    <t>Biaya Pemasangan Booth Lee Mineral ASDP Angleb an Febri Yadi</t>
  </si>
  <si>
    <t>Biaya Booth PT SMU Angleb 2026 an Andy Christiawan</t>
  </si>
  <si>
    <t>Biaya Booth Hydrococo Angleb 2026 an Endang Purnama</t>
  </si>
  <si>
    <t>Pendapatan Angkutan Lebaran Tahun 2026 an Endang Purnama</t>
  </si>
  <si>
    <t>Pendapatan Angkutan Lebaran Tahun 2026 an Adam Zakiya</t>
  </si>
  <si>
    <t>Pendapatan Potongan PT Tangga Karir Kita periode Maret 2026</t>
  </si>
  <si>
    <t>Jasa Uang PT TKK</t>
  </si>
  <si>
    <t>Jasa Barang PT TKK</t>
  </si>
  <si>
    <t>25 Maret 2026</t>
  </si>
  <si>
    <t>Pembayaran Gaji Pegawai Koperasi Bulan Maret 2026</t>
  </si>
  <si>
    <t>Pendapatan Jasa Uang</t>
  </si>
  <si>
    <t>Pendapatan Jasa Barang</t>
  </si>
  <si>
    <t>Pembayaran Gaji Cleaning Service Kantor Cabang Potongan Bulan April 2026</t>
  </si>
  <si>
    <t>Pembayaran Gaji Cleaning Service PTP Potongan Bulan April 2026</t>
  </si>
  <si>
    <t>Pembayaran Gaji Cleaning Service Zonasi PTP Potongan Bulan April 2026</t>
  </si>
  <si>
    <t>Pembayaran Gaji Cleaning Service SPJM Banten Potongan Bulan April 2026</t>
  </si>
  <si>
    <t>Biaya Lembur TKHL Bulan Januari 2026 an Angga Putra Permana</t>
  </si>
  <si>
    <t>Biaya Lembur TKHL Bulan Januari 2026 an Galiztan EQ Gunanditya</t>
  </si>
  <si>
    <t>17 Maret 2026</t>
  </si>
  <si>
    <t>Pendapatan Potongan PTP Banten periode Februari 2026</t>
  </si>
  <si>
    <t>Pinjaman Jaminan Bonus an Haryono</t>
  </si>
  <si>
    <t>Pelunasan Biaya Pekerjaan Angkutan Lebaran Tahun 2026 an Nugroho Widyo Laksono</t>
  </si>
  <si>
    <t>Biaya Tenda Angkutan Lebaran Tahun 2026 an Adam Zakiya</t>
  </si>
  <si>
    <t>Pendapatan Potongan Koperasi SPJM Periode Januari 2026</t>
  </si>
  <si>
    <t>Pengambilan Simpanan Sukarela an Iis Kartini Agustina</t>
  </si>
  <si>
    <t>Pembelian Air Mineral kebutuhan kantin an Jimmy Greei Ganap</t>
  </si>
  <si>
    <t>Pelunasan Sembako paket 100 Pelindo Berbagi Ramadhan Tahun 2026 an Darma Putra Jaya</t>
  </si>
  <si>
    <t>Pendapatan Angkutan Lebaran tahun 2026 an Melani Aprilia</t>
  </si>
  <si>
    <t>Pendapatan Angkutan Lebaran Tahun 2026 an Eko Nugroho</t>
  </si>
  <si>
    <t>Biaya Konsumsi Petugas Piket Angkutan Lebaran 2026 (KepBis) an Rajab Agus</t>
  </si>
  <si>
    <t>Pengambilan Simpanan Sukarela an Putri Fajar Sari</t>
  </si>
  <si>
    <t>Pengambilan Simpanan Sukarela an Muhammad Hafidh Security</t>
  </si>
  <si>
    <t>Pengambilan Simpanan Wajib dan Pokok an Putri Fajar Sari</t>
  </si>
  <si>
    <t>Pengambilan Simpanan Wajib dan Pelunasan Uang an Nanang Prihandoko</t>
  </si>
  <si>
    <t>Pengambilan Simpanan Wajib an Agus Hermawan</t>
  </si>
  <si>
    <t>Pengambilan Simpanan Wajib an Purwanto TNO PTP</t>
  </si>
  <si>
    <t>Biaya Angkut Sembako 1000 paket an Muadi</t>
  </si>
  <si>
    <t>Pengambilan Simpanan Wajib dan Pokok an Muhammad Hafidh</t>
  </si>
  <si>
    <t>18 Maret 2026</t>
  </si>
  <si>
    <t>19 Maret 2026</t>
  </si>
  <si>
    <t>Pengambilan Simpanan Wajib an Sulaiman TNO PTP</t>
  </si>
  <si>
    <t>Pendapatan Angkutan Lebaran Tahun 2026 an Nando Raya Robbany</t>
  </si>
  <si>
    <t>Pendapatan Angkutan Lebaran Tahun 2026 an Danang Indro Purnomo</t>
  </si>
  <si>
    <t>Biaya Pekerjaan Angkutan Lebaran Tahun 2026 an Tomi Hendri Suhartanto</t>
  </si>
  <si>
    <t>Biaya Pekerjaan Angkutan Lebaran Tahun 2026 an Reiza Dwi Putra</t>
  </si>
  <si>
    <t>Biaya Pasang Umbul-umbul Angkutan Lebaran Tahun 2026 an Fidy Twisis Perkasa</t>
  </si>
  <si>
    <t>Transfer Utip Piutang Pak Gunawan ke Zaenal Firdaus</t>
  </si>
  <si>
    <t>Pendapatan Simpanan Wajib periode Maret 2026 PT Jasa Armada Indonesia Banten</t>
  </si>
  <si>
    <t>20 Maret 2026</t>
  </si>
  <si>
    <t>Dana Talangan Saldo (Simpanan Sukarela) an Den Cahyadi</t>
  </si>
  <si>
    <t>Transfer Utip Piutang Yohan ke Dimas Gusman ke 1</t>
  </si>
  <si>
    <t>Angsuran LPDB ke 28 an Suherlina</t>
  </si>
  <si>
    <t>27 Maret 2026</t>
  </si>
  <si>
    <t>Dana Talangan Saldo 2 (Simpanan Sukarela) an Den Cahyadi</t>
  </si>
  <si>
    <t>Pembayaran Gaji Cleaning Service Kantor Cabang Potongan Bulan April 2026 an M Zaenudin</t>
  </si>
  <si>
    <t>30 Maret 2026</t>
  </si>
  <si>
    <t>Simpanan Wajib an Hayati Nufus</t>
  </si>
  <si>
    <t>Simpanan Wajib an Oman Rahayu</t>
  </si>
  <si>
    <t>Pinjaman Uang dan Pelunasan an Abdul Azis</t>
  </si>
  <si>
    <t>Biaya Pekerjaan Perlengkapan Pendukung Angleb dan Fogging an Suherlina</t>
  </si>
  <si>
    <t>Pembayaran Pinjaman Management an Rajab Agus</t>
  </si>
  <si>
    <t>DP ke 3 Pekerjaan Las Tiang Umbul-umbul an Ahmad Hobis</t>
  </si>
  <si>
    <t>DP Pendapatan Banner Spanduk Kratingdeng</t>
  </si>
  <si>
    <t>Pendapatan Kegiatan Angkutan Lebaran Djarum Tahun 2026</t>
  </si>
  <si>
    <t>Pendapatan Angkutan Lebaran 2026 Extrajoss an Martin Nurdiansyah</t>
  </si>
  <si>
    <t>Pengembalian Kelebihan Transfer Pembelian Aqua Vit an Siti Amelia</t>
  </si>
  <si>
    <t>Pendapatan Potongan Pegawai Pelabuhan periode Maret 2026</t>
  </si>
  <si>
    <t>LPJ Pengembalian Takjil Pelindo Berbagi Ramadhan an Suherlina</t>
  </si>
  <si>
    <t>LPJ Pengembalian Sembako Koperasi an Suherlina</t>
  </si>
  <si>
    <t>31 Maret 2026</t>
  </si>
  <si>
    <t>Pinjaman Management Koperasi an Rajab Agus</t>
  </si>
  <si>
    <t>CIWANDAN, 31 MARET 2026</t>
  </si>
  <si>
    <t xml:space="preserve">                                                BULAN :  APRIL 2026</t>
  </si>
  <si>
    <t xml:space="preserve">Pendapatan Utip Piutang Yohan ke Dimas Gusman </t>
  </si>
  <si>
    <t>Pendapatan Pekerjaan Kebutuhan Rumah Tangga Kantor periode Desember 2025</t>
  </si>
  <si>
    <t>Pendapatan Pekerjaan Perbantuan Petugas Cs Pelayanan selama Masa Nataru 2025-2026</t>
  </si>
  <si>
    <t>Pendapatan Pekerjaan Perpanjang STNK Mobil Daihatsu Pick Up No A 8459 TX</t>
  </si>
  <si>
    <t>Pendapatan Pekerjaan Kebutuhan Rumah Tangga Kantor periode Januari 2026</t>
  </si>
  <si>
    <t>Pelunasan Pinjaman Tomi Hendri Suhartanto</t>
  </si>
  <si>
    <t>Pendapatan Pph 23 Padi UMKM</t>
  </si>
  <si>
    <t>Utip Arisan PIP Pelabuhan Banten</t>
  </si>
  <si>
    <t>Pembayaran Potongan Koperasi PDS Periode April 2026</t>
  </si>
  <si>
    <t>Simpanan Sukarela Tno Cabang dan PTP Gaji Maret 2026</t>
  </si>
  <si>
    <t>Pendapatan Potongan Piutang Uang Tno Cabang dan Ptp Gaji MAret 2026</t>
  </si>
  <si>
    <t>Pendapatan Potongan Piutang Barang Tno Cabang dan PTP Gaji Maret 2026</t>
  </si>
  <si>
    <t>Pendapatan Potongan Kantin Tno Cabang Gaji Maret 2026</t>
  </si>
  <si>
    <t>Pendapatan Potongan Kantin Tno PTP Gaji Maret 2026</t>
  </si>
  <si>
    <t>Pendapatan Potongan Piutang Uang dan Security Maret 2026</t>
  </si>
  <si>
    <t>Simpanan Wajib Tno Cabang dan PTP Gaji Maret 2026</t>
  </si>
  <si>
    <t>02 April 2026</t>
  </si>
  <si>
    <t>Biaya Gaji TKHL Bulan Maret 2026 an Angga Putra Permana</t>
  </si>
  <si>
    <t>Biaya Gaji TKHL Bulan Maret 2026 an Galiztan EQ Gunanditya</t>
  </si>
  <si>
    <t>Pinjaman Uang Koperasi an Rima Suteja (5 bulan)</t>
  </si>
  <si>
    <t>Pengambilan Simpanan Wajib an Dodi Ahmad Fauzi ke 2</t>
  </si>
  <si>
    <t>03 April 2026</t>
  </si>
  <si>
    <t>06 April 2026</t>
  </si>
  <si>
    <t>10 April 2026</t>
  </si>
  <si>
    <t>13 April 2026</t>
  </si>
  <si>
    <t>15 April 2026</t>
  </si>
  <si>
    <t>19 April 2026</t>
  </si>
  <si>
    <t>Pinjaman Uang BS Koperasi 2 an Yusuf Irsyad</t>
  </si>
  <si>
    <t>Biaya Pekerjaan Catering SPJM Maret 2026 an M Agustian</t>
  </si>
  <si>
    <t>Pembayaran Vendor Jasa Kebersihan PT KPK periode Februari 2026</t>
  </si>
  <si>
    <t>Pembayaran Vendor Jasa Kebersihan PT KPSS periode Februari 2026</t>
  </si>
  <si>
    <t>Pembayaran Vendor Jasa Kebersihan PT MMS periode Februari 2026</t>
  </si>
  <si>
    <t>Utip Transfer KPK ke PT Marengmang Putra Persada Pelabuhan Banten periode Februari 2026</t>
  </si>
  <si>
    <t>LPJ Pengembalian sisa Belanja Kebutuhan Rumah Dinas GM an Lia Meliawati</t>
  </si>
  <si>
    <t>Pendapatan Pekerjaan Kebersihan Zonasi Lini 2 periode Februari 2026</t>
  </si>
  <si>
    <t>Pendapatan Pekerjaan Kebersihan Zonasi Lini 1 Periode Februari 2026</t>
  </si>
  <si>
    <t>Utip Transfer Arisan PIP Cabang Banten an Ari Mulyasih</t>
  </si>
  <si>
    <t>Utip Transfer Arisan PTP Cabang Banten an Asep Kosasih</t>
  </si>
  <si>
    <t>Biaya Kebutuhan Rumah Tangga Kantor an Mulyani</t>
  </si>
  <si>
    <t>Biaya Kebutuhan Rumah Tangga dan Umum PTP an Misar Ardiyanto</t>
  </si>
  <si>
    <t>Pendapatan Sewa Lahan Kantin Jus periode Maret dan April 2026 an Lukman Salamudin</t>
  </si>
  <si>
    <t>Pendapatan Pekerjaan Pelaksanaan Pengasapan Fogging dlm rangka Angleb 2026</t>
  </si>
  <si>
    <t>Pendapatan Pekerjaan Pengadaan dan Pemasangan Dormakaba MDU ES 250 Pro Teknik</t>
  </si>
  <si>
    <t>Pendapatan Pekerjaan Jasa Catering Pandu Periode Februari 2026</t>
  </si>
  <si>
    <t>Pembayaran SPT PPN periode Maret 2026</t>
  </si>
  <si>
    <t>Pembayaran SPT masa PPH 25 Badan periode Maret 2026</t>
  </si>
  <si>
    <t>Transfer BPJS Kesehatan Karyawan Cleaning Service</t>
  </si>
  <si>
    <t>Pendapatan Rekapitulasi Lembur TKHL PTP periode Februari 2026</t>
  </si>
  <si>
    <t>Pendapatan Pph 23 Padi Umkm</t>
  </si>
  <si>
    <t>Pinjaman Uang BS Koperasi an Muadi</t>
  </si>
  <si>
    <t>20 April 2026</t>
  </si>
  <si>
    <t>21 April 2026</t>
  </si>
  <si>
    <t>Pendapatan Sewa Lahan Kantin Bakso periode April 2026 an Roni</t>
  </si>
  <si>
    <t>Biaya Pengukuran Lahan Bojonegara dgn ATR BPN an Rajab Agus</t>
  </si>
  <si>
    <t>Pembayaran Pas(orang) Langganan Pelabuhan Banten</t>
  </si>
  <si>
    <t>Pembayaran Pas Kendaraan-Harian Pelabuhan Banten</t>
  </si>
  <si>
    <t>Pengambilan Simpanan Wajib an Ega Gan Gan</t>
  </si>
  <si>
    <t>Pinjaman Uang Koperasi BS SHU an Ahmad Suryani</t>
  </si>
  <si>
    <t>Angsuran LPDB ke 29 an Suherlina</t>
  </si>
  <si>
    <t>Pendapatan Pengembalian Pinjaman Management an Rajab Agus</t>
  </si>
  <si>
    <t>Pendapatan Padi UMKM</t>
  </si>
  <si>
    <t>Pendapatan Simpanan Potongan PT Jasa Armada Indonesia Banten</t>
  </si>
  <si>
    <t>22 April 2026</t>
  </si>
  <si>
    <t>23 April 2026</t>
  </si>
  <si>
    <t>24 April 2026</t>
  </si>
  <si>
    <t xml:space="preserve">Pembayaran Pajak PPH </t>
  </si>
  <si>
    <t>Pembayaran BPJS Kesehatan pegawai Koperasi</t>
  </si>
  <si>
    <t>Pendapatan Pekerjaan Kebersihan Toilet Container periode Februari 2026</t>
  </si>
  <si>
    <t>Pendapatan Pekerjaan Kebersihan Toilet Container periode Maret 2026</t>
  </si>
  <si>
    <t>Pendapatan Pekerjaan Kebersihan Halaman Gedung Kantor dan Workshop PTP periode Feb 2026</t>
  </si>
  <si>
    <t>Pendapatan Pekerjaan Kebersihan Halaman Gedung Kantor dan Workshop PTP periode Mar 2026</t>
  </si>
  <si>
    <t>Pendapatan Pekerjaan Penyediaan TKHL Harian PTP periode Maret 2026</t>
  </si>
  <si>
    <t>Pendapatan Rekapitulasi Lembur TKHL PTP periode Maret 2026</t>
  </si>
  <si>
    <t>Pendapatan Pekerjaan Sharing Bantuan Dana Penyuluhan Bahaya Narkoba PTP Banten</t>
  </si>
  <si>
    <t>Pembayaran Gaji Pegawai Koperasi Bulan April 2026</t>
  </si>
  <si>
    <t>Pembayaran Gaji Cleaning Service Kantor Cabang Potongan Bulan Mei 2026</t>
  </si>
  <si>
    <t>Pembayaran Gaji Cleaning Service PTP Potongan Bulan Mei 2026</t>
  </si>
  <si>
    <t>Pembayaran Gaji Cleaning Service Zonasi PTP Potongan Bulan Mei 2026</t>
  </si>
  <si>
    <t>Pembayaran Gaji Cleaning Service SPJM Banten Potongan Bulan Mei 2026</t>
  </si>
  <si>
    <t>Pembayaran Lembur Angkutan Lebaran Tahun 2026 Cleaning Service Cabang Banten</t>
  </si>
  <si>
    <t>Biaya Lembur TKHL Bulan Februari 2026 an Angga Putra Permana</t>
  </si>
  <si>
    <t>Biaya Lembur TKHL Bulan Februari 2026 an Galiztan EQ Gunanditya</t>
  </si>
  <si>
    <t>Pengembalian Kelebihan Potongan BJB an Ratna Sari</t>
  </si>
  <si>
    <t>Pengembalian Kelebihan Potongan Piutang Barang an Suherlina</t>
  </si>
  <si>
    <t>Pendapatan Potongan Pegawai Pelabuhan periode April 2026</t>
  </si>
  <si>
    <t>25 April 2026</t>
  </si>
  <si>
    <t>27 April 2026</t>
  </si>
  <si>
    <t xml:space="preserve">Angsuran Piutang Uang ke 3 an Tobin </t>
  </si>
  <si>
    <t>Simpanan Wajib periode Maret dan April an Tobin</t>
  </si>
  <si>
    <t>Pendapatan Pekerjaan Kebutuhan Rumah Tangga Kantor periode  Februari 2026</t>
  </si>
  <si>
    <t>Pendapatan Pekerjaan Personil untuk Pelayanan Kapal masa Angleb tahun 2026</t>
  </si>
  <si>
    <t>Pendapatan Pekerjaan Pelaksanaan Employye Gathering Pelabuhan Banten Tahun 2025</t>
  </si>
  <si>
    <t>Pendapatan Pekerjaan Kebersihan Zonasi Lini 2 periode Maret 2026</t>
  </si>
  <si>
    <t xml:space="preserve">Pendapatan Pekerjaan Pengadaan Bingkisan Natal Tahun 2025 dan Tahun Baru 2026 </t>
  </si>
  <si>
    <t>Biaya Angkutan Lebaran Tahun 2026 an Abid Kamaludin</t>
  </si>
  <si>
    <t>Pelunasan Pinjaman Piutang BS an Muadi</t>
  </si>
  <si>
    <t>28 April 2026</t>
  </si>
  <si>
    <t>Pekerjaan Pengadaan Limbah B3 an Suherlina</t>
  </si>
  <si>
    <t>Biaya Sharing Sponshorsip Cilegon Expo Tahun 2026 an Lia Meliawati</t>
  </si>
  <si>
    <t>Biaya Bingkisan Natal Tahun 2025 dan Tahun Baru 2026 an Reiza Dwi Putra</t>
  </si>
  <si>
    <t>29 April 2026</t>
  </si>
  <si>
    <t>30 April 2026</t>
  </si>
  <si>
    <t xml:space="preserve">Biaya Kebersihan Cleaner an Kami Cleaners Indonesia </t>
  </si>
  <si>
    <t>Pendapatan Potongan PT Tangga Karir Kita periode April 2026</t>
  </si>
  <si>
    <t>Pengembalian Kelebihan Potongan Koperasi an Yan Fery Rosa</t>
  </si>
  <si>
    <t>Biaya Honor Pengurus periode April an Jimmy Greei Ganap</t>
  </si>
  <si>
    <t>Biaya Perpanjangan Sim 3 Operator PTP Banten an Muadi</t>
  </si>
  <si>
    <t>Biaya Honor Pengurus periode April 2026 an Rajab Agus</t>
  </si>
  <si>
    <t>Biaya Pembelian Printer Epson L310 an Mulyani</t>
  </si>
  <si>
    <t>Utip Transfer Piutang Yohan ke Dimas Gusman (2)</t>
  </si>
  <si>
    <t>Biaya Pelunasan Audit KAP Roza AN Roza Eko dan Boy</t>
  </si>
  <si>
    <t>Pinjaman Management Dinas Kepatuhan Bisnis an Ruri Hariri</t>
  </si>
  <si>
    <t>Simpanan Wajib an Evalin Bs</t>
  </si>
  <si>
    <t xml:space="preserve">Arisan PTP an Evalin </t>
  </si>
  <si>
    <t>Utip Kelebihan Transfer</t>
  </si>
  <si>
    <t>Dana Operasional Shifting Kapal PTP Banten an Misar Ardiyanto</t>
  </si>
  <si>
    <t>CIWANDAN, 30 APRIL 2026</t>
  </si>
  <si>
    <t>Kurang bayar SPT Tahunan Badan Periode Tahun 2025</t>
  </si>
  <si>
    <t>Pembelian CCTV Outdoor an Muhammad Hamdani</t>
  </si>
  <si>
    <t>Biaya Perpanjangan Pajak Mobil 2 Unit Kendaraan Operasional Pelindo an Muadi</t>
  </si>
  <si>
    <t xml:space="preserve">                                                BULAN :  MEI 2026</t>
  </si>
  <si>
    <t>01 Mei 2026</t>
  </si>
  <si>
    <t>Pengambilan Simpanan Wajib dan Pokok an Agus Fazri</t>
  </si>
  <si>
    <t>02 Mei 2026</t>
  </si>
  <si>
    <t>Biaya Pekerjaan Pengadaan PH Air dan Labelling KepBis an Suherlina</t>
  </si>
  <si>
    <t>Utip Transfer Angsuran Bjb Anggota Koperasi</t>
  </si>
  <si>
    <t>Pengambilan Simpanan Wajib dan Pokok an Heri Firmansyah</t>
  </si>
  <si>
    <t>Biaya Cetak Spanduk dan Papan Simbolis Qurban Pelindo an Muadi</t>
  </si>
  <si>
    <t>Biaya Pekerjaan CCTV dan an Nugroho Widyo Laksono</t>
  </si>
  <si>
    <t>Pendapatan Sewa Lahan Kantin Jus periode Mei an Lukman Salamudin</t>
  </si>
  <si>
    <t>Pembayaran SPT PPH 23 Periode April 2026</t>
  </si>
  <si>
    <t>Pembayaran SPT Masa PPH 25 Badan periode April 2026</t>
  </si>
  <si>
    <t>04 Mei 2026</t>
  </si>
  <si>
    <t>05 Mei 2026</t>
  </si>
  <si>
    <t>Simpanan Wajib an Slamet Kiswountoro</t>
  </si>
  <si>
    <t>Pendapatan Pekerjaan Kebersihan Zonasi Lini 1 Periode Maret 2026</t>
  </si>
  <si>
    <t>Pembayaran SPT PPN Periode April 2026</t>
  </si>
  <si>
    <t>Utip Transfer KPK ke PT Marengmang Putra Persada Pelabuhan Banten periode Maret 2026</t>
  </si>
  <si>
    <t>Biaya Dana Sponsorship PTP Banten an Nur Amrin Chakim</t>
  </si>
  <si>
    <t>Biaya Catering Pandu SPJM Periode Mei 2026 an M Agustian</t>
  </si>
  <si>
    <t>Pembayaran Vendor Jasa Kebersihan PT KPSS periode Maret 2026</t>
  </si>
  <si>
    <t>Pengambilan Simpanan Wajib dan Pokok an Guntoro</t>
  </si>
  <si>
    <t>Pengambilan Simpanan untuk Pelunasan BJB an Heri Firmansyah</t>
  </si>
  <si>
    <t>Pengambilan Simpanan Wajib dan Pokok an Deden Suryadi</t>
  </si>
  <si>
    <t>Pengambilan Simpanan Wajib dan Pokok an Asep Sudrajat</t>
  </si>
  <si>
    <t>Pembayaran Vendor Jasa Kebersihan PT MMS periode Maret 2026</t>
  </si>
  <si>
    <t>Pembayaran Vendor Jasa Kebersihan PT KPK periode Maret 2026</t>
  </si>
  <si>
    <t>Pembayaran Potongan Koperasi PDS Periode Mei 2026</t>
  </si>
  <si>
    <t>Simpanan Wajib Tno Cabang dan PTP Gaji April 2026</t>
  </si>
  <si>
    <t>Simpanan Sukarela Tno Cabang dan PTP Gaji April 2026</t>
  </si>
  <si>
    <t>Pendapatan Potongan Piutang Uang Tno Cabang dan Ptp Gaji April 2026</t>
  </si>
  <si>
    <t>Pendapatan Potongan Piutang Barang Tno Cabang dan PTP Gaji April 2026</t>
  </si>
  <si>
    <t>Pendapatan Potongan Kantin Tno Cabang Gaji April 2026</t>
  </si>
  <si>
    <t>Pendapatan Potongan Kantin Tno PTP Gaji April 2026</t>
  </si>
  <si>
    <t>06 Mei 2026</t>
  </si>
  <si>
    <t>Pengambilan Simpanan Wajib dan Pokok an Okteddy Gunawan</t>
  </si>
  <si>
    <t xml:space="preserve">Pendapatan Sewa Lahan Kantin Nasi an Adelina Sunara </t>
  </si>
  <si>
    <t>Pengambilan Simpanan Wajib an Nanung Arsena</t>
  </si>
  <si>
    <t>Pengambilan Simpanan Wajib an Hajali Juhri</t>
  </si>
  <si>
    <t>Pinjaman Uang Koperasi dan Pelunasan an Hakina Jili</t>
  </si>
  <si>
    <t>Pinjaman Uang Koperasi dan Pelunasan an Sayuti</t>
  </si>
  <si>
    <t>Biaya Kebutuhan Rumdin GM an Lia Meliawati</t>
  </si>
  <si>
    <t>Transfer utip Arisan PTP Periode April 2026 an Asep Kosasih</t>
  </si>
  <si>
    <t>Pinjaman Barang Koperasi an Dodi Ahmad</t>
  </si>
  <si>
    <t>Pelunasan Pinjaman Barang Koperasi an Dodi Ahmad F</t>
  </si>
  <si>
    <t>Pengambilan Simpanan Sukarela an Muhammad Rusdi</t>
  </si>
  <si>
    <t>Transfer Arisan PIP an Ari Mulyasih</t>
  </si>
  <si>
    <t>Pinjaman dan Pelunasan Uang an Tati Herawati</t>
  </si>
  <si>
    <t>07 Mei 2025</t>
  </si>
  <si>
    <t>Pinjaman Barang Koperasi an Yohan Setiawan</t>
  </si>
  <si>
    <t>Pendapatan Pekerjaan Bingkisan Angkutan Lebaran Tahun 2026</t>
  </si>
  <si>
    <t>Pendapatan Pekerjaan Cleaning Service periode Desember 2025</t>
  </si>
  <si>
    <t>08 Mei 2025</t>
  </si>
  <si>
    <t>Pinjaman Japen Koperasi an Endin Oktaviana</t>
  </si>
  <si>
    <t>Pengambilan Simpanan Sukarela an M Alfian</t>
  </si>
  <si>
    <t>Biaya Kebutuhan RT Kantor Cabang an Mulyani</t>
  </si>
  <si>
    <t>Pinjaman Uang Koperasi an Opik Sundari</t>
  </si>
  <si>
    <t xml:space="preserve">Biaya Mooring 9xRp 30 an Aprizal </t>
  </si>
  <si>
    <t>Biaya Pinjaman Operasional Pekerjaan PT Tangga Karir Kita</t>
  </si>
  <si>
    <t>Utip Transfer Biaya RAT Tahun Buku 2025</t>
  </si>
  <si>
    <t>Pinjaman Uang Koperasi an Asep Kosasih</t>
  </si>
  <si>
    <t>Pinjaman Uang Koperasi an Komaruzaman</t>
  </si>
  <si>
    <t>09 Mei 2026</t>
  </si>
  <si>
    <t>Pendapatan Potongan PTP Banten periode Maret 2026</t>
  </si>
  <si>
    <t>Pendapatan Potongan Koperasi SPJM Periode Februari 2026</t>
  </si>
  <si>
    <t>Pendapatan Potongan Koperasi SPJM Periode Maret 2026</t>
  </si>
  <si>
    <t>12 Mei 2026</t>
  </si>
  <si>
    <t>13 Mei 2026</t>
  </si>
  <si>
    <t>Biaya Golf an Lukman Salamudin</t>
  </si>
  <si>
    <t>Biaya Alat Tulis Kantor (ATK) Divisi Komersial an Lia Meliawati</t>
  </si>
  <si>
    <t>Utip Transfer Piutang Gunawan ke Zaenal Firdaus</t>
  </si>
  <si>
    <t>Biaya Pembelian Tinta dan Tisu Koperasi an Suherlina</t>
  </si>
  <si>
    <t>14 Mei 2026</t>
  </si>
  <si>
    <t>Biaya Pembelian Doorprize RAT Tahun Buku 2025 an Willyam Qq Djap Lie Phin</t>
  </si>
  <si>
    <t>Pengambilan Simpanan Sukarela an Ciswanto</t>
  </si>
  <si>
    <t>Biaya Papan Ucapan Karangan Bunga untuk Ortu dari Pak Satria Pinangga an Uus</t>
  </si>
  <si>
    <t>Pinjaman Piutang Uang an Hajali Juhri</t>
  </si>
  <si>
    <t>Pinjaman Piutang Barang Koperasi 5 bulan an Fredy Haryanto</t>
  </si>
  <si>
    <t>Pengambilan Simpanan Sukarela an Firmansyah Security</t>
  </si>
  <si>
    <t xml:space="preserve">Biaya Spanduk Dermaga an Muadi </t>
  </si>
  <si>
    <t>Pengambilan Simpanan Sukarela an Dimas Gusman</t>
  </si>
  <si>
    <t>Pengambilan Simpanan Sukarela an Adi Setia Budi</t>
  </si>
  <si>
    <t>Pinjaman Uang Koperasi Anggota an Mulyani</t>
  </si>
  <si>
    <t>Pinjaman Barang Koperasi an Dodi Ahmad Fauzi</t>
  </si>
  <si>
    <t>Pengambilan Simpanan Sukarela an Saiman Hambali</t>
  </si>
  <si>
    <t>Biaya Pekerjaan Tekhnik an Nugroho Widyo Laksono</t>
  </si>
  <si>
    <t>Pengambilan Simpanan Sukarela an Miftahullah</t>
  </si>
  <si>
    <t>Pinjaman Uang Koperasi BS Bulan Juni an Haryono</t>
  </si>
  <si>
    <t>18 Mei 2026</t>
  </si>
  <si>
    <t>Pendapatan Pekerjaan Konsumsi Angkutan Lebaran Tahun 2026 Kepatuhan Bisnis</t>
  </si>
  <si>
    <t>Biaya Sharing Musyawarah an Rio Wijaya</t>
  </si>
  <si>
    <t>Biaya Konsumsi Nasi Kotak RAT Tahun buku 2025 an Anita Yopie Anna</t>
  </si>
  <si>
    <t>Pengambilan Simpanan Sukarela an Sandi Prasati</t>
  </si>
  <si>
    <t>Biaya Konsumsi Snack Kue RAT Tahun Buku 2025 an Anita Hendriaty</t>
  </si>
  <si>
    <t>19 Mei 2026</t>
  </si>
  <si>
    <t>Biaya Penyedotan Limbah Domestik Dermaga PTP an Muadi</t>
  </si>
  <si>
    <t xml:space="preserve">Biaya Voucher Indomart Souvenir RAT Tahun Buku 2025 an PT Indomarco Prismatama </t>
  </si>
  <si>
    <t>20 Mei 2026</t>
  </si>
  <si>
    <t>Pendapatan Sewa Kantin Bakso Mumtaz periode Mei 2026 an Karyono</t>
  </si>
  <si>
    <t>Biaya Tambahan Pembelian Doorprize RAT Th Buku 2025 an Suherlina</t>
  </si>
  <si>
    <t>Biaya Pengiriman Kartu Voucher RAT Tahun Buku 2025 an Achmad Ridwan</t>
  </si>
  <si>
    <t>Biaya Tambahan Konsumsi Snack Kue RAT Tahun Buku 2025 an Anita Hendriaty</t>
  </si>
  <si>
    <t>21 Mei 2026</t>
  </si>
  <si>
    <t>Pinjaman Management KepBis Koordinasi dengan Kajari Cilegon an Rajab Agus</t>
  </si>
  <si>
    <t>Transfer Uang SHU Tahun Buku 2025 an Rachmat Hidayat</t>
  </si>
  <si>
    <t>Biaya Honor Panitia RAT Tahun Buku 2025</t>
  </si>
  <si>
    <t>Biaya SPPD Panitia RAT Tahun Buku 2025</t>
  </si>
  <si>
    <t>22 Mei 2026</t>
  </si>
  <si>
    <t>Biaya Ucapan Karangan Bunga HUT BJB Cilegon an Uus Rusnandar</t>
  </si>
  <si>
    <t>Biaya Spanduk Pelindo Hari Kebangkitan Nasional an Muadi</t>
  </si>
  <si>
    <t>Biaya Spanduk RAT Tahun Buku 2025 an Muadi</t>
  </si>
  <si>
    <t>Pinjaman Uang Koperasi dan Pelunsan an M Azhari</t>
  </si>
  <si>
    <t>Biaya Mooring Bojonegara 2 an Aprizal</t>
  </si>
  <si>
    <t>Angsuran LPDB ke 30 an Suherlina</t>
  </si>
  <si>
    <t>Pembahasan Pekerjaan Kontrak SPJM an Hadi Wijaya</t>
  </si>
  <si>
    <t>25 Mei 2026</t>
  </si>
  <si>
    <t>Pendapatan Rekapitulasi Lembur TKHL PTP periode April 2026</t>
  </si>
  <si>
    <t>Pendapatan Pekerjaan Penyediaan TKHL Harian PTP periode April 2026</t>
  </si>
  <si>
    <t>Pembayaran Gaji Cleaning Service Kantor Cabang Potongan Bulan Juni 2026</t>
  </si>
  <si>
    <t>Pembayaran Gaji Cleaning Service PTP Potongan Bulan Juni 2026</t>
  </si>
  <si>
    <t>Pembayaran Gaji Cleaning Service Zonasi PTP Potongan Bulan Juni 2026</t>
  </si>
  <si>
    <t>Pembayaran Gaji Cleaning Service SPJM Banten Potongan Bulan Juni 2026</t>
  </si>
  <si>
    <t>Pendapatan Potongan Pegawai Pelabuhan periode Mei 2026</t>
  </si>
  <si>
    <t>26 Mei 2026</t>
  </si>
  <si>
    <t>Pengembalian Pinjaman Pekerjaan dari PT Tangga Karir Kita</t>
  </si>
  <si>
    <t>Utip Arisan PTP Banten an Evalin BS</t>
  </si>
  <si>
    <t>Transfer utip untuk Penambahan Gaji Karyawan Koperasi an Rajab Agus</t>
  </si>
  <si>
    <t>28 Mei 2026</t>
  </si>
  <si>
    <t>Pengembalian Pinjaman Bonus Koperasi an Endin Oktaviana</t>
  </si>
  <si>
    <t>Pengembalian Pinjaman BonuS Koperasi an Asep Kosasih</t>
  </si>
  <si>
    <t>Pengembalian Pinjaman Bonus Koperasi an Rajab Agus</t>
  </si>
  <si>
    <t>Biaya Lembur TKHL Bulan Maret 2026 an Angga Putra Permana</t>
  </si>
  <si>
    <t>Biaya Lembur TKHL Bulan Maret 2026 an Galiztan EQ Gunanditya</t>
  </si>
  <si>
    <t>CIWANDAN, 31 MEI 2026</t>
  </si>
  <si>
    <t>Pengembalian utip Pinjaman Dana Gaji Karyawan an Rajab Agus</t>
  </si>
  <si>
    <t>Pembayaran Gaji Pegawai Koperasi Bulan Mei 2026</t>
  </si>
  <si>
    <t>Pendapatan fee dana talangan Nataru an Reiza Dwi Putra</t>
  </si>
  <si>
    <t xml:space="preserve">                                                BULAN :  JUNI 2026</t>
  </si>
  <si>
    <t xml:space="preserve">Setor Tunai Pembayaran Lembur Karyawan Cleaning Service </t>
  </si>
  <si>
    <t>02 Juni 2026</t>
  </si>
  <si>
    <t>Pembayaran Potongan Koperasi PDS Periode Juni 2026</t>
  </si>
  <si>
    <t>Simpanan Wajib Tno Cabang dan PTP Gaji Mei 2026</t>
  </si>
  <si>
    <t>Simpanan Sukarela Tno Cabang dan PTP Gaji Mei 2026</t>
  </si>
  <si>
    <t>Pendapatan Potongan Piutang Uang Tno Cabang dan Ptp Gaji Mei 2026</t>
  </si>
  <si>
    <t>Pendapatan Potongan Piutang Barang Tno Cabang dan PTP Gaji Mei 2026</t>
  </si>
  <si>
    <t>Pendapatan Potongan Kantin Tno Cabang Gaji Mei 2026</t>
  </si>
  <si>
    <t>Pendapatan Potongan Kantin Tno PTP Gaji Mei 2026</t>
  </si>
  <si>
    <t>Pendapatan Potongan Piutang Uang dan Security Mei 2026</t>
  </si>
  <si>
    <t>Biaya Gaji TKHL Bulan April 2026 an Angga Putra Permana</t>
  </si>
  <si>
    <t>Biaya Gaji TKHL Bulan April 2026 an Galiztan EQ Gunanditya</t>
  </si>
  <si>
    <t>Biaya Gaji TKHL Bulan Mei 2026 an Angga Putra Permana</t>
  </si>
  <si>
    <t>Biaya Gaji TKHL Bulan Mei 2026 an Galiztan EQ Gunanditya</t>
  </si>
  <si>
    <t xml:space="preserve">Utip transfer Piutang Yohan ke Dimas Gusman </t>
  </si>
  <si>
    <t>03 Juni 2026</t>
  </si>
  <si>
    <t>Simpanan Sukarela an Jimmy Greei Ganap</t>
  </si>
  <si>
    <t>Biaya Pembelian Alat Kebersihan Cleaning Service Cabang an Mulyani</t>
  </si>
  <si>
    <t>Pendapatan Potongan Bonus Pegawai Pelabuhan Banten</t>
  </si>
  <si>
    <t>04 Juni 2026</t>
  </si>
  <si>
    <t>Pendapatan Sewa Lahan Kantin Nasi an Lukman Salamudin</t>
  </si>
  <si>
    <t>Biaya Kebutuhan RT Umum PTP Banten an Misar Ardiyanto</t>
  </si>
  <si>
    <t>Utip Arisan PTP Banten periode Mei 2026 an Asep Kosasih</t>
  </si>
  <si>
    <t>Utip Arisan Pengurus PIP Cabang Banten an Ari Mulyasih</t>
  </si>
  <si>
    <t xml:space="preserve">Pendapatan Biaya SHU Pemindah Bukuan BNI ke Mandiri </t>
  </si>
  <si>
    <t>Biaya Administrasi Padi Umkm</t>
  </si>
  <si>
    <t>05 Juni 2026</t>
  </si>
  <si>
    <t>Pendapatan Pekerjaan Shiffting Kapal PT Sakura Samudera Lines PTP Banten</t>
  </si>
  <si>
    <t xml:space="preserve">Biaya Sisa Hasil Usaha (SHU) Anggota Tahun 2025 </t>
  </si>
  <si>
    <t>Biaya SHU untuk Piutang BJB an Reiza Dwi Putra</t>
  </si>
  <si>
    <t>Biaya SHU untuk Piutang BJB an Habibudin</t>
  </si>
  <si>
    <t>Biaya SHU untuk Piutang BJB an Ikbal Fikri</t>
  </si>
  <si>
    <t>Biaya SHU untuk Piutang BJB an Irvan Affandi</t>
  </si>
  <si>
    <t>Biaya SHU untuk Piutang BJB an Edy Junaedi</t>
  </si>
  <si>
    <t>Pendapatan Piutang BS Koperasi an Ahmad Suryani</t>
  </si>
  <si>
    <t>06 Juni 2026</t>
  </si>
  <si>
    <t>Biaya SHU Sukarela Anggota Tahun 2025</t>
  </si>
  <si>
    <t>Pendapatan Pekerjaan Cleaning Service periode Maret 2026</t>
  </si>
  <si>
    <t>Pendapatan Pekerjaan Penyedotan Limbah Domestik PTP Banten</t>
  </si>
  <si>
    <t>Pembayaran SPT PPN Periode Mei 2026</t>
  </si>
  <si>
    <t>Biaya Shu Anggota Tahun 2025 an Johanes Agus W</t>
  </si>
  <si>
    <t>Biaya Alat Kebersihan CS Lapangan PTP Banten an Maudi</t>
  </si>
  <si>
    <t>Biaya Alat Kebersihan Cs Gedung Workshop PTP Banten an Muadi</t>
  </si>
  <si>
    <t>Pendapatan Piutang Uang Koperasi an Gunawan</t>
  </si>
  <si>
    <t>Pendapatan Piutang Uang Koperasi an Dedi Suryadi</t>
  </si>
  <si>
    <t>Pendapatan Piutang Uang Koperasi an Rulansyah</t>
  </si>
  <si>
    <t>Pembayaran SPT Masa PPH 25 Badan periode Mei 2026</t>
  </si>
  <si>
    <t>Pembayaran SPT PPH 23 Periode Mei 2026</t>
  </si>
  <si>
    <t>Shu Sukarela Tahun 2025 an Irvan Afandi</t>
  </si>
  <si>
    <t>Pendapatan Piutang BJB an Irvan Affandi</t>
  </si>
  <si>
    <t>Shu Sukarela Tahun 2025 an Edy Junaedi</t>
  </si>
  <si>
    <t>Pendapatan Piutang BJB an Edy Junaedi</t>
  </si>
  <si>
    <t>Shu Sukarela Tahun 2025 an Syahrudin</t>
  </si>
  <si>
    <t>Pendapatan Jasa Koperasi an Syahrudin</t>
  </si>
  <si>
    <t>Tambahan Biaya Galon Kantor an Muadi</t>
  </si>
  <si>
    <t>08 Juni 2026</t>
  </si>
  <si>
    <t>Biaya Pembelian Perlengkapan MWT an Suherlina</t>
  </si>
  <si>
    <t>Biaya Service Kendaraan Roda 2 PTP Banten an Ahmad Kurniawan</t>
  </si>
  <si>
    <t>Biaya Catering SPJM Pandu periode Mei 2026 an M Agustian</t>
  </si>
  <si>
    <t>09 Juni 2026</t>
  </si>
  <si>
    <t>Pembayaran Kebersihan KPK periode April 2026</t>
  </si>
  <si>
    <t>Pembayaran Pinjaman Management Kepbis an Rajab Agus</t>
  </si>
  <si>
    <t xml:space="preserve">Pembayaran Padi UMKM </t>
  </si>
  <si>
    <t>Utip Transfer Piutang Marengmang (KPK) ke Pelindo periode apRIL 2026</t>
  </si>
  <si>
    <t>Pembelian Belanja Kebutuhan Rokok Kantin an Humasiyah</t>
  </si>
  <si>
    <t>10 Juni 2026</t>
  </si>
  <si>
    <t>Shu Sukarela Tahun 2025 an Qomarudin</t>
  </si>
  <si>
    <t>Pembelian Aqua Kantin Koperasi an Jimmy Greei Ganap</t>
  </si>
  <si>
    <t>Pengambilan Simpanan Sukarela an Rosnieti</t>
  </si>
  <si>
    <t>Pengambilan Simpanan Wajib an Putri Fajar Sari (sisa)</t>
  </si>
  <si>
    <t>Pembelian Aqua Kantin Koperasi an Humasiyah</t>
  </si>
  <si>
    <t>Pengambilan Simpanan Wajib dan Pokok an Ega Gan Gan</t>
  </si>
  <si>
    <t>Pengambilan Simpanan Sukarela an Purwanto</t>
  </si>
  <si>
    <t>Pengambilan Simpanan Sukarela an Agus Suhendra</t>
  </si>
  <si>
    <t>Pengambilan Simpanan Sukarela an Tomi Adi Kurniawan</t>
  </si>
  <si>
    <t>Pengambilan Simpanan Sukarela an Sadrawi</t>
  </si>
  <si>
    <t>Pengambilan Simpanan Sukarela an Sahrudin</t>
  </si>
  <si>
    <t>Pengambilan Simpanan Sukarela an M Raja Faisal</t>
  </si>
  <si>
    <t>Pengambilan Simpanan Sukarela an Nasrullah</t>
  </si>
  <si>
    <t>Pengambilan Simpanan Sukarela an Amrullah</t>
  </si>
  <si>
    <t>Pengambilan Simpanan Wajib dan Pokok dan Pelunasan Piutang Barang an Johanes Agus</t>
  </si>
  <si>
    <t>Pembayaran Sharing Coklit dan Pemanfaatan Area dan Fasilitas (Pelindo)</t>
  </si>
  <si>
    <t xml:space="preserve">Pengambilan Simpanan Sukarela an Johanes Agus </t>
  </si>
  <si>
    <t>Pinjaman Barang Anggota Koperasi an Suherlina</t>
  </si>
  <si>
    <t>Pendapatan Piutang BS Shu Koperasi an Rachmat Hidayat</t>
  </si>
  <si>
    <t>Biaya Kekurangan Pekerjaan PH Air an Suherlina</t>
  </si>
  <si>
    <t>Pinjaman Barang Koperasi an Sayuti</t>
  </si>
  <si>
    <t>Pengambilan Simpanan Wajib an Nahdi Prasetyo</t>
  </si>
  <si>
    <t>Pendapatan Pekerjaan Pajak Kendaraan</t>
  </si>
  <si>
    <t>Pendapatan Pekerjaan Kebutuhan Rumah Tangga Kantor April 2026</t>
  </si>
  <si>
    <t>Pendapatan Pekerjaan Kebutuhan Rumah Tangga Kantor Maret 2026</t>
  </si>
  <si>
    <t>Pendapatan Pekerjaan Cleaning Service periode Februari 2026</t>
  </si>
  <si>
    <t>Pendapatan Pekerjaan Kebersihan Halaman Gedung Kantor dan Workshop PTP periode Apr 2026</t>
  </si>
  <si>
    <t>Pendapatan Pekerjaan Kebersihan Toilet Container periode April 2026</t>
  </si>
  <si>
    <t>Pendapatan Sewa Lahan Kantin Nasi an Adelina Sunara</t>
  </si>
  <si>
    <t>Pendapatan Pekerjaan Sim B1</t>
  </si>
  <si>
    <t>Pendapatan Rekapitulasi Lembur TKHL PTP periode Mei 2026</t>
  </si>
  <si>
    <t>Pendapatan Pekerjaan Penyediaan TKHL Harian PTP periode Mei 2026</t>
  </si>
  <si>
    <t>Biaya Pekerjaan PC Desktop Tekhnik an Abid Kamaludin</t>
  </si>
  <si>
    <t>Biaya Pekerjaan Perpanjangan 2 unit Mobil an Muadi</t>
  </si>
  <si>
    <t>Pengembalian Kelebihan Potongan BJB an alm Heri Siswanto</t>
  </si>
  <si>
    <t xml:space="preserve">Transfer Angsuran Anggota Koperasi ke BJB </t>
  </si>
  <si>
    <t>Pengembalian Kelebihan Potongan BJB an Deden Suryadi</t>
  </si>
  <si>
    <t>Kelebihan untuk Simpanan Sukarela an Ahmad Suryani</t>
  </si>
  <si>
    <t>11 Juni 2026</t>
  </si>
  <si>
    <t>12 Juni 2026</t>
  </si>
  <si>
    <t>15 Juni 2026</t>
  </si>
  <si>
    <t>18 Juni 2026</t>
  </si>
  <si>
    <t>19 Juni 2026</t>
  </si>
  <si>
    <t>20 Juni 2026</t>
  </si>
  <si>
    <t>22 Juni 2026</t>
  </si>
  <si>
    <t>23 Juni 2026</t>
  </si>
  <si>
    <t>Biaya Kekurangan Pekerjaan STNK an Muadi</t>
  </si>
  <si>
    <t>Pemesanan Karangan Bunga PTP Banten an Uus Rusnandar</t>
  </si>
  <si>
    <t>Angsuran LPDB Ke 31 an Suherlina</t>
  </si>
  <si>
    <t>Simpanan Wajib Slamet Kiswountoro</t>
  </si>
  <si>
    <t>25 Juni 2026</t>
  </si>
  <si>
    <t>Pendapatan Pekerjaan Kebersihan Halaman Gedung Kantor dan Workshop PTP periode Mei 2026</t>
  </si>
  <si>
    <t>Pendapatan Pekerjaan Bantuan Dana Kegiatan</t>
  </si>
  <si>
    <t xml:space="preserve">Pembayaran Spanduk K3 </t>
  </si>
  <si>
    <t>Pendapatan Potongan Koperasi pegawai SPJM Periode April 2026</t>
  </si>
  <si>
    <t>Pendapatan Potongan PTP Banten periode April 2026</t>
  </si>
  <si>
    <t>Pembayaran Gaji Cleaning Service Kantor Cabang Potongan Bulan Juli 2026</t>
  </si>
  <si>
    <t>Pembayaran Gaji Cleaning Service PTP Potongan Bulan Juli 2026</t>
  </si>
  <si>
    <t>Pembayaran Gaji Cleaning Service Zonasi PTP Potongan Bulan Juli 2026</t>
  </si>
  <si>
    <t>Pembayaran Gaji Cleaning Service SPJM Banten Potongan Bulan Juli 2026</t>
  </si>
  <si>
    <t>Pembayaran Gaji Pegawai Koperasi Bulan Juni 2026</t>
  </si>
  <si>
    <t>Simpanan Pokok Cleaning Service Kantor</t>
  </si>
  <si>
    <t>Simpanan Pokok Cleaning Service Zonasi PTP</t>
  </si>
  <si>
    <t>Biaya Lembur TKHL Bulan April 2026 an Angga Putra Permana</t>
  </si>
  <si>
    <t>Biaya Lembur TKHL Bulan April 2026 an Galiztan EQ Gunanditya</t>
  </si>
  <si>
    <t>Pengembalian Kelebihan Pembayaran BPJS Kesehatan an Galiztan EQ</t>
  </si>
  <si>
    <t>Pendapatan Potongan Kantin Koperasi</t>
  </si>
  <si>
    <t>Pendapatan Pekerjaan Zonasi Lini 1 periode April 2026</t>
  </si>
  <si>
    <t>Pendapatan Pekerjaan Zonasi Lini 1 Periode Mei 2026</t>
  </si>
  <si>
    <t>Pendapatan Pekerjaan Kebersihan Toilet Container periode Mei 2026</t>
  </si>
  <si>
    <t>Pengambilan Simpanan Sukarela an M Agus Alfian</t>
  </si>
  <si>
    <t>Angsuran Potongan Barang Cleaning Service PTP</t>
  </si>
  <si>
    <t>Simpanan Wajib Tobin</t>
  </si>
  <si>
    <t xml:space="preserve">Angsuran Piutang Koperasi Tobin ke 4 dan lunas </t>
  </si>
  <si>
    <t>Rapel Gaji Cleaning Service an Eka Suryanto (Utip Piutang Zaenal Firdaus)</t>
  </si>
  <si>
    <t>26 Juni 2026</t>
  </si>
  <si>
    <t>Pendapatan Pekerjaan Kantor SPJM Unit Banten,Stasiun Kepanduan Ciwandan dan Merak Jan 2026</t>
  </si>
  <si>
    <t>Pendapatan Pekerjaan Kantor SPJM Unit Banten,Stasiun Kepanduan Ciwandan dan Merak Feb 2026</t>
  </si>
  <si>
    <t>Pendapatan Pekerjaan Kantor SPJM Unit Banten,Stasiun Kepanduan Ciwandan dan Merak Mar 2026</t>
  </si>
  <si>
    <t>Pendapatan Pekerjaan Kantor SPJM Unit Banten,Stasiun Kepanduan Ciwandan dan Merak Apr 2026</t>
  </si>
  <si>
    <t>Pendapatan Pekerjaan Kantor SPJM Unit Banten,Stasiun Kepanduan Ciwandan dan Merak Mei 2026</t>
  </si>
  <si>
    <t>Pendapatan Pekerjaan Kebersihan Zonasi Lini 2 periode April 2026</t>
  </si>
  <si>
    <t>Pendapatan Pekerjaan Kebersihan Zonasi Lini 2 periode Mei 2026</t>
  </si>
  <si>
    <t>Pekerjaan Kepatuhan Bisnis an Miftah Qodrat Kurniawan</t>
  </si>
  <si>
    <t>Pendapatan Potongan PT Tangga Karir Kita periode Mei 2026</t>
  </si>
  <si>
    <t>Dana Pengurus Tahun Buku 2025</t>
  </si>
  <si>
    <t>Dana Pengawas Tahun Buku 2025</t>
  </si>
  <si>
    <t>Dana Karyawan Tahun Buku 2025</t>
  </si>
  <si>
    <t>Dana Lingkungan Kerja Tahun Buku 2025</t>
  </si>
  <si>
    <t>Biaya Seragam Kerja Cleaning Service an Mulyani</t>
  </si>
  <si>
    <t>Pengambilan Simpanan Wajib dan Pokok an Tuti Suimroh</t>
  </si>
  <si>
    <t>Pendapatan Potongan Pegawai Pelabuhan periode Juni 2026</t>
  </si>
  <si>
    <t>29 Juni 2026</t>
  </si>
  <si>
    <t>Pembayaran Vendor Kebersihan KPK Periode Mei 2026</t>
  </si>
  <si>
    <t>Pembayaran Vendor Kebersihan KPSS Periode April 2026</t>
  </si>
  <si>
    <t>Pembayaran Vendor Kebersihan MMS Periode April 2026</t>
  </si>
  <si>
    <t>Dana Karyawan Tahun Buku 2025 an Tuti Suimroh</t>
  </si>
  <si>
    <t>Pembayaran Vendor Kebersihan KPSS PeriodeMei 2026</t>
  </si>
  <si>
    <t>Pembayaran Vendor Kebersihan MMS Periode Mei 2026</t>
  </si>
  <si>
    <t>Rapel Gaji Cleaning Service Cabang Banten Periode Januari sd Juni 2026</t>
  </si>
  <si>
    <t>Rapel Gaji Cleaning Service PTP Banten Periode Januari sd Juni 2026</t>
  </si>
  <si>
    <t>Rapel Gaji Cleaning Service Zonasi Periode Januari sd Juni 2026</t>
  </si>
  <si>
    <t>Utip Transfer KPK ke Marengmang PT Pelabuhan Banten</t>
  </si>
  <si>
    <t>Rapel Gaji Cleaning Service SPJM Periode Januari sd Juni 2026</t>
  </si>
  <si>
    <t>Rapel Gaji Kayawan Koperasi Periode Januari sd Juni 2026</t>
  </si>
  <si>
    <t>Rapel THR Cleaning Service Cabang Banten Periode Januari sd Juni 2026</t>
  </si>
  <si>
    <t>Rapel THR Cleaning Service PTP Banten Periode Januari sd Juni 2026</t>
  </si>
  <si>
    <t>Rapel THR Cleaning Service Zonasi Periode Januari sd Juni 2026</t>
  </si>
  <si>
    <t>Rapel THR Cleaning Service SPJM Periode Januari sd Juni 2026</t>
  </si>
  <si>
    <t>Rapel THR Kayawan Koperasi Periode Januari sd Juni 2026</t>
  </si>
  <si>
    <t>Rapel Cuti Kayawan Koperasi Periode Januari sd Juni 2026</t>
  </si>
  <si>
    <t>Pengambilan Simpanan Wajib dan Pokok an Nahdi Prasetyo</t>
  </si>
  <si>
    <t>Pelunasan Piutang Uang Koperasi an Nahdi Prasetyo</t>
  </si>
  <si>
    <t>30 Juni 2026</t>
  </si>
  <si>
    <t>Biaya Rapat Koordinasi Dengan Kajari Cilegon an Rajab Agus</t>
  </si>
  <si>
    <t>Pendapatan Kerjasama Air Bersih (Sontrang) an Sahaludin</t>
  </si>
  <si>
    <t>Pinjaman Uang Koperasi an Atik Salasih dan Pelunasan Uang Koperasi</t>
  </si>
  <si>
    <t>Pelunasan Piutang Barang an Atik Slasih</t>
  </si>
  <si>
    <t>Pinjaman Uang Koperasi an Irvan Irjayadi</t>
  </si>
  <si>
    <t>Pengambilan Simpanan Sukarela an Alit Nova Afriyanie</t>
  </si>
  <si>
    <t>Pinjaman Uang Koperasi an Nanung</t>
  </si>
  <si>
    <t>Pinjaman Uang Koperasi an Taufik Hidayat</t>
  </si>
  <si>
    <t>Pinjaman Uang Koperasi an Asep Komarudin</t>
  </si>
  <si>
    <t>Pinjaman Uang Koperasi an Nahrawi</t>
  </si>
  <si>
    <t>Pengambilan Simpanan Sukarela an Tri Wawan</t>
  </si>
  <si>
    <t>Pinjaman Uang Koperasi an Muhammad Affandi</t>
  </si>
  <si>
    <t>Pengambilan Simpanan Wajib dan Pokok an Tisatul Maemuharohmah</t>
  </si>
  <si>
    <t>Pinjaman Uang Koperasi an Nanang Prihandoko</t>
  </si>
  <si>
    <t>Pinjaman Uang Koperasi dan Pelunasan an Hernita Sari</t>
  </si>
  <si>
    <t>Pengambilan Simpanan Sukarela an M Prihatin</t>
  </si>
  <si>
    <t>Pengambilan Simpanan Sukarela an Ahmad Yani</t>
  </si>
  <si>
    <t>Pengambilan Simpanan Sukarela an Anwar Sadat</t>
  </si>
  <si>
    <t>Pinjaman Uang Koperasi an Tomi Adi Kurniawan</t>
  </si>
  <si>
    <t>Pinjaman Uang Koperasi an Khusnul Khotimah</t>
  </si>
  <si>
    <t>Pengambilan Simpanan Wajib dan Pokok an Rosnieti</t>
  </si>
  <si>
    <t>Pinjaman Uang Koperasi an Abdul Arif</t>
  </si>
  <si>
    <t>Pinjaman Uang Koperasi an Muhammad Bevi</t>
  </si>
  <si>
    <t>Pinjaman Gaji Pekerja an Tangga Karir Kita</t>
  </si>
  <si>
    <t xml:space="preserve">Pendapatan Sewa Lahan Kantin Nasi (4) Rey Jendrya Fulbert </t>
  </si>
  <si>
    <t>Utip Transfer Piutang Yoha ke Dimas Gusman P (3)</t>
  </si>
  <si>
    <t>Pembayaran Kekurangan PT MMS Periode April dan Mei 2026</t>
  </si>
  <si>
    <t>Pembayaran Kekurangan PT KPK Periode April dan Mei 2026</t>
  </si>
  <si>
    <t>Biaya Jasa Catering Pandu periode Juni 2026 an M Agustian</t>
  </si>
  <si>
    <t>Pembayaran Kekurangan PT KPSS Periode April dan Mei 2026</t>
  </si>
  <si>
    <t>CIWANDAN, 30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</si>
</sst>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.00_-;\-* #,##0.0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3" xfId="0" applyFill="1" applyBorder="1"/>
    <xf numFmtId="0" fontId="3" fillId="0" borderId="0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6" fillId="0" borderId="1" xfId="1" applyNumberFormat="1" applyFont="1" applyBorder="1"/>
    <xf numFmtId="165" fontId="3" fillId="0" borderId="0" xfId="1" applyNumberFormat="1" applyFont="1"/>
    <xf numFmtId="3" fontId="3" fillId="0" borderId="1" xfId="0" quotePrefix="1" applyNumberFormat="1" applyFont="1" applyBorder="1" applyAlignment="1">
      <alignment horizontal="center" vertical="center"/>
    </xf>
    <xf numFmtId="165" fontId="6" fillId="0" borderId="0" xfId="1" applyNumberFormat="1" applyFont="1"/>
    <xf numFmtId="0" fontId="6" fillId="0" borderId="0" xfId="0" applyFont="1"/>
    <xf numFmtId="0" fontId="7" fillId="0" borderId="2" xfId="0" applyFont="1" applyBorder="1"/>
    <xf numFmtId="0" fontId="8" fillId="0" borderId="2" xfId="0" applyFont="1" applyBorder="1"/>
    <xf numFmtId="165" fontId="7" fillId="0" borderId="0" xfId="1" applyNumberFormat="1" applyFont="1" applyBorder="1"/>
    <xf numFmtId="165" fontId="7" fillId="0" borderId="4" xfId="1" applyNumberFormat="1" applyFont="1" applyBorder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7" fillId="0" borderId="1" xfId="0" applyFont="1" applyBorder="1"/>
    <xf numFmtId="165" fontId="7" fillId="0" borderId="1" xfId="1" applyNumberFormat="1" applyFont="1" applyBorder="1"/>
    <xf numFmtId="0" fontId="10" fillId="0" borderId="1" xfId="0" quotePrefix="1" applyFont="1" applyBorder="1" applyAlignment="1">
      <alignment horizontal="center" vertical="center"/>
    </xf>
    <xf numFmtId="0" fontId="11" fillId="0" borderId="1" xfId="0" applyFont="1" applyBorder="1"/>
    <xf numFmtId="0" fontId="7" fillId="0" borderId="1" xfId="0" quotePrefix="1" applyFont="1" applyBorder="1" applyAlignment="1">
      <alignment horizontal="center" vertical="center"/>
    </xf>
    <xf numFmtId="165" fontId="11" fillId="0" borderId="1" xfId="1" applyNumberFormat="1" applyFont="1" applyBorder="1"/>
    <xf numFmtId="165" fontId="10" fillId="0" borderId="1" xfId="1" applyNumberFormat="1" applyFont="1" applyBorder="1"/>
    <xf numFmtId="165" fontId="11" fillId="0" borderId="2" xfId="1" applyNumberFormat="1" applyFont="1" applyBorder="1"/>
    <xf numFmtId="0" fontId="7" fillId="0" borderId="0" xfId="0" applyFont="1" applyAlignment="1">
      <alignment horizontal="center"/>
    </xf>
    <xf numFmtId="165" fontId="8" fillId="0" borderId="0" xfId="1" applyNumberFormat="1" applyFont="1" applyAlignment="1">
      <alignment horizontal="left"/>
    </xf>
    <xf numFmtId="165" fontId="8" fillId="0" borderId="0" xfId="1" applyNumberFormat="1" applyFont="1"/>
    <xf numFmtId="165" fontId="7" fillId="0" borderId="0" xfId="1" applyNumberFormat="1" applyFont="1"/>
    <xf numFmtId="165" fontId="7" fillId="0" borderId="0" xfId="0" applyNumberFormat="1" applyFont="1"/>
    <xf numFmtId="164" fontId="7" fillId="0" borderId="0" xfId="0" applyNumberFormat="1" applyFont="1"/>
    <xf numFmtId="164" fontId="7" fillId="0" borderId="0" xfId="1" applyFont="1"/>
    <xf numFmtId="3" fontId="7" fillId="0" borderId="1" xfId="0" applyNumberFormat="1" applyFont="1" applyBorder="1" applyAlignment="1">
      <alignment horizontal="center" vertical="center"/>
    </xf>
    <xf numFmtId="3" fontId="7" fillId="0" borderId="1" xfId="0" quotePrefix="1" applyNumberFormat="1" applyFont="1" applyBorder="1" applyAlignment="1">
      <alignment horizontal="center" vertical="center"/>
    </xf>
    <xf numFmtId="0" fontId="7" fillId="2" borderId="5" xfId="0" applyFont="1" applyFill="1" applyBorder="1"/>
    <xf numFmtId="164" fontId="9" fillId="2" borderId="1" xfId="0" applyNumberFormat="1" applyFont="1" applyFill="1" applyBorder="1"/>
    <xf numFmtId="164" fontId="7" fillId="0" borderId="1" xfId="1" applyFont="1" applyBorder="1"/>
    <xf numFmtId="164" fontId="11" fillId="0" borderId="1" xfId="1" applyFont="1" applyBorder="1"/>
    <xf numFmtId="0" fontId="9" fillId="2" borderId="1" xfId="0" applyFont="1" applyFill="1" applyBorder="1"/>
    <xf numFmtId="0" fontId="6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64" fontId="3" fillId="0" borderId="0" xfId="1" applyFont="1"/>
    <xf numFmtId="164" fontId="8" fillId="0" borderId="2" xfId="1" applyNumberFormat="1" applyFont="1" applyBorder="1"/>
    <xf numFmtId="165" fontId="3" fillId="0" borderId="0" xfId="0" applyNumberFormat="1" applyFont="1"/>
    <xf numFmtId="41" fontId="3" fillId="0" borderId="0" xfId="2" applyFont="1"/>
    <xf numFmtId="0" fontId="11" fillId="0" borderId="1" xfId="0" quotePrefix="1" applyFont="1" applyBorder="1" applyAlignment="1">
      <alignment horizontal="center" vertical="center"/>
    </xf>
    <xf numFmtId="164" fontId="7" fillId="0" borderId="1" xfId="1" applyNumberFormat="1" applyFont="1" applyBorder="1"/>
    <xf numFmtId="166" fontId="3" fillId="0" borderId="0" xfId="2" applyNumberFormat="1" applyFont="1"/>
    <xf numFmtId="43" fontId="3" fillId="0" borderId="0" xfId="0" applyNumberFormat="1" applyFont="1"/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41" fontId="7" fillId="0" borderId="1" xfId="2" applyFont="1" applyBorder="1"/>
    <xf numFmtId="164" fontId="7" fillId="3" borderId="1" xfId="1" applyFont="1" applyFill="1" applyBorder="1"/>
    <xf numFmtId="164" fontId="9" fillId="3" borderId="1" xfId="1" applyFont="1" applyFill="1" applyBorder="1"/>
    <xf numFmtId="164" fontId="7" fillId="4" borderId="1" xfId="1" applyFont="1" applyFill="1" applyBorder="1"/>
    <xf numFmtId="164" fontId="8" fillId="0" borderId="1" xfId="1" applyFont="1" applyBorder="1"/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7" fillId="0" borderId="1" xfId="1" applyFont="1" applyFill="1" applyBorder="1"/>
    <xf numFmtId="164" fontId="7" fillId="5" borderId="1" xfId="1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7" fillId="6" borderId="1" xfId="1" applyFont="1" applyFill="1" applyBorder="1"/>
    <xf numFmtId="165" fontId="7" fillId="5" borderId="1" xfId="1" applyNumberFormat="1" applyFont="1" applyFill="1" applyBorder="1"/>
    <xf numFmtId="164" fontId="7" fillId="5" borderId="1" xfId="1" applyNumberFormat="1" applyFont="1" applyFill="1" applyBorder="1"/>
    <xf numFmtId="165" fontId="10" fillId="2" borderId="1" xfId="1" applyNumberFormat="1" applyFont="1" applyFill="1" applyBorder="1"/>
    <xf numFmtId="165" fontId="7" fillId="2" borderId="1" xfId="1" applyNumberFormat="1" applyFont="1" applyFill="1" applyBorder="1"/>
    <xf numFmtId="165" fontId="11" fillId="2" borderId="1" xfId="1" applyNumberFormat="1" applyFont="1" applyFill="1" applyBorder="1"/>
    <xf numFmtId="164" fontId="7" fillId="2" borderId="1" xfId="1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5" fontId="11" fillId="5" borderId="1" xfId="1" applyNumberFormat="1" applyFont="1" applyFill="1" applyBorder="1"/>
    <xf numFmtId="164" fontId="9" fillId="6" borderId="1" xfId="1" applyFont="1" applyFill="1" applyBorder="1"/>
    <xf numFmtId="0" fontId="8" fillId="0" borderId="1" xfId="0" applyFont="1" applyBorder="1"/>
    <xf numFmtId="0" fontId="13" fillId="0" borderId="12" xfId="0" applyFont="1" applyBorder="1" applyAlignment="1">
      <alignment wrapText="1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6" fontId="7" fillId="0" borderId="1" xfId="2" applyNumberFormat="1" applyFont="1" applyBorder="1"/>
    <xf numFmtId="0" fontId="10" fillId="0" borderId="1" xfId="0" applyFont="1" applyBorder="1"/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5" borderId="1" xfId="0" applyFont="1" applyFill="1" applyBorder="1"/>
    <xf numFmtId="43" fontId="7" fillId="0" borderId="0" xfId="0" applyNumberFormat="1" applyFont="1"/>
    <xf numFmtId="41" fontId="7" fillId="0" borderId="0" xfId="2" applyFont="1"/>
    <xf numFmtId="164" fontId="3" fillId="0" borderId="0" xfId="0" applyNumberFormat="1" applyFont="1"/>
    <xf numFmtId="165" fontId="3" fillId="0" borderId="0" xfId="1" applyNumberFormat="1" applyFont="1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.%20PENGELUARAN%20LAPORAN%20KAS%20BANK%20MANDIRI%20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25"/>
      <sheetName val="PEB 2025"/>
      <sheetName val="MARET 2025"/>
      <sheetName val="APRIL 2025"/>
      <sheetName val="MEI 2025"/>
      <sheetName val="JUNI 2025"/>
      <sheetName val="JULI 2025"/>
      <sheetName val="AGUSTUS 2025"/>
      <sheetName val="SEPTEMBER 2025"/>
      <sheetName val="OKTOBER 2025"/>
      <sheetName val="NOVEMBER 2025"/>
      <sheetName val="DESEMBER 2025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86">
          <cell r="G286">
            <v>461911498.05464762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1A46-ABDE-428B-8BD0-84DA44EFB091}">
  <sheetPr>
    <tabColor rgb="FF00B050"/>
  </sheetPr>
  <dimension ref="A1:K271"/>
  <sheetViews>
    <sheetView topLeftCell="A220" zoomScale="90" zoomScaleNormal="90" workbookViewId="0">
      <selection activeCell="D228" sqref="D228"/>
    </sheetView>
  </sheetViews>
  <sheetFormatPr defaultColWidth="9.140625" defaultRowHeight="12.75" x14ac:dyDescent="0.2"/>
  <cols>
    <col min="1" max="1" width="9.7109375" style="3" customWidth="1"/>
    <col min="2" max="2" width="17.7109375" style="3" customWidth="1"/>
    <col min="3" max="3" width="12.140625" style="3" customWidth="1"/>
    <col min="4" max="4" width="92" style="3" customWidth="1"/>
    <col min="5" max="5" width="22.42578125" style="3" customWidth="1"/>
    <col min="6" max="6" width="21.5703125" style="3" customWidth="1"/>
    <col min="7" max="7" width="22.7109375" style="3" customWidth="1"/>
    <col min="8" max="8" width="16.42578125" style="3" customWidth="1"/>
    <col min="9" max="9" width="12.5703125" style="3" customWidth="1"/>
    <col min="10" max="10" width="12.28515625" style="3" bestFit="1" customWidth="1"/>
    <col min="11" max="16384" width="9.140625" style="3"/>
  </cols>
  <sheetData>
    <row r="1" spans="1:11" x14ac:dyDescent="0.2">
      <c r="A1" s="2"/>
      <c r="B1" s="2"/>
      <c r="C1" s="2"/>
      <c r="D1" s="2"/>
      <c r="E1" s="2"/>
      <c r="F1" s="2"/>
      <c r="G1" s="2"/>
    </row>
    <row r="2" spans="1:11" x14ac:dyDescent="0.2">
      <c r="A2" s="2"/>
      <c r="B2" s="2"/>
      <c r="C2" s="2"/>
      <c r="D2" s="2"/>
      <c r="E2" s="2"/>
      <c r="F2" s="2"/>
      <c r="G2" s="2"/>
    </row>
    <row r="3" spans="1:11" ht="15" customHeight="1" x14ac:dyDescent="0.2">
      <c r="A3" s="4" t="s">
        <v>8</v>
      </c>
      <c r="B3" s="4"/>
    </row>
    <row r="4" spans="1:11" ht="15" customHeight="1" x14ac:dyDescent="0.2">
      <c r="A4" s="4" t="s">
        <v>85</v>
      </c>
      <c r="B4" s="4"/>
    </row>
    <row r="5" spans="1:11" ht="15" customHeight="1" x14ac:dyDescent="0.2">
      <c r="A5" s="4" t="s">
        <v>9</v>
      </c>
      <c r="B5" s="4"/>
      <c r="D5" s="5" t="s">
        <v>86</v>
      </c>
    </row>
    <row r="6" spans="1:11" ht="13.5" thickBot="1" x14ac:dyDescent="0.25"/>
    <row r="7" spans="1:11" x14ac:dyDescent="0.2">
      <c r="A7" s="91" t="s">
        <v>0</v>
      </c>
      <c r="B7" s="93" t="s">
        <v>1</v>
      </c>
      <c r="C7" s="52" t="s">
        <v>2</v>
      </c>
      <c r="D7" s="93" t="s">
        <v>4</v>
      </c>
      <c r="E7" s="93" t="s">
        <v>5</v>
      </c>
      <c r="F7" s="93" t="s">
        <v>76</v>
      </c>
      <c r="G7" s="95" t="s">
        <v>6</v>
      </c>
      <c r="H7" s="6"/>
      <c r="I7" s="2"/>
      <c r="J7" s="2"/>
      <c r="K7" s="2"/>
    </row>
    <row r="8" spans="1:11" ht="13.5" thickBot="1" x14ac:dyDescent="0.25">
      <c r="A8" s="92"/>
      <c r="B8" s="94"/>
      <c r="C8" s="53" t="s">
        <v>3</v>
      </c>
      <c r="D8" s="94"/>
      <c r="E8" s="94"/>
      <c r="F8" s="94"/>
      <c r="G8" s="96"/>
      <c r="H8" s="6"/>
      <c r="I8" s="2"/>
      <c r="J8" s="2"/>
      <c r="K8" s="2"/>
    </row>
    <row r="9" spans="1:11" s="17" customFormat="1" ht="22.35" customHeight="1" x14ac:dyDescent="0.25">
      <c r="A9" s="13"/>
      <c r="B9" s="13"/>
      <c r="C9" s="13"/>
      <c r="D9" s="14" t="s">
        <v>7</v>
      </c>
      <c r="E9" s="15">
        <v>0</v>
      </c>
      <c r="F9" s="16">
        <v>0</v>
      </c>
      <c r="G9" s="45">
        <f>+'[1]DESEMBER 2025'!$G$286</f>
        <v>461911498.05464762</v>
      </c>
      <c r="H9" s="33"/>
    </row>
    <row r="10" spans="1:11" s="17" customFormat="1" ht="21.75" customHeight="1" x14ac:dyDescent="0.2">
      <c r="A10" s="18"/>
      <c r="B10" s="19" t="s">
        <v>87</v>
      </c>
      <c r="C10" s="18"/>
      <c r="D10" s="23" t="s">
        <v>88</v>
      </c>
      <c r="E10" s="21">
        <f>+F10-2490000</f>
        <v>510000</v>
      </c>
      <c r="F10" s="21">
        <v>3000000</v>
      </c>
      <c r="G10" s="39">
        <f>+G9+E10-F10</f>
        <v>459421498.05464762</v>
      </c>
    </row>
    <row r="11" spans="1:11" s="17" customFormat="1" ht="21.75" customHeight="1" x14ac:dyDescent="0.2">
      <c r="A11" s="18"/>
      <c r="B11" s="24" t="s">
        <v>87</v>
      </c>
      <c r="C11" s="18"/>
      <c r="D11" s="20" t="s">
        <v>89</v>
      </c>
      <c r="E11" s="21"/>
      <c r="F11" s="21">
        <v>3000000</v>
      </c>
      <c r="G11" s="39">
        <f>+G10+E11-F11</f>
        <v>456421498.05464762</v>
      </c>
    </row>
    <row r="12" spans="1:11" s="17" customFormat="1" ht="21.75" customHeight="1" x14ac:dyDescent="0.2">
      <c r="A12" s="18"/>
      <c r="B12" s="24" t="s">
        <v>87</v>
      </c>
      <c r="C12" s="18"/>
      <c r="D12" s="23" t="s">
        <v>191</v>
      </c>
      <c r="E12" s="21">
        <f>+F12-3425000</f>
        <v>1575000</v>
      </c>
      <c r="F12" s="21">
        <v>5000000</v>
      </c>
      <c r="G12" s="39">
        <f t="shared" ref="G12:G98" si="0">+G11+E12-F12</f>
        <v>452996498.05464762</v>
      </c>
    </row>
    <row r="13" spans="1:11" s="17" customFormat="1" ht="21.75" customHeight="1" x14ac:dyDescent="0.2">
      <c r="A13" s="18"/>
      <c r="B13" s="24" t="s">
        <v>87</v>
      </c>
      <c r="C13" s="18"/>
      <c r="D13" s="20" t="s">
        <v>90</v>
      </c>
      <c r="E13" s="21"/>
      <c r="F13" s="21">
        <v>4000000</v>
      </c>
      <c r="G13" s="39">
        <f t="shared" si="0"/>
        <v>448996498.05464762</v>
      </c>
    </row>
    <row r="14" spans="1:11" s="17" customFormat="1" ht="21.75" customHeight="1" x14ac:dyDescent="0.2">
      <c r="A14" s="18"/>
      <c r="B14" s="24" t="s">
        <v>87</v>
      </c>
      <c r="C14" s="18"/>
      <c r="D14" s="20" t="s">
        <v>348</v>
      </c>
      <c r="E14" s="21"/>
      <c r="F14" s="21">
        <v>5616182</v>
      </c>
      <c r="G14" s="39">
        <f t="shared" si="0"/>
        <v>443380316.05464762</v>
      </c>
    </row>
    <row r="15" spans="1:11" s="17" customFormat="1" ht="21.75" customHeight="1" x14ac:dyDescent="0.2">
      <c r="A15" s="18"/>
      <c r="B15" s="24" t="s">
        <v>87</v>
      </c>
      <c r="C15" s="18"/>
      <c r="D15" s="20" t="s">
        <v>349</v>
      </c>
      <c r="E15" s="21"/>
      <c r="F15" s="21">
        <v>5360901</v>
      </c>
      <c r="G15" s="39">
        <f t="shared" si="0"/>
        <v>438019415.05464762</v>
      </c>
    </row>
    <row r="16" spans="1:11" s="17" customFormat="1" ht="21.75" customHeight="1" x14ac:dyDescent="0.2">
      <c r="A16" s="18"/>
      <c r="B16" s="24" t="s">
        <v>87</v>
      </c>
      <c r="C16" s="18"/>
      <c r="D16" s="20" t="s">
        <v>78</v>
      </c>
      <c r="E16" s="21">
        <v>55384</v>
      </c>
      <c r="F16" s="21"/>
      <c r="G16" s="39">
        <f>+G15+E16-F16</f>
        <v>438074799.05464762</v>
      </c>
    </row>
    <row r="17" spans="1:9" s="17" customFormat="1" ht="21.75" customHeight="1" x14ac:dyDescent="0.2">
      <c r="A17" s="18"/>
      <c r="B17" s="24" t="s">
        <v>87</v>
      </c>
      <c r="C17" s="18"/>
      <c r="D17" s="20" t="s">
        <v>77</v>
      </c>
      <c r="E17" s="21">
        <v>523064</v>
      </c>
      <c r="F17" s="21"/>
      <c r="G17" s="39">
        <f t="shared" si="0"/>
        <v>438597863.05464762</v>
      </c>
    </row>
    <row r="18" spans="1:9" s="17" customFormat="1" ht="21.75" customHeight="1" x14ac:dyDescent="0.2">
      <c r="A18" s="18"/>
      <c r="B18" s="24" t="s">
        <v>87</v>
      </c>
      <c r="C18" s="48"/>
      <c r="D18" s="20" t="s">
        <v>91</v>
      </c>
      <c r="E18" s="21"/>
      <c r="F18" s="21">
        <v>8100000</v>
      </c>
      <c r="G18" s="39">
        <f t="shared" si="0"/>
        <v>430497863.05464762</v>
      </c>
    </row>
    <row r="19" spans="1:9" s="17" customFormat="1" ht="21.75" customHeight="1" x14ac:dyDescent="0.2">
      <c r="A19" s="18"/>
      <c r="B19" s="24" t="s">
        <v>87</v>
      </c>
      <c r="C19" s="18"/>
      <c r="D19" s="20" t="s">
        <v>92</v>
      </c>
      <c r="E19" s="21"/>
      <c r="F19" s="21">
        <v>11040000</v>
      </c>
      <c r="G19" s="39">
        <f t="shared" si="0"/>
        <v>419457863.05464762</v>
      </c>
    </row>
    <row r="20" spans="1:9" s="17" customFormat="1" ht="21.75" customHeight="1" x14ac:dyDescent="0.2">
      <c r="A20" s="18"/>
      <c r="B20" s="24" t="s">
        <v>87</v>
      </c>
      <c r="C20" s="18"/>
      <c r="D20" s="20" t="s">
        <v>21</v>
      </c>
      <c r="E20" s="21"/>
      <c r="F20" s="21">
        <v>2500</v>
      </c>
      <c r="G20" s="39">
        <f>+G19+E20-F20</f>
        <v>419455363.05464762</v>
      </c>
    </row>
    <row r="21" spans="1:9" s="17" customFormat="1" ht="21.75" customHeight="1" x14ac:dyDescent="0.2">
      <c r="A21" s="18"/>
      <c r="B21" s="19" t="s">
        <v>93</v>
      </c>
      <c r="C21" s="18"/>
      <c r="D21" s="20" t="s">
        <v>94</v>
      </c>
      <c r="E21" s="21"/>
      <c r="F21" s="21">
        <v>2750000</v>
      </c>
      <c r="G21" s="39">
        <f>+G20+E21-F21</f>
        <v>416705363.05464762</v>
      </c>
    </row>
    <row r="22" spans="1:9" s="17" customFormat="1" ht="21.75" customHeight="1" x14ac:dyDescent="0.2">
      <c r="A22" s="18"/>
      <c r="B22" s="22" t="s">
        <v>98</v>
      </c>
      <c r="C22" s="18"/>
      <c r="D22" s="20" t="s">
        <v>21</v>
      </c>
      <c r="E22" s="21"/>
      <c r="F22" s="21">
        <v>2500</v>
      </c>
      <c r="G22" s="39">
        <f t="shared" si="0"/>
        <v>416702863.05464762</v>
      </c>
    </row>
    <row r="23" spans="1:9" s="17" customFormat="1" ht="21.75" customHeight="1" x14ac:dyDescent="0.2">
      <c r="A23" s="18"/>
      <c r="B23" s="22" t="s">
        <v>93</v>
      </c>
      <c r="C23" s="18"/>
      <c r="D23" s="20" t="s">
        <v>95</v>
      </c>
      <c r="E23" s="21"/>
      <c r="F23" s="21">
        <v>10322000</v>
      </c>
      <c r="G23" s="39">
        <f t="shared" si="0"/>
        <v>406380863.05464762</v>
      </c>
    </row>
    <row r="24" spans="1:9" s="17" customFormat="1" ht="21.75" customHeight="1" x14ac:dyDescent="0.2">
      <c r="A24" s="18"/>
      <c r="B24" s="22" t="s">
        <v>93</v>
      </c>
      <c r="C24" s="18"/>
      <c r="D24" s="20" t="s">
        <v>101</v>
      </c>
      <c r="E24" s="21"/>
      <c r="F24" s="21">
        <v>60000000</v>
      </c>
      <c r="G24" s="39">
        <f t="shared" si="0"/>
        <v>346380863.05464762</v>
      </c>
    </row>
    <row r="25" spans="1:9" s="17" customFormat="1" ht="21.75" customHeight="1" x14ac:dyDescent="0.2">
      <c r="A25" s="18"/>
      <c r="B25" s="22" t="s">
        <v>93</v>
      </c>
      <c r="C25" s="18"/>
      <c r="D25" s="20" t="s">
        <v>21</v>
      </c>
      <c r="E25" s="21"/>
      <c r="F25" s="21">
        <v>2500</v>
      </c>
      <c r="G25" s="39">
        <f t="shared" si="0"/>
        <v>346378363.05464762</v>
      </c>
      <c r="H25" s="32"/>
    </row>
    <row r="26" spans="1:9" s="17" customFormat="1" ht="21.75" customHeight="1" x14ac:dyDescent="0.2">
      <c r="A26" s="18"/>
      <c r="B26" s="19" t="s">
        <v>97</v>
      </c>
      <c r="C26" s="18"/>
      <c r="D26" s="20" t="s">
        <v>96</v>
      </c>
      <c r="E26" s="21">
        <v>15000000</v>
      </c>
      <c r="F26" s="21"/>
      <c r="G26" s="39">
        <f t="shared" si="0"/>
        <v>361378363.05464762</v>
      </c>
      <c r="H26" s="32"/>
    </row>
    <row r="27" spans="1:9" s="17" customFormat="1" ht="21.75" customHeight="1" x14ac:dyDescent="0.2">
      <c r="A27" s="18"/>
      <c r="B27" s="22" t="s">
        <v>97</v>
      </c>
      <c r="C27" s="18"/>
      <c r="D27" s="20" t="s">
        <v>99</v>
      </c>
      <c r="E27" s="21">
        <v>330000</v>
      </c>
      <c r="F27" s="25"/>
      <c r="G27" s="39">
        <f t="shared" si="0"/>
        <v>361708363.05464762</v>
      </c>
    </row>
    <row r="28" spans="1:9" s="17" customFormat="1" ht="21.75" customHeight="1" x14ac:dyDescent="0.2">
      <c r="A28" s="18"/>
      <c r="B28" s="22" t="s">
        <v>97</v>
      </c>
      <c r="C28" s="18"/>
      <c r="D28" s="20" t="s">
        <v>100</v>
      </c>
      <c r="E28" s="21"/>
      <c r="F28" s="26"/>
      <c r="G28" s="55">
        <f t="shared" si="0"/>
        <v>361708363.05464762</v>
      </c>
      <c r="H28" s="27"/>
    </row>
    <row r="29" spans="1:9" s="17" customFormat="1" ht="21.75" customHeight="1" x14ac:dyDescent="0.2">
      <c r="A29" s="18"/>
      <c r="B29" s="22" t="s">
        <v>97</v>
      </c>
      <c r="C29" s="18"/>
      <c r="D29" s="20" t="s">
        <v>19</v>
      </c>
      <c r="E29" s="21"/>
      <c r="F29" s="21">
        <v>1914472</v>
      </c>
      <c r="G29" s="39">
        <f t="shared" si="0"/>
        <v>359793891.05464762</v>
      </c>
    </row>
    <row r="30" spans="1:9" s="17" customFormat="1" ht="21.75" customHeight="1" x14ac:dyDescent="0.2">
      <c r="A30" s="18"/>
      <c r="B30" s="22" t="s">
        <v>97</v>
      </c>
      <c r="C30" s="18"/>
      <c r="D30" s="20" t="s">
        <v>102</v>
      </c>
      <c r="E30" s="21"/>
      <c r="F30" s="21">
        <v>2128134</v>
      </c>
      <c r="G30" s="39">
        <f t="shared" si="0"/>
        <v>357665757.05464762</v>
      </c>
      <c r="H30" s="28"/>
      <c r="I30" s="28"/>
    </row>
    <row r="31" spans="1:9" s="17" customFormat="1" ht="21.75" customHeight="1" x14ac:dyDescent="0.25">
      <c r="A31" s="18"/>
      <c r="B31" s="22" t="s">
        <v>97</v>
      </c>
      <c r="C31" s="18"/>
      <c r="D31" s="20" t="s">
        <v>103</v>
      </c>
      <c r="E31" s="21"/>
      <c r="F31" s="21">
        <v>5278654</v>
      </c>
      <c r="G31" s="39">
        <f t="shared" si="0"/>
        <v>352387103.05464762</v>
      </c>
      <c r="H31" s="29"/>
      <c r="I31" s="30"/>
    </row>
    <row r="32" spans="1:9" s="17" customFormat="1" ht="21.75" customHeight="1" x14ac:dyDescent="0.25">
      <c r="A32" s="18"/>
      <c r="B32" s="22" t="s">
        <v>97</v>
      </c>
      <c r="C32" s="18"/>
      <c r="D32" s="20" t="s">
        <v>20</v>
      </c>
      <c r="E32" s="21"/>
      <c r="F32" s="21">
        <v>9845856</v>
      </c>
      <c r="G32" s="39">
        <f t="shared" si="0"/>
        <v>342541247.05464762</v>
      </c>
      <c r="H32" s="29"/>
      <c r="I32" s="30"/>
    </row>
    <row r="33" spans="1:10" s="17" customFormat="1" ht="21.75" customHeight="1" x14ac:dyDescent="0.25">
      <c r="A33" s="18"/>
      <c r="B33" s="22" t="s">
        <v>97</v>
      </c>
      <c r="C33" s="18"/>
      <c r="D33" s="20" t="s">
        <v>104</v>
      </c>
      <c r="E33" s="21"/>
      <c r="F33" s="21">
        <v>60951595</v>
      </c>
      <c r="G33" s="39">
        <f t="shared" si="0"/>
        <v>281589652.05464762</v>
      </c>
      <c r="H33" s="29"/>
      <c r="I33" s="30"/>
    </row>
    <row r="34" spans="1:10" s="17" customFormat="1" ht="21.75" customHeight="1" x14ac:dyDescent="0.25">
      <c r="A34" s="18"/>
      <c r="B34" s="22" t="s">
        <v>97</v>
      </c>
      <c r="C34" s="18"/>
      <c r="D34" s="20" t="s">
        <v>105</v>
      </c>
      <c r="E34" s="21">
        <f>+F34-3109000</f>
        <v>11891000</v>
      </c>
      <c r="F34" s="21">
        <v>15000000</v>
      </c>
      <c r="G34" s="39">
        <f t="shared" si="0"/>
        <v>278480652.05464762</v>
      </c>
      <c r="H34" s="30"/>
      <c r="I34" s="30"/>
    </row>
    <row r="35" spans="1:10" s="17" customFormat="1" ht="21.75" customHeight="1" x14ac:dyDescent="0.2">
      <c r="A35" s="18"/>
      <c r="B35" s="22" t="s">
        <v>97</v>
      </c>
      <c r="C35" s="18"/>
      <c r="D35" s="20" t="s">
        <v>106</v>
      </c>
      <c r="E35" s="21"/>
      <c r="F35" s="21">
        <v>30000000</v>
      </c>
      <c r="G35" s="39">
        <f t="shared" si="0"/>
        <v>248480652.05464762</v>
      </c>
      <c r="H35" s="31"/>
      <c r="I35" s="31"/>
    </row>
    <row r="36" spans="1:10" s="17" customFormat="1" ht="21.75" customHeight="1" x14ac:dyDescent="0.2">
      <c r="A36" s="18"/>
      <c r="B36" s="22" t="s">
        <v>97</v>
      </c>
      <c r="C36" s="18"/>
      <c r="D36" s="20" t="s">
        <v>21</v>
      </c>
      <c r="E36" s="21"/>
      <c r="F36" s="21">
        <v>2500</v>
      </c>
      <c r="G36" s="39">
        <f t="shared" si="0"/>
        <v>248478152.05464762</v>
      </c>
      <c r="H36" s="31"/>
      <c r="I36" s="31"/>
      <c r="J36" s="32">
        <f>+F30+F31-E32-E33</f>
        <v>7406788</v>
      </c>
    </row>
    <row r="37" spans="1:10" s="17" customFormat="1" ht="21.75" customHeight="1" x14ac:dyDescent="0.2">
      <c r="A37" s="18"/>
      <c r="B37" s="22" t="s">
        <v>97</v>
      </c>
      <c r="C37" s="18"/>
      <c r="D37" s="20" t="s">
        <v>141</v>
      </c>
      <c r="E37" s="21"/>
      <c r="F37" s="21">
        <v>16142158</v>
      </c>
      <c r="G37" s="39">
        <f t="shared" si="0"/>
        <v>232335994.05464762</v>
      </c>
      <c r="H37" s="31"/>
      <c r="I37" s="31"/>
      <c r="J37" s="32"/>
    </row>
    <row r="38" spans="1:10" s="17" customFormat="1" ht="21.75" customHeight="1" x14ac:dyDescent="0.2">
      <c r="A38" s="18"/>
      <c r="B38" s="22" t="s">
        <v>97</v>
      </c>
      <c r="C38" s="18"/>
      <c r="D38" s="20" t="s">
        <v>142</v>
      </c>
      <c r="E38" s="21"/>
      <c r="F38" s="21">
        <v>3353804</v>
      </c>
      <c r="G38" s="39">
        <f t="shared" si="0"/>
        <v>228982190.05464762</v>
      </c>
      <c r="H38" s="31"/>
      <c r="I38" s="31"/>
      <c r="J38" s="32"/>
    </row>
    <row r="39" spans="1:10" s="17" customFormat="1" ht="21.75" customHeight="1" x14ac:dyDescent="0.2">
      <c r="A39" s="18"/>
      <c r="B39" s="22" t="s">
        <v>97</v>
      </c>
      <c r="C39" s="18"/>
      <c r="D39" s="20" t="s">
        <v>107</v>
      </c>
      <c r="E39" s="21"/>
      <c r="F39" s="21">
        <v>7540000</v>
      </c>
      <c r="G39" s="39">
        <f t="shared" si="0"/>
        <v>221442190.05464762</v>
      </c>
      <c r="H39" s="31"/>
      <c r="I39" s="31"/>
      <c r="J39" s="32"/>
    </row>
    <row r="40" spans="1:10" s="17" customFormat="1" ht="21.75" customHeight="1" x14ac:dyDescent="0.2">
      <c r="A40" s="18"/>
      <c r="B40" s="22" t="s">
        <v>97</v>
      </c>
      <c r="C40" s="18"/>
      <c r="D40" s="20" t="s">
        <v>109</v>
      </c>
      <c r="E40" s="21"/>
      <c r="F40" s="21">
        <v>2700000</v>
      </c>
      <c r="G40" s="39">
        <f t="shared" si="0"/>
        <v>218742190.05464762</v>
      </c>
      <c r="H40" s="31"/>
      <c r="I40" s="31"/>
      <c r="J40" s="32"/>
    </row>
    <row r="41" spans="1:10" s="17" customFormat="1" ht="21.75" customHeight="1" x14ac:dyDescent="0.2">
      <c r="A41" s="18"/>
      <c r="B41" s="22" t="s">
        <v>97</v>
      </c>
      <c r="C41" s="18"/>
      <c r="D41" s="20" t="s">
        <v>110</v>
      </c>
      <c r="E41" s="21"/>
      <c r="F41" s="21">
        <v>8200000</v>
      </c>
      <c r="G41" s="39">
        <f t="shared" si="0"/>
        <v>210542190.05464762</v>
      </c>
      <c r="H41" s="31"/>
      <c r="I41" s="31"/>
      <c r="J41" s="32"/>
    </row>
    <row r="42" spans="1:10" s="17" customFormat="1" ht="21.75" customHeight="1" x14ac:dyDescent="0.2">
      <c r="A42" s="18"/>
      <c r="B42" s="22" t="s">
        <v>97</v>
      </c>
      <c r="C42" s="18"/>
      <c r="D42" s="20" t="s">
        <v>108</v>
      </c>
      <c r="E42" s="21"/>
      <c r="F42" s="21">
        <v>10000000</v>
      </c>
      <c r="G42" s="39">
        <f t="shared" si="0"/>
        <v>200542190.05464762</v>
      </c>
      <c r="H42" s="31"/>
      <c r="I42" s="31"/>
      <c r="J42" s="32"/>
    </row>
    <row r="43" spans="1:10" s="17" customFormat="1" ht="21.75" customHeight="1" x14ac:dyDescent="0.2">
      <c r="A43" s="18"/>
      <c r="B43" s="22" t="s">
        <v>97</v>
      </c>
      <c r="C43" s="18"/>
      <c r="D43" s="20" t="s">
        <v>111</v>
      </c>
      <c r="E43" s="21"/>
      <c r="F43" s="21">
        <v>2875000</v>
      </c>
      <c r="G43" s="39">
        <f t="shared" si="0"/>
        <v>197667190.05464762</v>
      </c>
      <c r="H43" s="31"/>
      <c r="I43" s="31"/>
      <c r="J43" s="32"/>
    </row>
    <row r="44" spans="1:10" s="17" customFormat="1" ht="21.75" customHeight="1" x14ac:dyDescent="0.2">
      <c r="A44" s="18"/>
      <c r="B44" s="22" t="s">
        <v>97</v>
      </c>
      <c r="C44" s="18"/>
      <c r="D44" s="20" t="s">
        <v>112</v>
      </c>
      <c r="E44" s="21"/>
      <c r="F44" s="21">
        <v>2500000</v>
      </c>
      <c r="G44" s="39">
        <f t="shared" si="0"/>
        <v>195167190.05464762</v>
      </c>
      <c r="H44" s="31"/>
      <c r="I44" s="31"/>
      <c r="J44" s="32"/>
    </row>
    <row r="45" spans="1:10" s="17" customFormat="1" ht="21.75" customHeight="1" x14ac:dyDescent="0.2">
      <c r="A45" s="18"/>
      <c r="B45" s="22" t="s">
        <v>97</v>
      </c>
      <c r="C45" s="18"/>
      <c r="D45" s="20" t="s">
        <v>143</v>
      </c>
      <c r="E45" s="21"/>
      <c r="F45" s="21">
        <v>1840000</v>
      </c>
      <c r="G45" s="39">
        <f t="shared" si="0"/>
        <v>193327190.05464762</v>
      </c>
      <c r="H45" s="31"/>
      <c r="I45" s="31"/>
      <c r="J45" s="32"/>
    </row>
    <row r="46" spans="1:10" s="17" customFormat="1" ht="21.75" customHeight="1" x14ac:dyDescent="0.2">
      <c r="A46" s="18"/>
      <c r="B46" s="22" t="s">
        <v>97</v>
      </c>
      <c r="C46" s="18"/>
      <c r="D46" s="20" t="s">
        <v>28</v>
      </c>
      <c r="E46" s="21">
        <v>100000</v>
      </c>
      <c r="F46" s="21"/>
      <c r="G46" s="39">
        <f t="shared" si="0"/>
        <v>193427190.05464762</v>
      </c>
      <c r="H46" s="31"/>
      <c r="I46" s="31"/>
      <c r="J46" s="32"/>
    </row>
    <row r="47" spans="1:10" s="17" customFormat="1" ht="21.75" customHeight="1" x14ac:dyDescent="0.2">
      <c r="A47" s="18"/>
      <c r="B47" s="22" t="s">
        <v>97</v>
      </c>
      <c r="C47" s="18"/>
      <c r="D47" s="20" t="s">
        <v>113</v>
      </c>
      <c r="E47" s="21"/>
      <c r="F47" s="21">
        <v>1000000</v>
      </c>
      <c r="G47" s="39">
        <f t="shared" si="0"/>
        <v>192427190.05464762</v>
      </c>
      <c r="H47" s="33"/>
    </row>
    <row r="48" spans="1:10" s="17" customFormat="1" ht="21.75" customHeight="1" x14ac:dyDescent="0.2">
      <c r="A48" s="18"/>
      <c r="B48" s="22" t="s">
        <v>97</v>
      </c>
      <c r="C48" s="18"/>
      <c r="D48" s="23" t="s">
        <v>114</v>
      </c>
      <c r="E48" s="21"/>
      <c r="F48" s="21">
        <v>2000000</v>
      </c>
      <c r="G48" s="39">
        <f t="shared" si="0"/>
        <v>190427190.05464762</v>
      </c>
      <c r="H48" s="33"/>
    </row>
    <row r="49" spans="1:8" s="17" customFormat="1" ht="21.75" customHeight="1" x14ac:dyDescent="0.2">
      <c r="A49" s="18"/>
      <c r="B49" s="22" t="s">
        <v>97</v>
      </c>
      <c r="C49" s="18"/>
      <c r="D49" s="20" t="s">
        <v>21</v>
      </c>
      <c r="E49" s="21"/>
      <c r="F49" s="21">
        <v>2500</v>
      </c>
      <c r="G49" s="39">
        <f t="shared" si="0"/>
        <v>190424690.05464762</v>
      </c>
      <c r="H49" s="33"/>
    </row>
    <row r="50" spans="1:8" s="17" customFormat="1" ht="21.75" customHeight="1" x14ac:dyDescent="0.2">
      <c r="A50" s="18"/>
      <c r="B50" s="22" t="s">
        <v>97</v>
      </c>
      <c r="C50" s="18"/>
      <c r="D50" s="20" t="s">
        <v>115</v>
      </c>
      <c r="E50" s="21"/>
      <c r="F50" s="21">
        <v>400000</v>
      </c>
      <c r="G50" s="39">
        <f t="shared" si="0"/>
        <v>190024690.05464762</v>
      </c>
      <c r="H50" s="33"/>
    </row>
    <row r="51" spans="1:8" s="17" customFormat="1" ht="21.75" customHeight="1" x14ac:dyDescent="0.2">
      <c r="A51" s="18"/>
      <c r="B51" s="22" t="s">
        <v>97</v>
      </c>
      <c r="C51" s="18"/>
      <c r="D51" s="20" t="s">
        <v>79</v>
      </c>
      <c r="E51" s="21"/>
      <c r="F51" s="21">
        <v>3942000</v>
      </c>
      <c r="G51" s="55">
        <f t="shared" si="0"/>
        <v>186082690.05464762</v>
      </c>
      <c r="H51" s="33"/>
    </row>
    <row r="52" spans="1:8" s="17" customFormat="1" ht="21.75" customHeight="1" x14ac:dyDescent="0.2">
      <c r="A52" s="18"/>
      <c r="B52" s="22" t="s">
        <v>97</v>
      </c>
      <c r="C52" s="18"/>
      <c r="D52" s="20" t="s">
        <v>116</v>
      </c>
      <c r="E52" s="21"/>
      <c r="F52" s="21">
        <v>10000000</v>
      </c>
      <c r="G52" s="39">
        <f t="shared" si="0"/>
        <v>176082690.05464762</v>
      </c>
      <c r="H52" s="33"/>
    </row>
    <row r="53" spans="1:8" s="17" customFormat="1" ht="21.75" customHeight="1" x14ac:dyDescent="0.2">
      <c r="A53" s="18"/>
      <c r="B53" s="22" t="s">
        <v>97</v>
      </c>
      <c r="C53" s="18"/>
      <c r="D53" s="20" t="s">
        <v>421</v>
      </c>
      <c r="E53" s="21">
        <v>37830000</v>
      </c>
      <c r="F53" s="21"/>
      <c r="G53" s="39">
        <f t="shared" si="0"/>
        <v>213912690.05464762</v>
      </c>
      <c r="H53" s="33"/>
    </row>
    <row r="54" spans="1:8" s="17" customFormat="1" ht="21.75" customHeight="1" x14ac:dyDescent="0.2">
      <c r="A54" s="18"/>
      <c r="B54" s="22" t="s">
        <v>97</v>
      </c>
      <c r="C54" s="18"/>
      <c r="D54" s="20" t="s">
        <v>234</v>
      </c>
      <c r="E54" s="21">
        <v>39822866</v>
      </c>
      <c r="F54" s="21"/>
      <c r="G54" s="39">
        <f t="shared" si="0"/>
        <v>253735556.05464762</v>
      </c>
      <c r="H54" s="33"/>
    </row>
    <row r="55" spans="1:8" s="17" customFormat="1" ht="21.75" customHeight="1" x14ac:dyDescent="0.2">
      <c r="A55" s="18"/>
      <c r="B55" s="22" t="s">
        <v>97</v>
      </c>
      <c r="C55" s="18"/>
      <c r="D55" s="20" t="s">
        <v>118</v>
      </c>
      <c r="E55" s="21">
        <v>2000000</v>
      </c>
      <c r="F55" s="21"/>
      <c r="G55" s="39">
        <f t="shared" si="0"/>
        <v>255735556.05464762</v>
      </c>
      <c r="H55" s="33"/>
    </row>
    <row r="56" spans="1:8" s="17" customFormat="1" ht="21.75" customHeight="1" x14ac:dyDescent="0.2">
      <c r="A56" s="18"/>
      <c r="B56" s="19" t="s">
        <v>119</v>
      </c>
      <c r="C56" s="18"/>
      <c r="D56" s="20" t="s">
        <v>189</v>
      </c>
      <c r="E56" s="21">
        <v>2725000</v>
      </c>
      <c r="F56" s="21"/>
      <c r="G56" s="39">
        <f t="shared" si="0"/>
        <v>258460556.05464762</v>
      </c>
      <c r="H56" s="33"/>
    </row>
    <row r="57" spans="1:8" s="17" customFormat="1" ht="21.75" customHeight="1" x14ac:dyDescent="0.2">
      <c r="A57" s="18"/>
      <c r="B57" s="22" t="s">
        <v>119</v>
      </c>
      <c r="C57" s="18"/>
      <c r="D57" s="20" t="s">
        <v>190</v>
      </c>
      <c r="E57" s="21">
        <v>10584000</v>
      </c>
      <c r="F57" s="21"/>
      <c r="G57" s="39">
        <f t="shared" si="0"/>
        <v>269044556.05464762</v>
      </c>
      <c r="H57" s="33"/>
    </row>
    <row r="58" spans="1:8" s="17" customFormat="1" ht="21.75" customHeight="1" x14ac:dyDescent="0.2">
      <c r="A58" s="18"/>
      <c r="B58" s="22" t="s">
        <v>119</v>
      </c>
      <c r="C58" s="18"/>
      <c r="D58" s="20" t="s">
        <v>121</v>
      </c>
      <c r="E58" s="21"/>
      <c r="F58" s="21">
        <v>10810700</v>
      </c>
      <c r="G58" s="39">
        <f t="shared" si="0"/>
        <v>258233856.05464762</v>
      </c>
      <c r="H58" s="33"/>
    </row>
    <row r="59" spans="1:8" s="17" customFormat="1" ht="21.75" customHeight="1" x14ac:dyDescent="0.2">
      <c r="A59" s="18"/>
      <c r="B59" s="22" t="s">
        <v>119</v>
      </c>
      <c r="C59" s="18"/>
      <c r="D59" s="20" t="s">
        <v>122</v>
      </c>
      <c r="E59" s="21"/>
      <c r="F59" s="21">
        <v>2306000</v>
      </c>
      <c r="G59" s="39">
        <f t="shared" si="0"/>
        <v>255927856.05464762</v>
      </c>
      <c r="H59" s="33"/>
    </row>
    <row r="60" spans="1:8" s="17" customFormat="1" ht="21.75" customHeight="1" x14ac:dyDescent="0.2">
      <c r="A60" s="18"/>
      <c r="B60" s="22" t="s">
        <v>119</v>
      </c>
      <c r="C60" s="18"/>
      <c r="D60" s="20" t="s">
        <v>123</v>
      </c>
      <c r="E60" s="21"/>
      <c r="F60" s="21">
        <v>8890000</v>
      </c>
      <c r="G60" s="39">
        <f t="shared" si="0"/>
        <v>247037856.05464762</v>
      </c>
      <c r="H60" s="33"/>
    </row>
    <row r="61" spans="1:8" s="17" customFormat="1" ht="21.75" customHeight="1" x14ac:dyDescent="0.2">
      <c r="A61" s="18"/>
      <c r="B61" s="19" t="s">
        <v>120</v>
      </c>
      <c r="C61" s="18"/>
      <c r="D61" s="23" t="s">
        <v>124</v>
      </c>
      <c r="E61" s="25"/>
      <c r="F61" s="21"/>
      <c r="G61" s="39">
        <f t="shared" si="0"/>
        <v>247037856.05464762</v>
      </c>
    </row>
    <row r="62" spans="1:8" s="17" customFormat="1" ht="21.75" customHeight="1" x14ac:dyDescent="0.2">
      <c r="A62" s="18"/>
      <c r="B62" s="24" t="s">
        <v>120</v>
      </c>
      <c r="C62" s="18"/>
      <c r="D62" s="20" t="s">
        <v>125</v>
      </c>
      <c r="E62" s="21">
        <v>8400000</v>
      </c>
      <c r="F62" s="21"/>
      <c r="G62" s="39">
        <f t="shared" si="0"/>
        <v>255437856.05464762</v>
      </c>
    </row>
    <row r="63" spans="1:8" s="17" customFormat="1" ht="21.75" customHeight="1" x14ac:dyDescent="0.2">
      <c r="A63" s="18"/>
      <c r="B63" s="22" t="s">
        <v>120</v>
      </c>
      <c r="C63" s="18"/>
      <c r="D63" s="20" t="s">
        <v>126</v>
      </c>
      <c r="E63" s="21">
        <v>4300000</v>
      </c>
      <c r="F63" s="21"/>
      <c r="G63" s="39">
        <f t="shared" si="0"/>
        <v>259737856.05464762</v>
      </c>
    </row>
    <row r="64" spans="1:8" s="17" customFormat="1" ht="21.75" customHeight="1" x14ac:dyDescent="0.2">
      <c r="A64" s="18"/>
      <c r="B64" s="24" t="s">
        <v>120</v>
      </c>
      <c r="C64" s="18"/>
      <c r="D64" s="20" t="s">
        <v>127</v>
      </c>
      <c r="E64" s="21">
        <v>12415000</v>
      </c>
      <c r="F64" s="21"/>
      <c r="G64" s="39">
        <f t="shared" si="0"/>
        <v>272152856.05464762</v>
      </c>
    </row>
    <row r="65" spans="1:7" s="17" customFormat="1" ht="21.75" customHeight="1" x14ac:dyDescent="0.2">
      <c r="A65" s="18"/>
      <c r="B65" s="22" t="s">
        <v>120</v>
      </c>
      <c r="C65" s="18"/>
      <c r="D65" s="20" t="s">
        <v>128</v>
      </c>
      <c r="E65" s="21">
        <v>2217500</v>
      </c>
      <c r="F65" s="21"/>
      <c r="G65" s="39">
        <f t="shared" si="0"/>
        <v>274370356.05464762</v>
      </c>
    </row>
    <row r="66" spans="1:7" s="17" customFormat="1" ht="21.75" customHeight="1" x14ac:dyDescent="0.2">
      <c r="A66" s="18"/>
      <c r="B66" s="24" t="s">
        <v>120</v>
      </c>
      <c r="C66" s="18"/>
      <c r="D66" s="20" t="s">
        <v>129</v>
      </c>
      <c r="E66" s="21">
        <v>2032000</v>
      </c>
      <c r="F66" s="21"/>
      <c r="G66" s="39">
        <f t="shared" si="0"/>
        <v>276402356.05464762</v>
      </c>
    </row>
    <row r="67" spans="1:7" s="17" customFormat="1" ht="21.75" customHeight="1" x14ac:dyDescent="0.2">
      <c r="A67" s="18"/>
      <c r="B67" s="22" t="s">
        <v>120</v>
      </c>
      <c r="C67" s="18"/>
      <c r="D67" s="20" t="s">
        <v>130</v>
      </c>
      <c r="E67" s="21">
        <v>6576000</v>
      </c>
      <c r="F67" s="21"/>
      <c r="G67" s="39">
        <f t="shared" si="0"/>
        <v>282978356.05464762</v>
      </c>
    </row>
    <row r="68" spans="1:7" s="17" customFormat="1" ht="21.75" customHeight="1" x14ac:dyDescent="0.2">
      <c r="A68" s="18"/>
      <c r="B68" s="24" t="s">
        <v>120</v>
      </c>
      <c r="C68" s="18"/>
      <c r="D68" s="20" t="s">
        <v>13</v>
      </c>
      <c r="E68" s="21">
        <f>500000+920000</f>
        <v>1420000</v>
      </c>
      <c r="F68" s="21"/>
      <c r="G68" s="39">
        <f t="shared" si="0"/>
        <v>284398356.05464762</v>
      </c>
    </row>
    <row r="69" spans="1:7" s="17" customFormat="1" ht="21.75" customHeight="1" x14ac:dyDescent="0.2">
      <c r="A69" s="18"/>
      <c r="B69" s="22" t="s">
        <v>120</v>
      </c>
      <c r="C69" s="18"/>
      <c r="D69" s="20" t="s">
        <v>14</v>
      </c>
      <c r="E69" s="21">
        <v>21045000</v>
      </c>
      <c r="F69" s="21"/>
      <c r="G69" s="39">
        <f t="shared" si="0"/>
        <v>305443356.05464762</v>
      </c>
    </row>
    <row r="70" spans="1:7" s="17" customFormat="1" ht="21.75" customHeight="1" x14ac:dyDescent="0.2">
      <c r="A70" s="18"/>
      <c r="B70" s="24" t="s">
        <v>120</v>
      </c>
      <c r="C70" s="18"/>
      <c r="D70" s="20" t="s">
        <v>75</v>
      </c>
      <c r="E70" s="21">
        <v>29325000</v>
      </c>
      <c r="F70" s="21"/>
      <c r="G70" s="39">
        <f t="shared" si="0"/>
        <v>334768356.05464762</v>
      </c>
    </row>
    <row r="71" spans="1:7" s="17" customFormat="1" ht="21.75" customHeight="1" x14ac:dyDescent="0.2">
      <c r="A71" s="18"/>
      <c r="B71" s="22" t="s">
        <v>120</v>
      </c>
      <c r="C71" s="18"/>
      <c r="D71" s="20" t="s">
        <v>15</v>
      </c>
      <c r="E71" s="21">
        <v>2350000</v>
      </c>
      <c r="F71" s="21"/>
      <c r="G71" s="39">
        <f t="shared" si="0"/>
        <v>337118356.05464762</v>
      </c>
    </row>
    <row r="72" spans="1:7" s="17" customFormat="1" ht="21.75" customHeight="1" x14ac:dyDescent="0.2">
      <c r="A72" s="18"/>
      <c r="B72" s="24" t="s">
        <v>120</v>
      </c>
      <c r="C72" s="18"/>
      <c r="D72" s="20" t="s">
        <v>16</v>
      </c>
      <c r="E72" s="21">
        <v>3850000</v>
      </c>
      <c r="F72" s="21"/>
      <c r="G72" s="39">
        <f t="shared" si="0"/>
        <v>340968356.05464762</v>
      </c>
    </row>
    <row r="73" spans="1:7" s="17" customFormat="1" ht="21.75" customHeight="1" x14ac:dyDescent="0.2">
      <c r="A73" s="18"/>
      <c r="B73" s="22" t="s">
        <v>120</v>
      </c>
      <c r="C73" s="18"/>
      <c r="D73" s="20" t="s">
        <v>131</v>
      </c>
      <c r="E73" s="21">
        <f>1816667+560000</f>
        <v>2376667</v>
      </c>
      <c r="F73" s="21"/>
      <c r="G73" s="39">
        <f t="shared" si="0"/>
        <v>343345023.05464762</v>
      </c>
    </row>
    <row r="74" spans="1:7" s="17" customFormat="1" ht="21.75" customHeight="1" x14ac:dyDescent="0.2">
      <c r="A74" s="18"/>
      <c r="B74" s="24" t="s">
        <v>120</v>
      </c>
      <c r="C74" s="18"/>
      <c r="D74" s="20" t="s">
        <v>18</v>
      </c>
      <c r="E74" s="21">
        <v>2960000</v>
      </c>
      <c r="F74" s="21"/>
      <c r="G74" s="39">
        <f t="shared" si="0"/>
        <v>346305023.05464762</v>
      </c>
    </row>
    <row r="75" spans="1:7" s="17" customFormat="1" ht="21.75" customHeight="1" x14ac:dyDescent="0.2">
      <c r="A75" s="18"/>
      <c r="B75" s="22" t="s">
        <v>120</v>
      </c>
      <c r="C75" s="18"/>
      <c r="D75" s="20" t="s">
        <v>17</v>
      </c>
      <c r="E75" s="21">
        <v>2100000</v>
      </c>
      <c r="F75" s="21"/>
      <c r="G75" s="39">
        <f t="shared" si="0"/>
        <v>348405023.05464762</v>
      </c>
    </row>
    <row r="76" spans="1:7" s="17" customFormat="1" ht="21.75" customHeight="1" x14ac:dyDescent="0.2">
      <c r="A76" s="18"/>
      <c r="B76" s="24" t="s">
        <v>120</v>
      </c>
      <c r="C76" s="18"/>
      <c r="D76" s="20" t="s">
        <v>140</v>
      </c>
      <c r="E76" s="21">
        <v>1840000</v>
      </c>
      <c r="F76" s="21"/>
      <c r="G76" s="39">
        <f t="shared" si="0"/>
        <v>350245023.05464762</v>
      </c>
    </row>
    <row r="77" spans="1:7" s="17" customFormat="1" ht="21.75" customHeight="1" x14ac:dyDescent="0.2">
      <c r="A77" s="18"/>
      <c r="B77" s="22" t="s">
        <v>120</v>
      </c>
      <c r="C77" s="18"/>
      <c r="D77" s="23" t="s">
        <v>132</v>
      </c>
      <c r="E77" s="21">
        <f>+F77-6180000</f>
        <v>820000</v>
      </c>
      <c r="F77" s="21">
        <v>7000000</v>
      </c>
      <c r="G77" s="39">
        <f t="shared" si="0"/>
        <v>344065023.05464762</v>
      </c>
    </row>
    <row r="78" spans="1:7" s="17" customFormat="1" ht="21.75" customHeight="1" x14ac:dyDescent="0.2">
      <c r="A78" s="18"/>
      <c r="B78" s="24" t="s">
        <v>120</v>
      </c>
      <c r="C78" s="18"/>
      <c r="D78" s="20" t="s">
        <v>133</v>
      </c>
      <c r="E78" s="21"/>
      <c r="F78" s="21">
        <v>900000</v>
      </c>
      <c r="G78" s="39">
        <f t="shared" si="0"/>
        <v>343165023.05464762</v>
      </c>
    </row>
    <row r="79" spans="1:7" s="17" customFormat="1" ht="21.75" customHeight="1" x14ac:dyDescent="0.2">
      <c r="A79" s="18"/>
      <c r="B79" s="22" t="s">
        <v>120</v>
      </c>
      <c r="C79" s="18"/>
      <c r="D79" s="20" t="s">
        <v>115</v>
      </c>
      <c r="E79" s="21"/>
      <c r="F79" s="21">
        <v>200000</v>
      </c>
      <c r="G79" s="39">
        <f t="shared" si="0"/>
        <v>342965023.05464762</v>
      </c>
    </row>
    <row r="80" spans="1:7" s="17" customFormat="1" ht="21.75" customHeight="1" x14ac:dyDescent="0.2">
      <c r="A80" s="18"/>
      <c r="B80" s="24" t="s">
        <v>120</v>
      </c>
      <c r="C80" s="18"/>
      <c r="D80" s="20" t="s">
        <v>134</v>
      </c>
      <c r="E80" s="21"/>
      <c r="F80" s="21">
        <v>29997500</v>
      </c>
      <c r="G80" s="39">
        <f t="shared" si="0"/>
        <v>312967523.05464762</v>
      </c>
    </row>
    <row r="81" spans="1:8" s="17" customFormat="1" ht="21.75" customHeight="1" x14ac:dyDescent="0.2">
      <c r="A81" s="18"/>
      <c r="B81" s="22" t="s">
        <v>120</v>
      </c>
      <c r="C81" s="18"/>
      <c r="D81" s="20" t="s">
        <v>80</v>
      </c>
      <c r="E81" s="21"/>
      <c r="F81" s="21">
        <v>500000</v>
      </c>
      <c r="G81" s="39">
        <f t="shared" si="0"/>
        <v>312467523.05464762</v>
      </c>
    </row>
    <row r="82" spans="1:8" s="17" customFormat="1" ht="21.75" customHeight="1" x14ac:dyDescent="0.2">
      <c r="A82" s="18"/>
      <c r="B82" s="24" t="s">
        <v>120</v>
      </c>
      <c r="C82" s="18"/>
      <c r="D82" s="20" t="s">
        <v>135</v>
      </c>
      <c r="E82" s="21">
        <v>2300000</v>
      </c>
      <c r="F82" s="21">
        <v>20000000</v>
      </c>
      <c r="G82" s="39">
        <f t="shared" si="0"/>
        <v>294767523.05464762</v>
      </c>
    </row>
    <row r="83" spans="1:8" s="17" customFormat="1" ht="21.75" customHeight="1" x14ac:dyDescent="0.2">
      <c r="A83" s="18"/>
      <c r="B83" s="22" t="s">
        <v>120</v>
      </c>
      <c r="C83" s="18"/>
      <c r="D83" s="20" t="s">
        <v>113</v>
      </c>
      <c r="E83" s="21"/>
      <c r="F83" s="21">
        <v>500000</v>
      </c>
      <c r="G83" s="39">
        <f t="shared" si="0"/>
        <v>294267523.05464762</v>
      </c>
    </row>
    <row r="84" spans="1:8" s="17" customFormat="1" ht="21.75" customHeight="1" x14ac:dyDescent="0.2">
      <c r="A84" s="18"/>
      <c r="B84" s="24" t="s">
        <v>120</v>
      </c>
      <c r="C84" s="18"/>
      <c r="D84" s="23" t="s">
        <v>136</v>
      </c>
      <c r="E84" s="21">
        <f>+F84-2940000</f>
        <v>2060000</v>
      </c>
      <c r="F84" s="21">
        <v>5000000</v>
      </c>
      <c r="G84" s="39">
        <f t="shared" si="0"/>
        <v>291327523.05464762</v>
      </c>
      <c r="H84" s="34"/>
    </row>
    <row r="85" spans="1:8" s="17" customFormat="1" ht="21.75" customHeight="1" x14ac:dyDescent="0.2">
      <c r="A85" s="18"/>
      <c r="B85" s="22" t="s">
        <v>120</v>
      </c>
      <c r="C85" s="18"/>
      <c r="D85" s="20" t="s">
        <v>137</v>
      </c>
      <c r="E85" s="21"/>
      <c r="F85" s="21">
        <v>235000</v>
      </c>
      <c r="G85" s="39">
        <f t="shared" si="0"/>
        <v>291092523.05464762</v>
      </c>
      <c r="H85" s="34"/>
    </row>
    <row r="86" spans="1:8" s="17" customFormat="1" ht="21.75" customHeight="1" x14ac:dyDescent="0.2">
      <c r="A86" s="18"/>
      <c r="B86" s="24" t="s">
        <v>120</v>
      </c>
      <c r="C86" s="18"/>
      <c r="D86" s="20" t="s">
        <v>138</v>
      </c>
      <c r="E86" s="21"/>
      <c r="F86" s="21">
        <v>600000</v>
      </c>
      <c r="G86" s="39">
        <f t="shared" si="0"/>
        <v>290492523.05464762</v>
      </c>
      <c r="H86" s="33"/>
    </row>
    <row r="87" spans="1:8" s="17" customFormat="1" ht="21.75" customHeight="1" x14ac:dyDescent="0.2">
      <c r="A87" s="18"/>
      <c r="B87" s="22" t="s">
        <v>120</v>
      </c>
      <c r="C87" s="18"/>
      <c r="D87" s="20" t="s">
        <v>139</v>
      </c>
      <c r="E87" s="21"/>
      <c r="F87" s="21">
        <v>900000</v>
      </c>
      <c r="G87" s="55">
        <f t="shared" si="0"/>
        <v>289592523.05464762</v>
      </c>
    </row>
    <row r="88" spans="1:8" s="17" customFormat="1" ht="21.75" customHeight="1" x14ac:dyDescent="0.2">
      <c r="A88" s="18"/>
      <c r="B88" s="24" t="s">
        <v>120</v>
      </c>
      <c r="C88" s="18"/>
      <c r="D88" s="20" t="s">
        <v>145</v>
      </c>
      <c r="E88" s="21"/>
      <c r="F88" s="21">
        <v>16020000</v>
      </c>
      <c r="G88" s="39">
        <f t="shared" si="0"/>
        <v>273572523.05464762</v>
      </c>
    </row>
    <row r="89" spans="1:8" s="17" customFormat="1" ht="21.75" customHeight="1" x14ac:dyDescent="0.2">
      <c r="A89" s="18"/>
      <c r="B89" s="22" t="s">
        <v>120</v>
      </c>
      <c r="C89" s="18"/>
      <c r="D89" s="20" t="s">
        <v>146</v>
      </c>
      <c r="E89" s="21"/>
      <c r="F89" s="21">
        <v>4200000</v>
      </c>
      <c r="G89" s="39">
        <f t="shared" si="0"/>
        <v>269372523.05464762</v>
      </c>
    </row>
    <row r="90" spans="1:8" s="17" customFormat="1" ht="21.75" customHeight="1" x14ac:dyDescent="0.2">
      <c r="A90" s="18"/>
      <c r="B90" s="24" t="s">
        <v>120</v>
      </c>
      <c r="C90" s="18"/>
      <c r="D90" s="20" t="s">
        <v>144</v>
      </c>
      <c r="E90" s="21">
        <v>2000000</v>
      </c>
      <c r="F90" s="21"/>
      <c r="G90" s="39">
        <f t="shared" si="0"/>
        <v>271372523.05464762</v>
      </c>
    </row>
    <row r="91" spans="1:8" s="17" customFormat="1" ht="21.75" customHeight="1" x14ac:dyDescent="0.2">
      <c r="A91" s="18"/>
      <c r="B91" s="19" t="s">
        <v>147</v>
      </c>
      <c r="C91" s="18"/>
      <c r="D91" s="20" t="s">
        <v>148</v>
      </c>
      <c r="E91" s="21"/>
      <c r="F91" s="21">
        <v>2500000</v>
      </c>
      <c r="G91" s="39">
        <f t="shared" si="0"/>
        <v>268872523.05464762</v>
      </c>
    </row>
    <row r="92" spans="1:8" s="17" customFormat="1" ht="21.75" customHeight="1" x14ac:dyDescent="0.2">
      <c r="A92" s="18"/>
      <c r="B92" s="24" t="s">
        <v>147</v>
      </c>
      <c r="C92" s="18"/>
      <c r="D92" s="20" t="s">
        <v>149</v>
      </c>
      <c r="E92" s="21"/>
      <c r="F92" s="21">
        <v>3500000</v>
      </c>
      <c r="G92" s="39">
        <f t="shared" si="0"/>
        <v>265372523.05464762</v>
      </c>
    </row>
    <row r="93" spans="1:8" s="17" customFormat="1" ht="21.75" customHeight="1" x14ac:dyDescent="0.2">
      <c r="A93" s="18"/>
      <c r="B93" s="24" t="s">
        <v>147</v>
      </c>
      <c r="C93" s="18"/>
      <c r="D93" s="20" t="s">
        <v>150</v>
      </c>
      <c r="E93" s="21"/>
      <c r="F93" s="21">
        <v>10000000</v>
      </c>
      <c r="G93" s="39">
        <f t="shared" si="0"/>
        <v>255372523.05464762</v>
      </c>
    </row>
    <row r="94" spans="1:8" s="17" customFormat="1" ht="21.75" customHeight="1" x14ac:dyDescent="0.2">
      <c r="A94" s="18"/>
      <c r="B94" s="24" t="s">
        <v>147</v>
      </c>
      <c r="C94" s="18"/>
      <c r="D94" s="20" t="s">
        <v>21</v>
      </c>
      <c r="E94" s="21"/>
      <c r="F94" s="21">
        <v>2500</v>
      </c>
      <c r="G94" s="39">
        <f t="shared" si="0"/>
        <v>255370023.05464762</v>
      </c>
    </row>
    <row r="95" spans="1:8" s="17" customFormat="1" ht="21.75" customHeight="1" x14ac:dyDescent="0.2">
      <c r="A95" s="18"/>
      <c r="B95" s="19" t="s">
        <v>152</v>
      </c>
      <c r="C95" s="18"/>
      <c r="D95" s="20" t="s">
        <v>151</v>
      </c>
      <c r="E95" s="21">
        <v>1200000</v>
      </c>
      <c r="F95" s="21"/>
      <c r="G95" s="39">
        <f t="shared" si="0"/>
        <v>256570023.05464762</v>
      </c>
    </row>
    <row r="96" spans="1:8" s="17" customFormat="1" ht="21.75" customHeight="1" x14ac:dyDescent="0.2">
      <c r="A96" s="18"/>
      <c r="B96" s="24" t="s">
        <v>152</v>
      </c>
      <c r="C96" s="18"/>
      <c r="D96" s="20" t="s">
        <v>154</v>
      </c>
      <c r="E96" s="21"/>
      <c r="F96" s="21">
        <v>70000000</v>
      </c>
      <c r="G96" s="39">
        <f t="shared" si="0"/>
        <v>186570023.05464762</v>
      </c>
    </row>
    <row r="97" spans="1:8" s="17" customFormat="1" ht="21.75" customHeight="1" x14ac:dyDescent="0.2">
      <c r="A97" s="18"/>
      <c r="B97" s="19" t="s">
        <v>153</v>
      </c>
      <c r="C97" s="18"/>
      <c r="D97" s="20" t="s">
        <v>155</v>
      </c>
      <c r="E97" s="21">
        <v>230000</v>
      </c>
      <c r="F97" s="21"/>
      <c r="G97" s="39">
        <f t="shared" si="0"/>
        <v>186800023.05464762</v>
      </c>
    </row>
    <row r="98" spans="1:8" s="17" customFormat="1" ht="21.75" customHeight="1" x14ac:dyDescent="0.2">
      <c r="A98" s="18"/>
      <c r="B98" s="24" t="s">
        <v>153</v>
      </c>
      <c r="C98" s="18"/>
      <c r="D98" s="20" t="s">
        <v>156</v>
      </c>
      <c r="E98" s="21"/>
      <c r="F98" s="21">
        <v>20000000</v>
      </c>
      <c r="G98" s="39">
        <f t="shared" si="0"/>
        <v>166800023.05464762</v>
      </c>
    </row>
    <row r="99" spans="1:8" s="17" customFormat="1" ht="21.75" customHeight="1" x14ac:dyDescent="0.2">
      <c r="A99" s="18"/>
      <c r="B99" s="24" t="s">
        <v>153</v>
      </c>
      <c r="C99" s="18"/>
      <c r="D99" s="20" t="s">
        <v>162</v>
      </c>
      <c r="E99" s="21"/>
      <c r="F99" s="21">
        <v>52746</v>
      </c>
      <c r="G99" s="39">
        <f t="shared" ref="G99:G169" si="1">+G98+E99-F99</f>
        <v>166747277.05464762</v>
      </c>
    </row>
    <row r="100" spans="1:8" s="17" customFormat="1" ht="21.75" customHeight="1" x14ac:dyDescent="0.2">
      <c r="A100" s="18"/>
      <c r="B100" s="24" t="s">
        <v>153</v>
      </c>
      <c r="C100" s="18"/>
      <c r="D100" s="20" t="s">
        <v>350</v>
      </c>
      <c r="E100" s="21"/>
      <c r="F100" s="21">
        <v>1000000</v>
      </c>
      <c r="G100" s="39">
        <f t="shared" si="1"/>
        <v>165747277.05464762</v>
      </c>
    </row>
    <row r="101" spans="1:8" s="17" customFormat="1" ht="21.75" customHeight="1" x14ac:dyDescent="0.2">
      <c r="A101" s="18"/>
      <c r="B101" s="24" t="s">
        <v>153</v>
      </c>
      <c r="C101" s="18"/>
      <c r="D101" s="20" t="s">
        <v>157</v>
      </c>
      <c r="E101" s="21"/>
      <c r="F101" s="21">
        <v>3000000</v>
      </c>
      <c r="G101" s="39">
        <f t="shared" si="1"/>
        <v>162747277.05464762</v>
      </c>
    </row>
    <row r="102" spans="1:8" s="17" customFormat="1" ht="21.75" customHeight="1" x14ac:dyDescent="0.2">
      <c r="A102" s="18"/>
      <c r="B102" s="24" t="s">
        <v>153</v>
      </c>
      <c r="C102" s="18"/>
      <c r="D102" s="20" t="s">
        <v>158</v>
      </c>
      <c r="E102" s="21"/>
      <c r="F102" s="21">
        <v>900000</v>
      </c>
      <c r="G102" s="39">
        <f t="shared" si="1"/>
        <v>161847277.05464762</v>
      </c>
    </row>
    <row r="103" spans="1:8" s="17" customFormat="1" ht="21.75" customHeight="1" x14ac:dyDescent="0.2">
      <c r="A103" s="18"/>
      <c r="B103" s="24" t="s">
        <v>153</v>
      </c>
      <c r="C103" s="18"/>
      <c r="D103" s="20" t="s">
        <v>159</v>
      </c>
      <c r="E103" s="21"/>
      <c r="F103" s="21">
        <v>900000</v>
      </c>
      <c r="G103" s="39">
        <f t="shared" si="1"/>
        <v>160947277.05464762</v>
      </c>
    </row>
    <row r="104" spans="1:8" s="17" customFormat="1" ht="21.75" customHeight="1" x14ac:dyDescent="0.2">
      <c r="A104" s="18"/>
      <c r="B104" s="19" t="s">
        <v>160</v>
      </c>
      <c r="C104" s="18"/>
      <c r="D104" s="20" t="s">
        <v>161</v>
      </c>
      <c r="E104" s="21">
        <v>32700000</v>
      </c>
      <c r="F104" s="21"/>
      <c r="G104" s="39">
        <f t="shared" si="1"/>
        <v>193647277.05464762</v>
      </c>
      <c r="H104" s="17" t="s">
        <v>12</v>
      </c>
    </row>
    <row r="105" spans="1:8" s="17" customFormat="1" ht="21.75" customHeight="1" x14ac:dyDescent="0.2">
      <c r="A105" s="18"/>
      <c r="B105" s="24" t="s">
        <v>160</v>
      </c>
      <c r="C105" s="18"/>
      <c r="D105" s="20" t="s">
        <v>167</v>
      </c>
      <c r="E105" s="25"/>
      <c r="F105" s="21">
        <v>5550000</v>
      </c>
      <c r="G105" s="39">
        <f t="shared" si="1"/>
        <v>188097277.05464762</v>
      </c>
    </row>
    <row r="106" spans="1:8" s="17" customFormat="1" ht="21.75" customHeight="1" x14ac:dyDescent="0.2">
      <c r="A106" s="18"/>
      <c r="B106" s="24" t="s">
        <v>160</v>
      </c>
      <c r="C106" s="18"/>
      <c r="D106" s="20" t="s">
        <v>166</v>
      </c>
      <c r="E106" s="25"/>
      <c r="F106" s="21">
        <v>8500000</v>
      </c>
      <c r="G106" s="39">
        <f t="shared" si="1"/>
        <v>179597277.05464762</v>
      </c>
    </row>
    <row r="107" spans="1:8" s="17" customFormat="1" ht="21.75" customHeight="1" x14ac:dyDescent="0.2">
      <c r="A107" s="18"/>
      <c r="B107" s="24" t="s">
        <v>160</v>
      </c>
      <c r="C107" s="18"/>
      <c r="D107" s="20" t="s">
        <v>163</v>
      </c>
      <c r="E107" s="21"/>
      <c r="F107" s="21">
        <v>5000000</v>
      </c>
      <c r="G107" s="39">
        <f t="shared" si="1"/>
        <v>174597277.05464762</v>
      </c>
    </row>
    <row r="108" spans="1:8" s="17" customFormat="1" ht="21.75" customHeight="1" x14ac:dyDescent="0.2">
      <c r="A108" s="18"/>
      <c r="B108" s="19" t="s">
        <v>168</v>
      </c>
      <c r="C108" s="18"/>
      <c r="D108" s="23" t="s">
        <v>164</v>
      </c>
      <c r="E108" s="21"/>
      <c r="F108" s="21">
        <v>5000000</v>
      </c>
      <c r="G108" s="39">
        <f t="shared" si="1"/>
        <v>169597277.05464762</v>
      </c>
    </row>
    <row r="109" spans="1:8" s="17" customFormat="1" ht="21.75" customHeight="1" x14ac:dyDescent="0.2">
      <c r="A109" s="18"/>
      <c r="B109" s="24" t="s">
        <v>168</v>
      </c>
      <c r="C109" s="18"/>
      <c r="D109" s="23" t="s">
        <v>165</v>
      </c>
      <c r="E109" s="21"/>
      <c r="F109" s="21">
        <v>5000000</v>
      </c>
      <c r="G109" s="55">
        <f t="shared" si="1"/>
        <v>164597277.05464762</v>
      </c>
    </row>
    <row r="110" spans="1:8" s="17" customFormat="1" ht="21.75" customHeight="1" x14ac:dyDescent="0.2">
      <c r="A110" s="18"/>
      <c r="B110" s="24" t="s">
        <v>168</v>
      </c>
      <c r="C110" s="18"/>
      <c r="D110" s="20" t="s">
        <v>21</v>
      </c>
      <c r="E110" s="21"/>
      <c r="F110" s="21">
        <v>2500</v>
      </c>
      <c r="G110" s="39">
        <f t="shared" si="1"/>
        <v>164594777.05464762</v>
      </c>
    </row>
    <row r="111" spans="1:8" s="17" customFormat="1" ht="21.75" customHeight="1" x14ac:dyDescent="0.2">
      <c r="A111" s="18"/>
      <c r="B111" s="24" t="s">
        <v>168</v>
      </c>
      <c r="C111" s="18"/>
      <c r="D111" s="23" t="s">
        <v>169</v>
      </c>
      <c r="E111" s="21"/>
      <c r="F111" s="21">
        <v>3000000</v>
      </c>
      <c r="G111" s="39">
        <f t="shared" si="1"/>
        <v>161594777.05464762</v>
      </c>
    </row>
    <row r="112" spans="1:8" s="17" customFormat="1" ht="21.75" customHeight="1" x14ac:dyDescent="0.2">
      <c r="A112" s="18"/>
      <c r="B112" s="24" t="s">
        <v>168</v>
      </c>
      <c r="C112" s="35"/>
      <c r="D112" s="23" t="s">
        <v>170</v>
      </c>
      <c r="E112" s="21"/>
      <c r="F112" s="21">
        <v>7000000</v>
      </c>
      <c r="G112" s="39">
        <f t="shared" si="1"/>
        <v>154594777.05464762</v>
      </c>
    </row>
    <row r="113" spans="1:7" s="17" customFormat="1" ht="21.75" customHeight="1" x14ac:dyDescent="0.2">
      <c r="A113" s="18"/>
      <c r="B113" s="24" t="s">
        <v>168</v>
      </c>
      <c r="C113" s="18"/>
      <c r="D113" s="20" t="s">
        <v>21</v>
      </c>
      <c r="E113" s="21"/>
      <c r="F113" s="21">
        <v>2500</v>
      </c>
      <c r="G113" s="39">
        <f t="shared" si="1"/>
        <v>154592277.05464762</v>
      </c>
    </row>
    <row r="114" spans="1:7" s="17" customFormat="1" ht="21.75" customHeight="1" x14ac:dyDescent="0.2">
      <c r="A114" s="18"/>
      <c r="B114" s="24" t="s">
        <v>168</v>
      </c>
      <c r="C114" s="36"/>
      <c r="D114" s="23" t="s">
        <v>171</v>
      </c>
      <c r="E114" s="21"/>
      <c r="F114" s="21">
        <v>2000000</v>
      </c>
      <c r="G114" s="39">
        <f t="shared" si="1"/>
        <v>152592277.05464762</v>
      </c>
    </row>
    <row r="115" spans="1:7" s="17" customFormat="1" ht="21.75" customHeight="1" x14ac:dyDescent="0.2">
      <c r="A115" s="18"/>
      <c r="B115" s="24" t="s">
        <v>168</v>
      </c>
      <c r="C115" s="36"/>
      <c r="D115" s="23" t="s">
        <v>172</v>
      </c>
      <c r="E115" s="21"/>
      <c r="F115" s="21">
        <v>5000000</v>
      </c>
      <c r="G115" s="39">
        <f t="shared" si="1"/>
        <v>147592277.05464762</v>
      </c>
    </row>
    <row r="116" spans="1:7" s="17" customFormat="1" ht="21.75" customHeight="1" x14ac:dyDescent="0.2">
      <c r="A116" s="18"/>
      <c r="B116" s="24" t="s">
        <v>168</v>
      </c>
      <c r="C116" s="36"/>
      <c r="D116" s="23" t="s">
        <v>173</v>
      </c>
      <c r="E116" s="21"/>
      <c r="F116" s="21">
        <v>3000000</v>
      </c>
      <c r="G116" s="39">
        <f t="shared" si="1"/>
        <v>144592277.05464762</v>
      </c>
    </row>
    <row r="117" spans="1:7" s="17" customFormat="1" ht="21.75" customHeight="1" x14ac:dyDescent="0.2">
      <c r="A117" s="18"/>
      <c r="B117" s="24" t="s">
        <v>168</v>
      </c>
      <c r="C117" s="36"/>
      <c r="D117" s="23" t="s">
        <v>174</v>
      </c>
      <c r="E117" s="21"/>
      <c r="F117" s="21">
        <v>5000000</v>
      </c>
      <c r="G117" s="39">
        <f t="shared" si="1"/>
        <v>139592277.05464762</v>
      </c>
    </row>
    <row r="118" spans="1:7" s="17" customFormat="1" ht="21.75" customHeight="1" x14ac:dyDescent="0.2">
      <c r="A118" s="18"/>
      <c r="B118" s="24" t="s">
        <v>168</v>
      </c>
      <c r="C118" s="36"/>
      <c r="D118" s="23" t="s">
        <v>175</v>
      </c>
      <c r="E118" s="21">
        <f>+F118-2940000</f>
        <v>2060000</v>
      </c>
      <c r="F118" s="21">
        <v>5000000</v>
      </c>
      <c r="G118" s="39">
        <f t="shared" si="1"/>
        <v>136652277.05464762</v>
      </c>
    </row>
    <row r="119" spans="1:7" s="17" customFormat="1" ht="21.75" customHeight="1" x14ac:dyDescent="0.2">
      <c r="A119" s="18"/>
      <c r="B119" s="24" t="s">
        <v>168</v>
      </c>
      <c r="C119" s="36"/>
      <c r="D119" s="23" t="s">
        <v>177</v>
      </c>
      <c r="E119" s="21"/>
      <c r="F119" s="21">
        <v>5500000</v>
      </c>
      <c r="G119" s="39">
        <f t="shared" si="1"/>
        <v>131152277.05464762</v>
      </c>
    </row>
    <row r="120" spans="1:7" s="17" customFormat="1" ht="21.75" customHeight="1" x14ac:dyDescent="0.2">
      <c r="A120" s="18"/>
      <c r="B120" s="24" t="s">
        <v>168</v>
      </c>
      <c r="C120" s="36"/>
      <c r="D120" s="23" t="s">
        <v>178</v>
      </c>
      <c r="E120" s="21"/>
      <c r="F120" s="21">
        <v>8000000</v>
      </c>
      <c r="G120" s="39">
        <f t="shared" si="1"/>
        <v>123152277.05464762</v>
      </c>
    </row>
    <row r="121" spans="1:7" s="17" customFormat="1" ht="21.75" customHeight="1" x14ac:dyDescent="0.2">
      <c r="A121" s="18"/>
      <c r="B121" s="24" t="s">
        <v>168</v>
      </c>
      <c r="C121" s="36"/>
      <c r="D121" s="23" t="s">
        <v>179</v>
      </c>
      <c r="E121" s="21"/>
      <c r="F121" s="21">
        <v>13000000</v>
      </c>
      <c r="G121" s="39">
        <f t="shared" si="1"/>
        <v>110152277.05464762</v>
      </c>
    </row>
    <row r="122" spans="1:7" s="17" customFormat="1" ht="21.75" customHeight="1" x14ac:dyDescent="0.2">
      <c r="A122" s="18"/>
      <c r="B122" s="24" t="s">
        <v>168</v>
      </c>
      <c r="C122" s="36"/>
      <c r="D122" s="23" t="s">
        <v>176</v>
      </c>
      <c r="E122" s="21">
        <f>+F122-2370000</f>
        <v>630000</v>
      </c>
      <c r="F122" s="21">
        <v>3000000</v>
      </c>
      <c r="G122" s="39">
        <f t="shared" si="1"/>
        <v>107782277.05464762</v>
      </c>
    </row>
    <row r="123" spans="1:7" s="17" customFormat="1" ht="21.75" customHeight="1" x14ac:dyDescent="0.2">
      <c r="A123" s="18"/>
      <c r="B123" s="24" t="s">
        <v>168</v>
      </c>
      <c r="C123" s="36"/>
      <c r="D123" s="23" t="s">
        <v>180</v>
      </c>
      <c r="E123" s="21"/>
      <c r="F123" s="21">
        <v>8000000</v>
      </c>
      <c r="G123" s="39">
        <f t="shared" si="1"/>
        <v>99782277.054647624</v>
      </c>
    </row>
    <row r="124" spans="1:7" s="17" customFormat="1" ht="21.75" customHeight="1" x14ac:dyDescent="0.2">
      <c r="A124" s="18"/>
      <c r="B124" s="24" t="s">
        <v>168</v>
      </c>
      <c r="C124" s="36"/>
      <c r="D124" s="20" t="s">
        <v>182</v>
      </c>
      <c r="E124" s="21">
        <v>62391700</v>
      </c>
      <c r="F124" s="21"/>
      <c r="G124" s="39">
        <f t="shared" si="1"/>
        <v>162173977.05464762</v>
      </c>
    </row>
    <row r="125" spans="1:7" s="17" customFormat="1" ht="21.75" customHeight="1" x14ac:dyDescent="0.2">
      <c r="A125" s="18"/>
      <c r="B125" s="24" t="s">
        <v>168</v>
      </c>
      <c r="C125" s="36"/>
      <c r="D125" s="20" t="s">
        <v>181</v>
      </c>
      <c r="E125" s="21">
        <v>155238259</v>
      </c>
      <c r="F125" s="21"/>
      <c r="G125" s="39">
        <f t="shared" si="1"/>
        <v>317412236.05464762</v>
      </c>
    </row>
    <row r="126" spans="1:7" s="17" customFormat="1" ht="21.75" customHeight="1" x14ac:dyDescent="0.2">
      <c r="A126" s="18"/>
      <c r="B126" s="24" t="s">
        <v>168</v>
      </c>
      <c r="C126" s="36"/>
      <c r="D126" s="20" t="s">
        <v>192</v>
      </c>
      <c r="E126" s="21"/>
      <c r="F126" s="21">
        <v>100000000</v>
      </c>
      <c r="G126" s="39">
        <f t="shared" si="1"/>
        <v>217412236.05464762</v>
      </c>
    </row>
    <row r="127" spans="1:7" s="17" customFormat="1" ht="21.75" customHeight="1" x14ac:dyDescent="0.2">
      <c r="A127" s="18"/>
      <c r="B127" s="24" t="s">
        <v>168</v>
      </c>
      <c r="C127" s="36"/>
      <c r="D127" s="20" t="s">
        <v>184</v>
      </c>
      <c r="E127" s="21"/>
      <c r="F127" s="21">
        <v>13320000</v>
      </c>
      <c r="G127" s="39">
        <f t="shared" si="1"/>
        <v>204092236.05464762</v>
      </c>
    </row>
    <row r="128" spans="1:7" s="17" customFormat="1" ht="21.75" customHeight="1" x14ac:dyDescent="0.2">
      <c r="A128" s="18"/>
      <c r="B128" s="24" t="s">
        <v>168</v>
      </c>
      <c r="C128" s="36"/>
      <c r="D128" s="20" t="s">
        <v>183</v>
      </c>
      <c r="E128" s="21"/>
      <c r="F128" s="21">
        <v>27713350</v>
      </c>
      <c r="G128" s="55">
        <f t="shared" si="1"/>
        <v>176378886.05464762</v>
      </c>
    </row>
    <row r="129" spans="1:7" ht="21.75" customHeight="1" x14ac:dyDescent="0.2">
      <c r="A129" s="7"/>
      <c r="B129" s="19" t="s">
        <v>185</v>
      </c>
      <c r="C129" s="10"/>
      <c r="D129" s="20" t="s">
        <v>186</v>
      </c>
      <c r="E129" s="21"/>
      <c r="F129" s="21">
        <v>1350000</v>
      </c>
      <c r="G129" s="39">
        <f t="shared" si="1"/>
        <v>175028886.05464762</v>
      </c>
    </row>
    <row r="130" spans="1:7" ht="21.75" customHeight="1" x14ac:dyDescent="0.2">
      <c r="A130" s="7"/>
      <c r="B130" s="24" t="s">
        <v>185</v>
      </c>
      <c r="C130" s="10"/>
      <c r="D130" s="20" t="s">
        <v>187</v>
      </c>
      <c r="E130" s="21"/>
      <c r="F130" s="21">
        <v>20000000</v>
      </c>
      <c r="G130" s="39">
        <f t="shared" si="1"/>
        <v>155028886.05464762</v>
      </c>
    </row>
    <row r="131" spans="1:7" ht="21.75" customHeight="1" x14ac:dyDescent="0.2">
      <c r="A131" s="7"/>
      <c r="B131" s="24" t="s">
        <v>185</v>
      </c>
      <c r="C131" s="10"/>
      <c r="D131" s="20" t="s">
        <v>21</v>
      </c>
      <c r="E131" s="21"/>
      <c r="F131" s="21">
        <v>2500</v>
      </c>
      <c r="G131" s="39">
        <f t="shared" si="1"/>
        <v>155026386.05464762</v>
      </c>
    </row>
    <row r="132" spans="1:7" ht="21.75" customHeight="1" x14ac:dyDescent="0.2">
      <c r="A132" s="7"/>
      <c r="B132" s="24" t="s">
        <v>185</v>
      </c>
      <c r="C132" s="10"/>
      <c r="D132" s="20" t="s">
        <v>188</v>
      </c>
      <c r="E132" s="21"/>
      <c r="F132" s="21">
        <v>50810816</v>
      </c>
      <c r="G132" s="39">
        <f t="shared" si="1"/>
        <v>104215570.05464762</v>
      </c>
    </row>
    <row r="133" spans="1:7" ht="21.75" customHeight="1" x14ac:dyDescent="0.2">
      <c r="A133" s="7"/>
      <c r="B133" s="24" t="s">
        <v>185</v>
      </c>
      <c r="C133" s="36"/>
      <c r="D133" s="20" t="s">
        <v>193</v>
      </c>
      <c r="E133" s="21"/>
      <c r="F133" s="21">
        <v>10605316</v>
      </c>
      <c r="G133" s="39">
        <f t="shared" si="1"/>
        <v>93610254.054647624</v>
      </c>
    </row>
    <row r="134" spans="1:7" ht="21.75" customHeight="1" x14ac:dyDescent="0.2">
      <c r="A134" s="7"/>
      <c r="B134" s="19" t="s">
        <v>194</v>
      </c>
      <c r="C134" s="36"/>
      <c r="D134" s="20" t="s">
        <v>197</v>
      </c>
      <c r="E134" s="21"/>
      <c r="F134" s="21">
        <v>450000</v>
      </c>
      <c r="G134" s="39">
        <f>+G133+E134-F134</f>
        <v>93160254.054647624</v>
      </c>
    </row>
    <row r="135" spans="1:7" ht="21.75" customHeight="1" x14ac:dyDescent="0.2">
      <c r="A135" s="7"/>
      <c r="B135" s="24" t="s">
        <v>194</v>
      </c>
      <c r="C135" s="35"/>
      <c r="D135" s="23" t="s">
        <v>198</v>
      </c>
      <c r="E135" s="25">
        <v>54646425</v>
      </c>
      <c r="F135" s="21"/>
      <c r="G135" s="39">
        <f t="shared" ref="G135:G144" si="2">+G134+E135-F135</f>
        <v>147806679.05464762</v>
      </c>
    </row>
    <row r="136" spans="1:7" ht="21.75" customHeight="1" x14ac:dyDescent="0.2">
      <c r="A136" s="7"/>
      <c r="B136" s="19" t="s">
        <v>195</v>
      </c>
      <c r="C136" s="35"/>
      <c r="D136" s="23" t="s">
        <v>351</v>
      </c>
      <c r="E136" s="25"/>
      <c r="F136" s="21"/>
      <c r="G136" s="39">
        <f t="shared" si="2"/>
        <v>147806679.05464762</v>
      </c>
    </row>
    <row r="137" spans="1:7" ht="21.75" customHeight="1" x14ac:dyDescent="0.2">
      <c r="A137" s="7"/>
      <c r="B137" s="24" t="s">
        <v>195</v>
      </c>
      <c r="C137" s="35"/>
      <c r="D137" s="20" t="s">
        <v>199</v>
      </c>
      <c r="E137" s="21">
        <v>1875000</v>
      </c>
      <c r="F137" s="21"/>
      <c r="G137" s="39">
        <f t="shared" si="2"/>
        <v>149681679.05464762</v>
      </c>
    </row>
    <row r="138" spans="1:7" ht="21.75" customHeight="1" x14ac:dyDescent="0.2">
      <c r="A138" s="7"/>
      <c r="B138" s="24" t="s">
        <v>195</v>
      </c>
      <c r="C138" s="35"/>
      <c r="D138" s="20" t="s">
        <v>200</v>
      </c>
      <c r="E138" s="21">
        <v>1000000</v>
      </c>
      <c r="F138" s="21"/>
      <c r="G138" s="39">
        <f t="shared" si="2"/>
        <v>150681679.05464762</v>
      </c>
    </row>
    <row r="139" spans="1:7" ht="21.75" customHeight="1" x14ac:dyDescent="0.2">
      <c r="A139" s="7"/>
      <c r="B139" s="24" t="s">
        <v>195</v>
      </c>
      <c r="C139" s="35"/>
      <c r="D139" s="20" t="s">
        <v>201</v>
      </c>
      <c r="E139" s="21">
        <f>3550000+442500</f>
        <v>3992500</v>
      </c>
      <c r="F139" s="21"/>
      <c r="G139" s="39">
        <f t="shared" si="2"/>
        <v>154674179.05464762</v>
      </c>
    </row>
    <row r="140" spans="1:7" ht="21.75" customHeight="1" x14ac:dyDescent="0.2">
      <c r="A140" s="7"/>
      <c r="B140" s="24" t="s">
        <v>195</v>
      </c>
      <c r="C140" s="35"/>
      <c r="D140" s="20" t="s">
        <v>202</v>
      </c>
      <c r="E140" s="21">
        <v>2023000</v>
      </c>
      <c r="F140" s="21"/>
      <c r="G140" s="39">
        <f t="shared" si="2"/>
        <v>156697179.05464762</v>
      </c>
    </row>
    <row r="141" spans="1:7" ht="21.75" customHeight="1" x14ac:dyDescent="0.2">
      <c r="A141" s="7"/>
      <c r="B141" s="24" t="s">
        <v>195</v>
      </c>
      <c r="C141" s="35"/>
      <c r="D141" s="20" t="s">
        <v>203</v>
      </c>
      <c r="E141" s="21">
        <v>6927778</v>
      </c>
      <c r="F141" s="21"/>
      <c r="G141" s="39">
        <f t="shared" si="2"/>
        <v>163624957.05464762</v>
      </c>
    </row>
    <row r="142" spans="1:7" ht="21.75" customHeight="1" x14ac:dyDescent="0.2">
      <c r="A142" s="7"/>
      <c r="B142" s="24" t="s">
        <v>195</v>
      </c>
      <c r="C142" s="35"/>
      <c r="D142" s="20" t="s">
        <v>204</v>
      </c>
      <c r="E142" s="21">
        <v>1610000</v>
      </c>
      <c r="F142" s="21"/>
      <c r="G142" s="39">
        <f t="shared" si="2"/>
        <v>165234957.05464762</v>
      </c>
    </row>
    <row r="143" spans="1:7" ht="21.75" customHeight="1" x14ac:dyDescent="0.2">
      <c r="A143" s="7"/>
      <c r="B143" s="24" t="s">
        <v>195</v>
      </c>
      <c r="C143" s="35"/>
      <c r="D143" s="20" t="s">
        <v>205</v>
      </c>
      <c r="E143" s="21">
        <v>18666667</v>
      </c>
      <c r="F143" s="21"/>
      <c r="G143" s="39">
        <f t="shared" si="2"/>
        <v>183901624.05464762</v>
      </c>
    </row>
    <row r="144" spans="1:7" ht="21.75" customHeight="1" x14ac:dyDescent="0.25">
      <c r="A144" s="7"/>
      <c r="B144" s="24" t="s">
        <v>195</v>
      </c>
      <c r="C144" s="36"/>
      <c r="D144" s="23" t="s">
        <v>196</v>
      </c>
      <c r="E144" s="21"/>
      <c r="F144" s="21">
        <v>2500000</v>
      </c>
      <c r="G144" s="56">
        <f t="shared" si="2"/>
        <v>181401624.05464762</v>
      </c>
    </row>
    <row r="145" spans="1:7" ht="21.75" customHeight="1" x14ac:dyDescent="0.2">
      <c r="A145" s="7"/>
      <c r="B145" s="19" t="s">
        <v>206</v>
      </c>
      <c r="C145" s="36"/>
      <c r="D145" s="20" t="s">
        <v>207</v>
      </c>
      <c r="E145" s="21">
        <v>300000</v>
      </c>
      <c r="F145" s="21"/>
      <c r="G145" s="39">
        <f t="shared" si="1"/>
        <v>181701624.05464762</v>
      </c>
    </row>
    <row r="146" spans="1:7" ht="21.75" customHeight="1" x14ac:dyDescent="0.2">
      <c r="A146" s="7"/>
      <c r="B146" s="24" t="s">
        <v>206</v>
      </c>
      <c r="C146" s="24"/>
      <c r="D146" s="20" t="s">
        <v>209</v>
      </c>
      <c r="E146" s="21">
        <v>102417</v>
      </c>
      <c r="F146" s="21"/>
      <c r="G146" s="39">
        <f t="shared" si="1"/>
        <v>181804041.05464762</v>
      </c>
    </row>
    <row r="147" spans="1:7" ht="21.75" customHeight="1" x14ac:dyDescent="0.2">
      <c r="A147" s="7"/>
      <c r="B147" s="24" t="s">
        <v>206</v>
      </c>
      <c r="C147" s="35"/>
      <c r="D147" s="20" t="s">
        <v>208</v>
      </c>
      <c r="E147" s="21">
        <v>20300000</v>
      </c>
      <c r="F147" s="21"/>
      <c r="G147" s="39">
        <f t="shared" si="1"/>
        <v>202104041.05464762</v>
      </c>
    </row>
    <row r="148" spans="1:7" ht="21.75" customHeight="1" x14ac:dyDescent="0.2">
      <c r="A148" s="7"/>
      <c r="B148" s="24" t="s">
        <v>206</v>
      </c>
      <c r="C148" s="35"/>
      <c r="D148" s="20" t="s">
        <v>384</v>
      </c>
      <c r="E148" s="21">
        <v>13681826</v>
      </c>
      <c r="F148" s="21"/>
      <c r="G148" s="39">
        <f t="shared" si="1"/>
        <v>215785867.05464762</v>
      </c>
    </row>
    <row r="149" spans="1:7" ht="21.75" customHeight="1" x14ac:dyDescent="0.2">
      <c r="A149" s="7"/>
      <c r="B149" s="24" t="s">
        <v>206</v>
      </c>
      <c r="C149" s="35"/>
      <c r="D149" s="20" t="s">
        <v>217</v>
      </c>
      <c r="E149" s="21"/>
      <c r="F149" s="21">
        <v>1000000</v>
      </c>
      <c r="G149" s="39">
        <f t="shared" si="1"/>
        <v>214785867.05464762</v>
      </c>
    </row>
    <row r="150" spans="1:7" ht="21.75" customHeight="1" x14ac:dyDescent="0.2">
      <c r="A150" s="7"/>
      <c r="B150" s="24" t="s">
        <v>206</v>
      </c>
      <c r="C150" s="18"/>
      <c r="D150" s="23" t="s">
        <v>211</v>
      </c>
      <c r="E150" s="21">
        <v>0</v>
      </c>
      <c r="F150" s="21">
        <v>16692101</v>
      </c>
      <c r="G150" s="39">
        <f t="shared" si="1"/>
        <v>198093766.05464762</v>
      </c>
    </row>
    <row r="151" spans="1:7" ht="21.75" customHeight="1" x14ac:dyDescent="0.2">
      <c r="A151" s="7"/>
      <c r="B151" s="24" t="s">
        <v>206</v>
      </c>
      <c r="C151" s="18"/>
      <c r="D151" s="20" t="s">
        <v>31</v>
      </c>
      <c r="E151" s="21">
        <v>0</v>
      </c>
      <c r="F151" s="21">
        <v>10745537</v>
      </c>
      <c r="G151" s="39">
        <f t="shared" si="1"/>
        <v>187348229.05464762</v>
      </c>
    </row>
    <row r="152" spans="1:7" ht="21.75" customHeight="1" x14ac:dyDescent="0.2">
      <c r="A152" s="7"/>
      <c r="B152" s="24" t="s">
        <v>206</v>
      </c>
      <c r="C152" s="18"/>
      <c r="D152" s="20" t="s">
        <v>32</v>
      </c>
      <c r="E152" s="21">
        <v>0</v>
      </c>
      <c r="F152" s="21">
        <v>11493989</v>
      </c>
      <c r="G152" s="39">
        <f t="shared" si="1"/>
        <v>175854240.05464762</v>
      </c>
    </row>
    <row r="153" spans="1:7" ht="21.75" customHeight="1" x14ac:dyDescent="0.2">
      <c r="A153" s="7"/>
      <c r="B153" s="24" t="s">
        <v>206</v>
      </c>
      <c r="C153" s="36"/>
      <c r="D153" s="20" t="s">
        <v>33</v>
      </c>
      <c r="E153" s="21">
        <v>3353805</v>
      </c>
      <c r="F153" s="21">
        <v>0</v>
      </c>
      <c r="G153" s="39">
        <f t="shared" si="1"/>
        <v>179208045.05464762</v>
      </c>
    </row>
    <row r="154" spans="1:7" ht="21.75" customHeight="1" x14ac:dyDescent="0.2">
      <c r="A154" s="7"/>
      <c r="B154" s="24" t="s">
        <v>206</v>
      </c>
      <c r="C154" s="36"/>
      <c r="D154" s="20" t="s">
        <v>34</v>
      </c>
      <c r="E154" s="21">
        <v>1914472</v>
      </c>
      <c r="F154" s="21">
        <v>0</v>
      </c>
      <c r="G154" s="39">
        <f t="shared" si="1"/>
        <v>181122517.05464762</v>
      </c>
    </row>
    <row r="155" spans="1:7" ht="21.75" customHeight="1" x14ac:dyDescent="0.2">
      <c r="A155" s="7"/>
      <c r="B155" s="24" t="s">
        <v>206</v>
      </c>
      <c r="C155" s="36"/>
      <c r="D155" s="20" t="s">
        <v>35</v>
      </c>
      <c r="E155" s="21">
        <v>650000</v>
      </c>
      <c r="F155" s="21">
        <v>0</v>
      </c>
      <c r="G155" s="39">
        <f t="shared" si="1"/>
        <v>181772517.05464762</v>
      </c>
    </row>
    <row r="156" spans="1:7" ht="21.75" customHeight="1" x14ac:dyDescent="0.2">
      <c r="A156" s="7"/>
      <c r="B156" s="24" t="s">
        <v>206</v>
      </c>
      <c r="C156" s="36"/>
      <c r="D156" s="20" t="s">
        <v>36</v>
      </c>
      <c r="E156" s="21">
        <v>200000</v>
      </c>
      <c r="F156" s="21">
        <v>0</v>
      </c>
      <c r="G156" s="39">
        <f t="shared" si="1"/>
        <v>181972517.05464762</v>
      </c>
    </row>
    <row r="157" spans="1:7" ht="21.75" customHeight="1" x14ac:dyDescent="0.2">
      <c r="A157" s="7"/>
      <c r="B157" s="24" t="s">
        <v>206</v>
      </c>
      <c r="C157" s="36"/>
      <c r="D157" s="20" t="s">
        <v>37</v>
      </c>
      <c r="E157" s="21">
        <v>6352500</v>
      </c>
      <c r="F157" s="21">
        <v>0</v>
      </c>
      <c r="G157" s="39">
        <f t="shared" si="1"/>
        <v>188325017.05464762</v>
      </c>
    </row>
    <row r="158" spans="1:7" ht="21.75" customHeight="1" x14ac:dyDescent="0.2">
      <c r="A158" s="7"/>
      <c r="B158" s="24" t="s">
        <v>206</v>
      </c>
      <c r="C158" s="35"/>
      <c r="D158" s="20" t="s">
        <v>38</v>
      </c>
      <c r="E158" s="21">
        <v>2525000</v>
      </c>
      <c r="F158" s="21"/>
      <c r="G158" s="39">
        <f t="shared" si="1"/>
        <v>190850017.05464762</v>
      </c>
    </row>
    <row r="159" spans="1:7" ht="21.75" customHeight="1" x14ac:dyDescent="0.2">
      <c r="A159" s="7"/>
      <c r="B159" s="24" t="s">
        <v>206</v>
      </c>
      <c r="C159" s="35"/>
      <c r="D159" s="20" t="s">
        <v>39</v>
      </c>
      <c r="E159" s="21">
        <v>2875000</v>
      </c>
      <c r="F159" s="21">
        <v>0</v>
      </c>
      <c r="G159" s="39">
        <f t="shared" si="1"/>
        <v>193725017.05464762</v>
      </c>
    </row>
    <row r="160" spans="1:7" ht="21.75" customHeight="1" x14ac:dyDescent="0.2">
      <c r="A160" s="7"/>
      <c r="B160" s="24" t="s">
        <v>206</v>
      </c>
      <c r="C160" s="35"/>
      <c r="D160" s="20" t="s">
        <v>40</v>
      </c>
      <c r="E160" s="21">
        <v>760000</v>
      </c>
      <c r="F160" s="21"/>
      <c r="G160" s="39">
        <f t="shared" si="1"/>
        <v>194485017.05464762</v>
      </c>
    </row>
    <row r="161" spans="1:8" ht="21.75" customHeight="1" x14ac:dyDescent="0.2">
      <c r="A161" s="7"/>
      <c r="B161" s="24" t="s">
        <v>206</v>
      </c>
      <c r="C161" s="35"/>
      <c r="D161" s="23" t="s">
        <v>212</v>
      </c>
      <c r="E161" s="21">
        <v>0</v>
      </c>
      <c r="F161" s="39">
        <v>100185329.28</v>
      </c>
      <c r="G161" s="39">
        <f t="shared" si="1"/>
        <v>94299687.774647623</v>
      </c>
    </row>
    <row r="162" spans="1:8" ht="21.75" customHeight="1" x14ac:dyDescent="0.2">
      <c r="A162" s="7"/>
      <c r="B162" s="24" t="s">
        <v>206</v>
      </c>
      <c r="C162" s="35"/>
      <c r="D162" s="20" t="s">
        <v>41</v>
      </c>
      <c r="E162" s="39">
        <v>9508469.2799999993</v>
      </c>
      <c r="F162" s="21">
        <v>0</v>
      </c>
      <c r="G162" s="39">
        <f t="shared" si="1"/>
        <v>103808157.05464762</v>
      </c>
    </row>
    <row r="163" spans="1:8" s="12" customFormat="1" ht="21.75" customHeight="1" x14ac:dyDescent="0.2">
      <c r="A163" s="42"/>
      <c r="B163" s="24" t="s">
        <v>206</v>
      </c>
      <c r="C163" s="43"/>
      <c r="D163" s="20" t="s">
        <v>42</v>
      </c>
      <c r="E163" s="21">
        <v>5469920</v>
      </c>
      <c r="F163" s="21">
        <v>0</v>
      </c>
      <c r="G163" s="39">
        <f t="shared" si="1"/>
        <v>109278077.05464762</v>
      </c>
      <c r="H163" s="12">
        <v>11277000</v>
      </c>
    </row>
    <row r="164" spans="1:8" s="12" customFormat="1" ht="21.75" customHeight="1" x14ac:dyDescent="0.2">
      <c r="A164" s="42"/>
      <c r="B164" s="24" t="s">
        <v>206</v>
      </c>
      <c r="C164" s="43"/>
      <c r="D164" s="20" t="s">
        <v>43</v>
      </c>
      <c r="E164" s="21">
        <v>1750000</v>
      </c>
      <c r="F164" s="21">
        <v>0</v>
      </c>
      <c r="G164" s="39">
        <f t="shared" si="1"/>
        <v>111028077.05464762</v>
      </c>
    </row>
    <row r="165" spans="1:8" s="12" customFormat="1" ht="21.75" customHeight="1" x14ac:dyDescent="0.2">
      <c r="A165" s="42"/>
      <c r="B165" s="24" t="s">
        <v>206</v>
      </c>
      <c r="C165" s="43"/>
      <c r="D165" s="20" t="s">
        <v>44</v>
      </c>
      <c r="E165" s="21">
        <v>1750000</v>
      </c>
      <c r="F165" s="21">
        <v>0</v>
      </c>
      <c r="G165" s="39">
        <f t="shared" si="1"/>
        <v>112778077.05464762</v>
      </c>
    </row>
    <row r="166" spans="1:8" s="12" customFormat="1" ht="21.75" customHeight="1" x14ac:dyDescent="0.2">
      <c r="A166" s="42"/>
      <c r="B166" s="24" t="s">
        <v>206</v>
      </c>
      <c r="C166" s="43"/>
      <c r="D166" s="20" t="s">
        <v>59</v>
      </c>
      <c r="E166" s="21">
        <v>4205000</v>
      </c>
      <c r="F166" s="21">
        <v>0</v>
      </c>
      <c r="G166" s="39">
        <f t="shared" si="1"/>
        <v>116983077.05464762</v>
      </c>
    </row>
    <row r="167" spans="1:8" s="12" customFormat="1" ht="21.75" customHeight="1" x14ac:dyDescent="0.2">
      <c r="A167" s="42"/>
      <c r="B167" s="24" t="s">
        <v>206</v>
      </c>
      <c r="C167" s="43"/>
      <c r="D167" s="20" t="s">
        <v>58</v>
      </c>
      <c r="E167" s="21">
        <v>824000</v>
      </c>
      <c r="F167" s="21"/>
      <c r="G167" s="39">
        <f t="shared" si="1"/>
        <v>117807077.05464762</v>
      </c>
    </row>
    <row r="168" spans="1:8" s="12" customFormat="1" ht="21.75" customHeight="1" x14ac:dyDescent="0.2">
      <c r="A168" s="42"/>
      <c r="B168" s="24" t="s">
        <v>206</v>
      </c>
      <c r="C168" s="43"/>
      <c r="D168" s="20" t="s">
        <v>51</v>
      </c>
      <c r="E168" s="21">
        <v>20125000</v>
      </c>
      <c r="F168" s="21">
        <v>0</v>
      </c>
      <c r="G168" s="39">
        <f t="shared" si="1"/>
        <v>137932077.05464762</v>
      </c>
    </row>
    <row r="169" spans="1:8" s="12" customFormat="1" ht="21.75" customHeight="1" x14ac:dyDescent="0.2">
      <c r="A169" s="42"/>
      <c r="B169" s="24" t="s">
        <v>206</v>
      </c>
      <c r="C169" s="43"/>
      <c r="D169" s="20" t="s">
        <v>45</v>
      </c>
      <c r="E169" s="21">
        <v>1423000</v>
      </c>
      <c r="F169" s="21">
        <v>0</v>
      </c>
      <c r="G169" s="39">
        <f t="shared" si="1"/>
        <v>139355077.05464762</v>
      </c>
    </row>
    <row r="170" spans="1:8" s="12" customFormat="1" ht="21.75" customHeight="1" x14ac:dyDescent="0.2">
      <c r="A170" s="42"/>
      <c r="B170" s="24" t="s">
        <v>206</v>
      </c>
      <c r="C170" s="43"/>
      <c r="D170" s="23" t="s">
        <v>213</v>
      </c>
      <c r="E170" s="21">
        <v>0</v>
      </c>
      <c r="F170" s="39">
        <v>19674311.84</v>
      </c>
      <c r="G170" s="39">
        <f t="shared" ref="G170:G190" si="3">+G169+E170-F170</f>
        <v>119680765.21464762</v>
      </c>
    </row>
    <row r="171" spans="1:8" ht="21.75" customHeight="1" x14ac:dyDescent="0.2">
      <c r="A171" s="7"/>
      <c r="B171" s="24" t="s">
        <v>206</v>
      </c>
      <c r="C171" s="35"/>
      <c r="D171" s="20" t="s">
        <v>46</v>
      </c>
      <c r="E171" s="39">
        <v>1895339.84</v>
      </c>
      <c r="F171" s="21">
        <v>0</v>
      </c>
      <c r="G171" s="39">
        <f t="shared" si="3"/>
        <v>121576105.05464762</v>
      </c>
    </row>
    <row r="172" spans="1:8" ht="21.75" customHeight="1" x14ac:dyDescent="0.2">
      <c r="A172" s="7"/>
      <c r="B172" s="24" t="s">
        <v>206</v>
      </c>
      <c r="C172" s="35"/>
      <c r="D172" s="20" t="s">
        <v>47</v>
      </c>
      <c r="E172" s="21">
        <v>1093984</v>
      </c>
      <c r="F172" s="21">
        <v>0</v>
      </c>
      <c r="G172" s="39">
        <f t="shared" si="3"/>
        <v>122670089.05464762</v>
      </c>
    </row>
    <row r="173" spans="1:8" ht="21.75" customHeight="1" x14ac:dyDescent="0.2">
      <c r="A173" s="7"/>
      <c r="B173" s="24" t="s">
        <v>206</v>
      </c>
      <c r="C173" s="35"/>
      <c r="D173" s="20" t="s">
        <v>48</v>
      </c>
      <c r="E173" s="21">
        <v>200000</v>
      </c>
      <c r="F173" s="21">
        <v>0</v>
      </c>
      <c r="G173" s="39">
        <f t="shared" si="3"/>
        <v>122870089.05464762</v>
      </c>
    </row>
    <row r="174" spans="1:8" ht="21.75" customHeight="1" x14ac:dyDescent="0.2">
      <c r="A174" s="7"/>
      <c r="B174" s="24" t="s">
        <v>206</v>
      </c>
      <c r="C174" s="36"/>
      <c r="D174" s="20" t="s">
        <v>81</v>
      </c>
      <c r="E174" s="21">
        <v>110000</v>
      </c>
      <c r="F174" s="21"/>
      <c r="G174" s="39">
        <f t="shared" si="3"/>
        <v>122980089.05464762</v>
      </c>
    </row>
    <row r="175" spans="1:8" ht="21.75" customHeight="1" x14ac:dyDescent="0.2">
      <c r="A175" s="7"/>
      <c r="B175" s="24" t="s">
        <v>206</v>
      </c>
      <c r="C175" s="36"/>
      <c r="D175" s="20" t="s">
        <v>49</v>
      </c>
      <c r="E175" s="21">
        <v>2875000</v>
      </c>
      <c r="F175" s="21">
        <v>0</v>
      </c>
      <c r="G175" s="39">
        <f t="shared" si="3"/>
        <v>125855089.05464762</v>
      </c>
    </row>
    <row r="176" spans="1:8" ht="21.75" customHeight="1" x14ac:dyDescent="0.2">
      <c r="A176" s="7"/>
      <c r="B176" s="24" t="s">
        <v>206</v>
      </c>
      <c r="C176" s="24"/>
      <c r="D176" s="20" t="s">
        <v>50</v>
      </c>
      <c r="E176" s="21">
        <v>874000</v>
      </c>
      <c r="F176" s="21"/>
      <c r="G176" s="39">
        <f t="shared" si="3"/>
        <v>126729089.05464762</v>
      </c>
    </row>
    <row r="177" spans="1:9" ht="21.75" customHeight="1" x14ac:dyDescent="0.2">
      <c r="A177" s="7"/>
      <c r="B177" s="24" t="s">
        <v>206</v>
      </c>
      <c r="C177" s="36"/>
      <c r="D177" s="23" t="s">
        <v>214</v>
      </c>
      <c r="E177" s="21">
        <v>0</v>
      </c>
      <c r="F177" s="39">
        <v>29920467.760000002</v>
      </c>
      <c r="G177" s="39">
        <f t="shared" si="3"/>
        <v>96808621.294647619</v>
      </c>
    </row>
    <row r="178" spans="1:9" ht="21.75" customHeight="1" x14ac:dyDescent="0.2">
      <c r="A178" s="7"/>
      <c r="B178" s="24" t="s">
        <v>206</v>
      </c>
      <c r="C178" s="24"/>
      <c r="D178" s="20" t="s">
        <v>55</v>
      </c>
      <c r="E178" s="39">
        <v>2843009.76</v>
      </c>
      <c r="F178" s="21">
        <v>0</v>
      </c>
      <c r="G178" s="39">
        <f t="shared" si="3"/>
        <v>99651631.054647624</v>
      </c>
    </row>
    <row r="179" spans="1:9" ht="21.75" customHeight="1" x14ac:dyDescent="0.2">
      <c r="A179" s="7"/>
      <c r="B179" s="24" t="s">
        <v>206</v>
      </c>
      <c r="C179" s="36"/>
      <c r="D179" s="20" t="s">
        <v>54</v>
      </c>
      <c r="E179" s="21">
        <v>1640976</v>
      </c>
      <c r="F179" s="21">
        <v>0</v>
      </c>
      <c r="G179" s="39">
        <f t="shared" si="3"/>
        <v>101292607.05464762</v>
      </c>
    </row>
    <row r="180" spans="1:9" ht="21.75" customHeight="1" x14ac:dyDescent="0.2">
      <c r="A180" s="7"/>
      <c r="B180" s="24" t="s">
        <v>206</v>
      </c>
      <c r="C180" s="36"/>
      <c r="D180" s="20" t="s">
        <v>53</v>
      </c>
      <c r="E180" s="21">
        <v>350000</v>
      </c>
      <c r="F180" s="21">
        <v>0</v>
      </c>
      <c r="G180" s="39">
        <f t="shared" si="3"/>
        <v>101642607.05464762</v>
      </c>
    </row>
    <row r="181" spans="1:9" ht="21.75" customHeight="1" x14ac:dyDescent="0.2">
      <c r="A181" s="7"/>
      <c r="B181" s="24" t="s">
        <v>206</v>
      </c>
      <c r="C181" s="36"/>
      <c r="D181" s="20" t="s">
        <v>56</v>
      </c>
      <c r="E181" s="21">
        <v>100000</v>
      </c>
      <c r="F181" s="21">
        <v>0</v>
      </c>
      <c r="G181" s="39">
        <f t="shared" si="3"/>
        <v>101742607.05464762</v>
      </c>
    </row>
    <row r="182" spans="1:9" ht="21.75" customHeight="1" x14ac:dyDescent="0.2">
      <c r="A182" s="7"/>
      <c r="B182" s="24" t="s">
        <v>206</v>
      </c>
      <c r="C182" s="36"/>
      <c r="D182" s="20" t="s">
        <v>57</v>
      </c>
      <c r="E182" s="21">
        <v>935000</v>
      </c>
      <c r="F182" s="21">
        <v>0</v>
      </c>
      <c r="G182" s="39">
        <f t="shared" si="3"/>
        <v>102677607.05464762</v>
      </c>
    </row>
    <row r="183" spans="1:9" ht="21.75" customHeight="1" x14ac:dyDescent="0.2">
      <c r="A183" s="7"/>
      <c r="B183" s="24" t="s">
        <v>206</v>
      </c>
      <c r="C183" s="36"/>
      <c r="D183" s="20" t="s">
        <v>216</v>
      </c>
      <c r="E183" s="21">
        <v>225000</v>
      </c>
      <c r="F183" s="21">
        <v>0</v>
      </c>
      <c r="G183" s="39">
        <f t="shared" si="3"/>
        <v>102902607.05464762</v>
      </c>
    </row>
    <row r="184" spans="1:9" ht="21.75" customHeight="1" x14ac:dyDescent="0.2">
      <c r="A184" s="7"/>
      <c r="B184" s="24" t="s">
        <v>206</v>
      </c>
      <c r="C184" s="24"/>
      <c r="D184" s="20" t="s">
        <v>39</v>
      </c>
      <c r="E184" s="21">
        <v>2875000</v>
      </c>
      <c r="F184" s="21">
        <v>0</v>
      </c>
      <c r="G184" s="39">
        <f t="shared" si="3"/>
        <v>105777607.05464762</v>
      </c>
      <c r="H184" s="11"/>
      <c r="I184" s="9"/>
    </row>
    <row r="185" spans="1:9" ht="21.75" customHeight="1" x14ac:dyDescent="0.2">
      <c r="A185" s="7"/>
      <c r="B185" s="24" t="s">
        <v>206</v>
      </c>
      <c r="C185" s="36"/>
      <c r="D185" s="20" t="s">
        <v>52</v>
      </c>
      <c r="E185" s="21">
        <v>464000</v>
      </c>
      <c r="F185" s="21">
        <v>0</v>
      </c>
      <c r="G185" s="39">
        <f t="shared" si="3"/>
        <v>106241607.05464762</v>
      </c>
      <c r="H185" s="9"/>
      <c r="I185" s="9"/>
    </row>
    <row r="186" spans="1:9" ht="21.75" customHeight="1" x14ac:dyDescent="0.2">
      <c r="A186" s="7"/>
      <c r="B186" s="24" t="s">
        <v>206</v>
      </c>
      <c r="C186" s="36"/>
      <c r="D186" s="23" t="s">
        <v>215</v>
      </c>
      <c r="E186" s="21">
        <v>0</v>
      </c>
      <c r="F186" s="39">
        <v>20060311.84</v>
      </c>
      <c r="G186" s="39">
        <f t="shared" si="3"/>
        <v>86181295.214647621</v>
      </c>
      <c r="H186" s="9"/>
      <c r="I186" s="9">
        <f>+E186-H186</f>
        <v>0</v>
      </c>
    </row>
    <row r="187" spans="1:9" ht="21.75" customHeight="1" x14ac:dyDescent="0.2">
      <c r="A187" s="7"/>
      <c r="B187" s="24" t="s">
        <v>206</v>
      </c>
      <c r="C187" s="36"/>
      <c r="D187" s="20" t="s">
        <v>60</v>
      </c>
      <c r="E187" s="39">
        <v>1895339.84</v>
      </c>
      <c r="F187" s="21">
        <v>0</v>
      </c>
      <c r="G187" s="39">
        <f t="shared" si="3"/>
        <v>88076635.054647624</v>
      </c>
      <c r="H187" s="9"/>
      <c r="I187" s="9"/>
    </row>
    <row r="188" spans="1:9" ht="21.75" customHeight="1" x14ac:dyDescent="0.2">
      <c r="A188" s="7"/>
      <c r="B188" s="24" t="s">
        <v>206</v>
      </c>
      <c r="C188" s="36"/>
      <c r="D188" s="20" t="s">
        <v>61</v>
      </c>
      <c r="E188" s="21">
        <v>1093984</v>
      </c>
      <c r="F188" s="21">
        <v>0</v>
      </c>
      <c r="G188" s="39">
        <f t="shared" si="3"/>
        <v>89170619.054647624</v>
      </c>
      <c r="H188" s="9"/>
      <c r="I188" s="9"/>
    </row>
    <row r="189" spans="1:9" ht="21.75" customHeight="1" x14ac:dyDescent="0.2">
      <c r="A189" s="7"/>
      <c r="B189" s="24" t="s">
        <v>206</v>
      </c>
      <c r="C189" s="36"/>
      <c r="D189" s="20" t="s">
        <v>62</v>
      </c>
      <c r="E189" s="21">
        <v>200000</v>
      </c>
      <c r="F189" s="39">
        <v>0</v>
      </c>
      <c r="G189" s="39">
        <f t="shared" si="3"/>
        <v>89370619.054647624</v>
      </c>
      <c r="H189" s="9"/>
      <c r="I189" s="9"/>
    </row>
    <row r="190" spans="1:9" ht="21.75" customHeight="1" x14ac:dyDescent="0.2">
      <c r="A190" s="7"/>
      <c r="B190" s="24" t="s">
        <v>206</v>
      </c>
      <c r="C190" s="36"/>
      <c r="D190" s="20" t="s">
        <v>63</v>
      </c>
      <c r="E190" s="21">
        <v>275000</v>
      </c>
      <c r="F190" s="21">
        <v>0</v>
      </c>
      <c r="G190" s="57">
        <f t="shared" si="3"/>
        <v>89645619.054647624</v>
      </c>
      <c r="H190" s="9"/>
      <c r="I190" s="9"/>
    </row>
    <row r="191" spans="1:9" ht="21.75" customHeight="1" x14ac:dyDescent="0.2">
      <c r="A191" s="7"/>
      <c r="B191" s="19" t="s">
        <v>218</v>
      </c>
      <c r="C191" s="36"/>
      <c r="D191" s="20" t="s">
        <v>30</v>
      </c>
      <c r="E191" s="21">
        <v>50000</v>
      </c>
      <c r="F191" s="21"/>
      <c r="G191" s="39">
        <f t="shared" ref="G191:G234" si="4">+G190+E191-F191</f>
        <v>89695619.054647624</v>
      </c>
      <c r="H191" s="9"/>
      <c r="I191" s="9"/>
    </row>
    <row r="192" spans="1:9" ht="21.75" customHeight="1" x14ac:dyDescent="0.2">
      <c r="A192" s="7"/>
      <c r="B192" s="24" t="s">
        <v>218</v>
      </c>
      <c r="C192" s="36"/>
      <c r="D192" s="20" t="s">
        <v>29</v>
      </c>
      <c r="E192" s="21">
        <v>300000</v>
      </c>
      <c r="F192" s="21"/>
      <c r="G192" s="39">
        <f t="shared" si="4"/>
        <v>89995619.054647624</v>
      </c>
      <c r="H192" s="9"/>
      <c r="I192" s="9">
        <f>+E192-H192</f>
        <v>300000</v>
      </c>
    </row>
    <row r="193" spans="1:9" ht="21.75" customHeight="1" x14ac:dyDescent="0.2">
      <c r="A193" s="7"/>
      <c r="B193" s="24" t="s">
        <v>218</v>
      </c>
      <c r="C193" s="36"/>
      <c r="D193" s="20" t="s">
        <v>219</v>
      </c>
      <c r="E193" s="21">
        <v>14980000</v>
      </c>
      <c r="F193" s="21"/>
      <c r="G193" s="39">
        <f t="shared" si="4"/>
        <v>104975619.05464762</v>
      </c>
      <c r="H193" s="9"/>
      <c r="I193" s="9"/>
    </row>
    <row r="194" spans="1:9" ht="21.75" customHeight="1" x14ac:dyDescent="0.2">
      <c r="A194" s="7"/>
      <c r="B194" s="24" t="s">
        <v>218</v>
      </c>
      <c r="C194" s="36"/>
      <c r="D194" s="20" t="s">
        <v>220</v>
      </c>
      <c r="E194" s="21">
        <v>10700000</v>
      </c>
      <c r="F194" s="21"/>
      <c r="G194" s="39">
        <f t="shared" si="4"/>
        <v>115675619.05464762</v>
      </c>
      <c r="H194" s="9"/>
      <c r="I194" s="9"/>
    </row>
    <row r="195" spans="1:9" ht="21.75" customHeight="1" x14ac:dyDescent="0.2">
      <c r="A195" s="7"/>
      <c r="B195" s="24" t="s">
        <v>218</v>
      </c>
      <c r="C195" s="36"/>
      <c r="D195" s="20" t="s">
        <v>221</v>
      </c>
      <c r="E195" s="21">
        <v>10000000</v>
      </c>
      <c r="F195" s="21"/>
      <c r="G195" s="39">
        <f t="shared" si="4"/>
        <v>125675619.05464762</v>
      </c>
      <c r="H195" s="9"/>
      <c r="I195" s="9"/>
    </row>
    <row r="196" spans="1:9" ht="21.75" customHeight="1" x14ac:dyDescent="0.2">
      <c r="A196" s="7"/>
      <c r="B196" s="24" t="s">
        <v>218</v>
      </c>
      <c r="C196" s="36"/>
      <c r="D196" s="20" t="s">
        <v>222</v>
      </c>
      <c r="E196" s="21">
        <v>20000000</v>
      </c>
      <c r="F196" s="21"/>
      <c r="G196" s="39">
        <f t="shared" si="4"/>
        <v>145675619.05464762</v>
      </c>
      <c r="H196" s="9"/>
      <c r="I196" s="9"/>
    </row>
    <row r="197" spans="1:9" ht="21.75" customHeight="1" x14ac:dyDescent="0.2">
      <c r="A197" s="7"/>
      <c r="B197" s="19" t="s">
        <v>226</v>
      </c>
      <c r="C197" s="36"/>
      <c r="D197" s="20" t="s">
        <v>64</v>
      </c>
      <c r="E197" s="21"/>
      <c r="F197" s="25">
        <v>1980000</v>
      </c>
      <c r="G197" s="39">
        <f t="shared" si="4"/>
        <v>143695619.05464762</v>
      </c>
      <c r="H197" s="9"/>
      <c r="I197" s="9"/>
    </row>
    <row r="198" spans="1:9" ht="21.75" customHeight="1" x14ac:dyDescent="0.2">
      <c r="A198" s="7"/>
      <c r="B198" s="24" t="s">
        <v>226</v>
      </c>
      <c r="C198" s="36"/>
      <c r="D198" s="20" t="s">
        <v>65</v>
      </c>
      <c r="E198" s="21"/>
      <c r="F198" s="21">
        <v>2400000</v>
      </c>
      <c r="G198" s="39">
        <f t="shared" si="4"/>
        <v>141295619.05464762</v>
      </c>
      <c r="H198" s="9"/>
      <c r="I198" s="9"/>
    </row>
    <row r="199" spans="1:9" ht="21.75" customHeight="1" x14ac:dyDescent="0.2">
      <c r="A199" s="7"/>
      <c r="B199" s="24" t="s">
        <v>226</v>
      </c>
      <c r="C199" s="36"/>
      <c r="D199" s="20" t="s">
        <v>66</v>
      </c>
      <c r="E199" s="21"/>
      <c r="F199" s="21">
        <v>1800000</v>
      </c>
      <c r="G199" s="39">
        <f t="shared" si="4"/>
        <v>139495619.05464762</v>
      </c>
      <c r="H199" s="9"/>
      <c r="I199" s="9"/>
    </row>
    <row r="200" spans="1:9" ht="21.75" customHeight="1" x14ac:dyDescent="0.2">
      <c r="A200" s="7"/>
      <c r="B200" s="24" t="s">
        <v>226</v>
      </c>
      <c r="C200" s="36"/>
      <c r="D200" s="20" t="s">
        <v>67</v>
      </c>
      <c r="E200" s="21"/>
      <c r="F200" s="25">
        <v>2640000</v>
      </c>
      <c r="G200" s="39">
        <f t="shared" si="4"/>
        <v>136855619.05464762</v>
      </c>
      <c r="H200" s="9"/>
      <c r="I200" s="9"/>
    </row>
    <row r="201" spans="1:9" ht="21.75" customHeight="1" x14ac:dyDescent="0.2">
      <c r="A201" s="7"/>
      <c r="B201" s="24" t="s">
        <v>226</v>
      </c>
      <c r="C201" s="36"/>
      <c r="D201" s="20" t="s">
        <v>223</v>
      </c>
      <c r="E201" s="21"/>
      <c r="F201" s="21">
        <v>3062460</v>
      </c>
      <c r="G201" s="39">
        <f t="shared" si="4"/>
        <v>133793159.05464762</v>
      </c>
      <c r="H201" s="9"/>
      <c r="I201" s="9"/>
    </row>
    <row r="202" spans="1:9" ht="21.75" customHeight="1" x14ac:dyDescent="0.2">
      <c r="A202" s="7"/>
      <c r="B202" s="24" t="s">
        <v>226</v>
      </c>
      <c r="C202" s="36"/>
      <c r="D202" s="20" t="s">
        <v>224</v>
      </c>
      <c r="E202" s="21"/>
      <c r="F202" s="21">
        <v>3062460</v>
      </c>
      <c r="G202" s="39">
        <f t="shared" si="4"/>
        <v>130730699.05464762</v>
      </c>
      <c r="H202" s="9"/>
      <c r="I202" s="9"/>
    </row>
    <row r="203" spans="1:9" ht="21.75" customHeight="1" x14ac:dyDescent="0.2">
      <c r="A203" s="7"/>
      <c r="B203" s="24" t="s">
        <v>226</v>
      </c>
      <c r="C203" s="36"/>
      <c r="D203" s="20" t="s">
        <v>365</v>
      </c>
      <c r="E203" s="21"/>
      <c r="F203" s="21">
        <v>17614179</v>
      </c>
      <c r="G203" s="39">
        <f t="shared" si="4"/>
        <v>113116520.05464762</v>
      </c>
      <c r="H203" s="9"/>
      <c r="I203" s="9"/>
    </row>
    <row r="204" spans="1:9" ht="21.75" customHeight="1" x14ac:dyDescent="0.2">
      <c r="A204" s="7"/>
      <c r="B204" s="24" t="s">
        <v>226</v>
      </c>
      <c r="C204" s="36"/>
      <c r="D204" s="20" t="s">
        <v>99</v>
      </c>
      <c r="E204" s="21">
        <v>50000</v>
      </c>
      <c r="F204" s="21"/>
      <c r="G204" s="39">
        <f t="shared" si="4"/>
        <v>113166520.05464762</v>
      </c>
      <c r="H204" s="9"/>
      <c r="I204" s="9"/>
    </row>
    <row r="205" spans="1:9" ht="21.75" customHeight="1" x14ac:dyDescent="0.2">
      <c r="A205" s="7"/>
      <c r="B205" s="24" t="s">
        <v>226</v>
      </c>
      <c r="C205" s="36"/>
      <c r="D205" s="20" t="s">
        <v>227</v>
      </c>
      <c r="E205" s="21">
        <v>115000</v>
      </c>
      <c r="F205" s="21"/>
      <c r="G205" s="39">
        <f>+G204+E205-F205</f>
        <v>113281520.05464762</v>
      </c>
      <c r="H205" s="9"/>
      <c r="I205" s="9"/>
    </row>
    <row r="206" spans="1:9" ht="21.75" customHeight="1" x14ac:dyDescent="0.2">
      <c r="A206" s="7"/>
      <c r="B206" s="24" t="s">
        <v>226</v>
      </c>
      <c r="C206" s="36"/>
      <c r="D206" s="20" t="s">
        <v>228</v>
      </c>
      <c r="E206" s="21"/>
      <c r="F206" s="21">
        <v>10000000</v>
      </c>
      <c r="G206" s="39">
        <f t="shared" si="4"/>
        <v>103281520.05464762</v>
      </c>
      <c r="H206" s="9"/>
      <c r="I206" s="9"/>
    </row>
    <row r="207" spans="1:9" ht="21.75" customHeight="1" x14ac:dyDescent="0.2">
      <c r="A207" s="7"/>
      <c r="B207" s="24" t="s">
        <v>226</v>
      </c>
      <c r="C207" s="36"/>
      <c r="D207" s="20" t="s">
        <v>229</v>
      </c>
      <c r="E207" s="21"/>
      <c r="F207" s="21">
        <v>9000000</v>
      </c>
      <c r="G207" s="39">
        <f t="shared" si="4"/>
        <v>94281520.054647624</v>
      </c>
    </row>
    <row r="208" spans="1:9" ht="21.75" customHeight="1" x14ac:dyDescent="0.2">
      <c r="A208" s="7"/>
      <c r="B208" s="24" t="s">
        <v>226</v>
      </c>
      <c r="C208" s="36"/>
      <c r="D208" s="20" t="s">
        <v>231</v>
      </c>
      <c r="E208" s="21">
        <v>1725000</v>
      </c>
      <c r="F208" s="21"/>
      <c r="G208" s="39">
        <f t="shared" si="4"/>
        <v>96006520.054647624</v>
      </c>
    </row>
    <row r="209" spans="1:9" ht="21.75" customHeight="1" x14ac:dyDescent="0.2">
      <c r="A209" s="7"/>
      <c r="B209" s="24" t="s">
        <v>226</v>
      </c>
      <c r="C209" s="36"/>
      <c r="D209" s="20" t="s">
        <v>230</v>
      </c>
      <c r="E209" s="21">
        <v>3450000</v>
      </c>
      <c r="F209" s="21"/>
      <c r="G209" s="39">
        <f>+G208+E209-F209</f>
        <v>99456520.054647624</v>
      </c>
    </row>
    <row r="210" spans="1:9" ht="21.75" customHeight="1" x14ac:dyDescent="0.2">
      <c r="A210" s="7"/>
      <c r="B210" s="24" t="s">
        <v>226</v>
      </c>
      <c r="C210" s="36"/>
      <c r="D210" s="20" t="s">
        <v>232</v>
      </c>
      <c r="E210" s="21">
        <v>10300000</v>
      </c>
      <c r="F210" s="21"/>
      <c r="G210" s="39">
        <f t="shared" si="4"/>
        <v>109756520.05464762</v>
      </c>
    </row>
    <row r="211" spans="1:9" ht="21.75" customHeight="1" x14ac:dyDescent="0.2">
      <c r="A211" s="7"/>
      <c r="B211" s="24" t="s">
        <v>226</v>
      </c>
      <c r="C211" s="36"/>
      <c r="D211" s="20" t="s">
        <v>22</v>
      </c>
      <c r="E211" s="21">
        <v>50000</v>
      </c>
      <c r="F211" s="21"/>
      <c r="G211" s="39">
        <f t="shared" si="4"/>
        <v>109806520.05464762</v>
      </c>
    </row>
    <row r="212" spans="1:9" ht="21.75" customHeight="1" x14ac:dyDescent="0.2">
      <c r="A212" s="7"/>
      <c r="B212" s="24" t="s">
        <v>226</v>
      </c>
      <c r="C212" s="36"/>
      <c r="D212" s="20" t="s">
        <v>359</v>
      </c>
      <c r="E212" s="21">
        <v>1150000</v>
      </c>
      <c r="F212" s="21"/>
      <c r="G212" s="39">
        <f t="shared" si="4"/>
        <v>110956520.05464762</v>
      </c>
      <c r="H212" s="8"/>
      <c r="I212" s="46">
        <f>+E212-H212</f>
        <v>1150000</v>
      </c>
    </row>
    <row r="213" spans="1:9" ht="21.75" customHeight="1" x14ac:dyDescent="0.2">
      <c r="A213" s="7"/>
      <c r="B213" s="24" t="s">
        <v>226</v>
      </c>
      <c r="C213" s="36"/>
      <c r="D213" s="20" t="s">
        <v>233</v>
      </c>
      <c r="E213" s="21">
        <v>20600000</v>
      </c>
      <c r="F213" s="21"/>
      <c r="G213" s="39">
        <f t="shared" si="4"/>
        <v>131556520.05464762</v>
      </c>
      <c r="H213" s="47"/>
      <c r="I213" s="46">
        <f>+E213-H213</f>
        <v>20600000</v>
      </c>
    </row>
    <row r="214" spans="1:9" ht="21.75" customHeight="1" x14ac:dyDescent="0.2">
      <c r="A214" s="7"/>
      <c r="B214" s="24" t="s">
        <v>226</v>
      </c>
      <c r="C214" s="36"/>
      <c r="D214" s="20" t="s">
        <v>239</v>
      </c>
      <c r="E214" s="21">
        <v>39822866</v>
      </c>
      <c r="F214" s="21"/>
      <c r="G214" s="39">
        <f>+G213+E214-F214</f>
        <v>171379386.05464762</v>
      </c>
      <c r="H214" s="44"/>
    </row>
    <row r="215" spans="1:9" ht="21.75" customHeight="1" x14ac:dyDescent="0.2">
      <c r="A215" s="7"/>
      <c r="B215" s="24" t="s">
        <v>226</v>
      </c>
      <c r="C215" s="36"/>
      <c r="D215" s="23" t="s">
        <v>235</v>
      </c>
      <c r="E215" s="25"/>
      <c r="F215" s="21"/>
      <c r="G215" s="39">
        <f t="shared" si="4"/>
        <v>171379386.05464762</v>
      </c>
    </row>
    <row r="216" spans="1:9" ht="21.75" customHeight="1" x14ac:dyDescent="0.2">
      <c r="A216" s="7"/>
      <c r="B216" s="24" t="s">
        <v>226</v>
      </c>
      <c r="C216" s="36"/>
      <c r="D216" s="20" t="s">
        <v>236</v>
      </c>
      <c r="E216" s="21">
        <v>2500000</v>
      </c>
      <c r="F216" s="21"/>
      <c r="G216" s="39">
        <f t="shared" si="4"/>
        <v>173879386.05464762</v>
      </c>
    </row>
    <row r="217" spans="1:9" ht="21.75" customHeight="1" x14ac:dyDescent="0.2">
      <c r="A217" s="7"/>
      <c r="B217" s="24" t="s">
        <v>226</v>
      </c>
      <c r="C217" s="36"/>
      <c r="D217" s="20" t="s">
        <v>237</v>
      </c>
      <c r="E217" s="54">
        <v>2300000</v>
      </c>
      <c r="F217" s="21"/>
      <c r="G217" s="39">
        <f t="shared" si="4"/>
        <v>176179386.05464762</v>
      </c>
    </row>
    <row r="218" spans="1:9" ht="21.75" customHeight="1" x14ac:dyDescent="0.2">
      <c r="A218" s="7"/>
      <c r="B218" s="24" t="s">
        <v>226</v>
      </c>
      <c r="C218" s="36"/>
      <c r="D218" s="20" t="s">
        <v>23</v>
      </c>
      <c r="E218" s="21">
        <v>1700000</v>
      </c>
      <c r="F218" s="21"/>
      <c r="G218" s="39">
        <f t="shared" si="4"/>
        <v>177879386.05464762</v>
      </c>
    </row>
    <row r="219" spans="1:9" ht="21.75" customHeight="1" x14ac:dyDescent="0.2">
      <c r="A219" s="7"/>
      <c r="B219" s="24" t="s">
        <v>226</v>
      </c>
      <c r="C219" s="36"/>
      <c r="D219" s="20" t="s">
        <v>24</v>
      </c>
      <c r="E219" s="21">
        <v>575000</v>
      </c>
      <c r="F219" s="21"/>
      <c r="G219" s="39">
        <f t="shared" si="4"/>
        <v>178454386.05464762</v>
      </c>
    </row>
    <row r="220" spans="1:9" ht="21.75" customHeight="1" x14ac:dyDescent="0.2">
      <c r="A220" s="7"/>
      <c r="B220" s="24" t="s">
        <v>226</v>
      </c>
      <c r="C220" s="36"/>
      <c r="D220" s="20" t="s">
        <v>25</v>
      </c>
      <c r="E220" s="21">
        <v>0</v>
      </c>
      <c r="F220" s="21"/>
      <c r="G220" s="39">
        <f t="shared" si="4"/>
        <v>178454386.05464762</v>
      </c>
      <c r="H220" s="3">
        <v>100000</v>
      </c>
      <c r="I220" s="3">
        <v>10000</v>
      </c>
    </row>
    <row r="221" spans="1:9" ht="21.75" customHeight="1" x14ac:dyDescent="0.2">
      <c r="A221" s="7"/>
      <c r="B221" s="24" t="s">
        <v>226</v>
      </c>
      <c r="C221" s="36"/>
      <c r="D221" s="20" t="s">
        <v>26</v>
      </c>
      <c r="E221" s="21">
        <v>8820833</v>
      </c>
      <c r="F221" s="21"/>
      <c r="G221" s="39">
        <f t="shared" si="4"/>
        <v>187275219.05464762</v>
      </c>
      <c r="H221" s="9"/>
      <c r="I221" s="9"/>
    </row>
    <row r="222" spans="1:9" ht="21.75" customHeight="1" x14ac:dyDescent="0.2">
      <c r="A222" s="7"/>
      <c r="B222" s="24" t="s">
        <v>226</v>
      </c>
      <c r="C222" s="36"/>
      <c r="D222" s="20" t="s">
        <v>27</v>
      </c>
      <c r="E222" s="21">
        <v>1076000</v>
      </c>
      <c r="F222" s="21"/>
      <c r="G222" s="39">
        <f t="shared" si="4"/>
        <v>188351219.05464762</v>
      </c>
    </row>
    <row r="223" spans="1:9" ht="21.75" customHeight="1" x14ac:dyDescent="0.2">
      <c r="A223" s="7"/>
      <c r="B223" s="24" t="s">
        <v>226</v>
      </c>
      <c r="C223" s="36"/>
      <c r="D223" s="20" t="s">
        <v>238</v>
      </c>
      <c r="E223" s="39"/>
      <c r="F223" s="39">
        <v>24360000</v>
      </c>
      <c r="G223" s="39">
        <f>+G222+E223-F223</f>
        <v>163991219.05464762</v>
      </c>
    </row>
    <row r="224" spans="1:9" ht="21.75" customHeight="1" x14ac:dyDescent="0.2">
      <c r="A224" s="7"/>
      <c r="B224" s="19" t="s">
        <v>240</v>
      </c>
      <c r="C224" s="36"/>
      <c r="D224" s="20" t="s">
        <v>241</v>
      </c>
      <c r="E224" s="21">
        <v>150986550</v>
      </c>
      <c r="F224" s="21"/>
      <c r="G224" s="39">
        <f t="shared" si="4"/>
        <v>314977769.05464762</v>
      </c>
    </row>
    <row r="225" spans="1:9" ht="21.75" customHeight="1" x14ac:dyDescent="0.2">
      <c r="A225" s="7"/>
      <c r="B225" s="19" t="s">
        <v>246</v>
      </c>
      <c r="C225" s="36"/>
      <c r="D225" s="20" t="s">
        <v>245</v>
      </c>
      <c r="E225" s="21">
        <v>200000</v>
      </c>
      <c r="F225" s="21"/>
      <c r="G225" s="39">
        <f t="shared" si="4"/>
        <v>315177769.05464762</v>
      </c>
    </row>
    <row r="226" spans="1:9" ht="21.75" customHeight="1" x14ac:dyDescent="0.2">
      <c r="A226" s="7"/>
      <c r="B226" s="24" t="s">
        <v>246</v>
      </c>
      <c r="C226" s="36"/>
      <c r="D226" s="20" t="s">
        <v>244</v>
      </c>
      <c r="E226" s="21">
        <v>100000</v>
      </c>
      <c r="F226" s="21"/>
      <c r="G226" s="39">
        <f t="shared" si="4"/>
        <v>315277769.05464762</v>
      </c>
    </row>
    <row r="227" spans="1:9" ht="21.75" customHeight="1" x14ac:dyDescent="0.2">
      <c r="A227" s="7"/>
      <c r="B227" s="19" t="s">
        <v>247</v>
      </c>
      <c r="C227" s="36"/>
      <c r="D227" s="20" t="s">
        <v>243</v>
      </c>
      <c r="E227" s="21"/>
      <c r="F227" s="21">
        <v>3500000</v>
      </c>
      <c r="G227" s="39">
        <f t="shared" si="4"/>
        <v>311777769.05464762</v>
      </c>
    </row>
    <row r="228" spans="1:9" ht="21.75" customHeight="1" x14ac:dyDescent="0.2">
      <c r="A228" s="7"/>
      <c r="B228" s="24" t="s">
        <v>247</v>
      </c>
      <c r="C228" s="36"/>
      <c r="D228" s="20" t="s">
        <v>242</v>
      </c>
      <c r="E228" s="21"/>
      <c r="F228" s="21">
        <v>5000000</v>
      </c>
      <c r="G228" s="40">
        <f t="shared" si="4"/>
        <v>306777769.05464762</v>
      </c>
      <c r="I228" s="3">
        <v>65000</v>
      </c>
    </row>
    <row r="229" spans="1:9" ht="21.75" customHeight="1" x14ac:dyDescent="0.2">
      <c r="A229" s="7"/>
      <c r="B229" s="24" t="s">
        <v>247</v>
      </c>
      <c r="C229" s="36"/>
      <c r="D229" s="20" t="s">
        <v>21</v>
      </c>
      <c r="E229" s="21"/>
      <c r="F229" s="21">
        <v>2900</v>
      </c>
      <c r="G229" s="39">
        <f t="shared" si="4"/>
        <v>306774869.05464762</v>
      </c>
    </row>
    <row r="230" spans="1:9" ht="21.75" customHeight="1" x14ac:dyDescent="0.2">
      <c r="A230" s="7"/>
      <c r="B230" s="24" t="s">
        <v>247</v>
      </c>
      <c r="C230" s="36"/>
      <c r="D230" s="23" t="s">
        <v>254</v>
      </c>
      <c r="E230" s="21"/>
      <c r="F230" s="21">
        <v>500000</v>
      </c>
      <c r="G230" s="39">
        <f t="shared" si="4"/>
        <v>306274869.05464762</v>
      </c>
    </row>
    <row r="231" spans="1:9" ht="21.75" customHeight="1" x14ac:dyDescent="0.2">
      <c r="A231" s="7"/>
      <c r="B231" s="24" t="s">
        <v>247</v>
      </c>
      <c r="C231" s="36"/>
      <c r="D231" s="20" t="s">
        <v>248</v>
      </c>
      <c r="E231" s="21"/>
      <c r="F231" s="21">
        <v>51067154</v>
      </c>
      <c r="G231" s="39">
        <f t="shared" si="4"/>
        <v>255207715.05464762</v>
      </c>
    </row>
    <row r="232" spans="1:9" ht="21.75" customHeight="1" x14ac:dyDescent="0.2">
      <c r="A232" s="7"/>
      <c r="B232" s="24" t="s">
        <v>247</v>
      </c>
      <c r="C232" s="36"/>
      <c r="D232" s="20" t="s">
        <v>21</v>
      </c>
      <c r="E232" s="21"/>
      <c r="F232" s="21">
        <v>2500</v>
      </c>
      <c r="G232" s="39">
        <f t="shared" si="4"/>
        <v>255205215.05464762</v>
      </c>
    </row>
    <row r="233" spans="1:9" ht="21.75" customHeight="1" x14ac:dyDescent="0.2">
      <c r="A233" s="7"/>
      <c r="B233" s="24" t="s">
        <v>247</v>
      </c>
      <c r="C233" s="36"/>
      <c r="D233" s="20" t="s">
        <v>255</v>
      </c>
      <c r="E233" s="21"/>
      <c r="F233" s="21">
        <v>300000</v>
      </c>
      <c r="G233" s="39">
        <f t="shared" si="4"/>
        <v>254905215.05464762</v>
      </c>
    </row>
    <row r="234" spans="1:9" ht="21.75" customHeight="1" x14ac:dyDescent="0.2">
      <c r="A234" s="7"/>
      <c r="B234" s="24" t="s">
        <v>247</v>
      </c>
      <c r="C234" s="36"/>
      <c r="D234" s="20" t="s">
        <v>249</v>
      </c>
      <c r="E234" s="21"/>
      <c r="F234" s="21">
        <v>900000</v>
      </c>
      <c r="G234" s="39">
        <f t="shared" si="4"/>
        <v>254005215.05464762</v>
      </c>
    </row>
    <row r="235" spans="1:9" ht="21.75" customHeight="1" x14ac:dyDescent="0.2">
      <c r="A235" s="7"/>
      <c r="B235" s="24" t="s">
        <v>247</v>
      </c>
      <c r="C235" s="36"/>
      <c r="D235" s="20" t="s">
        <v>21</v>
      </c>
      <c r="E235" s="21"/>
      <c r="F235" s="21">
        <v>2500</v>
      </c>
      <c r="G235" s="39">
        <f t="shared" ref="G235:G252" si="5">+G234+E235-F235</f>
        <v>254002715.05464762</v>
      </c>
    </row>
    <row r="236" spans="1:9" ht="21.75" customHeight="1" x14ac:dyDescent="0.2">
      <c r="A236" s="7"/>
      <c r="B236" s="24" t="s">
        <v>247</v>
      </c>
      <c r="C236" s="36"/>
      <c r="D236" s="20" t="s">
        <v>250</v>
      </c>
      <c r="E236" s="21"/>
      <c r="F236" s="21">
        <v>3450000</v>
      </c>
      <c r="G236" s="39">
        <f t="shared" si="5"/>
        <v>250552715.05464762</v>
      </c>
    </row>
    <row r="237" spans="1:9" ht="21.75" customHeight="1" x14ac:dyDescent="0.2">
      <c r="A237" s="7"/>
      <c r="B237" s="24" t="s">
        <v>247</v>
      </c>
      <c r="C237" s="36"/>
      <c r="D237" s="20" t="s">
        <v>21</v>
      </c>
      <c r="E237" s="21"/>
      <c r="F237" s="21">
        <v>6500</v>
      </c>
      <c r="G237" s="39">
        <f t="shared" si="5"/>
        <v>250546215.05464762</v>
      </c>
      <c r="I237" s="3">
        <v>25000</v>
      </c>
    </row>
    <row r="238" spans="1:9" ht="21.75" customHeight="1" x14ac:dyDescent="0.2">
      <c r="A238" s="7"/>
      <c r="B238" s="24" t="s">
        <v>247</v>
      </c>
      <c r="C238" s="36"/>
      <c r="D238" s="20" t="s">
        <v>251</v>
      </c>
      <c r="E238" s="21">
        <v>3150000</v>
      </c>
      <c r="F238" s="21">
        <v>10000000</v>
      </c>
      <c r="G238" s="39">
        <f t="shared" si="5"/>
        <v>243696215.05464762</v>
      </c>
    </row>
    <row r="239" spans="1:9" ht="21.75" customHeight="1" x14ac:dyDescent="0.2">
      <c r="A239" s="7"/>
      <c r="B239" s="24" t="s">
        <v>247</v>
      </c>
      <c r="C239" s="36"/>
      <c r="D239" s="20" t="s">
        <v>252</v>
      </c>
      <c r="E239" s="21"/>
      <c r="F239" s="21">
        <v>108630000</v>
      </c>
      <c r="G239" s="39">
        <f t="shared" si="5"/>
        <v>135066215.05464762</v>
      </c>
    </row>
    <row r="240" spans="1:9" ht="21.75" customHeight="1" x14ac:dyDescent="0.2">
      <c r="A240" s="7"/>
      <c r="B240" s="24" t="s">
        <v>247</v>
      </c>
      <c r="C240" s="36"/>
      <c r="D240" s="23" t="s">
        <v>253</v>
      </c>
      <c r="E240" s="21">
        <v>2130000</v>
      </c>
      <c r="F240" s="21">
        <v>9500000</v>
      </c>
      <c r="G240" s="39">
        <f t="shared" si="5"/>
        <v>127696215.05464762</v>
      </c>
    </row>
    <row r="241" spans="1:9" ht="21.75" customHeight="1" x14ac:dyDescent="0.2">
      <c r="A241" s="7"/>
      <c r="B241" s="24" t="s">
        <v>247</v>
      </c>
      <c r="C241" s="36"/>
      <c r="D241" s="20" t="s">
        <v>256</v>
      </c>
      <c r="E241" s="21"/>
      <c r="F241" s="21">
        <v>900000</v>
      </c>
      <c r="G241" s="39">
        <f t="shared" si="5"/>
        <v>126796215.05464762</v>
      </c>
    </row>
    <row r="242" spans="1:9" ht="21.75" customHeight="1" x14ac:dyDescent="0.2">
      <c r="A242" s="7"/>
      <c r="B242" s="24" t="s">
        <v>247</v>
      </c>
      <c r="C242" s="36"/>
      <c r="D242" s="20" t="s">
        <v>257</v>
      </c>
      <c r="E242" s="21"/>
      <c r="F242" s="21">
        <v>3450000</v>
      </c>
      <c r="G242" s="39">
        <f t="shared" si="5"/>
        <v>123346215.05464762</v>
      </c>
    </row>
    <row r="243" spans="1:9" ht="21.75" customHeight="1" x14ac:dyDescent="0.2">
      <c r="A243" s="7"/>
      <c r="B243" s="24" t="s">
        <v>247</v>
      </c>
      <c r="C243" s="36"/>
      <c r="D243" s="20" t="s">
        <v>258</v>
      </c>
      <c r="E243" s="39"/>
      <c r="F243" s="21">
        <v>3450000</v>
      </c>
      <c r="G243" s="39">
        <f t="shared" si="5"/>
        <v>119896215.05464762</v>
      </c>
      <c r="H243" s="9"/>
      <c r="I243" s="9">
        <v>140000</v>
      </c>
    </row>
    <row r="244" spans="1:9" ht="21.75" customHeight="1" x14ac:dyDescent="0.2">
      <c r="A244" s="7"/>
      <c r="B244" s="24" t="s">
        <v>247</v>
      </c>
      <c r="C244" s="36"/>
      <c r="D244" s="20" t="s">
        <v>259</v>
      </c>
      <c r="E244" s="21"/>
      <c r="F244" s="21">
        <v>20000000</v>
      </c>
      <c r="G244" s="39">
        <f t="shared" si="5"/>
        <v>99896215.054647624</v>
      </c>
      <c r="H244" s="9"/>
      <c r="I244" s="9"/>
    </row>
    <row r="245" spans="1:9" ht="21.75" customHeight="1" x14ac:dyDescent="0.2">
      <c r="A245" s="7"/>
      <c r="B245" s="24" t="s">
        <v>247</v>
      </c>
      <c r="C245" s="36"/>
      <c r="D245" s="20" t="s">
        <v>21</v>
      </c>
      <c r="E245" s="21"/>
      <c r="F245" s="21">
        <v>2500</v>
      </c>
      <c r="G245" s="39">
        <f t="shared" si="5"/>
        <v>99893715.054647624</v>
      </c>
      <c r="H245" s="9"/>
      <c r="I245" s="9">
        <v>100000</v>
      </c>
    </row>
    <row r="246" spans="1:9" ht="21.75" customHeight="1" x14ac:dyDescent="0.2">
      <c r="A246" s="7"/>
      <c r="B246" s="24" t="s">
        <v>247</v>
      </c>
      <c r="C246" s="36"/>
      <c r="D246" s="20" t="s">
        <v>260</v>
      </c>
      <c r="E246" s="21"/>
      <c r="F246" s="21">
        <v>2000000</v>
      </c>
      <c r="G246" s="39">
        <f t="shared" si="5"/>
        <v>97893715.054647624</v>
      </c>
    </row>
    <row r="247" spans="1:9" ht="21.75" customHeight="1" x14ac:dyDescent="0.2">
      <c r="A247" s="7"/>
      <c r="B247" s="24" t="s">
        <v>247</v>
      </c>
      <c r="C247" s="36"/>
      <c r="D247" s="20" t="s">
        <v>261</v>
      </c>
      <c r="E247" s="21">
        <v>2500000</v>
      </c>
      <c r="F247" s="21">
        <v>0</v>
      </c>
      <c r="G247" s="39">
        <f t="shared" si="5"/>
        <v>100393715.05464762</v>
      </c>
      <c r="H247" s="51"/>
    </row>
    <row r="248" spans="1:9" ht="21.75" customHeight="1" x14ac:dyDescent="0.2">
      <c r="A248" s="7"/>
      <c r="B248" s="19" t="s">
        <v>263</v>
      </c>
      <c r="C248" s="36"/>
      <c r="D248" s="23" t="s">
        <v>262</v>
      </c>
      <c r="E248" s="21">
        <f>+F248-5350000</f>
        <v>2150000</v>
      </c>
      <c r="F248" s="21">
        <v>7500000</v>
      </c>
      <c r="G248" s="39">
        <f t="shared" si="5"/>
        <v>95043715.054647624</v>
      </c>
    </row>
    <row r="249" spans="1:9" ht="21.75" customHeight="1" x14ac:dyDescent="0.25">
      <c r="A249" s="7"/>
      <c r="B249" s="24" t="s">
        <v>263</v>
      </c>
      <c r="C249" s="36"/>
      <c r="D249" s="20" t="s">
        <v>264</v>
      </c>
      <c r="E249" s="21"/>
      <c r="F249" s="21">
        <v>1751000</v>
      </c>
      <c r="G249" s="58">
        <f t="shared" si="5"/>
        <v>93292715.054647624</v>
      </c>
    </row>
    <row r="250" spans="1:9" ht="21.75" customHeight="1" x14ac:dyDescent="0.2">
      <c r="A250" s="7"/>
      <c r="B250" s="24" t="s">
        <v>263</v>
      </c>
      <c r="C250" s="36"/>
      <c r="D250" s="23" t="s">
        <v>265</v>
      </c>
      <c r="E250" s="21"/>
      <c r="F250" s="21"/>
      <c r="G250" s="39">
        <f t="shared" si="5"/>
        <v>93292715.054647624</v>
      </c>
    </row>
    <row r="251" spans="1:9" ht="21.75" customHeight="1" x14ac:dyDescent="0.2">
      <c r="A251" s="7"/>
      <c r="B251" s="24" t="s">
        <v>263</v>
      </c>
      <c r="C251" s="36"/>
      <c r="D251" s="20" t="s">
        <v>70</v>
      </c>
      <c r="E251" s="21">
        <v>1000000</v>
      </c>
      <c r="F251" s="39"/>
      <c r="G251" s="39">
        <f t="shared" si="5"/>
        <v>94292715.054647624</v>
      </c>
    </row>
    <row r="252" spans="1:9" ht="21.75" customHeight="1" x14ac:dyDescent="0.2">
      <c r="A252" s="7"/>
      <c r="B252" s="24" t="s">
        <v>263</v>
      </c>
      <c r="C252" s="36"/>
      <c r="D252" s="20" t="s">
        <v>71</v>
      </c>
      <c r="E252" s="21">
        <v>450000</v>
      </c>
      <c r="F252" s="21"/>
      <c r="G252" s="39">
        <f t="shared" si="5"/>
        <v>94742715.054647624</v>
      </c>
    </row>
    <row r="253" spans="1:9" ht="21.75" customHeight="1" x14ac:dyDescent="0.2">
      <c r="A253" s="7"/>
      <c r="B253" s="24" t="s">
        <v>263</v>
      </c>
      <c r="C253" s="36"/>
      <c r="D253" s="20" t="s">
        <v>72</v>
      </c>
      <c r="E253" s="21">
        <v>3380000</v>
      </c>
      <c r="F253" s="21"/>
      <c r="G253" s="39">
        <f t="shared" ref="G253:G260" si="6">+G252+E253-F253</f>
        <v>98122715.054647624</v>
      </c>
    </row>
    <row r="254" spans="1:9" ht="21.75" customHeight="1" x14ac:dyDescent="0.2">
      <c r="A254" s="7"/>
      <c r="B254" s="24" t="s">
        <v>263</v>
      </c>
      <c r="C254" s="36"/>
      <c r="D254" s="20" t="s">
        <v>84</v>
      </c>
      <c r="E254" s="21">
        <v>268800</v>
      </c>
      <c r="F254" s="21">
        <v>0</v>
      </c>
      <c r="G254" s="39">
        <f t="shared" si="6"/>
        <v>98391515.054647624</v>
      </c>
    </row>
    <row r="255" spans="1:9" ht="21.75" customHeight="1" x14ac:dyDescent="0.2">
      <c r="A255" s="7"/>
      <c r="B255" s="24" t="s">
        <v>263</v>
      </c>
      <c r="C255" s="36"/>
      <c r="D255" s="20" t="s">
        <v>73</v>
      </c>
      <c r="E255" s="21">
        <f>7676000-5334000</f>
        <v>2342000</v>
      </c>
      <c r="F255" s="21"/>
      <c r="G255" s="39">
        <f t="shared" si="6"/>
        <v>100733515.05464762</v>
      </c>
    </row>
    <row r="256" spans="1:9" ht="21.75" customHeight="1" x14ac:dyDescent="0.2">
      <c r="A256" s="7"/>
      <c r="B256" s="24" t="s">
        <v>263</v>
      </c>
      <c r="C256" s="36"/>
      <c r="D256" s="20" t="s">
        <v>74</v>
      </c>
      <c r="E256" s="21">
        <v>5334000</v>
      </c>
      <c r="F256" s="21"/>
      <c r="G256" s="39">
        <f t="shared" si="6"/>
        <v>106067515.05464762</v>
      </c>
    </row>
    <row r="257" spans="1:9" ht="21.75" customHeight="1" x14ac:dyDescent="0.2">
      <c r="A257" s="7"/>
      <c r="B257" s="24" t="s">
        <v>263</v>
      </c>
      <c r="C257" s="36"/>
      <c r="D257" s="20" t="s">
        <v>266</v>
      </c>
      <c r="E257" s="21">
        <v>55000</v>
      </c>
      <c r="F257" s="39"/>
      <c r="G257" s="39">
        <f t="shared" si="6"/>
        <v>106122515.05464762</v>
      </c>
    </row>
    <row r="258" spans="1:9" ht="21.75" customHeight="1" x14ac:dyDescent="0.2">
      <c r="A258" s="7"/>
      <c r="B258" s="24" t="s">
        <v>263</v>
      </c>
      <c r="C258" s="36"/>
      <c r="D258" s="20" t="s">
        <v>21</v>
      </c>
      <c r="E258" s="49"/>
      <c r="F258" s="21">
        <v>25000</v>
      </c>
      <c r="G258" s="39">
        <f t="shared" si="6"/>
        <v>106097515.05464762</v>
      </c>
      <c r="H258" s="9"/>
      <c r="I258" s="9">
        <v>35000</v>
      </c>
    </row>
    <row r="259" spans="1:9" ht="21.75" customHeight="1" x14ac:dyDescent="0.2">
      <c r="A259" s="7"/>
      <c r="B259" s="24" t="s">
        <v>263</v>
      </c>
      <c r="C259" s="36"/>
      <c r="D259" s="20" t="s">
        <v>68</v>
      </c>
      <c r="E259" s="49">
        <v>86619.53</v>
      </c>
      <c r="F259" s="21"/>
      <c r="G259" s="39">
        <f t="shared" si="6"/>
        <v>106184134.58464763</v>
      </c>
    </row>
    <row r="260" spans="1:9" ht="21.75" customHeight="1" x14ac:dyDescent="0.2">
      <c r="A260" s="7"/>
      <c r="B260" s="24" t="s">
        <v>263</v>
      </c>
      <c r="C260" s="36"/>
      <c r="D260" s="20" t="s">
        <v>69</v>
      </c>
      <c r="E260" s="49"/>
      <c r="F260" s="49">
        <v>17323.91</v>
      </c>
      <c r="G260" s="39">
        <f t="shared" si="6"/>
        <v>106166810.67464763</v>
      </c>
    </row>
    <row r="261" spans="1:9" ht="21.75" customHeight="1" x14ac:dyDescent="0.2">
      <c r="A261" s="7"/>
      <c r="B261" s="24"/>
      <c r="C261" s="36"/>
      <c r="D261" s="20"/>
      <c r="E261" s="21"/>
      <c r="F261" s="21"/>
      <c r="G261" s="39"/>
    </row>
    <row r="262" spans="1:9" ht="21.75" customHeight="1" x14ac:dyDescent="0.2">
      <c r="A262" s="7"/>
      <c r="B262" s="24"/>
      <c r="C262" s="36"/>
      <c r="D262" s="20"/>
      <c r="E262" s="21"/>
      <c r="F262" s="21"/>
      <c r="G262" s="39"/>
    </row>
    <row r="263" spans="1:9" ht="14.25" x14ac:dyDescent="0.2">
      <c r="A263" s="7"/>
      <c r="B263" s="18"/>
      <c r="C263" s="18"/>
      <c r="D263" s="18"/>
      <c r="E263" s="18"/>
      <c r="F263" s="18"/>
      <c r="G263" s="18"/>
    </row>
    <row r="264" spans="1:9" customFormat="1" ht="15" x14ac:dyDescent="0.25">
      <c r="A264" s="1"/>
      <c r="B264" s="37"/>
      <c r="C264" s="37"/>
      <c r="D264" s="41" t="s">
        <v>10</v>
      </c>
      <c r="E264" s="38">
        <f>SUM(E10:E262)</f>
        <v>1020938521.25</v>
      </c>
      <c r="F264" s="38">
        <f>SUM(F10:F262)</f>
        <v>1376683208.6300001</v>
      </c>
      <c r="G264" s="38">
        <f>+G260</f>
        <v>106166810.67464763</v>
      </c>
    </row>
    <row r="265" spans="1:9" ht="14.25" x14ac:dyDescent="0.2">
      <c r="B265" s="17"/>
      <c r="C265" s="17"/>
      <c r="D265" s="17"/>
      <c r="E265" s="17"/>
      <c r="F265" s="17"/>
      <c r="G265" s="17"/>
    </row>
    <row r="266" spans="1:9" ht="14.25" x14ac:dyDescent="0.2">
      <c r="D266" s="17"/>
      <c r="F266" s="89" t="s">
        <v>267</v>
      </c>
      <c r="G266" s="89"/>
    </row>
    <row r="267" spans="1:9" x14ac:dyDescent="0.2">
      <c r="F267" s="90" t="s">
        <v>11</v>
      </c>
      <c r="G267" s="90"/>
    </row>
    <row r="270" spans="1:9" x14ac:dyDescent="0.2">
      <c r="E270" s="3" t="s">
        <v>82</v>
      </c>
      <c r="F270" s="50">
        <f>+G264</f>
        <v>106166810.67464763</v>
      </c>
    </row>
    <row r="271" spans="1:9" x14ac:dyDescent="0.2">
      <c r="E271" s="3" t="s">
        <v>83</v>
      </c>
      <c r="F271" s="51">
        <v>0</v>
      </c>
    </row>
  </sheetData>
  <mergeCells count="8">
    <mergeCell ref="F266:G266"/>
    <mergeCell ref="F267:G267"/>
    <mergeCell ref="A7:A8"/>
    <mergeCell ref="B7:B8"/>
    <mergeCell ref="D7:D8"/>
    <mergeCell ref="E7:E8"/>
    <mergeCell ref="F7:F8"/>
    <mergeCell ref="G7:G8"/>
  </mergeCells>
  <phoneticPr fontId="12" type="noConversion"/>
  <pageMargins left="0.7" right="0.7" top="0.75" bottom="0.75" header="0.3" footer="0.3"/>
  <pageSetup paperSize="9" scale="44" orientation="portrait" horizontalDpi="0" verticalDpi="0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586E-E395-40C7-BF68-D828C052EF53}">
  <sheetPr>
    <tabColor rgb="FF00B050"/>
  </sheetPr>
  <dimension ref="A1:K210"/>
  <sheetViews>
    <sheetView topLeftCell="A105" zoomScale="90" zoomScaleNormal="90" workbookViewId="0">
      <selection activeCell="D111" sqref="D111"/>
    </sheetView>
  </sheetViews>
  <sheetFormatPr defaultColWidth="9.140625" defaultRowHeight="12.75" x14ac:dyDescent="0.2"/>
  <cols>
    <col min="1" max="1" width="9.7109375" style="3" customWidth="1"/>
    <col min="2" max="2" width="17.7109375" style="3" customWidth="1"/>
    <col min="3" max="3" width="14.85546875" style="3" customWidth="1"/>
    <col min="4" max="4" width="92" style="3" customWidth="1"/>
    <col min="5" max="5" width="22.42578125" style="3" customWidth="1"/>
    <col min="6" max="6" width="21.5703125" style="3" customWidth="1"/>
    <col min="7" max="7" width="22.7109375" style="3" customWidth="1"/>
    <col min="8" max="8" width="16.42578125" style="3" customWidth="1"/>
    <col min="9" max="9" width="12.5703125" style="3" customWidth="1"/>
    <col min="10" max="10" width="12.28515625" style="3" bestFit="1" customWidth="1"/>
    <col min="11" max="16384" width="9.140625" style="3"/>
  </cols>
  <sheetData>
    <row r="1" spans="1:11" x14ac:dyDescent="0.2">
      <c r="A1" s="2"/>
      <c r="B1" s="2"/>
      <c r="C1" s="2"/>
      <c r="D1" s="2"/>
      <c r="E1" s="2"/>
      <c r="F1" s="2"/>
      <c r="G1" s="2"/>
    </row>
    <row r="2" spans="1:11" x14ac:dyDescent="0.2">
      <c r="A2" s="2"/>
      <c r="B2" s="2"/>
      <c r="C2" s="2"/>
      <c r="D2" s="2"/>
      <c r="E2" s="2"/>
      <c r="F2" s="2"/>
      <c r="G2" s="2"/>
    </row>
    <row r="3" spans="1:11" ht="15" customHeight="1" x14ac:dyDescent="0.2">
      <c r="A3" s="4" t="s">
        <v>8</v>
      </c>
      <c r="B3" s="4"/>
    </row>
    <row r="4" spans="1:11" ht="15" customHeight="1" x14ac:dyDescent="0.2">
      <c r="A4" s="4" t="s">
        <v>85</v>
      </c>
      <c r="B4" s="4"/>
    </row>
    <row r="5" spans="1:11" ht="15" customHeight="1" x14ac:dyDescent="0.2">
      <c r="A5" s="4" t="s">
        <v>9</v>
      </c>
      <c r="B5" s="4"/>
      <c r="D5" s="5" t="s">
        <v>268</v>
      </c>
    </row>
    <row r="6" spans="1:11" ht="13.5" thickBot="1" x14ac:dyDescent="0.25"/>
    <row r="7" spans="1:11" x14ac:dyDescent="0.2">
      <c r="A7" s="91" t="s">
        <v>0</v>
      </c>
      <c r="B7" s="93" t="s">
        <v>1</v>
      </c>
      <c r="C7" s="59" t="s">
        <v>2</v>
      </c>
      <c r="D7" s="93" t="s">
        <v>4</v>
      </c>
      <c r="E7" s="93" t="s">
        <v>5</v>
      </c>
      <c r="F7" s="93" t="s">
        <v>76</v>
      </c>
      <c r="G7" s="95" t="s">
        <v>6</v>
      </c>
      <c r="H7" s="6"/>
      <c r="I7" s="2"/>
      <c r="J7" s="2"/>
      <c r="K7" s="2"/>
    </row>
    <row r="8" spans="1:11" ht="13.5" thickBot="1" x14ac:dyDescent="0.25">
      <c r="A8" s="92"/>
      <c r="B8" s="94"/>
      <c r="C8" s="60" t="s">
        <v>3</v>
      </c>
      <c r="D8" s="94"/>
      <c r="E8" s="94"/>
      <c r="F8" s="94"/>
      <c r="G8" s="96"/>
      <c r="H8" s="6"/>
      <c r="I8" s="2"/>
      <c r="J8" s="2"/>
      <c r="K8" s="2"/>
    </row>
    <row r="9" spans="1:11" s="17" customFormat="1" ht="22.35" customHeight="1" x14ac:dyDescent="0.25">
      <c r="A9" s="13"/>
      <c r="B9" s="13"/>
      <c r="C9" s="13"/>
      <c r="D9" s="14" t="s">
        <v>7</v>
      </c>
      <c r="E9" s="15">
        <v>0</v>
      </c>
      <c r="F9" s="16">
        <v>0</v>
      </c>
      <c r="G9" s="45">
        <f>+'01, JAN 2026'!G264</f>
        <v>106166810.67464763</v>
      </c>
      <c r="H9" s="33"/>
    </row>
    <row r="10" spans="1:11" s="17" customFormat="1" ht="21.75" customHeight="1" x14ac:dyDescent="0.2">
      <c r="A10" s="18"/>
      <c r="B10" s="19" t="s">
        <v>269</v>
      </c>
      <c r="C10" s="18"/>
      <c r="D10" s="20" t="s">
        <v>270</v>
      </c>
      <c r="E10" s="21">
        <v>1000000</v>
      </c>
      <c r="F10" s="21"/>
      <c r="G10" s="39">
        <f>+G9+E10-F10</f>
        <v>107166810.67464763</v>
      </c>
    </row>
    <row r="11" spans="1:11" s="17" customFormat="1" ht="21.75" customHeight="1" x14ac:dyDescent="0.2">
      <c r="A11" s="18"/>
      <c r="B11" s="24" t="s">
        <v>269</v>
      </c>
      <c r="C11" s="18"/>
      <c r="D11" s="20" t="s">
        <v>271</v>
      </c>
      <c r="E11" s="21"/>
      <c r="F11" s="21">
        <v>2530000</v>
      </c>
      <c r="G11" s="39">
        <f>+G10+E11-F11</f>
        <v>104636810.67464763</v>
      </c>
    </row>
    <row r="12" spans="1:11" s="17" customFormat="1" ht="21.75" customHeight="1" x14ac:dyDescent="0.2">
      <c r="A12" s="18"/>
      <c r="B12" s="24" t="s">
        <v>269</v>
      </c>
      <c r="C12" s="18"/>
      <c r="D12" s="20" t="s">
        <v>625</v>
      </c>
      <c r="E12" s="21">
        <v>42274</v>
      </c>
      <c r="F12" s="21"/>
      <c r="G12" s="39">
        <f t="shared" ref="G12:G38" si="0">+G11+E12-F12</f>
        <v>104679084.67464763</v>
      </c>
    </row>
    <row r="13" spans="1:11" s="17" customFormat="1" ht="21.75" customHeight="1" x14ac:dyDescent="0.2">
      <c r="A13" s="18"/>
      <c r="B13" s="19" t="s">
        <v>272</v>
      </c>
      <c r="C13" s="18"/>
      <c r="D13" s="20" t="s">
        <v>273</v>
      </c>
      <c r="E13" s="21"/>
      <c r="F13" s="21">
        <v>8890000</v>
      </c>
      <c r="G13" s="39">
        <f t="shared" si="0"/>
        <v>95789084.674647629</v>
      </c>
    </row>
    <row r="14" spans="1:11" s="17" customFormat="1" ht="21.75" customHeight="1" x14ac:dyDescent="0.2">
      <c r="A14" s="18"/>
      <c r="B14" s="24" t="s">
        <v>272</v>
      </c>
      <c r="C14" s="18"/>
      <c r="D14" s="20" t="s">
        <v>274</v>
      </c>
      <c r="E14" s="21"/>
      <c r="F14" s="21">
        <v>2414000</v>
      </c>
      <c r="G14" s="39">
        <f t="shared" si="0"/>
        <v>93375084.674647629</v>
      </c>
    </row>
    <row r="15" spans="1:11" s="17" customFormat="1" ht="21.75" customHeight="1" x14ac:dyDescent="0.2">
      <c r="A15" s="18"/>
      <c r="B15" s="24" t="s">
        <v>272</v>
      </c>
      <c r="C15" s="18"/>
      <c r="D15" s="20" t="s">
        <v>275</v>
      </c>
      <c r="E15" s="21">
        <v>3500000</v>
      </c>
      <c r="F15" s="21"/>
      <c r="G15" s="39">
        <f t="shared" si="0"/>
        <v>96875084.674647629</v>
      </c>
    </row>
    <row r="16" spans="1:11" s="17" customFormat="1" ht="21.75" customHeight="1" x14ac:dyDescent="0.2">
      <c r="A16" s="18"/>
      <c r="B16" s="19" t="s">
        <v>276</v>
      </c>
      <c r="C16" s="18"/>
      <c r="D16" s="20" t="s">
        <v>346</v>
      </c>
      <c r="E16" s="21"/>
      <c r="F16" s="21">
        <v>5861213</v>
      </c>
      <c r="G16" s="39">
        <f t="shared" si="0"/>
        <v>91013871.674647629</v>
      </c>
    </row>
    <row r="17" spans="1:7" s="17" customFormat="1" ht="21.75" customHeight="1" x14ac:dyDescent="0.2">
      <c r="A17" s="18"/>
      <c r="B17" s="24" t="s">
        <v>276</v>
      </c>
      <c r="C17" s="18"/>
      <c r="D17" s="20" t="s">
        <v>347</v>
      </c>
      <c r="E17" s="21"/>
      <c r="F17" s="21">
        <v>5861213</v>
      </c>
      <c r="G17" s="39">
        <f t="shared" si="0"/>
        <v>85152658.674647629</v>
      </c>
    </row>
    <row r="18" spans="1:7" s="17" customFormat="1" ht="21.75" customHeight="1" x14ac:dyDescent="0.2">
      <c r="A18" s="18"/>
      <c r="B18" s="24" t="s">
        <v>276</v>
      </c>
      <c r="C18" s="18"/>
      <c r="D18" s="20" t="s">
        <v>78</v>
      </c>
      <c r="E18" s="21">
        <v>546992</v>
      </c>
      <c r="F18" s="21"/>
      <c r="G18" s="39">
        <f t="shared" si="0"/>
        <v>85699650.674647629</v>
      </c>
    </row>
    <row r="19" spans="1:7" s="17" customFormat="1" ht="21.75" customHeight="1" x14ac:dyDescent="0.2">
      <c r="A19" s="18"/>
      <c r="B19" s="24" t="s">
        <v>345</v>
      </c>
      <c r="C19" s="18"/>
      <c r="D19" s="20" t="s">
        <v>77</v>
      </c>
      <c r="E19" s="21">
        <v>60552</v>
      </c>
      <c r="F19" s="21"/>
      <c r="G19" s="39">
        <f t="shared" si="0"/>
        <v>85760202.674647629</v>
      </c>
    </row>
    <row r="20" spans="1:7" s="17" customFormat="1" ht="21.75" customHeight="1" x14ac:dyDescent="0.2">
      <c r="A20" s="18"/>
      <c r="B20" s="19" t="s">
        <v>277</v>
      </c>
      <c r="C20" s="24"/>
      <c r="D20" s="20" t="s">
        <v>210</v>
      </c>
      <c r="E20" s="21">
        <v>9592664</v>
      </c>
      <c r="F20" s="21"/>
      <c r="G20" s="39">
        <f t="shared" si="0"/>
        <v>95352866.674647629</v>
      </c>
    </row>
    <row r="21" spans="1:7" s="17" customFormat="1" ht="21.75" customHeight="1" x14ac:dyDescent="0.2">
      <c r="A21" s="18"/>
      <c r="B21" s="24" t="s">
        <v>277</v>
      </c>
      <c r="C21" s="18"/>
      <c r="D21" s="20" t="s">
        <v>282</v>
      </c>
      <c r="E21" s="21">
        <v>44907018</v>
      </c>
      <c r="F21" s="21"/>
      <c r="G21" s="39">
        <f t="shared" si="0"/>
        <v>140259884.67464763</v>
      </c>
    </row>
    <row r="22" spans="1:7" s="17" customFormat="1" ht="21.75" customHeight="1" x14ac:dyDescent="0.2">
      <c r="A22" s="18"/>
      <c r="B22" s="24" t="s">
        <v>277</v>
      </c>
      <c r="C22" s="18"/>
      <c r="D22" s="20" t="s">
        <v>281</v>
      </c>
      <c r="E22" s="21">
        <v>4894117</v>
      </c>
      <c r="F22" s="21"/>
      <c r="G22" s="39">
        <f>+G21+E22-F22</f>
        <v>145154001.67464763</v>
      </c>
    </row>
    <row r="23" spans="1:7" s="17" customFormat="1" ht="21.75" customHeight="1" x14ac:dyDescent="0.2">
      <c r="A23" s="18"/>
      <c r="B23" s="24" t="s">
        <v>277</v>
      </c>
      <c r="C23" s="18"/>
      <c r="D23" s="20" t="s">
        <v>279</v>
      </c>
      <c r="E23" s="21">
        <v>155238259</v>
      </c>
      <c r="F23" s="21"/>
      <c r="G23" s="39">
        <f t="shared" si="0"/>
        <v>300392260.67464763</v>
      </c>
    </row>
    <row r="24" spans="1:7" s="17" customFormat="1" ht="21.75" customHeight="1" x14ac:dyDescent="0.2">
      <c r="A24" s="18"/>
      <c r="B24" s="24" t="s">
        <v>277</v>
      </c>
      <c r="C24" s="18"/>
      <c r="D24" s="20" t="s">
        <v>280</v>
      </c>
      <c r="E24" s="21">
        <v>49775685</v>
      </c>
      <c r="F24" s="21"/>
      <c r="G24" s="39">
        <f t="shared" si="0"/>
        <v>350167945.67464763</v>
      </c>
    </row>
    <row r="25" spans="1:7" s="17" customFormat="1" ht="21.75" customHeight="1" x14ac:dyDescent="0.2">
      <c r="A25" s="18"/>
      <c r="B25" s="24" t="s">
        <v>277</v>
      </c>
      <c r="C25" s="18"/>
      <c r="D25" s="23" t="s">
        <v>283</v>
      </c>
      <c r="E25" s="21"/>
      <c r="F25" s="21"/>
      <c r="G25" s="61">
        <f t="shared" si="0"/>
        <v>350167945.67464763</v>
      </c>
    </row>
    <row r="26" spans="1:7" s="17" customFormat="1" ht="21.75" customHeight="1" x14ac:dyDescent="0.2">
      <c r="A26" s="18"/>
      <c r="B26" s="24" t="s">
        <v>277</v>
      </c>
      <c r="C26" s="18"/>
      <c r="D26" s="20" t="s">
        <v>284</v>
      </c>
      <c r="E26" s="21">
        <v>8100000</v>
      </c>
      <c r="F26" s="21"/>
      <c r="G26" s="61">
        <f t="shared" si="0"/>
        <v>358267945.67464763</v>
      </c>
    </row>
    <row r="27" spans="1:7" s="17" customFormat="1" ht="21.75" customHeight="1" x14ac:dyDescent="0.2">
      <c r="A27" s="18"/>
      <c r="B27" s="24" t="s">
        <v>277</v>
      </c>
      <c r="C27" s="18"/>
      <c r="D27" s="20" t="s">
        <v>285</v>
      </c>
      <c r="E27" s="21">
        <v>4300000</v>
      </c>
      <c r="F27" s="21"/>
      <c r="G27" s="61">
        <f t="shared" si="0"/>
        <v>362567945.67464763</v>
      </c>
    </row>
    <row r="28" spans="1:7" s="17" customFormat="1" ht="21.75" customHeight="1" x14ac:dyDescent="0.2">
      <c r="A28" s="18"/>
      <c r="B28" s="24" t="s">
        <v>277</v>
      </c>
      <c r="C28" s="18"/>
      <c r="D28" s="20" t="s">
        <v>286</v>
      </c>
      <c r="E28" s="21">
        <v>18565000</v>
      </c>
      <c r="F28" s="21"/>
      <c r="G28" s="61">
        <f t="shared" si="0"/>
        <v>381132945.67464763</v>
      </c>
    </row>
    <row r="29" spans="1:7" s="17" customFormat="1" ht="21.75" customHeight="1" x14ac:dyDescent="0.2">
      <c r="A29" s="18"/>
      <c r="B29" s="24" t="s">
        <v>277</v>
      </c>
      <c r="C29" s="18"/>
      <c r="D29" s="20" t="s">
        <v>287</v>
      </c>
      <c r="E29" s="21">
        <v>2093750</v>
      </c>
      <c r="F29" s="21"/>
      <c r="G29" s="39">
        <f t="shared" si="0"/>
        <v>383226695.67464763</v>
      </c>
    </row>
    <row r="30" spans="1:7" s="17" customFormat="1" ht="21.75" customHeight="1" x14ac:dyDescent="0.2">
      <c r="A30" s="18"/>
      <c r="B30" s="24" t="s">
        <v>277</v>
      </c>
      <c r="C30" s="18"/>
      <c r="D30" s="20" t="s">
        <v>288</v>
      </c>
      <c r="E30" s="21">
        <v>3056000</v>
      </c>
      <c r="F30" s="21"/>
      <c r="G30" s="39">
        <f t="shared" si="0"/>
        <v>386282695.67464763</v>
      </c>
    </row>
    <row r="31" spans="1:7" s="17" customFormat="1" ht="21.75" customHeight="1" x14ac:dyDescent="0.2">
      <c r="A31" s="18"/>
      <c r="B31" s="24" t="s">
        <v>277</v>
      </c>
      <c r="C31" s="18"/>
      <c r="D31" s="20" t="s">
        <v>289</v>
      </c>
      <c r="E31" s="21">
        <v>5018000</v>
      </c>
      <c r="F31" s="21"/>
      <c r="G31" s="39">
        <f t="shared" si="0"/>
        <v>391300695.67464763</v>
      </c>
    </row>
    <row r="32" spans="1:7" s="17" customFormat="1" ht="21.75" customHeight="1" x14ac:dyDescent="0.2">
      <c r="A32" s="18"/>
      <c r="B32" s="24" t="s">
        <v>277</v>
      </c>
      <c r="C32" s="18"/>
      <c r="D32" s="20" t="s">
        <v>13</v>
      </c>
      <c r="E32" s="21">
        <v>920000</v>
      </c>
      <c r="F32" s="21"/>
      <c r="G32" s="39">
        <f t="shared" si="0"/>
        <v>392220695.67464763</v>
      </c>
    </row>
    <row r="33" spans="1:8" s="17" customFormat="1" ht="21.75" customHeight="1" x14ac:dyDescent="0.2">
      <c r="A33" s="18"/>
      <c r="B33" s="24" t="s">
        <v>277</v>
      </c>
      <c r="C33" s="18"/>
      <c r="D33" s="20" t="s">
        <v>14</v>
      </c>
      <c r="E33" s="21">
        <f>2875000+3450000</f>
        <v>6325000</v>
      </c>
      <c r="F33" s="21"/>
      <c r="G33" s="39">
        <f t="shared" si="0"/>
        <v>398545695.67464763</v>
      </c>
    </row>
    <row r="34" spans="1:8" s="17" customFormat="1" ht="21.75" customHeight="1" x14ac:dyDescent="0.2">
      <c r="A34" s="18"/>
      <c r="B34" s="24" t="s">
        <v>277</v>
      </c>
      <c r="C34" s="18"/>
      <c r="D34" s="20" t="s">
        <v>75</v>
      </c>
      <c r="E34" s="21">
        <v>26450000</v>
      </c>
      <c r="F34" s="21"/>
      <c r="G34" s="39">
        <f t="shared" si="0"/>
        <v>424995695.67464763</v>
      </c>
    </row>
    <row r="35" spans="1:8" s="17" customFormat="1" ht="21.75" customHeight="1" x14ac:dyDescent="0.2">
      <c r="A35" s="18"/>
      <c r="B35" s="24" t="s">
        <v>277</v>
      </c>
      <c r="C35" s="18"/>
      <c r="D35" s="20" t="s">
        <v>15</v>
      </c>
      <c r="E35" s="21">
        <v>2350000</v>
      </c>
      <c r="F35" s="21"/>
      <c r="G35" s="39">
        <f t="shared" si="0"/>
        <v>427345695.67464763</v>
      </c>
    </row>
    <row r="36" spans="1:8" s="17" customFormat="1" ht="21.75" customHeight="1" x14ac:dyDescent="0.2">
      <c r="A36" s="18"/>
      <c r="B36" s="24" t="s">
        <v>277</v>
      </c>
      <c r="C36" s="18"/>
      <c r="D36" s="20" t="s">
        <v>16</v>
      </c>
      <c r="E36" s="21">
        <v>3500000</v>
      </c>
      <c r="F36" s="21"/>
      <c r="G36" s="39">
        <f t="shared" si="0"/>
        <v>430845695.67464763</v>
      </c>
    </row>
    <row r="37" spans="1:8" s="17" customFormat="1" ht="21.75" customHeight="1" x14ac:dyDescent="0.2">
      <c r="A37" s="18"/>
      <c r="B37" s="24" t="s">
        <v>277</v>
      </c>
      <c r="C37" s="18"/>
      <c r="D37" s="20" t="s">
        <v>290</v>
      </c>
      <c r="E37" s="21">
        <f>1816667+560000</f>
        <v>2376667</v>
      </c>
      <c r="F37" s="21"/>
      <c r="G37" s="39">
        <f t="shared" si="0"/>
        <v>433222362.67464763</v>
      </c>
    </row>
    <row r="38" spans="1:8" s="17" customFormat="1" ht="21.75" customHeight="1" x14ac:dyDescent="0.2">
      <c r="A38" s="18"/>
      <c r="B38" s="24" t="s">
        <v>277</v>
      </c>
      <c r="C38" s="18"/>
      <c r="D38" s="20" t="s">
        <v>18</v>
      </c>
      <c r="E38" s="21">
        <v>1931000</v>
      </c>
      <c r="F38" s="21"/>
      <c r="G38" s="39">
        <f t="shared" si="0"/>
        <v>435153362.67464763</v>
      </c>
    </row>
    <row r="39" spans="1:8" s="17" customFormat="1" ht="21.75" customHeight="1" x14ac:dyDescent="0.2">
      <c r="A39" s="18"/>
      <c r="B39" s="24" t="s">
        <v>277</v>
      </c>
      <c r="C39" s="18"/>
      <c r="D39" s="20" t="s">
        <v>17</v>
      </c>
      <c r="E39" s="21">
        <v>3355000</v>
      </c>
      <c r="F39" s="21"/>
      <c r="G39" s="39">
        <f t="shared" ref="G39:G95" si="1">+G38+E39-F39</f>
        <v>438508362.67464763</v>
      </c>
    </row>
    <row r="40" spans="1:8" s="17" customFormat="1" ht="21.75" customHeight="1" x14ac:dyDescent="0.25">
      <c r="A40" s="18"/>
      <c r="B40" s="24" t="s">
        <v>277</v>
      </c>
      <c r="C40" s="18"/>
      <c r="D40" s="20" t="s">
        <v>291</v>
      </c>
      <c r="E40" s="21">
        <v>1840000</v>
      </c>
      <c r="F40" s="21"/>
      <c r="G40" s="56">
        <f t="shared" si="1"/>
        <v>440348362.67464763</v>
      </c>
    </row>
    <row r="41" spans="1:8" s="17" customFormat="1" ht="21.75" customHeight="1" x14ac:dyDescent="0.2">
      <c r="A41" s="18"/>
      <c r="B41" s="24" t="s">
        <v>277</v>
      </c>
      <c r="C41" s="18"/>
      <c r="D41" s="20" t="s">
        <v>292</v>
      </c>
      <c r="E41" s="21">
        <v>175975333</v>
      </c>
      <c r="F41" s="21"/>
      <c r="G41" s="39">
        <f t="shared" si="1"/>
        <v>616323695.67464757</v>
      </c>
    </row>
    <row r="42" spans="1:8" s="17" customFormat="1" ht="21.75" customHeight="1" x14ac:dyDescent="0.2">
      <c r="A42" s="18"/>
      <c r="B42" s="24" t="s">
        <v>277</v>
      </c>
      <c r="C42" s="18"/>
      <c r="D42" s="20" t="s">
        <v>300</v>
      </c>
      <c r="E42" s="21"/>
      <c r="F42" s="21">
        <v>14399000</v>
      </c>
      <c r="G42" s="39">
        <f t="shared" si="1"/>
        <v>601924695.67464757</v>
      </c>
    </row>
    <row r="43" spans="1:8" s="17" customFormat="1" ht="21.75" customHeight="1" x14ac:dyDescent="0.2">
      <c r="A43" s="18"/>
      <c r="B43" s="24" t="s">
        <v>277</v>
      </c>
      <c r="C43" s="18"/>
      <c r="D43" s="20" t="s">
        <v>19</v>
      </c>
      <c r="E43" s="21"/>
      <c r="F43" s="21">
        <v>1914472</v>
      </c>
      <c r="G43" s="39">
        <f t="shared" si="1"/>
        <v>600010223.67464757</v>
      </c>
    </row>
    <row r="44" spans="1:8" s="17" customFormat="1" ht="21.75" customHeight="1" x14ac:dyDescent="0.2">
      <c r="A44" s="18"/>
      <c r="B44" s="24" t="s">
        <v>277</v>
      </c>
      <c r="C44" s="18"/>
      <c r="D44" s="20" t="s">
        <v>302</v>
      </c>
      <c r="E44" s="21"/>
      <c r="F44" s="21">
        <v>2170408</v>
      </c>
      <c r="G44" s="39">
        <f t="shared" si="1"/>
        <v>597839815.67464757</v>
      </c>
    </row>
    <row r="45" spans="1:8" s="17" customFormat="1" ht="21.75" customHeight="1" x14ac:dyDescent="0.2">
      <c r="A45" s="18"/>
      <c r="B45" s="24" t="s">
        <v>277</v>
      </c>
      <c r="C45" s="18"/>
      <c r="D45" s="20" t="s">
        <v>303</v>
      </c>
      <c r="E45" s="21"/>
      <c r="F45" s="21">
        <v>5278654</v>
      </c>
      <c r="G45" s="39">
        <f t="shared" si="1"/>
        <v>592561161.67464757</v>
      </c>
    </row>
    <row r="46" spans="1:8" s="17" customFormat="1" ht="21.75" customHeight="1" x14ac:dyDescent="0.2">
      <c r="A46" s="18"/>
      <c r="B46" s="24" t="s">
        <v>277</v>
      </c>
      <c r="C46" s="18"/>
      <c r="D46" s="20" t="s">
        <v>20</v>
      </c>
      <c r="E46" s="21"/>
      <c r="F46" s="21">
        <v>9845856</v>
      </c>
      <c r="G46" s="39">
        <f t="shared" si="1"/>
        <v>582715305.67464757</v>
      </c>
    </row>
    <row r="47" spans="1:8" s="17" customFormat="1" ht="21.75" customHeight="1" x14ac:dyDescent="0.2">
      <c r="A47" s="18"/>
      <c r="B47" s="24" t="s">
        <v>277</v>
      </c>
      <c r="C47" s="18"/>
      <c r="D47" s="20" t="s">
        <v>141</v>
      </c>
      <c r="E47" s="21"/>
      <c r="F47" s="21">
        <v>16142158</v>
      </c>
      <c r="G47" s="39">
        <f t="shared" si="1"/>
        <v>566573147.67464757</v>
      </c>
    </row>
    <row r="48" spans="1:8" s="17" customFormat="1" ht="21.75" customHeight="1" x14ac:dyDescent="0.2">
      <c r="A48" s="18"/>
      <c r="B48" s="24" t="s">
        <v>277</v>
      </c>
      <c r="C48" s="18"/>
      <c r="D48" s="20" t="s">
        <v>301</v>
      </c>
      <c r="E48" s="21"/>
      <c r="F48" s="21">
        <v>2645000</v>
      </c>
      <c r="G48" s="39">
        <f t="shared" si="1"/>
        <v>563928147.67464757</v>
      </c>
      <c r="H48" s="34"/>
    </row>
    <row r="49" spans="1:8" s="17" customFormat="1" ht="21.75" customHeight="1" x14ac:dyDescent="0.2">
      <c r="A49" s="18"/>
      <c r="B49" s="24" t="s">
        <v>277</v>
      </c>
      <c r="C49" s="18"/>
      <c r="D49" s="20" t="s">
        <v>299</v>
      </c>
      <c r="E49" s="21"/>
      <c r="F49" s="21">
        <v>51067154</v>
      </c>
      <c r="G49" s="39">
        <f t="shared" si="1"/>
        <v>512860993.67464757</v>
      </c>
      <c r="H49" s="34"/>
    </row>
    <row r="50" spans="1:8" s="17" customFormat="1" ht="21.75" customHeight="1" x14ac:dyDescent="0.2">
      <c r="A50" s="18"/>
      <c r="B50" s="24" t="s">
        <v>277</v>
      </c>
      <c r="C50" s="18"/>
      <c r="D50" s="20" t="s">
        <v>21</v>
      </c>
      <c r="E50" s="21"/>
      <c r="F50" s="21">
        <v>2500</v>
      </c>
      <c r="G50" s="39">
        <f t="shared" si="1"/>
        <v>512858493.67464757</v>
      </c>
      <c r="H50" s="33"/>
    </row>
    <row r="51" spans="1:8" s="17" customFormat="1" ht="21.75" customHeight="1" x14ac:dyDescent="0.2">
      <c r="A51" s="18"/>
      <c r="B51" s="24" t="s">
        <v>277</v>
      </c>
      <c r="C51" s="18"/>
      <c r="D51" s="20" t="s">
        <v>142</v>
      </c>
      <c r="E51" s="21"/>
      <c r="F51" s="21">
        <v>3353804</v>
      </c>
      <c r="G51" s="62">
        <f t="shared" si="1"/>
        <v>509504689.67464757</v>
      </c>
    </row>
    <row r="52" spans="1:8" s="17" customFormat="1" ht="21.75" customHeight="1" x14ac:dyDescent="0.2">
      <c r="A52" s="18"/>
      <c r="B52" s="24" t="s">
        <v>277</v>
      </c>
      <c r="C52" s="18"/>
      <c r="D52" s="20" t="s">
        <v>304</v>
      </c>
      <c r="E52" s="21"/>
      <c r="F52" s="21">
        <v>24022832</v>
      </c>
      <c r="G52" s="39">
        <f t="shared" si="1"/>
        <v>485481857.67464757</v>
      </c>
    </row>
    <row r="53" spans="1:8" s="17" customFormat="1" ht="21.75" customHeight="1" x14ac:dyDescent="0.2">
      <c r="A53" s="18"/>
      <c r="B53" s="24" t="s">
        <v>277</v>
      </c>
      <c r="C53" s="18"/>
      <c r="D53" s="20" t="s">
        <v>334</v>
      </c>
      <c r="E53" s="21"/>
      <c r="F53" s="21">
        <v>10000000</v>
      </c>
      <c r="G53" s="39">
        <f t="shared" si="1"/>
        <v>475481857.67464757</v>
      </c>
    </row>
    <row r="54" spans="1:8" s="17" customFormat="1" ht="21.75" customHeight="1" x14ac:dyDescent="0.2">
      <c r="A54" s="18"/>
      <c r="B54" s="24" t="s">
        <v>277</v>
      </c>
      <c r="C54" s="18"/>
      <c r="D54" s="20" t="s">
        <v>298</v>
      </c>
      <c r="E54" s="21"/>
      <c r="F54" s="21">
        <v>50000000</v>
      </c>
      <c r="G54" s="39">
        <f t="shared" si="1"/>
        <v>425481857.67464757</v>
      </c>
    </row>
    <row r="55" spans="1:8" s="17" customFormat="1" ht="21.75" customHeight="1" x14ac:dyDescent="0.2">
      <c r="A55" s="18"/>
      <c r="B55" s="24" t="s">
        <v>277</v>
      </c>
      <c r="C55" s="18"/>
      <c r="D55" s="20" t="s">
        <v>21</v>
      </c>
      <c r="E55" s="21"/>
      <c r="F55" s="21">
        <v>2500</v>
      </c>
      <c r="G55" s="39">
        <f t="shared" si="1"/>
        <v>425479357.67464757</v>
      </c>
    </row>
    <row r="56" spans="1:8" s="17" customFormat="1" ht="21.75" customHeight="1" x14ac:dyDescent="0.2">
      <c r="A56" s="18"/>
      <c r="B56" s="24" t="s">
        <v>277</v>
      </c>
      <c r="C56" s="18"/>
      <c r="D56" s="20" t="s">
        <v>243</v>
      </c>
      <c r="E56" s="21"/>
      <c r="F56" s="21">
        <v>3500000</v>
      </c>
      <c r="G56" s="39">
        <f t="shared" si="1"/>
        <v>421979357.67464757</v>
      </c>
    </row>
    <row r="57" spans="1:8" s="17" customFormat="1" ht="21.75" customHeight="1" x14ac:dyDescent="0.2">
      <c r="A57" s="18"/>
      <c r="B57" s="24" t="s">
        <v>277</v>
      </c>
      <c r="C57" s="18"/>
      <c r="D57" s="20" t="s">
        <v>21</v>
      </c>
      <c r="E57" s="21"/>
      <c r="F57" s="21">
        <v>2900</v>
      </c>
      <c r="G57" s="39">
        <f t="shared" si="1"/>
        <v>421976457.67464757</v>
      </c>
    </row>
    <row r="58" spans="1:8" s="17" customFormat="1" ht="21.75" customHeight="1" x14ac:dyDescent="0.2">
      <c r="A58" s="18"/>
      <c r="B58" s="24" t="s">
        <v>277</v>
      </c>
      <c r="C58" s="18"/>
      <c r="D58" s="20" t="s">
        <v>297</v>
      </c>
      <c r="E58" s="21"/>
      <c r="F58" s="21">
        <v>3500000</v>
      </c>
      <c r="G58" s="39">
        <f t="shared" si="1"/>
        <v>418476457.67464757</v>
      </c>
    </row>
    <row r="59" spans="1:8" s="17" customFormat="1" ht="21.75" customHeight="1" x14ac:dyDescent="0.2">
      <c r="A59" s="18"/>
      <c r="B59" s="24" t="s">
        <v>277</v>
      </c>
      <c r="C59" s="18"/>
      <c r="D59" s="20" t="s">
        <v>296</v>
      </c>
      <c r="E59" s="21"/>
      <c r="F59" s="21">
        <v>59500000</v>
      </c>
      <c r="G59" s="39">
        <f t="shared" si="1"/>
        <v>358976457.67464757</v>
      </c>
    </row>
    <row r="60" spans="1:8" s="17" customFormat="1" ht="21.75" customHeight="1" x14ac:dyDescent="0.2">
      <c r="A60" s="18"/>
      <c r="B60" s="24" t="s">
        <v>277</v>
      </c>
      <c r="C60" s="18"/>
      <c r="D60" s="20" t="s">
        <v>21</v>
      </c>
      <c r="E60" s="21"/>
      <c r="F60" s="21">
        <v>2500</v>
      </c>
      <c r="G60" s="39">
        <f t="shared" si="1"/>
        <v>358973957.67464757</v>
      </c>
    </row>
    <row r="61" spans="1:8" s="17" customFormat="1" ht="21.75" customHeight="1" x14ac:dyDescent="0.2">
      <c r="A61" s="18"/>
      <c r="B61" s="24" t="s">
        <v>277</v>
      </c>
      <c r="C61" s="18"/>
      <c r="D61" s="20" t="s">
        <v>295</v>
      </c>
      <c r="E61" s="21"/>
      <c r="F61" s="21">
        <v>50810816</v>
      </c>
      <c r="G61" s="39">
        <f t="shared" si="1"/>
        <v>308163141.67464757</v>
      </c>
    </row>
    <row r="62" spans="1:8" s="17" customFormat="1" ht="21.75" customHeight="1" x14ac:dyDescent="0.2">
      <c r="A62" s="18"/>
      <c r="B62" s="24" t="s">
        <v>277</v>
      </c>
      <c r="C62" s="18"/>
      <c r="D62" s="20" t="s">
        <v>294</v>
      </c>
      <c r="E62" s="21"/>
      <c r="F62" s="21">
        <v>64411000</v>
      </c>
      <c r="G62" s="39">
        <f t="shared" si="1"/>
        <v>243752141.67464757</v>
      </c>
    </row>
    <row r="63" spans="1:8" s="17" customFormat="1" ht="21.75" customHeight="1" x14ac:dyDescent="0.2">
      <c r="A63" s="18"/>
      <c r="B63" s="24" t="s">
        <v>277</v>
      </c>
      <c r="C63" s="18"/>
      <c r="D63" s="20" t="s">
        <v>293</v>
      </c>
      <c r="E63" s="21"/>
      <c r="F63" s="21">
        <v>16785000</v>
      </c>
      <c r="G63" s="55">
        <f>+G62+E63-F63</f>
        <v>226967141.67464757</v>
      </c>
    </row>
    <row r="64" spans="1:8" s="17" customFormat="1" ht="21.75" customHeight="1" x14ac:dyDescent="0.2">
      <c r="A64" s="18"/>
      <c r="B64" s="24" t="s">
        <v>277</v>
      </c>
      <c r="C64" s="18"/>
      <c r="D64" s="20" t="s">
        <v>305</v>
      </c>
      <c r="E64" s="21"/>
      <c r="F64" s="21">
        <v>10605316</v>
      </c>
      <c r="G64" s="39">
        <f t="shared" si="1"/>
        <v>216361825.67464757</v>
      </c>
    </row>
    <row r="65" spans="1:8" s="17" customFormat="1" ht="21.75" customHeight="1" x14ac:dyDescent="0.2">
      <c r="A65" s="18"/>
      <c r="B65" s="24" t="s">
        <v>277</v>
      </c>
      <c r="C65" s="18"/>
      <c r="D65" s="20" t="s">
        <v>306</v>
      </c>
      <c r="E65" s="21"/>
      <c r="F65" s="21">
        <v>1840000</v>
      </c>
      <c r="G65" s="39">
        <f t="shared" si="1"/>
        <v>214521825.67464757</v>
      </c>
    </row>
    <row r="66" spans="1:8" s="17" customFormat="1" ht="21.75" customHeight="1" x14ac:dyDescent="0.2">
      <c r="A66" s="18"/>
      <c r="B66" s="19" t="s">
        <v>307</v>
      </c>
      <c r="C66" s="24"/>
      <c r="D66" s="23" t="s">
        <v>117</v>
      </c>
      <c r="E66" s="21">
        <v>29997400</v>
      </c>
      <c r="F66" s="21"/>
      <c r="G66" s="39">
        <f t="shared" si="1"/>
        <v>244519225.67464757</v>
      </c>
    </row>
    <row r="67" spans="1:8" s="17" customFormat="1" ht="21.75" customHeight="1" x14ac:dyDescent="0.2">
      <c r="A67" s="18"/>
      <c r="B67" s="19" t="s">
        <v>309</v>
      </c>
      <c r="C67" s="24"/>
      <c r="D67" s="20" t="s">
        <v>308</v>
      </c>
      <c r="E67" s="21">
        <v>1464530</v>
      </c>
      <c r="F67" s="21"/>
      <c r="G67" s="39">
        <f t="shared" si="1"/>
        <v>245983755.67464757</v>
      </c>
    </row>
    <row r="68" spans="1:8" s="17" customFormat="1" ht="21.75" customHeight="1" x14ac:dyDescent="0.2">
      <c r="A68" s="18"/>
      <c r="B68" s="24" t="s">
        <v>309</v>
      </c>
      <c r="C68" s="18"/>
      <c r="D68" s="20" t="s">
        <v>582</v>
      </c>
      <c r="E68" s="21">
        <v>200000</v>
      </c>
      <c r="F68" s="21"/>
      <c r="G68" s="39">
        <f t="shared" si="1"/>
        <v>246183755.67464757</v>
      </c>
      <c r="H68" s="17" t="s">
        <v>12</v>
      </c>
    </row>
    <row r="69" spans="1:8" s="17" customFormat="1" ht="21.75" customHeight="1" x14ac:dyDescent="0.2">
      <c r="A69" s="18"/>
      <c r="B69" s="24" t="s">
        <v>309</v>
      </c>
      <c r="C69" s="18"/>
      <c r="D69" s="20" t="s">
        <v>79</v>
      </c>
      <c r="E69" s="21"/>
      <c r="F69" s="21">
        <v>3819000</v>
      </c>
      <c r="G69" s="39">
        <f t="shared" si="1"/>
        <v>242364755.67464757</v>
      </c>
    </row>
    <row r="70" spans="1:8" s="17" customFormat="1" ht="21.75" customHeight="1" x14ac:dyDescent="0.2">
      <c r="A70" s="18"/>
      <c r="B70" s="24" t="s">
        <v>309</v>
      </c>
      <c r="C70" s="18"/>
      <c r="D70" s="20" t="s">
        <v>310</v>
      </c>
      <c r="E70" s="21"/>
      <c r="F70" s="21">
        <v>8325000</v>
      </c>
      <c r="G70" s="39">
        <f t="shared" si="1"/>
        <v>234039755.67464757</v>
      </c>
    </row>
    <row r="71" spans="1:8" s="17" customFormat="1" ht="21.75" customHeight="1" x14ac:dyDescent="0.2">
      <c r="A71" s="18"/>
      <c r="B71" s="24" t="s">
        <v>309</v>
      </c>
      <c r="C71" s="18"/>
      <c r="D71" s="20" t="s">
        <v>311</v>
      </c>
      <c r="E71" s="21"/>
      <c r="F71" s="21">
        <v>8874000</v>
      </c>
      <c r="G71" s="39">
        <f t="shared" si="1"/>
        <v>225165755.67464757</v>
      </c>
    </row>
    <row r="72" spans="1:8" s="17" customFormat="1" ht="21.75" customHeight="1" x14ac:dyDescent="0.2">
      <c r="A72" s="18"/>
      <c r="B72" s="24" t="s">
        <v>309</v>
      </c>
      <c r="C72" s="18"/>
      <c r="D72" s="20" t="s">
        <v>312</v>
      </c>
      <c r="E72" s="21"/>
      <c r="F72" s="21">
        <v>9799600</v>
      </c>
      <c r="G72" s="39">
        <f t="shared" si="1"/>
        <v>215366155.67464757</v>
      </c>
    </row>
    <row r="73" spans="1:8" s="17" customFormat="1" ht="21.75" customHeight="1" x14ac:dyDescent="0.2">
      <c r="A73" s="18"/>
      <c r="B73" s="19" t="s">
        <v>316</v>
      </c>
      <c r="C73" s="24"/>
      <c r="D73" s="20" t="s">
        <v>314</v>
      </c>
      <c r="E73" s="21"/>
      <c r="F73" s="21">
        <v>60552</v>
      </c>
      <c r="G73" s="39">
        <f t="shared" si="1"/>
        <v>215305603.67464757</v>
      </c>
    </row>
    <row r="74" spans="1:8" s="17" customFormat="1" ht="21.75" customHeight="1" x14ac:dyDescent="0.2">
      <c r="A74" s="18"/>
      <c r="B74" s="24" t="s">
        <v>316</v>
      </c>
      <c r="C74" s="18"/>
      <c r="D74" s="20" t="s">
        <v>315</v>
      </c>
      <c r="E74" s="21"/>
      <c r="F74" s="21">
        <v>1500000</v>
      </c>
      <c r="G74" s="39">
        <f t="shared" si="1"/>
        <v>213805603.67464757</v>
      </c>
    </row>
    <row r="75" spans="1:8" s="17" customFormat="1" ht="21.75" customHeight="1" x14ac:dyDescent="0.2">
      <c r="A75" s="18"/>
      <c r="B75" s="24" t="s">
        <v>316</v>
      </c>
      <c r="C75" s="18"/>
      <c r="D75" s="23" t="s">
        <v>527</v>
      </c>
      <c r="E75" s="21">
        <v>0</v>
      </c>
      <c r="F75" s="21"/>
      <c r="G75" s="39">
        <f t="shared" si="1"/>
        <v>213805603.67464757</v>
      </c>
    </row>
    <row r="76" spans="1:8" s="17" customFormat="1" ht="21.75" customHeight="1" x14ac:dyDescent="0.2">
      <c r="A76" s="18"/>
      <c r="B76" s="24" t="s">
        <v>316</v>
      </c>
      <c r="C76" s="18"/>
      <c r="D76" s="20" t="s">
        <v>424</v>
      </c>
      <c r="E76" s="21">
        <v>1600000</v>
      </c>
      <c r="F76" s="21"/>
      <c r="G76" s="39">
        <f t="shared" si="1"/>
        <v>215405603.67464757</v>
      </c>
    </row>
    <row r="77" spans="1:8" s="17" customFormat="1" ht="21.75" customHeight="1" x14ac:dyDescent="0.2">
      <c r="A77" s="18"/>
      <c r="B77" s="24" t="s">
        <v>316</v>
      </c>
      <c r="C77" s="18"/>
      <c r="D77" s="20" t="s">
        <v>425</v>
      </c>
      <c r="E77" s="21">
        <f>2200000+320000</f>
        <v>2520000</v>
      </c>
      <c r="F77" s="21"/>
      <c r="G77" s="39">
        <f t="shared" si="1"/>
        <v>217925603.67464757</v>
      </c>
    </row>
    <row r="78" spans="1:8" s="17" customFormat="1" ht="21.75" customHeight="1" x14ac:dyDescent="0.2">
      <c r="A78" s="18"/>
      <c r="B78" s="24" t="s">
        <v>316</v>
      </c>
      <c r="C78" s="18"/>
      <c r="D78" s="20" t="s">
        <v>426</v>
      </c>
      <c r="E78" s="21">
        <v>920000</v>
      </c>
      <c r="F78" s="21"/>
      <c r="G78" s="39">
        <f t="shared" si="1"/>
        <v>218845603.67464757</v>
      </c>
    </row>
    <row r="79" spans="1:8" s="17" customFormat="1" ht="21.75" customHeight="1" x14ac:dyDescent="0.2">
      <c r="A79" s="18"/>
      <c r="B79" s="24" t="s">
        <v>316</v>
      </c>
      <c r="C79" s="18"/>
      <c r="D79" s="20" t="s">
        <v>203</v>
      </c>
      <c r="E79" s="21">
        <v>8500000</v>
      </c>
      <c r="F79" s="21"/>
      <c r="G79" s="39">
        <f t="shared" si="1"/>
        <v>227345603.67464757</v>
      </c>
    </row>
    <row r="80" spans="1:8" s="17" customFormat="1" ht="21.75" customHeight="1" x14ac:dyDescent="0.2">
      <c r="A80" s="18"/>
      <c r="B80" s="24" t="s">
        <v>316</v>
      </c>
      <c r="C80" s="35"/>
      <c r="D80" s="20" t="s">
        <v>313</v>
      </c>
      <c r="E80" s="21"/>
      <c r="F80" s="21">
        <v>15000000</v>
      </c>
      <c r="G80" s="39">
        <f t="shared" si="1"/>
        <v>212345603.67464757</v>
      </c>
    </row>
    <row r="81" spans="1:7" s="17" customFormat="1" ht="21.75" customHeight="1" x14ac:dyDescent="0.2">
      <c r="A81" s="18"/>
      <c r="B81" s="24" t="s">
        <v>316</v>
      </c>
      <c r="C81" s="18"/>
      <c r="D81" s="20" t="s">
        <v>380</v>
      </c>
      <c r="E81" s="21">
        <v>17963200</v>
      </c>
      <c r="F81" s="21"/>
      <c r="G81" s="39">
        <f t="shared" si="1"/>
        <v>230308803.67464757</v>
      </c>
    </row>
    <row r="82" spans="1:7" s="17" customFormat="1" ht="21.75" customHeight="1" x14ac:dyDescent="0.2">
      <c r="A82" s="18"/>
      <c r="B82" s="24" t="s">
        <v>316</v>
      </c>
      <c r="C82" s="36"/>
      <c r="D82" s="20" t="s">
        <v>319</v>
      </c>
      <c r="E82" s="21"/>
      <c r="F82" s="21">
        <v>6720000</v>
      </c>
      <c r="G82" s="39">
        <f t="shared" si="1"/>
        <v>223588803.67464757</v>
      </c>
    </row>
    <row r="83" spans="1:7" s="17" customFormat="1" ht="21.75" customHeight="1" x14ac:dyDescent="0.2">
      <c r="A83" s="18"/>
      <c r="B83" s="24" t="s">
        <v>316</v>
      </c>
      <c r="C83" s="36"/>
      <c r="D83" s="20" t="s">
        <v>427</v>
      </c>
      <c r="E83" s="21">
        <v>5000000</v>
      </c>
      <c r="F83" s="21"/>
      <c r="G83" s="39">
        <f t="shared" si="1"/>
        <v>228588803.67464757</v>
      </c>
    </row>
    <row r="84" spans="1:7" s="17" customFormat="1" ht="21.75" customHeight="1" x14ac:dyDescent="0.2">
      <c r="A84" s="18"/>
      <c r="B84" s="19" t="s">
        <v>320</v>
      </c>
      <c r="C84" s="36"/>
      <c r="D84" s="20" t="s">
        <v>336</v>
      </c>
      <c r="E84" s="21">
        <v>5000000</v>
      </c>
      <c r="F84" s="21"/>
      <c r="G84" s="39">
        <f t="shared" si="1"/>
        <v>233588803.67464757</v>
      </c>
    </row>
    <row r="85" spans="1:7" s="17" customFormat="1" ht="21.75" customHeight="1" x14ac:dyDescent="0.2">
      <c r="A85" s="18"/>
      <c r="B85" s="24" t="s">
        <v>320</v>
      </c>
      <c r="C85" s="36"/>
      <c r="D85" s="20" t="s">
        <v>318</v>
      </c>
      <c r="E85" s="21"/>
      <c r="F85" s="21">
        <v>1803000</v>
      </c>
      <c r="G85" s="39">
        <f t="shared" si="1"/>
        <v>231785803.67464757</v>
      </c>
    </row>
    <row r="86" spans="1:7" s="17" customFormat="1" ht="21.75" customHeight="1" x14ac:dyDescent="0.2">
      <c r="A86" s="18"/>
      <c r="B86" s="24" t="s">
        <v>320</v>
      </c>
      <c r="C86" s="36"/>
      <c r="D86" s="23" t="s">
        <v>418</v>
      </c>
      <c r="E86" s="21">
        <v>0</v>
      </c>
      <c r="F86" s="21"/>
      <c r="G86" s="39">
        <f t="shared" si="1"/>
        <v>231785803.67464757</v>
      </c>
    </row>
    <row r="87" spans="1:7" s="17" customFormat="1" ht="21.75" customHeight="1" x14ac:dyDescent="0.2">
      <c r="A87" s="18"/>
      <c r="B87" s="24" t="s">
        <v>320</v>
      </c>
      <c r="C87" s="36"/>
      <c r="D87" s="20" t="s">
        <v>419</v>
      </c>
      <c r="E87" s="21">
        <v>1975000</v>
      </c>
      <c r="F87" s="21"/>
      <c r="G87" s="39">
        <f t="shared" si="1"/>
        <v>233760803.67464757</v>
      </c>
    </row>
    <row r="88" spans="1:7" s="17" customFormat="1" ht="21.75" customHeight="1" x14ac:dyDescent="0.2">
      <c r="A88" s="18"/>
      <c r="B88" s="24" t="s">
        <v>320</v>
      </c>
      <c r="C88" s="36"/>
      <c r="D88" s="20" t="s">
        <v>200</v>
      </c>
      <c r="E88" s="21">
        <v>1000000</v>
      </c>
      <c r="F88" s="21"/>
      <c r="G88" s="39">
        <f t="shared" si="1"/>
        <v>234760803.67464757</v>
      </c>
    </row>
    <row r="89" spans="1:7" s="17" customFormat="1" ht="21.75" customHeight="1" x14ac:dyDescent="0.2">
      <c r="A89" s="18"/>
      <c r="B89" s="24" t="s">
        <v>320</v>
      </c>
      <c r="C89" s="36"/>
      <c r="D89" s="20" t="s">
        <v>201</v>
      </c>
      <c r="E89" s="21">
        <f>3550000+442500</f>
        <v>3992500</v>
      </c>
      <c r="F89" s="21"/>
      <c r="G89" s="39">
        <f t="shared" si="1"/>
        <v>238753303.67464757</v>
      </c>
    </row>
    <row r="90" spans="1:7" s="17" customFormat="1" ht="21.75" customHeight="1" x14ac:dyDescent="0.2">
      <c r="A90" s="18"/>
      <c r="B90" s="24" t="s">
        <v>320</v>
      </c>
      <c r="C90" s="36"/>
      <c r="D90" s="20" t="s">
        <v>202</v>
      </c>
      <c r="E90" s="21">
        <v>1406000</v>
      </c>
      <c r="F90" s="21"/>
      <c r="G90" s="39">
        <f t="shared" si="1"/>
        <v>240159303.67464757</v>
      </c>
    </row>
    <row r="91" spans="1:7" s="17" customFormat="1" ht="21.75" customHeight="1" x14ac:dyDescent="0.2">
      <c r="A91" s="18"/>
      <c r="B91" s="24" t="s">
        <v>320</v>
      </c>
      <c r="C91" s="36"/>
      <c r="D91" s="20" t="s">
        <v>203</v>
      </c>
      <c r="E91" s="21">
        <v>6927778</v>
      </c>
      <c r="F91" s="21"/>
      <c r="G91" s="39">
        <f t="shared" si="1"/>
        <v>247087081.67464757</v>
      </c>
    </row>
    <row r="92" spans="1:7" s="17" customFormat="1" ht="21.75" customHeight="1" x14ac:dyDescent="0.2">
      <c r="A92" s="18"/>
      <c r="B92" s="24" t="s">
        <v>320</v>
      </c>
      <c r="C92" s="36"/>
      <c r="D92" s="20" t="s">
        <v>204</v>
      </c>
      <c r="E92" s="21">
        <v>1610000</v>
      </c>
      <c r="F92" s="21"/>
      <c r="G92" s="39">
        <f t="shared" si="1"/>
        <v>248697081.67464757</v>
      </c>
    </row>
    <row r="93" spans="1:7" s="17" customFormat="1" ht="21.75" customHeight="1" x14ac:dyDescent="0.2">
      <c r="A93" s="18"/>
      <c r="B93" s="24" t="s">
        <v>320</v>
      </c>
      <c r="C93" s="36"/>
      <c r="D93" s="20" t="s">
        <v>205</v>
      </c>
      <c r="E93" s="21">
        <v>18666667</v>
      </c>
      <c r="F93" s="21"/>
      <c r="G93" s="39">
        <f t="shared" si="1"/>
        <v>267363748.67464757</v>
      </c>
    </row>
    <row r="94" spans="1:7" s="17" customFormat="1" ht="21.75" customHeight="1" x14ac:dyDescent="0.2">
      <c r="A94" s="18"/>
      <c r="B94" s="24" t="s">
        <v>320</v>
      </c>
      <c r="C94" s="36"/>
      <c r="D94" s="20" t="s">
        <v>420</v>
      </c>
      <c r="E94" s="21">
        <v>2925000</v>
      </c>
      <c r="F94" s="21"/>
      <c r="G94" s="39">
        <f t="shared" si="1"/>
        <v>270288748.67464757</v>
      </c>
    </row>
    <row r="95" spans="1:7" s="17" customFormat="1" ht="21.75" customHeight="1" x14ac:dyDescent="0.2">
      <c r="A95" s="18"/>
      <c r="B95" s="24" t="s">
        <v>320</v>
      </c>
      <c r="C95" s="36"/>
      <c r="D95" s="20" t="s">
        <v>317</v>
      </c>
      <c r="E95" s="21"/>
      <c r="F95" s="21">
        <v>15000000</v>
      </c>
      <c r="G95" s="39">
        <f t="shared" si="1"/>
        <v>255288748.67464757</v>
      </c>
    </row>
    <row r="96" spans="1:7" s="17" customFormat="1" ht="21.75" customHeight="1" x14ac:dyDescent="0.2">
      <c r="A96" s="18"/>
      <c r="B96" s="24" t="s">
        <v>320</v>
      </c>
      <c r="C96" s="36"/>
      <c r="D96" s="20" t="s">
        <v>21</v>
      </c>
      <c r="E96" s="21"/>
      <c r="F96" s="21">
        <v>2500</v>
      </c>
      <c r="G96" s="55">
        <f>+G95+E96-F96</f>
        <v>255286248.67464757</v>
      </c>
    </row>
    <row r="97" spans="1:7" s="17" customFormat="1" ht="21.75" customHeight="1" x14ac:dyDescent="0.2">
      <c r="A97" s="18"/>
      <c r="B97" s="19" t="s">
        <v>321</v>
      </c>
      <c r="C97" s="36"/>
      <c r="D97" s="20" t="s">
        <v>322</v>
      </c>
      <c r="E97" s="21"/>
      <c r="F97" s="21">
        <v>1000000</v>
      </c>
      <c r="G97" s="62">
        <f t="shared" ref="G97:G122" si="2">+G96+E97-F97</f>
        <v>254286248.67464757</v>
      </c>
    </row>
    <row r="98" spans="1:7" ht="21.75" customHeight="1" x14ac:dyDescent="0.2">
      <c r="A98" s="7"/>
      <c r="B98" s="24" t="s">
        <v>321</v>
      </c>
      <c r="C98" s="10"/>
      <c r="D98" s="20" t="s">
        <v>323</v>
      </c>
      <c r="E98" s="21">
        <v>690585</v>
      </c>
      <c r="F98" s="21"/>
      <c r="G98" s="62">
        <f t="shared" si="2"/>
        <v>254976833.67464757</v>
      </c>
    </row>
    <row r="99" spans="1:7" ht="21.75" customHeight="1" x14ac:dyDescent="0.2">
      <c r="A99" s="7"/>
      <c r="B99" s="24" t="s">
        <v>321</v>
      </c>
      <c r="C99" s="10"/>
      <c r="D99" s="20" t="s">
        <v>325</v>
      </c>
      <c r="E99" s="21">
        <v>29253000</v>
      </c>
      <c r="F99" s="21"/>
      <c r="G99" s="62">
        <f t="shared" si="2"/>
        <v>284229833.67464757</v>
      </c>
    </row>
    <row r="100" spans="1:7" ht="21.75" customHeight="1" x14ac:dyDescent="0.2">
      <c r="A100" s="7"/>
      <c r="B100" s="19" t="s">
        <v>337</v>
      </c>
      <c r="C100" s="10"/>
      <c r="D100" s="20" t="s">
        <v>324</v>
      </c>
      <c r="E100" s="21">
        <v>1200000</v>
      </c>
      <c r="F100" s="21"/>
      <c r="G100" s="62">
        <f t="shared" si="2"/>
        <v>285429833.67464757</v>
      </c>
    </row>
    <row r="101" spans="1:7" ht="21.75" customHeight="1" x14ac:dyDescent="0.2">
      <c r="A101" s="7"/>
      <c r="B101" s="24" t="s">
        <v>337</v>
      </c>
      <c r="C101" s="10"/>
      <c r="D101" s="20" t="s">
        <v>327</v>
      </c>
      <c r="E101" s="21"/>
      <c r="F101" s="21">
        <v>2925000</v>
      </c>
      <c r="G101" s="62">
        <f t="shared" si="2"/>
        <v>282504833.67464757</v>
      </c>
    </row>
    <row r="102" spans="1:7" ht="21.75" customHeight="1" x14ac:dyDescent="0.2">
      <c r="A102" s="7"/>
      <c r="B102" s="19" t="s">
        <v>338</v>
      </c>
      <c r="C102" s="36"/>
      <c r="D102" s="23" t="s">
        <v>328</v>
      </c>
      <c r="E102" s="21"/>
      <c r="F102" s="21">
        <v>3500000</v>
      </c>
      <c r="G102" s="62">
        <f t="shared" si="2"/>
        <v>279004833.67464757</v>
      </c>
    </row>
    <row r="103" spans="1:7" ht="21.75" customHeight="1" x14ac:dyDescent="0.2">
      <c r="A103" s="7"/>
      <c r="B103" s="19" t="s">
        <v>339</v>
      </c>
      <c r="C103" s="36"/>
      <c r="D103" s="23" t="s">
        <v>330</v>
      </c>
      <c r="E103" s="21"/>
      <c r="F103" s="21">
        <v>900000</v>
      </c>
      <c r="G103" s="62">
        <f t="shared" si="2"/>
        <v>278104833.67464757</v>
      </c>
    </row>
    <row r="104" spans="1:7" ht="21.75" customHeight="1" x14ac:dyDescent="0.2">
      <c r="A104" s="7"/>
      <c r="B104" s="24" t="s">
        <v>339</v>
      </c>
      <c r="C104" s="35"/>
      <c r="D104" s="20" t="s">
        <v>332</v>
      </c>
      <c r="E104" s="21"/>
      <c r="F104" s="21">
        <v>500000</v>
      </c>
      <c r="G104" s="62">
        <f t="shared" si="2"/>
        <v>277604833.67464757</v>
      </c>
    </row>
    <row r="105" spans="1:7" ht="21.75" customHeight="1" x14ac:dyDescent="0.2">
      <c r="A105" s="7"/>
      <c r="B105" s="24" t="s">
        <v>339</v>
      </c>
      <c r="C105" s="35"/>
      <c r="D105" s="20" t="s">
        <v>331</v>
      </c>
      <c r="E105" s="21"/>
      <c r="F105" s="21">
        <v>500000</v>
      </c>
      <c r="G105" s="62">
        <f t="shared" si="2"/>
        <v>277104833.67464757</v>
      </c>
    </row>
    <row r="106" spans="1:7" ht="21.75" customHeight="1" x14ac:dyDescent="0.2">
      <c r="A106" s="7"/>
      <c r="B106" s="19" t="s">
        <v>340</v>
      </c>
      <c r="C106" s="35"/>
      <c r="D106" s="23" t="s">
        <v>344</v>
      </c>
      <c r="E106" s="21">
        <f>+F106-10780000</f>
        <v>1220000</v>
      </c>
      <c r="F106" s="21">
        <v>12000000</v>
      </c>
      <c r="G106" s="62">
        <f t="shared" si="2"/>
        <v>266324833.67464757</v>
      </c>
    </row>
    <row r="107" spans="1:7" ht="21.75" customHeight="1" x14ac:dyDescent="0.2">
      <c r="A107" s="7"/>
      <c r="B107" s="24" t="s">
        <v>340</v>
      </c>
      <c r="C107" s="35"/>
      <c r="D107" s="20" t="s">
        <v>329</v>
      </c>
      <c r="E107" s="21"/>
      <c r="F107" s="21">
        <v>5000000</v>
      </c>
      <c r="G107" s="62">
        <f t="shared" si="2"/>
        <v>261324833.67464757</v>
      </c>
    </row>
    <row r="108" spans="1:7" ht="21.75" customHeight="1" x14ac:dyDescent="0.2">
      <c r="A108" s="7"/>
      <c r="B108" s="24" t="s">
        <v>340</v>
      </c>
      <c r="C108" s="35"/>
      <c r="D108" s="20" t="s">
        <v>21</v>
      </c>
      <c r="E108" s="21"/>
      <c r="F108" s="21">
        <v>2500</v>
      </c>
      <c r="G108" s="62">
        <f t="shared" si="2"/>
        <v>261322333.67464757</v>
      </c>
    </row>
    <row r="109" spans="1:7" ht="21.75" customHeight="1" x14ac:dyDescent="0.2">
      <c r="A109" s="7"/>
      <c r="B109" s="19" t="s">
        <v>341</v>
      </c>
      <c r="C109" s="35"/>
      <c r="D109" s="20" t="s">
        <v>333</v>
      </c>
      <c r="E109" s="21">
        <v>394839</v>
      </c>
      <c r="F109" s="21"/>
      <c r="G109" s="62">
        <f t="shared" si="2"/>
        <v>261717172.67464757</v>
      </c>
    </row>
    <row r="110" spans="1:7" ht="21.75" customHeight="1" x14ac:dyDescent="0.2">
      <c r="A110" s="7"/>
      <c r="B110" s="19" t="s">
        <v>342</v>
      </c>
      <c r="C110" s="35"/>
      <c r="D110" s="20" t="s">
        <v>335</v>
      </c>
      <c r="E110" s="21">
        <v>5161000</v>
      </c>
      <c r="F110" s="21"/>
      <c r="G110" s="62">
        <f t="shared" si="2"/>
        <v>266878172.67464757</v>
      </c>
    </row>
    <row r="111" spans="1:7" ht="21.75" customHeight="1" x14ac:dyDescent="0.2">
      <c r="A111" s="7"/>
      <c r="B111" s="24" t="s">
        <v>342</v>
      </c>
      <c r="C111" s="35"/>
      <c r="D111" s="20" t="s">
        <v>326</v>
      </c>
      <c r="E111" s="21"/>
      <c r="F111" s="69">
        <v>17050000</v>
      </c>
      <c r="G111" s="62">
        <f t="shared" si="2"/>
        <v>249828172.67464757</v>
      </c>
    </row>
    <row r="112" spans="1:7" ht="21.75" customHeight="1" x14ac:dyDescent="0.2">
      <c r="A112" s="7"/>
      <c r="B112" s="24" t="s">
        <v>342</v>
      </c>
      <c r="C112" s="35"/>
      <c r="D112" s="20" t="s">
        <v>422</v>
      </c>
      <c r="E112" s="68">
        <v>51800974</v>
      </c>
      <c r="F112" s="21"/>
      <c r="G112" s="62">
        <f t="shared" si="2"/>
        <v>301629146.67464757</v>
      </c>
    </row>
    <row r="113" spans="1:7" ht="21.75" customHeight="1" x14ac:dyDescent="0.2">
      <c r="A113" s="7"/>
      <c r="B113" s="24" t="s">
        <v>342</v>
      </c>
      <c r="C113" s="36"/>
      <c r="D113" s="23" t="s">
        <v>411</v>
      </c>
      <c r="E113" s="21">
        <v>0</v>
      </c>
      <c r="F113" s="21"/>
      <c r="G113" s="62">
        <f t="shared" si="2"/>
        <v>301629146.67464757</v>
      </c>
    </row>
    <row r="114" spans="1:7" ht="21.75" customHeight="1" x14ac:dyDescent="0.2">
      <c r="A114" s="7"/>
      <c r="B114" s="24" t="s">
        <v>342</v>
      </c>
      <c r="C114" s="36"/>
      <c r="D114" s="20" t="s">
        <v>417</v>
      </c>
      <c r="E114" s="21">
        <v>1600000</v>
      </c>
      <c r="F114" s="21"/>
      <c r="G114" s="62">
        <f t="shared" si="2"/>
        <v>303229146.67464757</v>
      </c>
    </row>
    <row r="115" spans="1:7" ht="21.75" customHeight="1" x14ac:dyDescent="0.2">
      <c r="A115" s="7"/>
      <c r="B115" s="24" t="s">
        <v>342</v>
      </c>
      <c r="C115" s="36"/>
      <c r="D115" s="20" t="s">
        <v>414</v>
      </c>
      <c r="E115" s="21">
        <v>2520000</v>
      </c>
      <c r="F115" s="21"/>
      <c r="G115" s="62">
        <f t="shared" si="2"/>
        <v>305749146.67464757</v>
      </c>
    </row>
    <row r="116" spans="1:7" ht="21.75" customHeight="1" x14ac:dyDescent="0.2">
      <c r="A116" s="7"/>
      <c r="B116" s="24" t="s">
        <v>342</v>
      </c>
      <c r="C116" s="36"/>
      <c r="D116" s="20" t="s">
        <v>415</v>
      </c>
      <c r="E116" s="21">
        <f>800000+120000</f>
        <v>920000</v>
      </c>
      <c r="F116" s="21"/>
      <c r="G116" s="62">
        <f t="shared" si="2"/>
        <v>306669146.67464757</v>
      </c>
    </row>
    <row r="117" spans="1:7" ht="21.75" customHeight="1" x14ac:dyDescent="0.2">
      <c r="A117" s="7"/>
      <c r="B117" s="24" t="s">
        <v>342</v>
      </c>
      <c r="C117" s="36"/>
      <c r="D117" s="20" t="s">
        <v>416</v>
      </c>
      <c r="E117" s="21">
        <v>8500000</v>
      </c>
      <c r="F117" s="21"/>
      <c r="G117" s="62">
        <f t="shared" si="2"/>
        <v>315169146.67464757</v>
      </c>
    </row>
    <row r="118" spans="1:7" ht="21.75" customHeight="1" x14ac:dyDescent="0.2">
      <c r="A118" s="7"/>
      <c r="B118" s="24" t="s">
        <v>342</v>
      </c>
      <c r="C118" s="36"/>
      <c r="D118" s="20" t="s">
        <v>357</v>
      </c>
      <c r="E118" s="21"/>
      <c r="F118" s="69">
        <v>19500000</v>
      </c>
      <c r="G118" s="62">
        <f t="shared" si="2"/>
        <v>295669146.67464757</v>
      </c>
    </row>
    <row r="119" spans="1:7" ht="21.75" customHeight="1" x14ac:dyDescent="0.2">
      <c r="A119" s="7"/>
      <c r="B119" s="19" t="s">
        <v>352</v>
      </c>
      <c r="C119" s="36"/>
      <c r="D119" s="20" t="s">
        <v>356</v>
      </c>
      <c r="E119" s="21">
        <v>2000000</v>
      </c>
      <c r="F119" s="21"/>
      <c r="G119" s="62">
        <f t="shared" si="2"/>
        <v>297669146.67464757</v>
      </c>
    </row>
    <row r="120" spans="1:7" ht="21.75" customHeight="1" x14ac:dyDescent="0.2">
      <c r="A120" s="7"/>
      <c r="B120" s="19" t="s">
        <v>353</v>
      </c>
      <c r="C120" s="36"/>
      <c r="D120" s="20" t="s">
        <v>355</v>
      </c>
      <c r="E120" s="21">
        <v>2575000</v>
      </c>
      <c r="F120" s="21"/>
      <c r="G120" s="62">
        <f t="shared" si="2"/>
        <v>300244146.67464757</v>
      </c>
    </row>
    <row r="121" spans="1:7" ht="21.75" customHeight="1" x14ac:dyDescent="0.2">
      <c r="A121" s="7"/>
      <c r="B121" s="24" t="s">
        <v>353</v>
      </c>
      <c r="C121" s="36"/>
      <c r="D121" s="20" t="s">
        <v>354</v>
      </c>
      <c r="E121" s="21"/>
      <c r="F121" s="69">
        <v>2000000</v>
      </c>
      <c r="G121" s="62">
        <f t="shared" si="2"/>
        <v>298244146.67464757</v>
      </c>
    </row>
    <row r="122" spans="1:7" ht="21.75" customHeight="1" x14ac:dyDescent="0.25">
      <c r="A122" s="7"/>
      <c r="B122" s="24" t="s">
        <v>353</v>
      </c>
      <c r="C122" s="36"/>
      <c r="D122" s="20" t="s">
        <v>21</v>
      </c>
      <c r="E122" s="21"/>
      <c r="F122" s="21">
        <v>2500</v>
      </c>
      <c r="G122" s="56">
        <f t="shared" si="2"/>
        <v>298241646.67464757</v>
      </c>
    </row>
    <row r="123" spans="1:7" ht="21.75" customHeight="1" x14ac:dyDescent="0.2">
      <c r="A123" s="7"/>
      <c r="B123" s="19" t="s">
        <v>361</v>
      </c>
      <c r="C123" s="36"/>
      <c r="D123" s="20" t="s">
        <v>358</v>
      </c>
      <c r="E123" s="21">
        <v>300000</v>
      </c>
      <c r="F123" s="21"/>
      <c r="G123" s="62">
        <f>+G122+E123-F123</f>
        <v>298541646.67464757</v>
      </c>
    </row>
    <row r="124" spans="1:7" ht="21.75" customHeight="1" x14ac:dyDescent="0.2">
      <c r="A124" s="7"/>
      <c r="B124" s="24" t="s">
        <v>361</v>
      </c>
      <c r="C124" s="36"/>
      <c r="D124" s="20" t="s">
        <v>22</v>
      </c>
      <c r="E124" s="21">
        <v>50000</v>
      </c>
      <c r="F124" s="21"/>
      <c r="G124" s="62">
        <f t="shared" ref="G124:G175" si="3">+G123+E124-F124</f>
        <v>298591646.67464757</v>
      </c>
    </row>
    <row r="125" spans="1:7" ht="21.75" customHeight="1" x14ac:dyDescent="0.2">
      <c r="A125" s="7"/>
      <c r="B125" s="24" t="s">
        <v>361</v>
      </c>
      <c r="C125" s="36"/>
      <c r="D125" s="20" t="s">
        <v>360</v>
      </c>
      <c r="E125" s="21">
        <v>1150000</v>
      </c>
      <c r="F125" s="21"/>
      <c r="G125" s="62">
        <f t="shared" si="3"/>
        <v>299741646.67464757</v>
      </c>
    </row>
    <row r="126" spans="1:7" ht="21.75" customHeight="1" x14ac:dyDescent="0.2">
      <c r="A126" s="7"/>
      <c r="B126" s="24" t="s">
        <v>361</v>
      </c>
      <c r="C126" s="36"/>
      <c r="D126" s="20" t="s">
        <v>566</v>
      </c>
      <c r="E126" s="68">
        <v>5050000</v>
      </c>
      <c r="F126" s="21"/>
      <c r="G126" s="62">
        <f t="shared" si="3"/>
        <v>304791646.67464757</v>
      </c>
    </row>
    <row r="127" spans="1:7" ht="21.75" customHeight="1" x14ac:dyDescent="0.2">
      <c r="A127" s="7"/>
      <c r="B127" s="24" t="s">
        <v>361</v>
      </c>
      <c r="C127" s="24"/>
      <c r="D127" s="20" t="s">
        <v>362</v>
      </c>
      <c r="E127" s="21">
        <v>100000</v>
      </c>
      <c r="F127" s="21"/>
      <c r="G127" s="62">
        <f t="shared" si="3"/>
        <v>304891646.67464757</v>
      </c>
    </row>
    <row r="128" spans="1:7" ht="21.75" customHeight="1" x14ac:dyDescent="0.2">
      <c r="A128" s="7"/>
      <c r="B128" s="24" t="s">
        <v>361</v>
      </c>
      <c r="C128" s="35"/>
      <c r="D128" s="20" t="s">
        <v>30</v>
      </c>
      <c r="E128" s="21">
        <v>50000</v>
      </c>
      <c r="F128" s="21"/>
      <c r="G128" s="62">
        <f t="shared" si="3"/>
        <v>304941646.67464757</v>
      </c>
    </row>
    <row r="129" spans="1:8" ht="21.75" customHeight="1" x14ac:dyDescent="0.2">
      <c r="A129" s="7"/>
      <c r="B129" s="24" t="s">
        <v>361</v>
      </c>
      <c r="C129" s="35"/>
      <c r="D129" s="20" t="s">
        <v>29</v>
      </c>
      <c r="E129" s="21">
        <v>200000</v>
      </c>
      <c r="F129" s="21"/>
      <c r="G129" s="62">
        <f t="shared" si="3"/>
        <v>305141646.67464757</v>
      </c>
    </row>
    <row r="130" spans="1:8" ht="21.75" customHeight="1" x14ac:dyDescent="0.2">
      <c r="A130" s="7"/>
      <c r="B130" s="24" t="s">
        <v>361</v>
      </c>
      <c r="C130" s="35"/>
      <c r="D130" s="23" t="s">
        <v>366</v>
      </c>
      <c r="E130" s="21">
        <v>0</v>
      </c>
      <c r="F130" s="21">
        <v>16696547</v>
      </c>
      <c r="G130" s="62">
        <f t="shared" si="3"/>
        <v>288445099.67464757</v>
      </c>
    </row>
    <row r="131" spans="1:8" ht="21.75" customHeight="1" x14ac:dyDescent="0.2">
      <c r="A131" s="7"/>
      <c r="B131" s="24" t="s">
        <v>361</v>
      </c>
      <c r="C131" s="18"/>
      <c r="D131" s="20" t="s">
        <v>31</v>
      </c>
      <c r="E131" s="21">
        <v>0</v>
      </c>
      <c r="F131" s="21">
        <v>10748501</v>
      </c>
      <c r="G131" s="62">
        <f t="shared" si="3"/>
        <v>277696598.67464757</v>
      </c>
    </row>
    <row r="132" spans="1:8" ht="21.75" customHeight="1" x14ac:dyDescent="0.2">
      <c r="A132" s="7"/>
      <c r="B132" s="24" t="s">
        <v>361</v>
      </c>
      <c r="C132" s="18"/>
      <c r="D132" s="20" t="s">
        <v>32</v>
      </c>
      <c r="E132" s="21">
        <v>0</v>
      </c>
      <c r="F132" s="21">
        <v>11496953</v>
      </c>
      <c r="G132" s="62">
        <f t="shared" si="3"/>
        <v>266199645.67464757</v>
      </c>
    </row>
    <row r="133" spans="1:8" ht="21.75" customHeight="1" x14ac:dyDescent="0.2">
      <c r="A133" s="7"/>
      <c r="B133" s="24" t="s">
        <v>361</v>
      </c>
      <c r="C133" s="18"/>
      <c r="D133" s="20" t="s">
        <v>33</v>
      </c>
      <c r="E133" s="21">
        <v>3353805</v>
      </c>
      <c r="F133" s="21">
        <v>0</v>
      </c>
      <c r="G133" s="62">
        <f t="shared" si="3"/>
        <v>269553450.67464757</v>
      </c>
    </row>
    <row r="134" spans="1:8" ht="21.75" customHeight="1" x14ac:dyDescent="0.2">
      <c r="A134" s="7"/>
      <c r="B134" s="24" t="s">
        <v>361</v>
      </c>
      <c r="C134" s="36"/>
      <c r="D134" s="20" t="s">
        <v>34</v>
      </c>
      <c r="E134" s="21">
        <v>1924846</v>
      </c>
      <c r="F134" s="21">
        <v>0</v>
      </c>
      <c r="G134" s="62">
        <f t="shared" si="3"/>
        <v>271478296.67464757</v>
      </c>
    </row>
    <row r="135" spans="1:8" ht="21.75" customHeight="1" x14ac:dyDescent="0.2">
      <c r="A135" s="7"/>
      <c r="B135" s="24" t="s">
        <v>361</v>
      </c>
      <c r="C135" s="36"/>
      <c r="D135" s="20" t="s">
        <v>35</v>
      </c>
      <c r="E135" s="21">
        <v>650000</v>
      </c>
      <c r="F135" s="21">
        <v>0</v>
      </c>
      <c r="G135" s="62">
        <f t="shared" si="3"/>
        <v>272128296.67464757</v>
      </c>
    </row>
    <row r="136" spans="1:8" ht="21.75" customHeight="1" x14ac:dyDescent="0.2">
      <c r="A136" s="7"/>
      <c r="B136" s="24" t="s">
        <v>361</v>
      </c>
      <c r="C136" s="36"/>
      <c r="D136" s="20" t="s">
        <v>36</v>
      </c>
      <c r="E136" s="21">
        <v>200000</v>
      </c>
      <c r="F136" s="21">
        <v>0</v>
      </c>
      <c r="G136" s="62">
        <f t="shared" si="3"/>
        <v>272328296.67464757</v>
      </c>
    </row>
    <row r="137" spans="1:8" ht="21.75" customHeight="1" x14ac:dyDescent="0.2">
      <c r="A137" s="7"/>
      <c r="B137" s="24" t="s">
        <v>361</v>
      </c>
      <c r="C137" s="36"/>
      <c r="D137" s="20" t="s">
        <v>37</v>
      </c>
      <c r="E137" s="21">
        <v>6352500</v>
      </c>
      <c r="F137" s="21">
        <v>0</v>
      </c>
      <c r="G137" s="62">
        <f t="shared" si="3"/>
        <v>278680796.67464757</v>
      </c>
    </row>
    <row r="138" spans="1:8" ht="21.75" customHeight="1" x14ac:dyDescent="0.2">
      <c r="A138" s="7"/>
      <c r="B138" s="24" t="s">
        <v>361</v>
      </c>
      <c r="C138" s="36"/>
      <c r="D138" s="20" t="s">
        <v>38</v>
      </c>
      <c r="E138" s="21">
        <v>1950000</v>
      </c>
      <c r="F138" s="21"/>
      <c r="G138" s="62">
        <f t="shared" si="3"/>
        <v>280630796.67464757</v>
      </c>
    </row>
    <row r="139" spans="1:8" ht="21.75" customHeight="1" x14ac:dyDescent="0.2">
      <c r="A139" s="7"/>
      <c r="B139" s="24" t="s">
        <v>361</v>
      </c>
      <c r="C139" s="35"/>
      <c r="D139" s="23" t="s">
        <v>367</v>
      </c>
      <c r="E139" s="21">
        <v>0</v>
      </c>
      <c r="F139" s="39">
        <v>100214969.28</v>
      </c>
      <c r="G139" s="62">
        <f t="shared" si="3"/>
        <v>180415827.39464757</v>
      </c>
    </row>
    <row r="140" spans="1:8" ht="21.75" customHeight="1" x14ac:dyDescent="0.2">
      <c r="A140" s="7"/>
      <c r="B140" s="24" t="s">
        <v>361</v>
      </c>
      <c r="C140" s="35"/>
      <c r="D140" s="20" t="s">
        <v>41</v>
      </c>
      <c r="E140" s="39">
        <v>9508469.2799999993</v>
      </c>
      <c r="F140" s="21">
        <v>0</v>
      </c>
      <c r="G140" s="62">
        <f t="shared" si="3"/>
        <v>189924296.67464757</v>
      </c>
    </row>
    <row r="141" spans="1:8" ht="21.75" customHeight="1" x14ac:dyDescent="0.2">
      <c r="A141" s="7"/>
      <c r="B141" s="24" t="s">
        <v>361</v>
      </c>
      <c r="C141" s="35"/>
      <c r="D141" s="20" t="s">
        <v>42</v>
      </c>
      <c r="E141" s="21">
        <v>5499560</v>
      </c>
      <c r="F141" s="21">
        <v>0</v>
      </c>
      <c r="G141" s="62">
        <f t="shared" si="3"/>
        <v>195423856.67464757</v>
      </c>
    </row>
    <row r="142" spans="1:8" s="12" customFormat="1" ht="21.75" customHeight="1" x14ac:dyDescent="0.2">
      <c r="A142" s="7"/>
      <c r="B142" s="24" t="s">
        <v>361</v>
      </c>
      <c r="C142" s="35"/>
      <c r="D142" s="20" t="s">
        <v>43</v>
      </c>
      <c r="E142" s="21">
        <v>1750000</v>
      </c>
      <c r="F142" s="21">
        <v>0</v>
      </c>
      <c r="G142" s="62">
        <f t="shared" si="3"/>
        <v>197173856.67464757</v>
      </c>
      <c r="H142" s="12">
        <v>11277000</v>
      </c>
    </row>
    <row r="143" spans="1:8" s="12" customFormat="1" ht="21.75" customHeight="1" x14ac:dyDescent="0.2">
      <c r="A143" s="7"/>
      <c r="B143" s="24" t="s">
        <v>361</v>
      </c>
      <c r="C143" s="35"/>
      <c r="D143" s="20" t="s">
        <v>44</v>
      </c>
      <c r="E143" s="21">
        <v>1750000</v>
      </c>
      <c r="F143" s="21">
        <v>0</v>
      </c>
      <c r="G143" s="62">
        <f t="shared" si="3"/>
        <v>198923856.67464757</v>
      </c>
    </row>
    <row r="144" spans="1:8" s="12" customFormat="1" ht="21.75" customHeight="1" x14ac:dyDescent="0.2">
      <c r="A144" s="42"/>
      <c r="B144" s="24" t="s">
        <v>361</v>
      </c>
      <c r="C144" s="35"/>
      <c r="D144" s="20" t="s">
        <v>59</v>
      </c>
      <c r="E144" s="21">
        <v>4805000</v>
      </c>
      <c r="F144" s="21">
        <v>0</v>
      </c>
      <c r="G144" s="62">
        <f t="shared" si="3"/>
        <v>203728856.67464757</v>
      </c>
    </row>
    <row r="145" spans="1:7" s="12" customFormat="1" ht="21.75" customHeight="1" x14ac:dyDescent="0.2">
      <c r="A145" s="42"/>
      <c r="B145" s="24" t="s">
        <v>361</v>
      </c>
      <c r="C145" s="35"/>
      <c r="D145" s="20" t="s">
        <v>58</v>
      </c>
      <c r="E145" s="21">
        <v>824000</v>
      </c>
      <c r="F145" s="21"/>
      <c r="G145" s="62">
        <f t="shared" si="3"/>
        <v>204552856.67464757</v>
      </c>
    </row>
    <row r="146" spans="1:7" s="12" customFormat="1" ht="21.75" customHeight="1" x14ac:dyDescent="0.2">
      <c r="A146" s="42"/>
      <c r="B146" s="24" t="s">
        <v>361</v>
      </c>
      <c r="C146" s="35"/>
      <c r="D146" s="20" t="s">
        <v>51</v>
      </c>
      <c r="E146" s="21">
        <v>11500000</v>
      </c>
      <c r="F146" s="21">
        <v>0</v>
      </c>
      <c r="G146" s="62">
        <f t="shared" si="3"/>
        <v>216052856.67464757</v>
      </c>
    </row>
    <row r="147" spans="1:7" s="12" customFormat="1" ht="21.75" customHeight="1" x14ac:dyDescent="0.2">
      <c r="A147" s="42"/>
      <c r="B147" s="24" t="s">
        <v>361</v>
      </c>
      <c r="C147" s="35"/>
      <c r="D147" s="20" t="s">
        <v>45</v>
      </c>
      <c r="E147" s="21">
        <v>536000</v>
      </c>
      <c r="F147" s="21">
        <v>0</v>
      </c>
      <c r="G147" s="62">
        <f t="shared" si="3"/>
        <v>216588856.67464757</v>
      </c>
    </row>
    <row r="148" spans="1:7" s="12" customFormat="1" ht="21.75" customHeight="1" x14ac:dyDescent="0.2">
      <c r="A148" s="42"/>
      <c r="B148" s="24" t="s">
        <v>361</v>
      </c>
      <c r="C148" s="35"/>
      <c r="D148" s="23" t="s">
        <v>368</v>
      </c>
      <c r="E148" s="21">
        <v>0</v>
      </c>
      <c r="F148" s="39">
        <v>19680239.84</v>
      </c>
      <c r="G148" s="62">
        <f t="shared" si="3"/>
        <v>196908616.83464757</v>
      </c>
    </row>
    <row r="149" spans="1:7" s="12" customFormat="1" ht="21.75" customHeight="1" x14ac:dyDescent="0.2">
      <c r="A149" s="42"/>
      <c r="B149" s="24" t="s">
        <v>361</v>
      </c>
      <c r="C149" s="35"/>
      <c r="D149" s="20" t="s">
        <v>46</v>
      </c>
      <c r="E149" s="39">
        <v>1895339.84</v>
      </c>
      <c r="F149" s="21">
        <v>0</v>
      </c>
      <c r="G149" s="62">
        <f t="shared" si="3"/>
        <v>198803956.67464757</v>
      </c>
    </row>
    <row r="150" spans="1:7" ht="21.75" customHeight="1" x14ac:dyDescent="0.2">
      <c r="A150" s="42"/>
      <c r="B150" s="24" t="s">
        <v>361</v>
      </c>
      <c r="C150" s="35"/>
      <c r="D150" s="20" t="s">
        <v>47</v>
      </c>
      <c r="E150" s="21">
        <v>1099912</v>
      </c>
      <c r="F150" s="21">
        <v>0</v>
      </c>
      <c r="G150" s="62">
        <f t="shared" si="3"/>
        <v>199903868.67464757</v>
      </c>
    </row>
    <row r="151" spans="1:7" ht="21.75" customHeight="1" x14ac:dyDescent="0.2">
      <c r="A151" s="42"/>
      <c r="B151" s="24" t="s">
        <v>361</v>
      </c>
      <c r="C151" s="35"/>
      <c r="D151" s="20" t="s">
        <v>48</v>
      </c>
      <c r="E151" s="21">
        <v>200000</v>
      </c>
      <c r="F151" s="21">
        <v>0</v>
      </c>
      <c r="G151" s="62">
        <f t="shared" si="3"/>
        <v>200103868.67464757</v>
      </c>
    </row>
    <row r="152" spans="1:7" ht="21.75" customHeight="1" x14ac:dyDescent="0.2">
      <c r="A152" s="7"/>
      <c r="B152" s="24" t="s">
        <v>361</v>
      </c>
      <c r="C152" s="35"/>
      <c r="D152" s="20" t="s">
        <v>81</v>
      </c>
      <c r="E152" s="21">
        <v>110000</v>
      </c>
      <c r="F152" s="21"/>
      <c r="G152" s="62">
        <f t="shared" si="3"/>
        <v>200213868.67464757</v>
      </c>
    </row>
    <row r="153" spans="1:7" ht="21.75" customHeight="1" x14ac:dyDescent="0.2">
      <c r="A153" s="7"/>
      <c r="B153" s="24" t="s">
        <v>361</v>
      </c>
      <c r="C153" s="36"/>
      <c r="D153" s="20" t="s">
        <v>49</v>
      </c>
      <c r="E153" s="21">
        <v>2875000</v>
      </c>
      <c r="F153" s="21">
        <v>0</v>
      </c>
      <c r="G153" s="62">
        <f t="shared" si="3"/>
        <v>203088868.67464757</v>
      </c>
    </row>
    <row r="154" spans="1:7" ht="21.75" customHeight="1" x14ac:dyDescent="0.2">
      <c r="A154" s="7"/>
      <c r="B154" s="24" t="s">
        <v>361</v>
      </c>
      <c r="C154" s="36"/>
      <c r="D154" s="20" t="s">
        <v>50</v>
      </c>
      <c r="E154" s="21">
        <v>768000</v>
      </c>
      <c r="F154" s="21"/>
      <c r="G154" s="62">
        <f t="shared" si="3"/>
        <v>203856868.67464757</v>
      </c>
    </row>
    <row r="155" spans="1:7" ht="21.75" customHeight="1" x14ac:dyDescent="0.2">
      <c r="A155" s="7"/>
      <c r="B155" s="24" t="s">
        <v>361</v>
      </c>
      <c r="C155" s="24"/>
      <c r="D155" s="23" t="s">
        <v>369</v>
      </c>
      <c r="E155" s="21">
        <v>0</v>
      </c>
      <c r="F155" s="39">
        <v>29929359.760000002</v>
      </c>
      <c r="G155" s="62">
        <f t="shared" si="3"/>
        <v>173927508.91464758</v>
      </c>
    </row>
    <row r="156" spans="1:7" ht="21.75" customHeight="1" x14ac:dyDescent="0.2">
      <c r="A156" s="7"/>
      <c r="B156" s="24" t="s">
        <v>361</v>
      </c>
      <c r="C156" s="36"/>
      <c r="D156" s="20" t="s">
        <v>55</v>
      </c>
      <c r="E156" s="39">
        <v>2843009.76</v>
      </c>
      <c r="F156" s="21">
        <v>0</v>
      </c>
      <c r="G156" s="62">
        <f t="shared" si="3"/>
        <v>176770518.67464757</v>
      </c>
    </row>
    <row r="157" spans="1:7" ht="21.75" customHeight="1" x14ac:dyDescent="0.2">
      <c r="A157" s="7"/>
      <c r="B157" s="24" t="s">
        <v>361</v>
      </c>
      <c r="C157" s="24"/>
      <c r="D157" s="20" t="s">
        <v>54</v>
      </c>
      <c r="E157" s="21">
        <v>1649868</v>
      </c>
      <c r="F157" s="21">
        <v>0</v>
      </c>
      <c r="G157" s="62">
        <f t="shared" si="3"/>
        <v>178420386.67464757</v>
      </c>
    </row>
    <row r="158" spans="1:7" ht="21.75" customHeight="1" x14ac:dyDescent="0.2">
      <c r="A158" s="7"/>
      <c r="B158" s="24" t="s">
        <v>361</v>
      </c>
      <c r="C158" s="36"/>
      <c r="D158" s="20" t="s">
        <v>53</v>
      </c>
      <c r="E158" s="21">
        <v>350000</v>
      </c>
      <c r="F158" s="21">
        <v>0</v>
      </c>
      <c r="G158" s="62">
        <f t="shared" si="3"/>
        <v>178770386.67464757</v>
      </c>
    </row>
    <row r="159" spans="1:7" ht="21.75" customHeight="1" x14ac:dyDescent="0.2">
      <c r="A159" s="7"/>
      <c r="B159" s="24" t="s">
        <v>361</v>
      </c>
      <c r="C159" s="36"/>
      <c r="D159" s="20" t="s">
        <v>56</v>
      </c>
      <c r="E159" s="21">
        <v>100000</v>
      </c>
      <c r="F159" s="21">
        <v>0</v>
      </c>
      <c r="G159" s="62">
        <f t="shared" si="3"/>
        <v>178870386.67464757</v>
      </c>
    </row>
    <row r="160" spans="1:7" ht="21.75" customHeight="1" x14ac:dyDescent="0.2">
      <c r="A160" s="7"/>
      <c r="B160" s="24" t="s">
        <v>361</v>
      </c>
      <c r="C160" s="36"/>
      <c r="D160" s="20" t="s">
        <v>57</v>
      </c>
      <c r="E160" s="21">
        <v>935000</v>
      </c>
      <c r="F160" s="21">
        <v>0</v>
      </c>
      <c r="G160" s="62">
        <f t="shared" si="3"/>
        <v>179805386.67464757</v>
      </c>
    </row>
    <row r="161" spans="1:9" ht="21.75" customHeight="1" x14ac:dyDescent="0.2">
      <c r="A161" s="7"/>
      <c r="B161" s="24" t="s">
        <v>361</v>
      </c>
      <c r="C161" s="36"/>
      <c r="D161" s="20" t="s">
        <v>216</v>
      </c>
      <c r="E161" s="21">
        <v>225000</v>
      </c>
      <c r="F161" s="21">
        <v>0</v>
      </c>
      <c r="G161" s="62">
        <f t="shared" si="3"/>
        <v>180030386.67464757</v>
      </c>
    </row>
    <row r="162" spans="1:9" ht="21.75" customHeight="1" x14ac:dyDescent="0.2">
      <c r="A162" s="7"/>
      <c r="B162" s="24" t="s">
        <v>361</v>
      </c>
      <c r="C162" s="24"/>
      <c r="D162" s="20" t="s">
        <v>52</v>
      </c>
      <c r="E162" s="21">
        <v>137000</v>
      </c>
      <c r="F162" s="21">
        <v>0</v>
      </c>
      <c r="G162" s="62">
        <f t="shared" si="3"/>
        <v>180167386.67464757</v>
      </c>
      <c r="H162" s="11"/>
      <c r="I162" s="9"/>
    </row>
    <row r="163" spans="1:9" ht="21.75" customHeight="1" x14ac:dyDescent="0.2">
      <c r="A163" s="7"/>
      <c r="B163" s="24" t="s">
        <v>361</v>
      </c>
      <c r="C163" s="36"/>
      <c r="D163" s="23" t="s">
        <v>370</v>
      </c>
      <c r="E163" s="21">
        <v>0</v>
      </c>
      <c r="F163" s="39">
        <v>20066239.84</v>
      </c>
      <c r="G163" s="62">
        <f t="shared" si="3"/>
        <v>160101146.83464757</v>
      </c>
      <c r="H163" s="9"/>
      <c r="I163" s="9"/>
    </row>
    <row r="164" spans="1:9" ht="21.75" customHeight="1" x14ac:dyDescent="0.2">
      <c r="A164" s="7"/>
      <c r="B164" s="24" t="s">
        <v>361</v>
      </c>
      <c r="C164" s="36"/>
      <c r="D164" s="20" t="s">
        <v>60</v>
      </c>
      <c r="E164" s="39">
        <v>1895339.84</v>
      </c>
      <c r="F164" s="21">
        <v>0</v>
      </c>
      <c r="G164" s="62">
        <f t="shared" si="3"/>
        <v>161996486.67464757</v>
      </c>
      <c r="H164" s="9"/>
      <c r="I164" s="9">
        <f>+E164-H164</f>
        <v>1895339.84</v>
      </c>
    </row>
    <row r="165" spans="1:9" ht="21.75" customHeight="1" x14ac:dyDescent="0.2">
      <c r="A165" s="7"/>
      <c r="B165" s="24" t="s">
        <v>361</v>
      </c>
      <c r="C165" s="36"/>
      <c r="D165" s="20" t="s">
        <v>61</v>
      </c>
      <c r="E165" s="21">
        <v>1099912</v>
      </c>
      <c r="F165" s="21">
        <v>0</v>
      </c>
      <c r="G165" s="62">
        <f t="shared" si="3"/>
        <v>163096398.67464757</v>
      </c>
      <c r="H165" s="9"/>
      <c r="I165" s="9"/>
    </row>
    <row r="166" spans="1:9" ht="21.75" customHeight="1" x14ac:dyDescent="0.2">
      <c r="A166" s="7"/>
      <c r="B166" s="24" t="s">
        <v>361</v>
      </c>
      <c r="C166" s="36"/>
      <c r="D166" s="20" t="s">
        <v>62</v>
      </c>
      <c r="E166" s="21">
        <v>200000</v>
      </c>
      <c r="F166" s="39">
        <v>0</v>
      </c>
      <c r="G166" s="62">
        <f t="shared" si="3"/>
        <v>163296398.67464757</v>
      </c>
      <c r="H166" s="9"/>
      <c r="I166" s="9"/>
    </row>
    <row r="167" spans="1:9" ht="21.75" customHeight="1" x14ac:dyDescent="0.2">
      <c r="A167" s="7"/>
      <c r="B167" s="24" t="s">
        <v>361</v>
      </c>
      <c r="C167" s="36"/>
      <c r="D167" s="20" t="s">
        <v>63</v>
      </c>
      <c r="E167" s="21">
        <v>275000</v>
      </c>
      <c r="F167" s="21">
        <v>0</v>
      </c>
      <c r="G167" s="62">
        <f t="shared" si="3"/>
        <v>163571398.67464757</v>
      </c>
      <c r="H167" s="9"/>
      <c r="I167" s="9"/>
    </row>
    <row r="168" spans="1:9" ht="21.75" customHeight="1" x14ac:dyDescent="0.2">
      <c r="A168" s="7"/>
      <c r="B168" s="24" t="s">
        <v>361</v>
      </c>
      <c r="C168" s="36"/>
      <c r="D168" s="20" t="s">
        <v>64</v>
      </c>
      <c r="E168" s="21"/>
      <c r="F168" s="26">
        <v>2745000</v>
      </c>
      <c r="G168" s="62">
        <f t="shared" si="3"/>
        <v>160826398.67464757</v>
      </c>
      <c r="H168" s="9"/>
      <c r="I168" s="9"/>
    </row>
    <row r="169" spans="1:9" ht="21.75" customHeight="1" x14ac:dyDescent="0.2">
      <c r="A169" s="7"/>
      <c r="B169" s="24" t="s">
        <v>361</v>
      </c>
      <c r="C169" s="36"/>
      <c r="D169" s="20" t="s">
        <v>65</v>
      </c>
      <c r="E169" s="21"/>
      <c r="F169" s="21">
        <v>1800000</v>
      </c>
      <c r="G169" s="62">
        <f t="shared" si="3"/>
        <v>159026398.67464757</v>
      </c>
      <c r="H169" s="9"/>
      <c r="I169" s="9"/>
    </row>
    <row r="170" spans="1:9" ht="21.75" customHeight="1" x14ac:dyDescent="0.2">
      <c r="A170" s="7"/>
      <c r="B170" s="24" t="s">
        <v>361</v>
      </c>
      <c r="C170" s="36"/>
      <c r="D170" s="20" t="s">
        <v>66</v>
      </c>
      <c r="E170" s="21"/>
      <c r="F170" s="21">
        <v>1320000</v>
      </c>
      <c r="G170" s="62">
        <f t="shared" si="3"/>
        <v>157706398.67464757</v>
      </c>
      <c r="H170" s="9"/>
      <c r="I170" s="9">
        <f>+E170-H170</f>
        <v>0</v>
      </c>
    </row>
    <row r="171" spans="1:9" ht="21.75" customHeight="1" x14ac:dyDescent="0.2">
      <c r="A171" s="7"/>
      <c r="B171" s="24" t="s">
        <v>361</v>
      </c>
      <c r="C171" s="36"/>
      <c r="D171" s="20" t="s">
        <v>67</v>
      </c>
      <c r="E171" s="21"/>
      <c r="F171" s="26">
        <v>2640000</v>
      </c>
      <c r="G171" s="62">
        <f t="shared" si="3"/>
        <v>155066398.67464757</v>
      </c>
      <c r="H171" s="9"/>
      <c r="I171" s="9"/>
    </row>
    <row r="172" spans="1:9" ht="21.75" customHeight="1" x14ac:dyDescent="0.2">
      <c r="A172" s="7"/>
      <c r="B172" s="24" t="s">
        <v>361</v>
      </c>
      <c r="C172" s="36"/>
      <c r="D172" s="20" t="s">
        <v>363</v>
      </c>
      <c r="E172" s="21"/>
      <c r="F172" s="21">
        <v>3941310</v>
      </c>
      <c r="G172" s="62">
        <f t="shared" si="3"/>
        <v>151125088.67464757</v>
      </c>
      <c r="H172" s="9"/>
      <c r="I172" s="9"/>
    </row>
    <row r="173" spans="1:9" ht="21.75" customHeight="1" x14ac:dyDescent="0.2">
      <c r="A173" s="7"/>
      <c r="B173" s="24" t="s">
        <v>361</v>
      </c>
      <c r="C173" s="36"/>
      <c r="D173" s="20" t="s">
        <v>364</v>
      </c>
      <c r="E173" s="21"/>
      <c r="F173" s="21">
        <v>3591210</v>
      </c>
      <c r="G173" s="62">
        <f t="shared" si="3"/>
        <v>147533878.67464757</v>
      </c>
      <c r="H173" s="9"/>
      <c r="I173" s="9"/>
    </row>
    <row r="174" spans="1:9" ht="21.75" customHeight="1" x14ac:dyDescent="0.2">
      <c r="A174" s="7"/>
      <c r="B174" s="24" t="s">
        <v>361</v>
      </c>
      <c r="C174" s="36"/>
      <c r="D174" s="20" t="s">
        <v>225</v>
      </c>
      <c r="E174" s="21"/>
      <c r="F174" s="21">
        <v>17528066</v>
      </c>
      <c r="G174" s="62">
        <f t="shared" si="3"/>
        <v>130005812.67464757</v>
      </c>
      <c r="H174" s="9"/>
      <c r="I174" s="9"/>
    </row>
    <row r="175" spans="1:9" ht="21.75" customHeight="1" x14ac:dyDescent="0.25">
      <c r="A175" s="7"/>
      <c r="B175" s="24" t="s">
        <v>361</v>
      </c>
      <c r="C175" s="36"/>
      <c r="D175" s="23" t="s">
        <v>343</v>
      </c>
      <c r="E175" s="21"/>
      <c r="F175" s="21">
        <v>3000000</v>
      </c>
      <c r="G175" s="56">
        <f t="shared" si="3"/>
        <v>127005812.67464757</v>
      </c>
      <c r="H175" s="9"/>
      <c r="I175" s="9"/>
    </row>
    <row r="176" spans="1:9" ht="21.75" customHeight="1" x14ac:dyDescent="0.2">
      <c r="A176" s="7"/>
      <c r="B176" s="24" t="s">
        <v>361</v>
      </c>
      <c r="C176" s="36"/>
      <c r="D176" s="20" t="s">
        <v>381</v>
      </c>
      <c r="E176" s="21">
        <v>14715000</v>
      </c>
      <c r="F176" s="21"/>
      <c r="G176" s="39">
        <f t="shared" ref="G176" si="4">+G175+E176-F176</f>
        <v>141720812.67464757</v>
      </c>
      <c r="H176" s="9"/>
      <c r="I176" s="9"/>
    </row>
    <row r="177" spans="1:9" ht="21.75" customHeight="1" x14ac:dyDescent="0.2">
      <c r="A177" s="7"/>
      <c r="B177" s="24" t="s">
        <v>361</v>
      </c>
      <c r="C177" s="36"/>
      <c r="D177" s="20" t="s">
        <v>382</v>
      </c>
      <c r="E177" s="21">
        <v>1035500</v>
      </c>
      <c r="F177" s="21"/>
      <c r="G177" s="39">
        <f t="shared" ref="G177:G199" si="5">+G176+E177-F177</f>
        <v>142756312.67464757</v>
      </c>
      <c r="H177" s="9"/>
      <c r="I177" s="9"/>
    </row>
    <row r="178" spans="1:9" ht="21.75" customHeight="1" x14ac:dyDescent="0.2">
      <c r="A178" s="7"/>
      <c r="B178" s="24" t="s">
        <v>361</v>
      </c>
      <c r="C178" s="36"/>
      <c r="D178" s="20" t="s">
        <v>383</v>
      </c>
      <c r="E178" s="21">
        <v>3047500</v>
      </c>
      <c r="F178" s="21"/>
      <c r="G178" s="39">
        <f t="shared" si="5"/>
        <v>145803812.67464757</v>
      </c>
      <c r="H178" s="9"/>
      <c r="I178" s="9"/>
    </row>
    <row r="179" spans="1:9" ht="21.75" customHeight="1" x14ac:dyDescent="0.2">
      <c r="A179" s="7"/>
      <c r="B179" s="24" t="s">
        <v>361</v>
      </c>
      <c r="C179" s="36"/>
      <c r="D179" s="20" t="s">
        <v>278</v>
      </c>
      <c r="E179" s="21">
        <v>9822801</v>
      </c>
      <c r="F179" s="21"/>
      <c r="G179" s="39">
        <f t="shared" si="5"/>
        <v>155626613.67464757</v>
      </c>
      <c r="H179" s="9"/>
      <c r="I179" s="9"/>
    </row>
    <row r="180" spans="1:9" ht="21.75" customHeight="1" x14ac:dyDescent="0.2">
      <c r="A180" s="7"/>
      <c r="B180" s="24" t="s">
        <v>361</v>
      </c>
      <c r="C180" s="36"/>
      <c r="D180" s="23" t="s">
        <v>371</v>
      </c>
      <c r="E180" s="25">
        <v>0</v>
      </c>
      <c r="F180" s="21"/>
      <c r="G180" s="39">
        <f t="shared" si="5"/>
        <v>155626613.67464757</v>
      </c>
      <c r="H180" s="9"/>
      <c r="I180" s="9"/>
    </row>
    <row r="181" spans="1:9" ht="21.75" customHeight="1" x14ac:dyDescent="0.2">
      <c r="A181" s="7"/>
      <c r="B181" s="24" t="s">
        <v>361</v>
      </c>
      <c r="C181" s="36"/>
      <c r="D181" s="20" t="s">
        <v>413</v>
      </c>
      <c r="E181" s="21">
        <v>100000</v>
      </c>
      <c r="F181" s="21"/>
      <c r="G181" s="39">
        <f t="shared" si="5"/>
        <v>155726613.67464757</v>
      </c>
      <c r="H181" s="9"/>
      <c r="I181" s="9"/>
    </row>
    <row r="182" spans="1:9" ht="21.75" customHeight="1" x14ac:dyDescent="0.2">
      <c r="A182" s="7"/>
      <c r="B182" s="24" t="s">
        <v>361</v>
      </c>
      <c r="C182" s="36"/>
      <c r="D182" s="20" t="s">
        <v>236</v>
      </c>
      <c r="E182" s="21">
        <v>2700000</v>
      </c>
      <c r="F182" s="21"/>
      <c r="G182" s="39">
        <f t="shared" si="5"/>
        <v>158426613.67464757</v>
      </c>
      <c r="H182" s="9"/>
      <c r="I182" s="9"/>
    </row>
    <row r="183" spans="1:9" ht="21.75" customHeight="1" x14ac:dyDescent="0.2">
      <c r="A183" s="7"/>
      <c r="B183" s="24" t="s">
        <v>361</v>
      </c>
      <c r="C183" s="36"/>
      <c r="D183" s="20" t="s">
        <v>237</v>
      </c>
      <c r="E183" s="54">
        <v>2300000</v>
      </c>
      <c r="F183" s="21"/>
      <c r="G183" s="39">
        <f t="shared" si="5"/>
        <v>160726613.67464757</v>
      </c>
      <c r="H183" s="9"/>
      <c r="I183" s="9"/>
    </row>
    <row r="184" spans="1:9" ht="21.75" customHeight="1" x14ac:dyDescent="0.2">
      <c r="A184" s="7"/>
      <c r="B184" s="24" t="s">
        <v>361</v>
      </c>
      <c r="C184" s="36"/>
      <c r="D184" s="20" t="s">
        <v>23</v>
      </c>
      <c r="E184" s="21">
        <v>8870000</v>
      </c>
      <c r="F184" s="21"/>
      <c r="G184" s="39">
        <f t="shared" si="5"/>
        <v>169596613.67464757</v>
      </c>
      <c r="H184" s="9"/>
      <c r="I184" s="9"/>
    </row>
    <row r="185" spans="1:9" ht="21.75" customHeight="1" x14ac:dyDescent="0.2">
      <c r="A185" s="7"/>
      <c r="B185" s="24" t="s">
        <v>361</v>
      </c>
      <c r="C185" s="36"/>
      <c r="D185" s="20" t="s">
        <v>24</v>
      </c>
      <c r="E185" s="21">
        <v>2300000</v>
      </c>
      <c r="F185" s="21"/>
      <c r="G185" s="39">
        <f t="shared" si="5"/>
        <v>171896613.67464757</v>
      </c>
      <c r="H185" s="9"/>
      <c r="I185" s="9"/>
    </row>
    <row r="186" spans="1:9" ht="21.75" customHeight="1" x14ac:dyDescent="0.2">
      <c r="A186" s="7"/>
      <c r="B186" s="24" t="s">
        <v>361</v>
      </c>
      <c r="C186" s="36"/>
      <c r="D186" s="20" t="s">
        <v>26</v>
      </c>
      <c r="E186" s="21">
        <v>8820833</v>
      </c>
      <c r="F186" s="21"/>
      <c r="G186" s="39">
        <f t="shared" si="5"/>
        <v>180717446.67464757</v>
      </c>
    </row>
    <row r="187" spans="1:9" ht="21.75" customHeight="1" x14ac:dyDescent="0.2">
      <c r="A187" s="7"/>
      <c r="B187" s="24" t="s">
        <v>361</v>
      </c>
      <c r="C187" s="36"/>
      <c r="D187" s="20" t="s">
        <v>27</v>
      </c>
      <c r="E187" s="21">
        <v>1497000</v>
      </c>
      <c r="F187" s="21"/>
      <c r="G187" s="39">
        <f t="shared" si="5"/>
        <v>182214446.67464757</v>
      </c>
    </row>
    <row r="188" spans="1:9" ht="21.75" customHeight="1" x14ac:dyDescent="0.2">
      <c r="A188" s="7"/>
      <c r="B188" s="19" t="s">
        <v>375</v>
      </c>
      <c r="C188" s="36"/>
      <c r="D188" s="20" t="s">
        <v>372</v>
      </c>
      <c r="E188" s="21">
        <v>293210000</v>
      </c>
      <c r="F188" s="21"/>
      <c r="G188" s="39">
        <f t="shared" si="5"/>
        <v>475424446.67464757</v>
      </c>
    </row>
    <row r="189" spans="1:9" ht="21.75" customHeight="1" x14ac:dyDescent="0.2">
      <c r="A189" s="7"/>
      <c r="B189" s="24" t="s">
        <v>375</v>
      </c>
      <c r="C189" s="36"/>
      <c r="D189" s="20" t="s">
        <v>99</v>
      </c>
      <c r="E189" s="21">
        <v>50000</v>
      </c>
      <c r="F189" s="21"/>
      <c r="G189" s="39">
        <f t="shared" si="5"/>
        <v>475474446.67464757</v>
      </c>
    </row>
    <row r="190" spans="1:9" ht="21.75" customHeight="1" x14ac:dyDescent="0.2">
      <c r="A190" s="7"/>
      <c r="B190" s="24" t="s">
        <v>375</v>
      </c>
      <c r="C190" s="36"/>
      <c r="D190" s="20" t="s">
        <v>227</v>
      </c>
      <c r="E190" s="21">
        <v>115000</v>
      </c>
      <c r="F190" s="21"/>
      <c r="G190" s="39">
        <f t="shared" si="5"/>
        <v>475589446.67464757</v>
      </c>
      <c r="H190" s="8"/>
      <c r="I190" s="46">
        <f>+E190-H190</f>
        <v>115000</v>
      </c>
    </row>
    <row r="191" spans="1:9" ht="21.75" customHeight="1" x14ac:dyDescent="0.2">
      <c r="A191" s="7"/>
      <c r="B191" s="24" t="s">
        <v>375</v>
      </c>
      <c r="C191" s="36"/>
      <c r="D191" s="20" t="s">
        <v>423</v>
      </c>
      <c r="E191" s="26">
        <v>2000000</v>
      </c>
      <c r="F191" s="21"/>
      <c r="G191" s="39">
        <f t="shared" si="5"/>
        <v>477589446.67464757</v>
      </c>
      <c r="H191" s="47"/>
      <c r="I191" s="46">
        <f>+E191-H191</f>
        <v>2000000</v>
      </c>
    </row>
    <row r="192" spans="1:9" ht="21.75" customHeight="1" x14ac:dyDescent="0.2">
      <c r="A192" s="7"/>
      <c r="B192" s="24" t="s">
        <v>375</v>
      </c>
      <c r="C192" s="36"/>
      <c r="D192" s="20" t="s">
        <v>374</v>
      </c>
      <c r="E192" s="21"/>
      <c r="F192" s="69">
        <v>5000000</v>
      </c>
      <c r="G192" s="39">
        <f>+G191+E192-F192</f>
        <v>472589446.67464757</v>
      </c>
      <c r="H192" s="44"/>
    </row>
    <row r="193" spans="1:9" ht="21.75" customHeight="1" x14ac:dyDescent="0.2">
      <c r="A193" s="7"/>
      <c r="B193" s="24" t="s">
        <v>375</v>
      </c>
      <c r="C193" s="36"/>
      <c r="D193" s="20" t="s">
        <v>21</v>
      </c>
      <c r="E193" s="21"/>
      <c r="F193" s="21">
        <v>2500</v>
      </c>
      <c r="G193" s="39">
        <f t="shared" si="5"/>
        <v>472586946.67464757</v>
      </c>
    </row>
    <row r="194" spans="1:9" ht="21.75" customHeight="1" x14ac:dyDescent="0.2">
      <c r="A194" s="7"/>
      <c r="B194" s="24" t="s">
        <v>375</v>
      </c>
      <c r="C194" s="36"/>
      <c r="D194" s="20" t="s">
        <v>373</v>
      </c>
      <c r="E194" s="21">
        <v>1575000</v>
      </c>
      <c r="F194" s="21"/>
      <c r="G194" s="39">
        <f t="shared" si="5"/>
        <v>474161946.67464757</v>
      </c>
    </row>
    <row r="195" spans="1:9" ht="21.75" customHeight="1" x14ac:dyDescent="0.2">
      <c r="A195" s="7"/>
      <c r="B195" s="19" t="s">
        <v>376</v>
      </c>
      <c r="C195" s="36"/>
      <c r="D195" s="20" t="s">
        <v>377</v>
      </c>
      <c r="E195" s="54"/>
      <c r="F195" s="69">
        <v>1000000</v>
      </c>
      <c r="G195" s="39">
        <f t="shared" si="5"/>
        <v>473161946.67464757</v>
      </c>
    </row>
    <row r="196" spans="1:9" ht="21.75" customHeight="1" x14ac:dyDescent="0.2">
      <c r="A196" s="7"/>
      <c r="B196" s="24" t="s">
        <v>376</v>
      </c>
      <c r="C196" s="36"/>
      <c r="D196" s="20" t="s">
        <v>378</v>
      </c>
      <c r="E196" s="21"/>
      <c r="F196" s="21">
        <v>2550000</v>
      </c>
      <c r="G196" s="39">
        <f t="shared" si="5"/>
        <v>470611946.67464757</v>
      </c>
    </row>
    <row r="197" spans="1:9" ht="21.75" customHeight="1" x14ac:dyDescent="0.2">
      <c r="A197" s="7"/>
      <c r="B197" s="24" t="s">
        <v>376</v>
      </c>
      <c r="C197" s="36"/>
      <c r="D197" s="20" t="s">
        <v>21</v>
      </c>
      <c r="E197" s="49"/>
      <c r="F197" s="21">
        <v>25000</v>
      </c>
      <c r="G197" s="39">
        <f t="shared" si="5"/>
        <v>470586946.67464757</v>
      </c>
    </row>
    <row r="198" spans="1:9" ht="21.75" customHeight="1" x14ac:dyDescent="0.2">
      <c r="A198" s="7"/>
      <c r="B198" s="24" t="s">
        <v>376</v>
      </c>
      <c r="C198" s="36"/>
      <c r="D198" s="20" t="s">
        <v>68</v>
      </c>
      <c r="E198" s="49">
        <v>99268</v>
      </c>
      <c r="F198" s="21"/>
      <c r="G198" s="39">
        <f t="shared" si="5"/>
        <v>470686214.67464757</v>
      </c>
      <c r="I198" s="3">
        <v>10000</v>
      </c>
    </row>
    <row r="199" spans="1:9" ht="21.75" customHeight="1" x14ac:dyDescent="0.25">
      <c r="A199" s="7"/>
      <c r="B199" s="24" t="s">
        <v>376</v>
      </c>
      <c r="C199" s="36"/>
      <c r="D199" s="20" t="s">
        <v>69</v>
      </c>
      <c r="E199" s="49"/>
      <c r="F199" s="49">
        <v>19853.599999999999</v>
      </c>
      <c r="G199" s="56">
        <f t="shared" si="5"/>
        <v>470666361.07464755</v>
      </c>
      <c r="H199" s="9"/>
      <c r="I199" s="9"/>
    </row>
    <row r="200" spans="1:9" ht="21.75" customHeight="1" x14ac:dyDescent="0.2">
      <c r="A200" s="7"/>
      <c r="B200" s="24"/>
      <c r="C200" s="36"/>
      <c r="D200" s="20"/>
      <c r="E200" s="21"/>
      <c r="F200" s="21"/>
      <c r="G200" s="39"/>
    </row>
    <row r="201" spans="1:9" ht="21.75" customHeight="1" x14ac:dyDescent="0.2">
      <c r="A201" s="7"/>
      <c r="B201" s="24"/>
      <c r="C201" s="36"/>
      <c r="D201" s="20"/>
      <c r="E201" s="21"/>
      <c r="F201" s="21"/>
      <c r="G201" s="39"/>
    </row>
    <row r="202" spans="1:9" ht="14.25" x14ac:dyDescent="0.2">
      <c r="A202" s="7"/>
      <c r="B202" s="18"/>
      <c r="C202" s="18"/>
      <c r="D202" s="18"/>
      <c r="E202" s="18"/>
      <c r="F202" s="18"/>
      <c r="G202" s="18"/>
    </row>
    <row r="203" spans="1:9" customFormat="1" ht="15" x14ac:dyDescent="0.25">
      <c r="A203" s="1"/>
      <c r="B203" s="37"/>
      <c r="C203" s="37"/>
      <c r="D203" s="41" t="s">
        <v>10</v>
      </c>
      <c r="E203" s="38">
        <f>SUM(E10:E201)</f>
        <v>1181637247.72</v>
      </c>
      <c r="F203" s="38">
        <f>SUM(F10:F201)</f>
        <v>817137697.32000005</v>
      </c>
      <c r="G203" s="38">
        <f>+G199</f>
        <v>470666361.07464755</v>
      </c>
    </row>
    <row r="204" spans="1:9" ht="14.25" x14ac:dyDescent="0.2">
      <c r="B204" s="17"/>
      <c r="C204" s="17"/>
      <c r="D204" s="17"/>
      <c r="E204" s="17"/>
      <c r="F204" s="17"/>
      <c r="G204" s="17"/>
    </row>
    <row r="205" spans="1:9" ht="15.75" customHeight="1" x14ac:dyDescent="0.2">
      <c r="D205" s="17"/>
      <c r="F205" s="89" t="s">
        <v>379</v>
      </c>
      <c r="G205" s="89"/>
    </row>
    <row r="206" spans="1:9" ht="18" customHeight="1" x14ac:dyDescent="0.2">
      <c r="F206" s="97" t="s">
        <v>11</v>
      </c>
      <c r="G206" s="97"/>
    </row>
    <row r="209" spans="5:6" x14ac:dyDescent="0.2">
      <c r="E209" s="3" t="s">
        <v>82</v>
      </c>
      <c r="F209" s="50">
        <f>+G203</f>
        <v>470666361.07464755</v>
      </c>
    </row>
    <row r="210" spans="5:6" x14ac:dyDescent="0.2">
      <c r="E210" s="3" t="s">
        <v>83</v>
      </c>
      <c r="F210" s="51">
        <v>0</v>
      </c>
    </row>
  </sheetData>
  <mergeCells count="8">
    <mergeCell ref="A7:A8"/>
    <mergeCell ref="F205:G205"/>
    <mergeCell ref="F206:G206"/>
    <mergeCell ref="B7:B8"/>
    <mergeCell ref="D7:D8"/>
    <mergeCell ref="E7:E8"/>
    <mergeCell ref="F7:F8"/>
    <mergeCell ref="G7:G8"/>
  </mergeCells>
  <phoneticPr fontId="1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E519-0993-4AD5-95F0-EA909C32BE19}">
  <sheetPr>
    <tabColor rgb="FFFF0000"/>
  </sheetPr>
  <dimension ref="A1:K301"/>
  <sheetViews>
    <sheetView view="pageBreakPreview" topLeftCell="B219" zoomScale="60" zoomScaleNormal="90" workbookViewId="0">
      <selection activeCell="D232" sqref="D232"/>
    </sheetView>
  </sheetViews>
  <sheetFormatPr defaultColWidth="9.140625" defaultRowHeight="12.75" x14ac:dyDescent="0.2"/>
  <cols>
    <col min="1" max="1" width="9.7109375" style="3" customWidth="1"/>
    <col min="2" max="2" width="17.7109375" style="3" customWidth="1"/>
    <col min="3" max="3" width="14.85546875" style="3" customWidth="1"/>
    <col min="4" max="4" width="92" style="3" customWidth="1"/>
    <col min="5" max="5" width="22.42578125" style="3" customWidth="1"/>
    <col min="6" max="6" width="21.5703125" style="3" customWidth="1"/>
    <col min="7" max="7" width="22.7109375" style="3" customWidth="1"/>
    <col min="8" max="8" width="16.42578125" style="3" customWidth="1"/>
    <col min="9" max="9" width="12.5703125" style="3" customWidth="1"/>
    <col min="10" max="10" width="12.28515625" style="3" bestFit="1" customWidth="1"/>
    <col min="11" max="16384" width="9.140625" style="3"/>
  </cols>
  <sheetData>
    <row r="1" spans="1:11" x14ac:dyDescent="0.2">
      <c r="A1" s="2"/>
      <c r="B1" s="2"/>
      <c r="C1" s="2"/>
      <c r="D1" s="2"/>
      <c r="E1" s="2"/>
      <c r="F1" s="2"/>
      <c r="G1" s="2"/>
    </row>
    <row r="2" spans="1:11" x14ac:dyDescent="0.2">
      <c r="A2" s="2"/>
      <c r="B2" s="2"/>
      <c r="C2" s="2"/>
      <c r="D2" s="2"/>
      <c r="E2" s="2"/>
      <c r="F2" s="2"/>
      <c r="G2" s="2"/>
    </row>
    <row r="3" spans="1:11" ht="15" customHeight="1" x14ac:dyDescent="0.2">
      <c r="A3" s="4" t="s">
        <v>8</v>
      </c>
      <c r="B3" s="4"/>
    </row>
    <row r="4" spans="1:11" ht="15" customHeight="1" x14ac:dyDescent="0.2">
      <c r="A4" s="4" t="s">
        <v>85</v>
      </c>
      <c r="B4" s="4"/>
    </row>
    <row r="5" spans="1:11" ht="15" customHeight="1" x14ac:dyDescent="0.2">
      <c r="A5" s="4" t="s">
        <v>9</v>
      </c>
      <c r="B5" s="4"/>
      <c r="D5" s="5" t="s">
        <v>385</v>
      </c>
    </row>
    <row r="6" spans="1:11" ht="13.5" thickBot="1" x14ac:dyDescent="0.25"/>
    <row r="7" spans="1:11" x14ac:dyDescent="0.2">
      <c r="A7" s="91" t="s">
        <v>0</v>
      </c>
      <c r="B7" s="93" t="s">
        <v>1</v>
      </c>
      <c r="C7" s="63" t="s">
        <v>2</v>
      </c>
      <c r="D7" s="93" t="s">
        <v>4</v>
      </c>
      <c r="E7" s="93" t="s">
        <v>5</v>
      </c>
      <c r="F7" s="93" t="s">
        <v>76</v>
      </c>
      <c r="G7" s="95" t="s">
        <v>6</v>
      </c>
      <c r="H7" s="6"/>
      <c r="I7" s="2"/>
      <c r="J7" s="2"/>
      <c r="K7" s="2"/>
    </row>
    <row r="8" spans="1:11" ht="13.5" thickBot="1" x14ac:dyDescent="0.25">
      <c r="A8" s="92"/>
      <c r="B8" s="94"/>
      <c r="C8" s="64" t="s">
        <v>3</v>
      </c>
      <c r="D8" s="94"/>
      <c r="E8" s="94"/>
      <c r="F8" s="94"/>
      <c r="G8" s="96"/>
      <c r="H8" s="6"/>
      <c r="I8" s="2"/>
      <c r="J8" s="2"/>
      <c r="K8" s="2"/>
    </row>
    <row r="9" spans="1:11" s="17" customFormat="1" ht="22.35" customHeight="1" x14ac:dyDescent="0.25">
      <c r="A9" s="13"/>
      <c r="B9" s="13"/>
      <c r="C9" s="13"/>
      <c r="D9" s="14" t="s">
        <v>7</v>
      </c>
      <c r="E9" s="15">
        <v>0</v>
      </c>
      <c r="F9" s="16">
        <v>0</v>
      </c>
      <c r="G9" s="45">
        <f>+'02, FEB 2026'!G199</f>
        <v>470666361.07464755</v>
      </c>
      <c r="H9" s="33"/>
    </row>
    <row r="10" spans="1:11" s="17" customFormat="1" ht="21.75" customHeight="1" x14ac:dyDescent="0.2">
      <c r="A10" s="18"/>
      <c r="B10" s="19" t="s">
        <v>386</v>
      </c>
      <c r="C10" s="18"/>
      <c r="D10" s="20" t="s">
        <v>387</v>
      </c>
      <c r="E10" s="21"/>
      <c r="F10" s="21">
        <v>60552</v>
      </c>
      <c r="G10" s="39">
        <f>+G9+E10-F10</f>
        <v>470605809.07464755</v>
      </c>
    </row>
    <row r="11" spans="1:11" s="17" customFormat="1" ht="21.75" customHeight="1" x14ac:dyDescent="0.2">
      <c r="A11" s="18"/>
      <c r="B11" s="24" t="s">
        <v>386</v>
      </c>
      <c r="C11" s="18"/>
      <c r="D11" s="20" t="s">
        <v>19</v>
      </c>
      <c r="E11" s="21"/>
      <c r="F11" s="21">
        <v>1915954</v>
      </c>
      <c r="G11" s="39">
        <f>+G10+E11-F11</f>
        <v>468689855.07464755</v>
      </c>
    </row>
    <row r="12" spans="1:11" s="17" customFormat="1" ht="21.75" customHeight="1" x14ac:dyDescent="0.2">
      <c r="A12" s="18"/>
      <c r="B12" s="24" t="s">
        <v>386</v>
      </c>
      <c r="C12" s="18"/>
      <c r="D12" s="20" t="s">
        <v>141</v>
      </c>
      <c r="E12" s="21"/>
      <c r="F12" s="21">
        <v>16142158</v>
      </c>
      <c r="G12" s="39">
        <f t="shared" ref="G12:G78" si="0">+G11+E12-F12</f>
        <v>452547697.07464755</v>
      </c>
    </row>
    <row r="13" spans="1:11" s="17" customFormat="1" ht="21.75" customHeight="1" x14ac:dyDescent="0.2">
      <c r="A13" s="18"/>
      <c r="B13" s="24" t="s">
        <v>386</v>
      </c>
      <c r="C13" s="18"/>
      <c r="D13" s="20" t="s">
        <v>390</v>
      </c>
      <c r="E13" s="21"/>
      <c r="F13" s="21">
        <v>2182004</v>
      </c>
      <c r="G13" s="39">
        <f t="shared" si="0"/>
        <v>450365693.07464755</v>
      </c>
    </row>
    <row r="14" spans="1:11" s="17" customFormat="1" ht="21.75" customHeight="1" x14ac:dyDescent="0.2">
      <c r="A14" s="18"/>
      <c r="B14" s="24" t="s">
        <v>386</v>
      </c>
      <c r="C14" s="18"/>
      <c r="D14" s="20" t="s">
        <v>142</v>
      </c>
      <c r="E14" s="21"/>
      <c r="F14" s="21">
        <v>3353804</v>
      </c>
      <c r="G14" s="39">
        <f t="shared" si="0"/>
        <v>447011889.07464755</v>
      </c>
    </row>
    <row r="15" spans="1:11" s="17" customFormat="1" ht="21.75" customHeight="1" x14ac:dyDescent="0.2">
      <c r="A15" s="18"/>
      <c r="B15" s="24" t="s">
        <v>386</v>
      </c>
      <c r="C15" s="18"/>
      <c r="D15" s="20" t="s">
        <v>392</v>
      </c>
      <c r="E15" s="21"/>
      <c r="F15" s="21">
        <v>5278654</v>
      </c>
      <c r="G15" s="39">
        <f t="shared" si="0"/>
        <v>441733235.07464755</v>
      </c>
    </row>
    <row r="16" spans="1:11" s="17" customFormat="1" ht="21.75" customHeight="1" x14ac:dyDescent="0.2">
      <c r="A16" s="18"/>
      <c r="B16" s="24" t="s">
        <v>386</v>
      </c>
      <c r="C16" s="18"/>
      <c r="D16" s="20" t="s">
        <v>391</v>
      </c>
      <c r="E16" s="21"/>
      <c r="F16" s="21">
        <v>27101569</v>
      </c>
      <c r="G16" s="39">
        <f t="shared" si="0"/>
        <v>414631666.07464755</v>
      </c>
    </row>
    <row r="17" spans="1:8" s="17" customFormat="1" ht="21.75" customHeight="1" x14ac:dyDescent="0.2">
      <c r="A17" s="18"/>
      <c r="B17" s="24" t="s">
        <v>386</v>
      </c>
      <c r="C17" s="18"/>
      <c r="D17" s="20" t="s">
        <v>388</v>
      </c>
      <c r="E17" s="21"/>
      <c r="F17" s="21">
        <v>5060260</v>
      </c>
      <c r="G17" s="39">
        <f t="shared" si="0"/>
        <v>409571406.07464755</v>
      </c>
    </row>
    <row r="18" spans="1:8" s="17" customFormat="1" ht="21.75" customHeight="1" x14ac:dyDescent="0.2">
      <c r="A18" s="18"/>
      <c r="B18" s="24" t="s">
        <v>386</v>
      </c>
      <c r="C18" s="18"/>
      <c r="D18" s="20" t="s">
        <v>389</v>
      </c>
      <c r="E18" s="21"/>
      <c r="F18" s="21">
        <v>5060260</v>
      </c>
      <c r="G18" s="39">
        <f t="shared" si="0"/>
        <v>404511146.07464755</v>
      </c>
    </row>
    <row r="19" spans="1:8" s="17" customFormat="1" ht="21.75" customHeight="1" x14ac:dyDescent="0.2">
      <c r="A19" s="18"/>
      <c r="B19" s="24" t="s">
        <v>386</v>
      </c>
      <c r="C19" s="18"/>
      <c r="D19" s="20" t="s">
        <v>78</v>
      </c>
      <c r="E19" s="21">
        <v>549956</v>
      </c>
      <c r="F19" s="21"/>
      <c r="G19" s="39">
        <f t="shared" si="0"/>
        <v>405061102.07464755</v>
      </c>
    </row>
    <row r="20" spans="1:8" s="17" customFormat="1" ht="21.75" customHeight="1" x14ac:dyDescent="0.2">
      <c r="A20" s="18"/>
      <c r="B20" s="24" t="s">
        <v>386</v>
      </c>
      <c r="C20" s="24"/>
      <c r="D20" s="20" t="s">
        <v>77</v>
      </c>
      <c r="E20" s="21">
        <v>60552</v>
      </c>
      <c r="F20" s="21"/>
      <c r="G20" s="39">
        <f t="shared" si="0"/>
        <v>405121654.07464755</v>
      </c>
    </row>
    <row r="21" spans="1:8" s="17" customFormat="1" ht="21.75" customHeight="1" x14ac:dyDescent="0.2">
      <c r="A21" s="18"/>
      <c r="B21" s="24" t="s">
        <v>386</v>
      </c>
      <c r="C21" s="18"/>
      <c r="D21" s="20" t="s">
        <v>393</v>
      </c>
      <c r="E21" s="21"/>
      <c r="F21" s="21">
        <v>500000</v>
      </c>
      <c r="G21" s="39">
        <f t="shared" si="0"/>
        <v>404621654.07464755</v>
      </c>
    </row>
    <row r="22" spans="1:8" s="17" customFormat="1" ht="21.75" customHeight="1" x14ac:dyDescent="0.2">
      <c r="A22" s="18"/>
      <c r="B22" s="24" t="s">
        <v>386</v>
      </c>
      <c r="C22" s="18"/>
      <c r="D22" s="20" t="s">
        <v>394</v>
      </c>
      <c r="E22" s="21"/>
      <c r="F22" s="21">
        <v>63765278</v>
      </c>
      <c r="G22" s="39">
        <f>+G21+E22-F22</f>
        <v>340856376.07464755</v>
      </c>
    </row>
    <row r="23" spans="1:8" s="17" customFormat="1" ht="21.75" customHeight="1" x14ac:dyDescent="0.2">
      <c r="A23" s="18"/>
      <c r="B23" s="24" t="s">
        <v>386</v>
      </c>
      <c r="C23" s="18"/>
      <c r="D23" s="20" t="s">
        <v>21</v>
      </c>
      <c r="E23" s="21"/>
      <c r="F23" s="21">
        <v>2500</v>
      </c>
      <c r="G23" s="39">
        <f t="shared" si="0"/>
        <v>340853876.07464755</v>
      </c>
    </row>
    <row r="24" spans="1:8" s="17" customFormat="1" ht="21.75" customHeight="1" x14ac:dyDescent="0.2">
      <c r="A24" s="18"/>
      <c r="B24" s="24" t="s">
        <v>386</v>
      </c>
      <c r="C24" s="18"/>
      <c r="D24" s="20" t="s">
        <v>395</v>
      </c>
      <c r="E24" s="21"/>
      <c r="F24" s="21">
        <v>9000000</v>
      </c>
      <c r="G24" s="39">
        <f t="shared" si="0"/>
        <v>331853876.07464755</v>
      </c>
    </row>
    <row r="25" spans="1:8" s="17" customFormat="1" ht="21.75" customHeight="1" x14ac:dyDescent="0.2">
      <c r="A25" s="18"/>
      <c r="B25" s="24" t="s">
        <v>386</v>
      </c>
      <c r="C25" s="18"/>
      <c r="D25" s="20" t="s">
        <v>21</v>
      </c>
      <c r="E25" s="21"/>
      <c r="F25" s="21">
        <v>2500</v>
      </c>
      <c r="G25" s="61">
        <f t="shared" si="0"/>
        <v>331851376.07464755</v>
      </c>
    </row>
    <row r="26" spans="1:8" s="17" customFormat="1" ht="21.75" customHeight="1" x14ac:dyDescent="0.2">
      <c r="A26" s="18"/>
      <c r="B26" s="24" t="s">
        <v>386</v>
      </c>
      <c r="C26" s="18"/>
      <c r="D26" s="23" t="s">
        <v>396</v>
      </c>
      <c r="E26" s="21">
        <v>1220000</v>
      </c>
      <c r="F26" s="21">
        <v>5000000</v>
      </c>
      <c r="G26" s="61">
        <f t="shared" si="0"/>
        <v>328071376.07464755</v>
      </c>
    </row>
    <row r="27" spans="1:8" s="17" customFormat="1" ht="21.75" customHeight="1" x14ac:dyDescent="0.2">
      <c r="A27" s="18"/>
      <c r="B27" s="24" t="s">
        <v>386</v>
      </c>
      <c r="C27" s="18"/>
      <c r="D27" s="20" t="s">
        <v>412</v>
      </c>
      <c r="E27" s="21"/>
      <c r="F27" s="69">
        <v>2500000</v>
      </c>
      <c r="G27" s="61">
        <f t="shared" si="0"/>
        <v>325571376.07464755</v>
      </c>
    </row>
    <row r="28" spans="1:8" s="17" customFormat="1" ht="21.75" customHeight="1" x14ac:dyDescent="0.2">
      <c r="A28" s="18"/>
      <c r="B28" s="24" t="s">
        <v>386</v>
      </c>
      <c r="C28" s="18"/>
      <c r="D28" s="20" t="s">
        <v>21</v>
      </c>
      <c r="E28" s="21"/>
      <c r="F28" s="21">
        <v>2500</v>
      </c>
      <c r="G28" s="61">
        <f t="shared" si="0"/>
        <v>325568876.07464755</v>
      </c>
    </row>
    <row r="29" spans="1:8" s="17" customFormat="1" ht="21.75" customHeight="1" x14ac:dyDescent="0.2">
      <c r="A29" s="18"/>
      <c r="B29" s="24" t="s">
        <v>386</v>
      </c>
      <c r="C29" s="18"/>
      <c r="D29" s="20" t="s">
        <v>397</v>
      </c>
      <c r="E29" s="21"/>
      <c r="F29" s="21">
        <v>3000000</v>
      </c>
      <c r="G29" s="39">
        <f t="shared" si="0"/>
        <v>322568876.07464755</v>
      </c>
    </row>
    <row r="30" spans="1:8" s="17" customFormat="1" ht="21.75" customHeight="1" x14ac:dyDescent="0.2">
      <c r="A30" s="18"/>
      <c r="B30" s="24" t="s">
        <v>386</v>
      </c>
      <c r="C30" s="18"/>
      <c r="D30" s="20" t="s">
        <v>410</v>
      </c>
      <c r="E30" s="21"/>
      <c r="F30" s="21">
        <v>1840000</v>
      </c>
      <c r="G30" s="39">
        <f t="shared" si="0"/>
        <v>320728876.07464755</v>
      </c>
    </row>
    <row r="31" spans="1:8" s="17" customFormat="1" ht="21.75" customHeight="1" x14ac:dyDescent="0.2">
      <c r="A31" s="18"/>
      <c r="B31" s="24" t="s">
        <v>386</v>
      </c>
      <c r="C31" s="18"/>
      <c r="D31" s="23" t="s">
        <v>398</v>
      </c>
      <c r="E31" s="21"/>
      <c r="F31" s="21">
        <v>10000000</v>
      </c>
      <c r="G31" s="39">
        <f t="shared" si="0"/>
        <v>310728876.07464755</v>
      </c>
    </row>
    <row r="32" spans="1:8" s="17" customFormat="1" ht="21.75" customHeight="1" x14ac:dyDescent="0.2">
      <c r="A32" s="18"/>
      <c r="B32" s="24" t="s">
        <v>386</v>
      </c>
      <c r="C32" s="18"/>
      <c r="D32" s="23" t="s">
        <v>399</v>
      </c>
      <c r="E32" s="21">
        <v>2000000</v>
      </c>
      <c r="F32" s="21">
        <v>10000000</v>
      </c>
      <c r="G32" s="39">
        <f t="shared" si="0"/>
        <v>302728876.07464755</v>
      </c>
      <c r="H32" s="17">
        <v>302728876</v>
      </c>
    </row>
    <row r="33" spans="1:8" s="17" customFormat="1" ht="21.75" customHeight="1" x14ac:dyDescent="0.2">
      <c r="A33" s="18"/>
      <c r="B33" s="24" t="s">
        <v>386</v>
      </c>
      <c r="C33" s="18"/>
      <c r="D33" s="20" t="s">
        <v>400</v>
      </c>
      <c r="E33" s="21"/>
      <c r="F33" s="21">
        <v>2000000</v>
      </c>
      <c r="G33" s="39">
        <f t="shared" si="0"/>
        <v>300728876.07464755</v>
      </c>
    </row>
    <row r="34" spans="1:8" s="17" customFormat="1" ht="21.75" customHeight="1" x14ac:dyDescent="0.2">
      <c r="A34" s="18"/>
      <c r="B34" s="24" t="s">
        <v>386</v>
      </c>
      <c r="C34" s="18"/>
      <c r="D34" s="20" t="s">
        <v>401</v>
      </c>
      <c r="E34" s="21"/>
      <c r="F34" s="21">
        <v>900000</v>
      </c>
      <c r="G34" s="39">
        <f t="shared" si="0"/>
        <v>299828876.07464755</v>
      </c>
    </row>
    <row r="35" spans="1:8" s="17" customFormat="1" ht="21.75" customHeight="1" x14ac:dyDescent="0.2">
      <c r="A35" s="18"/>
      <c r="B35" s="24" t="s">
        <v>386</v>
      </c>
      <c r="C35" s="18"/>
      <c r="D35" s="20" t="s">
        <v>402</v>
      </c>
      <c r="E35" s="21"/>
      <c r="F35" s="21">
        <v>2645000</v>
      </c>
      <c r="G35" s="39">
        <f t="shared" si="0"/>
        <v>297183876.07464755</v>
      </c>
    </row>
    <row r="36" spans="1:8" s="17" customFormat="1" ht="21.75" customHeight="1" x14ac:dyDescent="0.2">
      <c r="A36" s="18"/>
      <c r="B36" s="24" t="s">
        <v>386</v>
      </c>
      <c r="C36" s="18"/>
      <c r="D36" s="20" t="s">
        <v>403</v>
      </c>
      <c r="E36" s="21"/>
      <c r="F36" s="21">
        <v>2575000</v>
      </c>
      <c r="G36" s="39">
        <f t="shared" si="0"/>
        <v>294608876.07464755</v>
      </c>
    </row>
    <row r="37" spans="1:8" s="17" customFormat="1" ht="21.75" customHeight="1" x14ac:dyDescent="0.2">
      <c r="A37" s="18"/>
      <c r="B37" s="24" t="s">
        <v>386</v>
      </c>
      <c r="C37" s="18"/>
      <c r="D37" s="20" t="s">
        <v>404</v>
      </c>
      <c r="E37" s="21"/>
      <c r="F37" s="21">
        <v>3000000</v>
      </c>
      <c r="G37" s="39">
        <f t="shared" si="0"/>
        <v>291608876.07464755</v>
      </c>
    </row>
    <row r="38" spans="1:8" s="17" customFormat="1" ht="21.75" customHeight="1" x14ac:dyDescent="0.2">
      <c r="A38" s="18"/>
      <c r="B38" s="24" t="s">
        <v>386</v>
      </c>
      <c r="C38" s="18"/>
      <c r="D38" s="20" t="s">
        <v>405</v>
      </c>
      <c r="E38" s="21"/>
      <c r="F38" s="21">
        <v>7615000</v>
      </c>
      <c r="G38" s="39">
        <f t="shared" si="0"/>
        <v>283993876.07464755</v>
      </c>
    </row>
    <row r="39" spans="1:8" s="17" customFormat="1" ht="21.75" customHeight="1" x14ac:dyDescent="0.2">
      <c r="A39" s="18"/>
      <c r="B39" s="24" t="s">
        <v>386</v>
      </c>
      <c r="C39" s="18"/>
      <c r="D39" s="20" t="s">
        <v>474</v>
      </c>
      <c r="E39" s="70">
        <v>10000000</v>
      </c>
      <c r="F39" s="21"/>
      <c r="G39" s="39">
        <f t="shared" si="0"/>
        <v>293993876.07464755</v>
      </c>
    </row>
    <row r="40" spans="1:8" s="17" customFormat="1" ht="21.75" customHeight="1" x14ac:dyDescent="0.2">
      <c r="A40" s="18"/>
      <c r="B40" s="19" t="s">
        <v>409</v>
      </c>
      <c r="C40" s="18"/>
      <c r="D40" s="20" t="s">
        <v>406</v>
      </c>
      <c r="E40" s="21">
        <v>1800000</v>
      </c>
      <c r="F40" s="21"/>
      <c r="G40" s="39">
        <f t="shared" si="0"/>
        <v>295793876.07464755</v>
      </c>
    </row>
    <row r="41" spans="1:8" s="17" customFormat="1" ht="21.75" customHeight="1" x14ac:dyDescent="0.2">
      <c r="A41" s="18"/>
      <c r="B41" s="24" t="s">
        <v>409</v>
      </c>
      <c r="C41" s="18"/>
      <c r="D41" s="20" t="s">
        <v>407</v>
      </c>
      <c r="E41" s="21">
        <v>200000</v>
      </c>
      <c r="F41" s="21"/>
      <c r="G41" s="39">
        <f t="shared" si="0"/>
        <v>295993876.07464755</v>
      </c>
    </row>
    <row r="42" spans="1:8" s="17" customFormat="1" ht="21.75" customHeight="1" x14ac:dyDescent="0.2">
      <c r="A42" s="18"/>
      <c r="B42" s="24" t="s">
        <v>409</v>
      </c>
      <c r="C42" s="18"/>
      <c r="D42" s="20" t="s">
        <v>408</v>
      </c>
      <c r="E42" s="21">
        <v>100000</v>
      </c>
      <c r="F42" s="21"/>
      <c r="G42" s="39">
        <f t="shared" si="0"/>
        <v>296093876.07464755</v>
      </c>
    </row>
    <row r="43" spans="1:8" s="17" customFormat="1" ht="21.75" customHeight="1" x14ac:dyDescent="0.2">
      <c r="A43" s="18"/>
      <c r="B43" s="24" t="s">
        <v>409</v>
      </c>
      <c r="C43" s="18"/>
      <c r="D43" s="20" t="s">
        <v>583</v>
      </c>
      <c r="E43" s="21">
        <v>53870</v>
      </c>
      <c r="F43" s="21"/>
      <c r="G43" s="39">
        <f t="shared" si="0"/>
        <v>296147746.07464755</v>
      </c>
    </row>
    <row r="44" spans="1:8" s="17" customFormat="1" ht="21.75" customHeight="1" x14ac:dyDescent="0.2">
      <c r="A44" s="18"/>
      <c r="B44" s="24" t="s">
        <v>409</v>
      </c>
      <c r="C44" s="18"/>
      <c r="D44" s="20" t="s">
        <v>434</v>
      </c>
      <c r="E44" s="21"/>
      <c r="F44" s="21">
        <v>10005912</v>
      </c>
      <c r="G44" s="39">
        <f t="shared" si="0"/>
        <v>286141834.07464755</v>
      </c>
    </row>
    <row r="45" spans="1:8" s="17" customFormat="1" ht="21.75" customHeight="1" x14ac:dyDescent="0.2">
      <c r="A45" s="18"/>
      <c r="B45" s="24" t="s">
        <v>409</v>
      </c>
      <c r="C45" s="18"/>
      <c r="D45" s="20" t="s">
        <v>431</v>
      </c>
      <c r="E45" s="21"/>
      <c r="F45" s="21">
        <v>500000</v>
      </c>
      <c r="G45" s="39">
        <f t="shared" si="0"/>
        <v>285641834.07464755</v>
      </c>
    </row>
    <row r="46" spans="1:8" s="17" customFormat="1" ht="21.75" customHeight="1" x14ac:dyDescent="0.2">
      <c r="A46" s="18"/>
      <c r="B46" s="24" t="s">
        <v>409</v>
      </c>
      <c r="C46" s="18"/>
      <c r="D46" s="20" t="s">
        <v>432</v>
      </c>
      <c r="E46" s="21"/>
      <c r="F46" s="21">
        <v>2000000</v>
      </c>
      <c r="G46" s="39">
        <f t="shared" si="0"/>
        <v>283641834.07464755</v>
      </c>
    </row>
    <row r="47" spans="1:8" s="17" customFormat="1" ht="21.75" customHeight="1" x14ac:dyDescent="0.2">
      <c r="A47" s="18"/>
      <c r="B47" s="19" t="s">
        <v>428</v>
      </c>
      <c r="C47" s="18"/>
      <c r="D47" s="20" t="s">
        <v>433</v>
      </c>
      <c r="E47" s="21"/>
      <c r="F47" s="21">
        <v>27730000</v>
      </c>
      <c r="G47" s="39">
        <f t="shared" si="0"/>
        <v>255911834.07464755</v>
      </c>
    </row>
    <row r="48" spans="1:8" s="17" customFormat="1" ht="21.75" customHeight="1" x14ac:dyDescent="0.2">
      <c r="A48" s="18"/>
      <c r="B48" s="24" t="s">
        <v>428</v>
      </c>
      <c r="C48" s="18"/>
      <c r="D48" s="20" t="s">
        <v>21</v>
      </c>
      <c r="E48" s="21"/>
      <c r="F48" s="21">
        <v>2500</v>
      </c>
      <c r="G48" s="39">
        <f t="shared" si="0"/>
        <v>255909334.07464755</v>
      </c>
      <c r="H48" s="34"/>
    </row>
    <row r="49" spans="1:8" s="17" customFormat="1" ht="21.75" customHeight="1" x14ac:dyDescent="0.2">
      <c r="A49" s="18"/>
      <c r="B49" s="24" t="s">
        <v>428</v>
      </c>
      <c r="C49" s="18"/>
      <c r="D49" s="20" t="s">
        <v>565</v>
      </c>
      <c r="E49" s="21"/>
      <c r="F49" s="70">
        <v>3352500</v>
      </c>
      <c r="G49" s="39">
        <f t="shared" si="0"/>
        <v>252556834.07464755</v>
      </c>
      <c r="H49" s="34"/>
    </row>
    <row r="50" spans="1:8" s="17" customFormat="1" ht="21.75" customHeight="1" x14ac:dyDescent="0.2">
      <c r="A50" s="18"/>
      <c r="B50" s="24" t="s">
        <v>428</v>
      </c>
      <c r="C50" s="18"/>
      <c r="D50" s="20" t="s">
        <v>21</v>
      </c>
      <c r="E50" s="21"/>
      <c r="F50" s="21">
        <v>2500</v>
      </c>
      <c r="G50" s="39">
        <f t="shared" si="0"/>
        <v>252554334.07464755</v>
      </c>
      <c r="H50" s="33"/>
    </row>
    <row r="51" spans="1:8" s="17" customFormat="1" ht="21.75" customHeight="1" x14ac:dyDescent="0.2">
      <c r="A51" s="18"/>
      <c r="B51" s="19" t="s">
        <v>430</v>
      </c>
      <c r="C51" s="18"/>
      <c r="D51" s="20" t="s">
        <v>429</v>
      </c>
      <c r="E51" s="21">
        <v>2300000</v>
      </c>
      <c r="F51" s="21"/>
      <c r="G51" s="65">
        <f t="shared" si="0"/>
        <v>254854334.07464755</v>
      </c>
    </row>
    <row r="52" spans="1:8" s="17" customFormat="1" ht="21.75" customHeight="1" x14ac:dyDescent="0.2">
      <c r="A52" s="18"/>
      <c r="B52" s="24" t="s">
        <v>430</v>
      </c>
      <c r="C52" s="18"/>
      <c r="D52" s="20" t="s">
        <v>435</v>
      </c>
      <c r="E52" s="21">
        <v>5319069</v>
      </c>
      <c r="F52" s="21"/>
      <c r="G52" s="39">
        <f t="shared" si="0"/>
        <v>260173403.07464755</v>
      </c>
    </row>
    <row r="53" spans="1:8" s="17" customFormat="1" ht="21.75" customHeight="1" x14ac:dyDescent="0.2">
      <c r="A53" s="18"/>
      <c r="B53" s="24" t="s">
        <v>430</v>
      </c>
      <c r="C53" s="18"/>
      <c r="D53" s="20" t="s">
        <v>436</v>
      </c>
      <c r="E53" s="21">
        <v>161863363</v>
      </c>
      <c r="F53" s="21"/>
      <c r="G53" s="39">
        <f t="shared" si="0"/>
        <v>422036766.07464755</v>
      </c>
    </row>
    <row r="54" spans="1:8" s="17" customFormat="1" ht="21.75" customHeight="1" x14ac:dyDescent="0.2">
      <c r="A54" s="18"/>
      <c r="B54" s="24" t="s">
        <v>430</v>
      </c>
      <c r="C54" s="18"/>
      <c r="D54" s="20" t="s">
        <v>439</v>
      </c>
      <c r="E54" s="21">
        <v>3253650</v>
      </c>
      <c r="F54" s="21"/>
      <c r="G54" s="39">
        <f t="shared" si="0"/>
        <v>425290416.07464755</v>
      </c>
    </row>
    <row r="55" spans="1:8" s="17" customFormat="1" ht="21.75" customHeight="1" x14ac:dyDescent="0.2">
      <c r="A55" s="18"/>
      <c r="B55" s="24" t="s">
        <v>430</v>
      </c>
      <c r="C55" s="18"/>
      <c r="D55" s="20" t="s">
        <v>437</v>
      </c>
      <c r="E55" s="21">
        <v>48507291</v>
      </c>
      <c r="F55" s="21"/>
      <c r="G55" s="39">
        <f t="shared" si="0"/>
        <v>473797707.07464755</v>
      </c>
    </row>
    <row r="56" spans="1:8" s="17" customFormat="1" ht="21.75" customHeight="1" x14ac:dyDescent="0.2">
      <c r="A56" s="18"/>
      <c r="B56" s="24" t="s">
        <v>471</v>
      </c>
      <c r="C56" s="18"/>
      <c r="D56" s="20" t="s">
        <v>438</v>
      </c>
      <c r="E56" s="21">
        <v>51259460</v>
      </c>
      <c r="F56" s="21"/>
      <c r="G56" s="39">
        <f t="shared" si="0"/>
        <v>525057167.07464755</v>
      </c>
    </row>
    <row r="57" spans="1:8" s="17" customFormat="1" ht="21.75" customHeight="1" x14ac:dyDescent="0.2">
      <c r="A57" s="18"/>
      <c r="B57" s="24" t="s">
        <v>471</v>
      </c>
      <c r="C57" s="18"/>
      <c r="D57" s="23" t="s">
        <v>440</v>
      </c>
      <c r="E57" s="21"/>
      <c r="F57" s="21"/>
      <c r="G57" s="39">
        <f t="shared" si="0"/>
        <v>525057167.07464755</v>
      </c>
    </row>
    <row r="58" spans="1:8" s="17" customFormat="1" ht="21.75" customHeight="1" x14ac:dyDescent="0.2">
      <c r="A58" s="18"/>
      <c r="B58" s="24" t="s">
        <v>471</v>
      </c>
      <c r="C58" s="18"/>
      <c r="D58" s="20" t="s">
        <v>441</v>
      </c>
      <c r="E58" s="21">
        <v>8100000</v>
      </c>
      <c r="F58" s="21"/>
      <c r="G58" s="39">
        <f t="shared" si="0"/>
        <v>533157167.07464755</v>
      </c>
    </row>
    <row r="59" spans="1:8" s="17" customFormat="1" ht="21.75" customHeight="1" x14ac:dyDescent="0.2">
      <c r="A59" s="18"/>
      <c r="B59" s="24" t="s">
        <v>471</v>
      </c>
      <c r="C59" s="18"/>
      <c r="D59" s="20" t="s">
        <v>442</v>
      </c>
      <c r="E59" s="21">
        <v>4650000</v>
      </c>
      <c r="F59" s="21"/>
      <c r="G59" s="39">
        <f t="shared" si="0"/>
        <v>537807167.07464755</v>
      </c>
    </row>
    <row r="60" spans="1:8" s="17" customFormat="1" ht="21.75" customHeight="1" x14ac:dyDescent="0.2">
      <c r="A60" s="18"/>
      <c r="B60" s="24" t="s">
        <v>471</v>
      </c>
      <c r="C60" s="18"/>
      <c r="D60" s="20" t="s">
        <v>443</v>
      </c>
      <c r="E60" s="21">
        <v>15050000</v>
      </c>
      <c r="F60" s="21"/>
      <c r="G60" s="39">
        <f t="shared" si="0"/>
        <v>552857167.07464755</v>
      </c>
    </row>
    <row r="61" spans="1:8" s="17" customFormat="1" ht="21.75" customHeight="1" x14ac:dyDescent="0.2">
      <c r="A61" s="18"/>
      <c r="B61" s="24" t="s">
        <v>471</v>
      </c>
      <c r="C61" s="18"/>
      <c r="D61" s="20" t="s">
        <v>450</v>
      </c>
      <c r="E61" s="21">
        <v>2005000</v>
      </c>
      <c r="F61" s="21"/>
      <c r="G61" s="39">
        <f t="shared" si="0"/>
        <v>554862167.07464755</v>
      </c>
    </row>
    <row r="62" spans="1:8" s="17" customFormat="1" ht="21.75" customHeight="1" x14ac:dyDescent="0.2">
      <c r="A62" s="18"/>
      <c r="B62" s="24" t="s">
        <v>471</v>
      </c>
      <c r="C62" s="18"/>
      <c r="D62" s="20" t="s">
        <v>444</v>
      </c>
      <c r="E62" s="21">
        <v>1050000</v>
      </c>
      <c r="F62" s="21"/>
      <c r="G62" s="39">
        <f t="shared" si="0"/>
        <v>555912167.07464755</v>
      </c>
    </row>
    <row r="63" spans="1:8" s="17" customFormat="1" ht="21.75" customHeight="1" x14ac:dyDescent="0.2">
      <c r="A63" s="18"/>
      <c r="B63" s="24" t="s">
        <v>471</v>
      </c>
      <c r="C63" s="18"/>
      <c r="D63" s="20" t="s">
        <v>449</v>
      </c>
      <c r="E63" s="21">
        <v>143750</v>
      </c>
      <c r="F63" s="21"/>
      <c r="G63" s="39">
        <f t="shared" si="0"/>
        <v>556055917.07464755</v>
      </c>
    </row>
    <row r="64" spans="1:8" s="17" customFormat="1" ht="21.75" customHeight="1" x14ac:dyDescent="0.2">
      <c r="A64" s="18"/>
      <c r="B64" s="24" t="s">
        <v>471</v>
      </c>
      <c r="C64" s="18"/>
      <c r="D64" s="20" t="s">
        <v>445</v>
      </c>
      <c r="E64" s="21">
        <v>5243000</v>
      </c>
      <c r="F64" s="21"/>
      <c r="G64" s="39">
        <f t="shared" si="0"/>
        <v>561298917.07464755</v>
      </c>
    </row>
    <row r="65" spans="1:8" s="17" customFormat="1" ht="21.75" customHeight="1" x14ac:dyDescent="0.2">
      <c r="A65" s="18"/>
      <c r="B65" s="24" t="s">
        <v>471</v>
      </c>
      <c r="C65" s="18"/>
      <c r="D65" s="20" t="s">
        <v>446</v>
      </c>
      <c r="E65" s="21">
        <v>6221000</v>
      </c>
      <c r="F65" s="21"/>
      <c r="G65" s="39">
        <f t="shared" si="0"/>
        <v>567519917.07464755</v>
      </c>
    </row>
    <row r="66" spans="1:8" s="17" customFormat="1" ht="21.75" customHeight="1" x14ac:dyDescent="0.2">
      <c r="A66" s="18"/>
      <c r="B66" s="24" t="s">
        <v>471</v>
      </c>
      <c r="C66" s="18"/>
      <c r="D66" s="20" t="s">
        <v>13</v>
      </c>
      <c r="E66" s="21">
        <v>920000</v>
      </c>
      <c r="F66" s="21"/>
      <c r="G66" s="39">
        <f t="shared" si="0"/>
        <v>568439917.07464755</v>
      </c>
    </row>
    <row r="67" spans="1:8" s="17" customFormat="1" ht="21.75" customHeight="1" x14ac:dyDescent="0.2">
      <c r="A67" s="18"/>
      <c r="B67" s="24" t="s">
        <v>471</v>
      </c>
      <c r="C67" s="18"/>
      <c r="D67" s="20" t="s">
        <v>14</v>
      </c>
      <c r="E67" s="21">
        <v>3450000</v>
      </c>
      <c r="F67" s="21"/>
      <c r="G67" s="39">
        <f t="shared" si="0"/>
        <v>571889917.07464755</v>
      </c>
    </row>
    <row r="68" spans="1:8" s="17" customFormat="1" ht="21.75" customHeight="1" x14ac:dyDescent="0.2">
      <c r="A68" s="18"/>
      <c r="B68" s="24" t="s">
        <v>471</v>
      </c>
      <c r="C68" s="24"/>
      <c r="D68" s="20" t="s">
        <v>75</v>
      </c>
      <c r="E68" s="21">
        <v>6900000</v>
      </c>
      <c r="F68" s="21"/>
      <c r="G68" s="39">
        <f t="shared" si="0"/>
        <v>578789917.07464755</v>
      </c>
    </row>
    <row r="69" spans="1:8" s="17" customFormat="1" ht="21.75" customHeight="1" x14ac:dyDescent="0.2">
      <c r="A69" s="18"/>
      <c r="B69" s="24" t="s">
        <v>471</v>
      </c>
      <c r="C69" s="24"/>
      <c r="D69" s="20" t="s">
        <v>15</v>
      </c>
      <c r="E69" s="21">
        <v>2300000</v>
      </c>
      <c r="F69" s="21"/>
      <c r="G69" s="39">
        <f t="shared" si="0"/>
        <v>581089917.07464755</v>
      </c>
    </row>
    <row r="70" spans="1:8" s="17" customFormat="1" ht="21.75" customHeight="1" x14ac:dyDescent="0.2">
      <c r="A70" s="18"/>
      <c r="B70" s="24" t="s">
        <v>471</v>
      </c>
      <c r="C70" s="18"/>
      <c r="D70" s="20" t="s">
        <v>16</v>
      </c>
      <c r="E70" s="21">
        <v>3400000</v>
      </c>
      <c r="F70" s="21"/>
      <c r="G70" s="39">
        <f t="shared" si="0"/>
        <v>584489917.07464755</v>
      </c>
      <c r="H70" s="17" t="s">
        <v>12</v>
      </c>
    </row>
    <row r="71" spans="1:8" s="17" customFormat="1" ht="21.75" customHeight="1" x14ac:dyDescent="0.2">
      <c r="A71" s="18"/>
      <c r="B71" s="24" t="s">
        <v>471</v>
      </c>
      <c r="C71" s="18"/>
      <c r="D71" s="20" t="s">
        <v>448</v>
      </c>
      <c r="E71" s="21">
        <f>1816667+560000</f>
        <v>2376667</v>
      </c>
      <c r="F71" s="21"/>
      <c r="G71" s="39">
        <f t="shared" si="0"/>
        <v>586866584.07464755</v>
      </c>
    </row>
    <row r="72" spans="1:8" s="17" customFormat="1" ht="21.75" customHeight="1" x14ac:dyDescent="0.2">
      <c r="A72" s="18"/>
      <c r="B72" s="24" t="s">
        <v>471</v>
      </c>
      <c r="C72" s="18"/>
      <c r="D72" s="20" t="s">
        <v>18</v>
      </c>
      <c r="E72" s="21">
        <v>2971000</v>
      </c>
      <c r="F72" s="21"/>
      <c r="G72" s="39">
        <f t="shared" si="0"/>
        <v>589837584.07464755</v>
      </c>
    </row>
    <row r="73" spans="1:8" s="17" customFormat="1" ht="21.75" customHeight="1" x14ac:dyDescent="0.2">
      <c r="A73" s="18"/>
      <c r="B73" s="24" t="s">
        <v>471</v>
      </c>
      <c r="C73" s="18"/>
      <c r="D73" s="20" t="s">
        <v>17</v>
      </c>
      <c r="E73" s="21">
        <v>3879000</v>
      </c>
      <c r="F73" s="21"/>
      <c r="G73" s="39">
        <f t="shared" si="0"/>
        <v>593716584.07464755</v>
      </c>
    </row>
    <row r="74" spans="1:8" s="17" customFormat="1" ht="21.75" customHeight="1" x14ac:dyDescent="0.2">
      <c r="A74" s="18"/>
      <c r="B74" s="24" t="s">
        <v>471</v>
      </c>
      <c r="C74" s="18"/>
      <c r="D74" s="20" t="s">
        <v>447</v>
      </c>
      <c r="E74" s="21">
        <v>1840000</v>
      </c>
      <c r="F74" s="21"/>
      <c r="G74" s="39">
        <f t="shared" si="0"/>
        <v>595556584.07464755</v>
      </c>
    </row>
    <row r="75" spans="1:8" s="17" customFormat="1" ht="21.75" customHeight="1" x14ac:dyDescent="0.2">
      <c r="A75" s="18"/>
      <c r="B75" s="24" t="s">
        <v>471</v>
      </c>
      <c r="C75" s="24"/>
      <c r="D75" s="20" t="s">
        <v>452</v>
      </c>
      <c r="E75" s="21"/>
      <c r="F75" s="21">
        <v>3439000</v>
      </c>
      <c r="G75" s="39">
        <f t="shared" si="0"/>
        <v>592117584.07464755</v>
      </c>
    </row>
    <row r="76" spans="1:8" s="17" customFormat="1" ht="21.75" customHeight="1" x14ac:dyDescent="0.2">
      <c r="A76" s="18"/>
      <c r="B76" s="24" t="s">
        <v>471</v>
      </c>
      <c r="C76" s="18"/>
      <c r="D76" s="20" t="s">
        <v>453</v>
      </c>
      <c r="E76" s="21"/>
      <c r="F76" s="21">
        <v>230000</v>
      </c>
      <c r="G76" s="39">
        <f t="shared" si="0"/>
        <v>591887584.07464755</v>
      </c>
    </row>
    <row r="77" spans="1:8" s="17" customFormat="1" ht="21.75" customHeight="1" x14ac:dyDescent="0.2">
      <c r="A77" s="18"/>
      <c r="B77" s="24" t="s">
        <v>471</v>
      </c>
      <c r="C77" s="18"/>
      <c r="D77" s="20" t="s">
        <v>454</v>
      </c>
      <c r="E77" s="21"/>
      <c r="F77" s="21">
        <v>51067154</v>
      </c>
      <c r="G77" s="39">
        <f t="shared" si="0"/>
        <v>540820430.07464755</v>
      </c>
    </row>
    <row r="78" spans="1:8" s="17" customFormat="1" ht="21.75" customHeight="1" x14ac:dyDescent="0.2">
      <c r="A78" s="18"/>
      <c r="B78" s="24" t="s">
        <v>471</v>
      </c>
      <c r="C78" s="18"/>
      <c r="D78" s="20" t="s">
        <v>21</v>
      </c>
      <c r="E78" s="21"/>
      <c r="F78" s="21">
        <v>2500</v>
      </c>
      <c r="G78" s="39">
        <f t="shared" si="0"/>
        <v>540817930.07464755</v>
      </c>
    </row>
    <row r="79" spans="1:8" s="17" customFormat="1" ht="21.75" customHeight="1" x14ac:dyDescent="0.2">
      <c r="A79" s="18"/>
      <c r="B79" s="24" t="s">
        <v>471</v>
      </c>
      <c r="C79" s="18"/>
      <c r="D79" s="20" t="s">
        <v>455</v>
      </c>
      <c r="E79" s="21"/>
      <c r="F79" s="21">
        <v>50810816</v>
      </c>
      <c r="G79" s="39">
        <f t="shared" ref="G79:G88" si="1">+G78+E79-F79</f>
        <v>490007114.07464755</v>
      </c>
    </row>
    <row r="80" spans="1:8" s="17" customFormat="1" ht="21.75" customHeight="1" x14ac:dyDescent="0.2">
      <c r="A80" s="18"/>
      <c r="B80" s="24" t="s">
        <v>471</v>
      </c>
      <c r="C80" s="18"/>
      <c r="D80" s="20" t="s">
        <v>456</v>
      </c>
      <c r="E80" s="21"/>
      <c r="F80" s="21">
        <v>10605316</v>
      </c>
      <c r="G80" s="39">
        <f t="shared" si="1"/>
        <v>479401798.07464755</v>
      </c>
    </row>
    <row r="81" spans="1:7" s="17" customFormat="1" ht="21.75" customHeight="1" x14ac:dyDescent="0.2">
      <c r="A81" s="18"/>
      <c r="B81" s="24" t="s">
        <v>471</v>
      </c>
      <c r="C81" s="18"/>
      <c r="D81" s="20" t="s">
        <v>457</v>
      </c>
      <c r="E81" s="21"/>
      <c r="F81" s="69">
        <v>6000000</v>
      </c>
      <c r="G81" s="39">
        <f t="shared" si="1"/>
        <v>473401798.07464755</v>
      </c>
    </row>
    <row r="82" spans="1:7" s="17" customFormat="1" ht="21.75" customHeight="1" x14ac:dyDescent="0.2">
      <c r="A82" s="18"/>
      <c r="B82" s="24" t="s">
        <v>471</v>
      </c>
      <c r="C82" s="18"/>
      <c r="D82" s="20" t="s">
        <v>458</v>
      </c>
      <c r="E82" s="21"/>
      <c r="F82" s="69">
        <v>10000000</v>
      </c>
      <c r="G82" s="39">
        <f t="shared" si="1"/>
        <v>463401798.07464755</v>
      </c>
    </row>
    <row r="83" spans="1:7" s="17" customFormat="1" ht="21.75" customHeight="1" x14ac:dyDescent="0.2">
      <c r="A83" s="18"/>
      <c r="B83" s="19" t="s">
        <v>451</v>
      </c>
      <c r="C83" s="18"/>
      <c r="D83" s="20" t="s">
        <v>459</v>
      </c>
      <c r="E83" s="69">
        <v>13000000</v>
      </c>
      <c r="F83" s="21"/>
      <c r="G83" s="39">
        <f t="shared" si="1"/>
        <v>476401798.07464755</v>
      </c>
    </row>
    <row r="84" spans="1:7" s="17" customFormat="1" ht="21.75" customHeight="1" x14ac:dyDescent="0.2">
      <c r="A84" s="18"/>
      <c r="B84" s="24" t="s">
        <v>451</v>
      </c>
      <c r="C84" s="18"/>
      <c r="D84" s="20" t="s">
        <v>460</v>
      </c>
      <c r="E84" s="21"/>
      <c r="F84" s="21">
        <v>90000</v>
      </c>
      <c r="G84" s="39">
        <f t="shared" si="1"/>
        <v>476311798.07464755</v>
      </c>
    </row>
    <row r="85" spans="1:7" s="17" customFormat="1" ht="21.75" customHeight="1" x14ac:dyDescent="0.2">
      <c r="A85" s="18"/>
      <c r="B85" s="24" t="s">
        <v>451</v>
      </c>
      <c r="C85" s="35"/>
      <c r="D85" s="20" t="s">
        <v>461</v>
      </c>
      <c r="E85" s="21"/>
      <c r="F85" s="21">
        <v>5854167</v>
      </c>
      <c r="G85" s="39">
        <f t="shared" si="1"/>
        <v>470457631.07464755</v>
      </c>
    </row>
    <row r="86" spans="1:7" s="17" customFormat="1" ht="21.75" customHeight="1" x14ac:dyDescent="0.2">
      <c r="A86" s="18"/>
      <c r="B86" s="24" t="s">
        <v>451</v>
      </c>
      <c r="C86" s="18"/>
      <c r="D86" s="20" t="s">
        <v>21</v>
      </c>
      <c r="E86" s="21"/>
      <c r="F86" s="21">
        <v>2900</v>
      </c>
      <c r="G86" s="39">
        <f t="shared" si="1"/>
        <v>470454731.07464755</v>
      </c>
    </row>
    <row r="87" spans="1:7" s="17" customFormat="1" ht="21.75" customHeight="1" x14ac:dyDescent="0.2">
      <c r="A87" s="18"/>
      <c r="B87" s="24" t="s">
        <v>472</v>
      </c>
      <c r="C87" s="36"/>
      <c r="D87" s="20" t="s">
        <v>462</v>
      </c>
      <c r="E87" s="21"/>
      <c r="F87" s="21">
        <v>3500000</v>
      </c>
      <c r="G87" s="39">
        <f t="shared" si="1"/>
        <v>466954731.07464755</v>
      </c>
    </row>
    <row r="88" spans="1:7" s="17" customFormat="1" ht="21.75" customHeight="1" x14ac:dyDescent="0.2">
      <c r="A88" s="18"/>
      <c r="B88" s="24" t="s">
        <v>472</v>
      </c>
      <c r="C88" s="36"/>
      <c r="D88" s="20" t="s">
        <v>319</v>
      </c>
      <c r="E88" s="21"/>
      <c r="F88" s="21">
        <v>7045000</v>
      </c>
      <c r="G88" s="65">
        <f t="shared" si="1"/>
        <v>459909731.07464755</v>
      </c>
    </row>
    <row r="89" spans="1:7" s="17" customFormat="1" ht="21.75" customHeight="1" x14ac:dyDescent="0.2">
      <c r="A89" s="18"/>
      <c r="B89" s="24" t="s">
        <v>472</v>
      </c>
      <c r="C89" s="36"/>
      <c r="D89" s="20" t="s">
        <v>21</v>
      </c>
      <c r="E89" s="21"/>
      <c r="F89" s="21">
        <v>2900</v>
      </c>
      <c r="G89" s="39">
        <f t="shared" ref="G89:G107" si="2">+G88+E89-F89</f>
        <v>459906831.07464755</v>
      </c>
    </row>
    <row r="90" spans="1:7" s="17" customFormat="1" ht="21.75" customHeight="1" x14ac:dyDescent="0.2">
      <c r="A90" s="18"/>
      <c r="B90" s="24" t="s">
        <v>472</v>
      </c>
      <c r="C90" s="36"/>
      <c r="D90" s="20" t="s">
        <v>563</v>
      </c>
      <c r="E90" s="21"/>
      <c r="F90" s="21">
        <v>15605120</v>
      </c>
      <c r="G90" s="39">
        <f t="shared" si="2"/>
        <v>444301711.07464755</v>
      </c>
    </row>
    <row r="91" spans="1:7" s="17" customFormat="1" ht="21.75" customHeight="1" x14ac:dyDescent="0.2">
      <c r="A91" s="18"/>
      <c r="B91" s="24" t="s">
        <v>472</v>
      </c>
      <c r="C91" s="36"/>
      <c r="D91" s="20" t="s">
        <v>463</v>
      </c>
      <c r="E91" s="21"/>
      <c r="F91" s="21">
        <v>15480000</v>
      </c>
      <c r="G91" s="39">
        <f t="shared" si="2"/>
        <v>428821711.07464755</v>
      </c>
    </row>
    <row r="92" spans="1:7" s="17" customFormat="1" ht="21.75" customHeight="1" x14ac:dyDescent="0.2">
      <c r="A92" s="18"/>
      <c r="B92" s="24" t="s">
        <v>472</v>
      </c>
      <c r="C92" s="36"/>
      <c r="D92" s="20" t="s">
        <v>464</v>
      </c>
      <c r="E92" s="21"/>
      <c r="F92" s="21">
        <v>27713350</v>
      </c>
      <c r="G92" s="39">
        <f t="shared" si="2"/>
        <v>401108361.07464755</v>
      </c>
    </row>
    <row r="93" spans="1:7" s="17" customFormat="1" ht="21.75" customHeight="1" x14ac:dyDescent="0.2">
      <c r="A93" s="18"/>
      <c r="B93" s="24" t="s">
        <v>472</v>
      </c>
      <c r="C93" s="36"/>
      <c r="D93" s="20" t="s">
        <v>465</v>
      </c>
      <c r="E93" s="21"/>
      <c r="F93" s="21">
        <v>65206935</v>
      </c>
      <c r="G93" s="39">
        <f t="shared" si="2"/>
        <v>335901426.07464755</v>
      </c>
    </row>
    <row r="94" spans="1:7" s="17" customFormat="1" ht="21.75" customHeight="1" x14ac:dyDescent="0.2">
      <c r="A94" s="18"/>
      <c r="B94" s="24" t="s">
        <v>472</v>
      </c>
      <c r="C94" s="36"/>
      <c r="D94" s="20" t="s">
        <v>466</v>
      </c>
      <c r="E94" s="21"/>
      <c r="F94" s="21">
        <v>12684988</v>
      </c>
      <c r="G94" s="39">
        <f t="shared" si="2"/>
        <v>323216438.07464755</v>
      </c>
    </row>
    <row r="95" spans="1:7" s="17" customFormat="1" ht="21.75" customHeight="1" x14ac:dyDescent="0.2">
      <c r="A95" s="18"/>
      <c r="B95" s="24" t="s">
        <v>472</v>
      </c>
      <c r="C95" s="36"/>
      <c r="D95" s="20" t="s">
        <v>467</v>
      </c>
      <c r="E95" s="21"/>
      <c r="F95" s="21">
        <v>19436482</v>
      </c>
      <c r="G95" s="39">
        <f t="shared" si="2"/>
        <v>303779956.07464755</v>
      </c>
    </row>
    <row r="96" spans="1:7" s="17" customFormat="1" ht="21.75" customHeight="1" x14ac:dyDescent="0.2">
      <c r="A96" s="18"/>
      <c r="B96" s="24" t="s">
        <v>472</v>
      </c>
      <c r="C96" s="36"/>
      <c r="D96" s="20" t="s">
        <v>468</v>
      </c>
      <c r="E96" s="21"/>
      <c r="F96" s="21">
        <v>13070988</v>
      </c>
      <c r="G96" s="39">
        <f t="shared" si="2"/>
        <v>290708968.07464755</v>
      </c>
    </row>
    <row r="97" spans="1:7" s="17" customFormat="1" ht="21.75" customHeight="1" x14ac:dyDescent="0.2">
      <c r="A97" s="18"/>
      <c r="B97" s="24" t="s">
        <v>472</v>
      </c>
      <c r="C97" s="36"/>
      <c r="D97" s="20" t="s">
        <v>567</v>
      </c>
      <c r="E97" s="70">
        <v>10000000</v>
      </c>
      <c r="F97" s="21"/>
      <c r="G97" s="39">
        <f t="shared" si="2"/>
        <v>300708968.07464755</v>
      </c>
    </row>
    <row r="98" spans="1:7" s="17" customFormat="1" ht="21.75" customHeight="1" x14ac:dyDescent="0.2">
      <c r="A98" s="18"/>
      <c r="B98" s="19" t="s">
        <v>469</v>
      </c>
      <c r="C98" s="36"/>
      <c r="D98" s="20" t="s">
        <v>470</v>
      </c>
      <c r="E98" s="21"/>
      <c r="F98" s="69">
        <v>4000000</v>
      </c>
      <c r="G98" s="39">
        <f t="shared" si="2"/>
        <v>296708968.07464755</v>
      </c>
    </row>
    <row r="99" spans="1:7" s="17" customFormat="1" ht="21.75" customHeight="1" x14ac:dyDescent="0.2">
      <c r="A99" s="18"/>
      <c r="B99" s="24" t="s">
        <v>469</v>
      </c>
      <c r="C99" s="36"/>
      <c r="D99" s="20" t="s">
        <v>21</v>
      </c>
      <c r="E99" s="21"/>
      <c r="F99" s="21">
        <v>2500</v>
      </c>
      <c r="G99" s="39">
        <f t="shared" si="2"/>
        <v>296706468.07464755</v>
      </c>
    </row>
    <row r="100" spans="1:7" s="17" customFormat="1" ht="21.75" customHeight="1" x14ac:dyDescent="0.2">
      <c r="A100" s="18"/>
      <c r="B100" s="19" t="s">
        <v>475</v>
      </c>
      <c r="C100" s="36"/>
      <c r="D100" s="20" t="s">
        <v>473</v>
      </c>
      <c r="E100" s="21">
        <v>14845277</v>
      </c>
      <c r="F100" s="21"/>
      <c r="G100" s="39">
        <f t="shared" si="2"/>
        <v>311551745.07464755</v>
      </c>
    </row>
    <row r="101" spans="1:7" s="17" customFormat="1" ht="21.75" customHeight="1" x14ac:dyDescent="0.2">
      <c r="A101" s="18"/>
      <c r="B101" s="24" t="s">
        <v>475</v>
      </c>
      <c r="C101" s="36"/>
      <c r="D101" s="20" t="s">
        <v>564</v>
      </c>
      <c r="E101" s="21">
        <v>100000000</v>
      </c>
      <c r="F101" s="21"/>
      <c r="G101" s="39">
        <f t="shared" si="2"/>
        <v>411551745.07464755</v>
      </c>
    </row>
    <row r="102" spans="1:7" ht="21.75" customHeight="1" x14ac:dyDescent="0.2">
      <c r="A102" s="7"/>
      <c r="B102" s="19" t="s">
        <v>476</v>
      </c>
      <c r="C102" s="10"/>
      <c r="D102" s="20" t="s">
        <v>477</v>
      </c>
      <c r="E102" s="21"/>
      <c r="F102" s="21">
        <v>8775000</v>
      </c>
      <c r="G102" s="39">
        <f t="shared" si="2"/>
        <v>402776745.07464755</v>
      </c>
    </row>
    <row r="103" spans="1:7" ht="21.75" customHeight="1" x14ac:dyDescent="0.2">
      <c r="A103" s="7"/>
      <c r="B103" s="24" t="s">
        <v>476</v>
      </c>
      <c r="C103" s="10"/>
      <c r="D103" s="20" t="s">
        <v>478</v>
      </c>
      <c r="E103" s="21"/>
      <c r="F103" s="69">
        <v>9465000</v>
      </c>
      <c r="G103" s="39">
        <f t="shared" si="2"/>
        <v>393311745.07464755</v>
      </c>
    </row>
    <row r="104" spans="1:7" ht="21.75" customHeight="1" x14ac:dyDescent="0.2">
      <c r="A104" s="7"/>
      <c r="B104" s="24" t="s">
        <v>476</v>
      </c>
      <c r="C104" s="10"/>
      <c r="D104" s="20" t="s">
        <v>21</v>
      </c>
      <c r="E104" s="21"/>
      <c r="F104" s="21">
        <v>2500</v>
      </c>
      <c r="G104" s="39">
        <f t="shared" si="2"/>
        <v>393309245.07464755</v>
      </c>
    </row>
    <row r="105" spans="1:7" ht="21.75" customHeight="1" x14ac:dyDescent="0.2">
      <c r="A105" s="7"/>
      <c r="B105" s="24" t="s">
        <v>476</v>
      </c>
      <c r="C105" s="10"/>
      <c r="D105" s="20" t="s">
        <v>568</v>
      </c>
      <c r="E105" s="69">
        <v>9000000</v>
      </c>
      <c r="F105" s="21"/>
      <c r="G105" s="39">
        <f t="shared" si="2"/>
        <v>402309245.07464755</v>
      </c>
    </row>
    <row r="106" spans="1:7" ht="21.75" customHeight="1" x14ac:dyDescent="0.2">
      <c r="A106" s="7"/>
      <c r="B106" s="24" t="s">
        <v>476</v>
      </c>
      <c r="C106" s="36"/>
      <c r="D106" s="20" t="s">
        <v>485</v>
      </c>
      <c r="E106" s="21"/>
      <c r="F106" s="69">
        <v>73815000</v>
      </c>
      <c r="G106" s="39">
        <f t="shared" si="2"/>
        <v>328494245.07464755</v>
      </c>
    </row>
    <row r="107" spans="1:7" ht="21.75" customHeight="1" x14ac:dyDescent="0.2">
      <c r="A107" s="7"/>
      <c r="B107" s="24" t="s">
        <v>476</v>
      </c>
      <c r="C107" s="36"/>
      <c r="D107" s="20" t="s">
        <v>21</v>
      </c>
      <c r="E107" s="21"/>
      <c r="F107" s="21">
        <v>2500</v>
      </c>
      <c r="G107" s="39">
        <f t="shared" si="2"/>
        <v>328491745.07464755</v>
      </c>
    </row>
    <row r="108" spans="1:7" ht="21.75" customHeight="1" x14ac:dyDescent="0.2">
      <c r="A108" s="7"/>
      <c r="B108" s="19" t="s">
        <v>479</v>
      </c>
      <c r="C108" s="35"/>
      <c r="D108" s="20" t="s">
        <v>484</v>
      </c>
      <c r="E108" s="69">
        <v>9000000</v>
      </c>
      <c r="F108" s="21"/>
      <c r="G108" s="62">
        <f t="shared" ref="G108:G122" si="3">+G107+E108-F108</f>
        <v>337491745.07464755</v>
      </c>
    </row>
    <row r="109" spans="1:7" ht="21.75" customHeight="1" x14ac:dyDescent="0.2">
      <c r="A109" s="7"/>
      <c r="B109" s="24" t="s">
        <v>479</v>
      </c>
      <c r="C109" s="35"/>
      <c r="D109" s="20" t="s">
        <v>483</v>
      </c>
      <c r="E109" s="21"/>
      <c r="F109" s="21">
        <v>10479300</v>
      </c>
      <c r="G109" s="62">
        <f t="shared" si="3"/>
        <v>327012445.07464755</v>
      </c>
    </row>
    <row r="110" spans="1:7" ht="21.75" customHeight="1" x14ac:dyDescent="0.2">
      <c r="A110" s="7"/>
      <c r="B110" s="24" t="s">
        <v>479</v>
      </c>
      <c r="C110" s="35"/>
      <c r="D110" s="20" t="s">
        <v>482</v>
      </c>
      <c r="E110" s="21"/>
      <c r="F110" s="69">
        <v>1350000</v>
      </c>
      <c r="G110" s="62">
        <f t="shared" si="3"/>
        <v>325662445.07464755</v>
      </c>
    </row>
    <row r="111" spans="1:7" ht="21.75" customHeight="1" x14ac:dyDescent="0.2">
      <c r="A111" s="7"/>
      <c r="B111" s="24" t="s">
        <v>479</v>
      </c>
      <c r="C111" s="35"/>
      <c r="D111" s="20" t="s">
        <v>21</v>
      </c>
      <c r="E111" s="21"/>
      <c r="F111" s="21">
        <v>2500</v>
      </c>
      <c r="G111" s="62">
        <f t="shared" si="3"/>
        <v>325659945.07464755</v>
      </c>
    </row>
    <row r="112" spans="1:7" ht="21.75" customHeight="1" x14ac:dyDescent="0.2">
      <c r="A112" s="7"/>
      <c r="B112" s="24" t="s">
        <v>479</v>
      </c>
      <c r="C112" s="35"/>
      <c r="D112" s="20" t="s">
        <v>481</v>
      </c>
      <c r="E112" s="21"/>
      <c r="F112" s="21">
        <v>56425000</v>
      </c>
      <c r="G112" s="62">
        <f t="shared" si="3"/>
        <v>269234945.07464755</v>
      </c>
    </row>
    <row r="113" spans="1:7" ht="21.75" customHeight="1" x14ac:dyDescent="0.2">
      <c r="A113" s="7"/>
      <c r="B113" s="24" t="s">
        <v>479</v>
      </c>
      <c r="C113" s="35"/>
      <c r="D113" s="23" t="s">
        <v>480</v>
      </c>
      <c r="E113" s="21">
        <v>20048750</v>
      </c>
      <c r="F113" s="21"/>
      <c r="G113" s="62">
        <f t="shared" si="3"/>
        <v>289283695.07464755</v>
      </c>
    </row>
    <row r="114" spans="1:7" ht="21.75" customHeight="1" x14ac:dyDescent="0.2">
      <c r="A114" s="7"/>
      <c r="B114" s="24" t="s">
        <v>479</v>
      </c>
      <c r="C114" s="35"/>
      <c r="D114" s="20" t="s">
        <v>507</v>
      </c>
      <c r="E114" s="69">
        <v>4500000</v>
      </c>
      <c r="F114" s="21"/>
      <c r="G114" s="62">
        <f t="shared" si="3"/>
        <v>293783695.07464755</v>
      </c>
    </row>
    <row r="115" spans="1:7" ht="21.75" customHeight="1" x14ac:dyDescent="0.2">
      <c r="A115" s="7"/>
      <c r="B115" s="24" t="s">
        <v>479</v>
      </c>
      <c r="C115" s="35"/>
      <c r="D115" s="20" t="s">
        <v>507</v>
      </c>
      <c r="E115" s="69">
        <v>3000000</v>
      </c>
      <c r="F115" s="21"/>
      <c r="G115" s="62">
        <f t="shared" si="3"/>
        <v>296783695.07464755</v>
      </c>
    </row>
    <row r="116" spans="1:7" ht="21.75" customHeight="1" x14ac:dyDescent="0.2">
      <c r="A116" s="7"/>
      <c r="B116" s="24" t="s">
        <v>479</v>
      </c>
      <c r="C116" s="35"/>
      <c r="D116" s="20" t="s">
        <v>506</v>
      </c>
      <c r="E116" s="21"/>
      <c r="F116" s="69">
        <v>1000000</v>
      </c>
      <c r="G116" s="62">
        <f t="shared" si="3"/>
        <v>295783695.07464755</v>
      </c>
    </row>
    <row r="117" spans="1:7" ht="21.75" customHeight="1" x14ac:dyDescent="0.2">
      <c r="A117" s="7"/>
      <c r="B117" s="24" t="s">
        <v>479</v>
      </c>
      <c r="C117" s="36"/>
      <c r="D117" s="20" t="s">
        <v>21</v>
      </c>
      <c r="E117" s="21"/>
      <c r="F117" s="21">
        <v>2500</v>
      </c>
      <c r="G117" s="62">
        <f t="shared" si="3"/>
        <v>295781195.07464755</v>
      </c>
    </row>
    <row r="118" spans="1:7" ht="21.75" customHeight="1" x14ac:dyDescent="0.2">
      <c r="A118" s="7"/>
      <c r="B118" s="19" t="s">
        <v>486</v>
      </c>
      <c r="C118" s="36"/>
      <c r="D118" s="20" t="s">
        <v>494</v>
      </c>
      <c r="E118" s="21"/>
      <c r="F118" s="21">
        <v>2967220</v>
      </c>
      <c r="G118" s="62">
        <f t="shared" si="3"/>
        <v>292813975.07464755</v>
      </c>
    </row>
    <row r="119" spans="1:7" ht="21.75" customHeight="1" x14ac:dyDescent="0.2">
      <c r="A119" s="7"/>
      <c r="B119" s="24" t="s">
        <v>486</v>
      </c>
      <c r="C119" s="36"/>
      <c r="D119" s="20" t="s">
        <v>493</v>
      </c>
      <c r="E119" s="21"/>
      <c r="F119" s="21">
        <v>39288083</v>
      </c>
      <c r="G119" s="62">
        <f t="shared" si="3"/>
        <v>253525892.07464755</v>
      </c>
    </row>
    <row r="120" spans="1:7" ht="21.75" customHeight="1" x14ac:dyDescent="0.2">
      <c r="A120" s="7"/>
      <c r="B120" s="24" t="s">
        <v>486</v>
      </c>
      <c r="C120" s="36"/>
      <c r="D120" s="20" t="s">
        <v>492</v>
      </c>
      <c r="E120" s="21"/>
      <c r="F120" s="21">
        <v>1050000</v>
      </c>
      <c r="G120" s="62">
        <f t="shared" si="3"/>
        <v>252475892.07464755</v>
      </c>
    </row>
    <row r="121" spans="1:7" ht="21.75" customHeight="1" x14ac:dyDescent="0.2">
      <c r="A121" s="7"/>
      <c r="B121" s="24" t="s">
        <v>486</v>
      </c>
      <c r="C121" s="36"/>
      <c r="D121" s="20" t="s">
        <v>491</v>
      </c>
      <c r="E121" s="21"/>
      <c r="F121" s="21">
        <v>2250000</v>
      </c>
      <c r="G121" s="62">
        <f t="shared" si="3"/>
        <v>250225892.07464755</v>
      </c>
    </row>
    <row r="122" spans="1:7" ht="21.75" customHeight="1" x14ac:dyDescent="0.25">
      <c r="A122" s="7"/>
      <c r="B122" s="24" t="s">
        <v>486</v>
      </c>
      <c r="C122" s="36"/>
      <c r="D122" s="20" t="s">
        <v>624</v>
      </c>
      <c r="E122" s="21">
        <v>7252078</v>
      </c>
      <c r="F122" s="21"/>
      <c r="G122" s="56">
        <f t="shared" si="3"/>
        <v>257477970.07464755</v>
      </c>
    </row>
    <row r="123" spans="1:7" ht="21.75" customHeight="1" x14ac:dyDescent="0.2">
      <c r="A123" s="7"/>
      <c r="B123" s="24" t="s">
        <v>486</v>
      </c>
      <c r="C123" s="36"/>
      <c r="D123" s="20" t="s">
        <v>490</v>
      </c>
      <c r="E123" s="21">
        <v>18285000</v>
      </c>
      <c r="F123" s="21"/>
      <c r="G123" s="62">
        <f>+G122+E123-F123</f>
        <v>275762970.07464755</v>
      </c>
    </row>
    <row r="124" spans="1:7" ht="21.75" customHeight="1" x14ac:dyDescent="0.2">
      <c r="A124" s="7"/>
      <c r="B124" s="24" t="s">
        <v>486</v>
      </c>
      <c r="C124" s="36"/>
      <c r="D124" s="20" t="s">
        <v>489</v>
      </c>
      <c r="E124" s="21">
        <v>12805250</v>
      </c>
      <c r="F124" s="21"/>
      <c r="G124" s="62">
        <f t="shared" ref="G124:G175" si="4">+G123+E124-F124</f>
        <v>288568220.07464755</v>
      </c>
    </row>
    <row r="125" spans="1:7" ht="21.75" customHeight="1" x14ac:dyDescent="0.2">
      <c r="A125" s="7"/>
      <c r="B125" s="24" t="s">
        <v>486</v>
      </c>
      <c r="C125" s="36"/>
      <c r="D125" s="20" t="s">
        <v>487</v>
      </c>
      <c r="E125" s="69">
        <v>12687500</v>
      </c>
      <c r="F125" s="21"/>
      <c r="G125" s="62">
        <f t="shared" si="4"/>
        <v>301255720.07464755</v>
      </c>
    </row>
    <row r="126" spans="1:7" ht="21.75" customHeight="1" x14ac:dyDescent="0.2">
      <c r="A126" s="7"/>
      <c r="B126" s="24" t="s">
        <v>486</v>
      </c>
      <c r="C126" s="36"/>
      <c r="D126" s="20" t="s">
        <v>488</v>
      </c>
      <c r="E126" s="69">
        <v>10000000</v>
      </c>
      <c r="F126" s="21"/>
      <c r="G126" s="62">
        <f t="shared" si="4"/>
        <v>311255720.07464755</v>
      </c>
    </row>
    <row r="127" spans="1:7" ht="21.75" customHeight="1" x14ac:dyDescent="0.2">
      <c r="A127" s="7"/>
      <c r="B127" s="24" t="s">
        <v>486</v>
      </c>
      <c r="C127" s="24"/>
      <c r="D127" s="20" t="s">
        <v>497</v>
      </c>
      <c r="E127" s="69">
        <v>41000000</v>
      </c>
      <c r="F127" s="21"/>
      <c r="G127" s="62">
        <f t="shared" si="4"/>
        <v>352255720.07464755</v>
      </c>
    </row>
    <row r="128" spans="1:7" ht="21.75" customHeight="1" x14ac:dyDescent="0.2">
      <c r="A128" s="7"/>
      <c r="B128" s="24" t="s">
        <v>486</v>
      </c>
      <c r="C128" s="35"/>
      <c r="D128" s="20" t="s">
        <v>497</v>
      </c>
      <c r="E128" s="69">
        <v>4500000</v>
      </c>
      <c r="F128" s="21"/>
      <c r="G128" s="62">
        <f t="shared" si="4"/>
        <v>356755720.07464755</v>
      </c>
    </row>
    <row r="129" spans="1:8" ht="21.75" customHeight="1" x14ac:dyDescent="0.2">
      <c r="A129" s="7"/>
      <c r="B129" s="24" t="s">
        <v>486</v>
      </c>
      <c r="C129" s="35"/>
      <c r="D129" s="20" t="s">
        <v>497</v>
      </c>
      <c r="E129" s="69">
        <v>10000000</v>
      </c>
      <c r="F129" s="21"/>
      <c r="G129" s="62">
        <f t="shared" si="4"/>
        <v>366755720.07464755</v>
      </c>
    </row>
    <row r="130" spans="1:8" ht="21.75" customHeight="1" x14ac:dyDescent="0.2">
      <c r="A130" s="7"/>
      <c r="B130" s="24" t="s">
        <v>486</v>
      </c>
      <c r="C130" s="35"/>
      <c r="D130" s="20" t="s">
        <v>497</v>
      </c>
      <c r="E130" s="69">
        <v>7500000</v>
      </c>
      <c r="F130" s="21"/>
      <c r="G130" s="62">
        <f t="shared" si="4"/>
        <v>374255720.07464755</v>
      </c>
    </row>
    <row r="131" spans="1:8" ht="21.75" customHeight="1" x14ac:dyDescent="0.2">
      <c r="A131" s="7"/>
      <c r="B131" s="19" t="s">
        <v>495</v>
      </c>
      <c r="C131" s="18"/>
      <c r="D131" s="20" t="s">
        <v>496</v>
      </c>
      <c r="E131" s="21"/>
      <c r="F131" s="21">
        <v>208250000</v>
      </c>
      <c r="G131" s="62">
        <f t="shared" si="4"/>
        <v>166005720.07464755</v>
      </c>
    </row>
    <row r="132" spans="1:8" ht="21.75" customHeight="1" x14ac:dyDescent="0.2">
      <c r="A132" s="7"/>
      <c r="B132" s="24" t="s">
        <v>495</v>
      </c>
      <c r="C132" s="18"/>
      <c r="D132" s="20" t="s">
        <v>21</v>
      </c>
      <c r="E132" s="21"/>
      <c r="F132" s="21">
        <v>32500</v>
      </c>
      <c r="G132" s="62">
        <f t="shared" si="4"/>
        <v>165973220.07464755</v>
      </c>
      <c r="H132" s="46">
        <v>165973220.06999999</v>
      </c>
    </row>
    <row r="133" spans="1:8" ht="21.75" customHeight="1" x14ac:dyDescent="0.2">
      <c r="A133" s="7"/>
      <c r="B133" s="24" t="s">
        <v>495</v>
      </c>
      <c r="C133" s="18"/>
      <c r="D133" s="20" t="s">
        <v>458</v>
      </c>
      <c r="E133" s="21"/>
      <c r="F133" s="69">
        <v>10500000</v>
      </c>
      <c r="G133" s="62">
        <f t="shared" si="4"/>
        <v>155473220.07464755</v>
      </c>
      <c r="H133" s="46">
        <f>+G132-H132</f>
        <v>4.6475529670715332E-3</v>
      </c>
    </row>
    <row r="134" spans="1:8" ht="21.75" customHeight="1" x14ac:dyDescent="0.2">
      <c r="A134" s="7"/>
      <c r="B134" s="24" t="s">
        <v>495</v>
      </c>
      <c r="C134" s="36"/>
      <c r="D134" s="20" t="s">
        <v>497</v>
      </c>
      <c r="E134" s="69">
        <v>1500000</v>
      </c>
      <c r="F134" s="21"/>
      <c r="G134" s="62">
        <f t="shared" si="4"/>
        <v>156973220.07464755</v>
      </c>
    </row>
    <row r="135" spans="1:8" ht="21.75" customHeight="1" x14ac:dyDescent="0.2">
      <c r="A135" s="7"/>
      <c r="B135" s="24" t="s">
        <v>495</v>
      </c>
      <c r="C135" s="36"/>
      <c r="D135" s="20" t="s">
        <v>569</v>
      </c>
      <c r="E135" s="66">
        <v>1350000</v>
      </c>
      <c r="F135" s="21"/>
      <c r="G135" s="62">
        <f t="shared" si="4"/>
        <v>158323220.07464755</v>
      </c>
    </row>
    <row r="136" spans="1:8" ht="21.75" customHeight="1" x14ac:dyDescent="0.2">
      <c r="A136" s="7"/>
      <c r="B136" s="24" t="s">
        <v>495</v>
      </c>
      <c r="C136" s="36"/>
      <c r="D136" s="20" t="s">
        <v>498</v>
      </c>
      <c r="E136" s="69">
        <v>16000000</v>
      </c>
      <c r="F136" s="21"/>
      <c r="G136" s="62">
        <f t="shared" si="4"/>
        <v>174323220.07464755</v>
      </c>
    </row>
    <row r="137" spans="1:8" ht="21.75" customHeight="1" x14ac:dyDescent="0.2">
      <c r="A137" s="7"/>
      <c r="B137" s="24" t="s">
        <v>495</v>
      </c>
      <c r="C137" s="36"/>
      <c r="D137" s="20" t="s">
        <v>505</v>
      </c>
      <c r="E137" s="21"/>
      <c r="F137" s="69">
        <v>6800000</v>
      </c>
      <c r="G137" s="62">
        <f t="shared" si="4"/>
        <v>167523220.07464755</v>
      </c>
    </row>
    <row r="138" spans="1:8" ht="21.75" customHeight="1" x14ac:dyDescent="0.2">
      <c r="A138" s="7"/>
      <c r="B138" s="24" t="s">
        <v>495</v>
      </c>
      <c r="C138" s="36"/>
      <c r="D138" s="20" t="s">
        <v>21</v>
      </c>
      <c r="E138" s="21"/>
      <c r="F138" s="21">
        <v>2500</v>
      </c>
      <c r="G138" s="62">
        <f t="shared" si="4"/>
        <v>167520720.07464755</v>
      </c>
    </row>
    <row r="139" spans="1:8" ht="21.75" customHeight="1" x14ac:dyDescent="0.2">
      <c r="A139" s="7"/>
      <c r="B139" s="24" t="s">
        <v>495</v>
      </c>
      <c r="C139" s="36"/>
      <c r="D139" s="20" t="s">
        <v>504</v>
      </c>
      <c r="E139" s="21"/>
      <c r="F139" s="69">
        <v>5200000</v>
      </c>
      <c r="G139" s="62">
        <f t="shared" si="4"/>
        <v>162320720.07464755</v>
      </c>
    </row>
    <row r="140" spans="1:8" ht="21.75" customHeight="1" x14ac:dyDescent="0.2">
      <c r="A140" s="7"/>
      <c r="B140" s="24" t="s">
        <v>495</v>
      </c>
      <c r="C140" s="35"/>
      <c r="D140" s="20" t="s">
        <v>21</v>
      </c>
      <c r="E140" s="21"/>
      <c r="F140" s="39">
        <v>2500</v>
      </c>
      <c r="G140" s="62">
        <f t="shared" si="4"/>
        <v>162318220.07464755</v>
      </c>
    </row>
    <row r="141" spans="1:8" ht="21.75" customHeight="1" x14ac:dyDescent="0.2">
      <c r="A141" s="7"/>
      <c r="B141" s="24" t="s">
        <v>495</v>
      </c>
      <c r="C141" s="35"/>
      <c r="D141" s="20" t="s">
        <v>499</v>
      </c>
      <c r="E141" s="71">
        <v>18200000</v>
      </c>
      <c r="F141" s="21"/>
      <c r="G141" s="62">
        <f t="shared" si="4"/>
        <v>180518220.07464755</v>
      </c>
    </row>
    <row r="142" spans="1:8" ht="21.75" customHeight="1" x14ac:dyDescent="0.2">
      <c r="A142" s="7"/>
      <c r="B142" s="19" t="s">
        <v>500</v>
      </c>
      <c r="C142" s="35"/>
      <c r="D142" s="20" t="s">
        <v>501</v>
      </c>
      <c r="E142" s="21"/>
      <c r="F142" s="69">
        <v>3000000</v>
      </c>
      <c r="G142" s="62">
        <f t="shared" si="4"/>
        <v>177518220.07464755</v>
      </c>
    </row>
    <row r="143" spans="1:8" s="12" customFormat="1" ht="21.75" customHeight="1" x14ac:dyDescent="0.2">
      <c r="A143" s="7"/>
      <c r="B143" s="24" t="s">
        <v>500</v>
      </c>
      <c r="C143" s="35"/>
      <c r="D143" s="20" t="s">
        <v>502</v>
      </c>
      <c r="E143" s="21"/>
      <c r="F143" s="69">
        <v>35873456</v>
      </c>
      <c r="G143" s="62">
        <f t="shared" si="4"/>
        <v>141644764.07464755</v>
      </c>
      <c r="H143" s="12">
        <v>11277000</v>
      </c>
    </row>
    <row r="144" spans="1:8" s="12" customFormat="1" ht="21.75" customHeight="1" x14ac:dyDescent="0.2">
      <c r="A144" s="7"/>
      <c r="B144" s="24" t="s">
        <v>500</v>
      </c>
      <c r="C144" s="35"/>
      <c r="D144" s="20" t="s">
        <v>21</v>
      </c>
      <c r="E144" s="21"/>
      <c r="F144" s="21">
        <v>2500</v>
      </c>
      <c r="G144" s="62">
        <f t="shared" si="4"/>
        <v>141642264.07464755</v>
      </c>
    </row>
    <row r="145" spans="1:7" s="12" customFormat="1" ht="21.75" customHeight="1" x14ac:dyDescent="0.2">
      <c r="A145" s="42"/>
      <c r="B145" s="19" t="s">
        <v>503</v>
      </c>
      <c r="C145" s="35"/>
      <c r="D145" s="20" t="s">
        <v>579</v>
      </c>
      <c r="E145" s="21">
        <v>14685300</v>
      </c>
      <c r="F145" s="21"/>
      <c r="G145" s="62">
        <f t="shared" si="4"/>
        <v>156327564.07464755</v>
      </c>
    </row>
    <row r="146" spans="1:7" s="12" customFormat="1" ht="21.75" customHeight="1" x14ac:dyDescent="0.2">
      <c r="A146" s="42"/>
      <c r="B146" s="24" t="s">
        <v>503</v>
      </c>
      <c r="C146" s="35"/>
      <c r="D146" s="20" t="s">
        <v>578</v>
      </c>
      <c r="E146" s="21">
        <v>18933393</v>
      </c>
      <c r="F146" s="21"/>
      <c r="G146" s="62">
        <f t="shared" si="4"/>
        <v>175260957.07464755</v>
      </c>
    </row>
    <row r="147" spans="1:7" s="12" customFormat="1" ht="21.75" customHeight="1" x14ac:dyDescent="0.2">
      <c r="A147" s="42"/>
      <c r="B147" s="24" t="s">
        <v>503</v>
      </c>
      <c r="C147" s="35"/>
      <c r="D147" s="20" t="s">
        <v>580</v>
      </c>
      <c r="E147" s="21">
        <v>2488610</v>
      </c>
      <c r="F147" s="21"/>
      <c r="G147" s="62">
        <f t="shared" si="4"/>
        <v>177749567.07464755</v>
      </c>
    </row>
    <row r="148" spans="1:7" s="12" customFormat="1" ht="21.75" customHeight="1" x14ac:dyDescent="0.2">
      <c r="A148" s="42"/>
      <c r="B148" s="24" t="s">
        <v>503</v>
      </c>
      <c r="C148" s="35"/>
      <c r="D148" s="20" t="s">
        <v>581</v>
      </c>
      <c r="E148" s="21">
        <v>17888322</v>
      </c>
      <c r="F148" s="21"/>
      <c r="G148" s="62">
        <f t="shared" si="4"/>
        <v>195637889.07464755</v>
      </c>
    </row>
    <row r="149" spans="1:7" s="12" customFormat="1" ht="21.75" customHeight="1" x14ac:dyDescent="0.2">
      <c r="A149" s="42"/>
      <c r="B149" s="24" t="s">
        <v>503</v>
      </c>
      <c r="C149" s="35"/>
      <c r="D149" s="20" t="s">
        <v>620</v>
      </c>
      <c r="E149" s="21">
        <v>20150737</v>
      </c>
      <c r="F149" s="39"/>
      <c r="G149" s="62">
        <f t="shared" si="4"/>
        <v>215788626.07464755</v>
      </c>
    </row>
    <row r="150" spans="1:7" s="12" customFormat="1" ht="21.75" customHeight="1" x14ac:dyDescent="0.2">
      <c r="A150" s="42"/>
      <c r="B150" s="24" t="s">
        <v>503</v>
      </c>
      <c r="C150" s="35"/>
      <c r="D150" s="23" t="s">
        <v>509</v>
      </c>
      <c r="E150" s="21">
        <v>0</v>
      </c>
      <c r="F150" s="21"/>
      <c r="G150" s="62">
        <f t="shared" si="4"/>
        <v>215788626.07464755</v>
      </c>
    </row>
    <row r="151" spans="1:7" s="12" customFormat="1" ht="21.75" customHeight="1" x14ac:dyDescent="0.2">
      <c r="A151" s="42"/>
      <c r="B151" s="24" t="s">
        <v>503</v>
      </c>
      <c r="C151" s="35"/>
      <c r="D151" s="20" t="s">
        <v>70</v>
      </c>
      <c r="E151" s="21">
        <v>1050000</v>
      </c>
      <c r="F151" s="21"/>
      <c r="G151" s="62">
        <f t="shared" si="4"/>
        <v>216838626.07464755</v>
      </c>
    </row>
    <row r="152" spans="1:7" s="12" customFormat="1" ht="21.75" customHeight="1" x14ac:dyDescent="0.2">
      <c r="A152" s="42"/>
      <c r="B152" s="24" t="s">
        <v>503</v>
      </c>
      <c r="C152" s="35"/>
      <c r="D152" s="20" t="s">
        <v>71</v>
      </c>
      <c r="E152" s="21">
        <v>450000</v>
      </c>
      <c r="F152" s="21"/>
      <c r="G152" s="62">
        <f t="shared" si="4"/>
        <v>217288626.07464755</v>
      </c>
    </row>
    <row r="153" spans="1:7" s="12" customFormat="1" ht="21.75" customHeight="1" x14ac:dyDescent="0.2">
      <c r="A153" s="42"/>
      <c r="B153" s="24" t="s">
        <v>503</v>
      </c>
      <c r="C153" s="35"/>
      <c r="D153" s="20" t="s">
        <v>72</v>
      </c>
      <c r="E153" s="21">
        <v>3000000</v>
      </c>
      <c r="F153" s="21"/>
      <c r="G153" s="62">
        <f t="shared" si="4"/>
        <v>220288626.07464755</v>
      </c>
    </row>
    <row r="154" spans="1:7" s="12" customFormat="1" ht="21.75" customHeight="1" x14ac:dyDescent="0.2">
      <c r="A154" s="42"/>
      <c r="B154" s="24" t="s">
        <v>503</v>
      </c>
      <c r="C154" s="35"/>
      <c r="D154" s="20" t="s">
        <v>510</v>
      </c>
      <c r="E154" s="21">
        <v>380000</v>
      </c>
      <c r="F154" s="21"/>
      <c r="G154" s="62">
        <f t="shared" si="4"/>
        <v>220668626.07464755</v>
      </c>
    </row>
    <row r="155" spans="1:7" s="12" customFormat="1" ht="21.75" customHeight="1" x14ac:dyDescent="0.2">
      <c r="A155" s="42"/>
      <c r="B155" s="24" t="s">
        <v>503</v>
      </c>
      <c r="C155" s="35"/>
      <c r="D155" s="20" t="s">
        <v>84</v>
      </c>
      <c r="E155" s="21">
        <v>240000</v>
      </c>
      <c r="F155" s="21"/>
      <c r="G155" s="62">
        <f t="shared" si="4"/>
        <v>220908626.07464755</v>
      </c>
    </row>
    <row r="156" spans="1:7" s="12" customFormat="1" ht="21.75" customHeight="1" x14ac:dyDescent="0.2">
      <c r="A156" s="42"/>
      <c r="B156" s="24" t="s">
        <v>503</v>
      </c>
      <c r="C156" s="35"/>
      <c r="D156" s="20" t="s">
        <v>511</v>
      </c>
      <c r="E156" s="21">
        <v>28800</v>
      </c>
      <c r="F156" s="21"/>
      <c r="G156" s="62">
        <f t="shared" si="4"/>
        <v>220937426.07464755</v>
      </c>
    </row>
    <row r="157" spans="1:7" s="12" customFormat="1" ht="21.75" customHeight="1" x14ac:dyDescent="0.2">
      <c r="A157" s="42"/>
      <c r="B157" s="24" t="s">
        <v>503</v>
      </c>
      <c r="C157" s="35"/>
      <c r="D157" s="20" t="s">
        <v>73</v>
      </c>
      <c r="E157" s="21">
        <v>1110000</v>
      </c>
      <c r="F157" s="21"/>
      <c r="G157" s="62">
        <f t="shared" si="4"/>
        <v>222047426.07464755</v>
      </c>
    </row>
    <row r="158" spans="1:7" s="12" customFormat="1" ht="21.75" customHeight="1" x14ac:dyDescent="0.2">
      <c r="A158" s="42"/>
      <c r="B158" s="24" t="s">
        <v>503</v>
      </c>
      <c r="C158" s="35"/>
      <c r="D158" s="20" t="s">
        <v>74</v>
      </c>
      <c r="E158" s="21">
        <v>1352000</v>
      </c>
      <c r="F158" s="21"/>
      <c r="G158" s="62">
        <f t="shared" si="4"/>
        <v>223399426.07464755</v>
      </c>
    </row>
    <row r="159" spans="1:7" ht="21.75" customHeight="1" x14ac:dyDescent="0.2">
      <c r="A159" s="42"/>
      <c r="B159" s="24" t="s">
        <v>503</v>
      </c>
      <c r="C159" s="35"/>
      <c r="D159" s="20" t="s">
        <v>508</v>
      </c>
      <c r="E159" s="69">
        <v>4500000</v>
      </c>
      <c r="F159" s="21"/>
      <c r="G159" s="55">
        <f t="shared" si="4"/>
        <v>227899426.07464755</v>
      </c>
    </row>
    <row r="160" spans="1:7" ht="21.75" customHeight="1" x14ac:dyDescent="0.2">
      <c r="A160" s="42"/>
      <c r="B160" s="19" t="s">
        <v>522</v>
      </c>
      <c r="C160" s="35"/>
      <c r="D160" s="20" t="s">
        <v>526</v>
      </c>
      <c r="E160" s="21"/>
      <c r="F160" s="69">
        <v>1500000</v>
      </c>
      <c r="G160" s="62">
        <f t="shared" si="4"/>
        <v>226399426.07464755</v>
      </c>
    </row>
    <row r="161" spans="1:7" ht="21.75" customHeight="1" x14ac:dyDescent="0.2">
      <c r="A161" s="42"/>
      <c r="B161" s="24" t="s">
        <v>522</v>
      </c>
      <c r="C161" s="35"/>
      <c r="D161" s="20" t="s">
        <v>524</v>
      </c>
      <c r="E161" s="21"/>
      <c r="F161" s="21">
        <v>10000000</v>
      </c>
      <c r="G161" s="62">
        <f t="shared" si="4"/>
        <v>216399426.07464755</v>
      </c>
    </row>
    <row r="162" spans="1:7" ht="21.75" customHeight="1" x14ac:dyDescent="0.2">
      <c r="A162" s="42"/>
      <c r="B162" s="24" t="s">
        <v>522</v>
      </c>
      <c r="C162" s="35"/>
      <c r="D162" s="20" t="s">
        <v>525</v>
      </c>
      <c r="E162" s="21"/>
      <c r="F162" s="69">
        <v>20000000</v>
      </c>
      <c r="G162" s="62">
        <f t="shared" si="4"/>
        <v>196399426.07464755</v>
      </c>
    </row>
    <row r="163" spans="1:7" ht="21.75" customHeight="1" x14ac:dyDescent="0.2">
      <c r="A163" s="42"/>
      <c r="B163" s="24" t="s">
        <v>522</v>
      </c>
      <c r="C163" s="35"/>
      <c r="D163" s="20" t="s">
        <v>21</v>
      </c>
      <c r="E163" s="21"/>
      <c r="F163" s="21">
        <v>2500</v>
      </c>
      <c r="G163" s="62">
        <f t="shared" si="4"/>
        <v>196396926.07464755</v>
      </c>
    </row>
    <row r="164" spans="1:7" ht="21.75" customHeight="1" x14ac:dyDescent="0.2">
      <c r="A164" s="42"/>
      <c r="B164" s="24" t="s">
        <v>522</v>
      </c>
      <c r="C164" s="35"/>
      <c r="D164" s="20" t="s">
        <v>21</v>
      </c>
      <c r="E164" s="21"/>
      <c r="F164" s="21">
        <v>2500</v>
      </c>
      <c r="G164" s="62">
        <f t="shared" si="4"/>
        <v>196394426.07464755</v>
      </c>
    </row>
    <row r="165" spans="1:7" ht="21.75" customHeight="1" x14ac:dyDescent="0.2">
      <c r="A165" s="42"/>
      <c r="B165" s="24" t="s">
        <v>522</v>
      </c>
      <c r="C165" s="35"/>
      <c r="D165" s="23" t="s">
        <v>523</v>
      </c>
      <c r="E165" s="21">
        <v>0</v>
      </c>
      <c r="F165" s="21"/>
      <c r="G165" s="62">
        <f>+G164+E165-F165</f>
        <v>196394426.07464755</v>
      </c>
    </row>
    <row r="166" spans="1:7" ht="21.75" customHeight="1" x14ac:dyDescent="0.2">
      <c r="A166" s="42"/>
      <c r="B166" s="24" t="s">
        <v>522</v>
      </c>
      <c r="C166" s="35"/>
      <c r="D166" s="20" t="s">
        <v>419</v>
      </c>
      <c r="E166" s="21">
        <v>1975000</v>
      </c>
      <c r="F166" s="21"/>
      <c r="G166" s="62">
        <f t="shared" si="4"/>
        <v>198369426.07464755</v>
      </c>
    </row>
    <row r="167" spans="1:7" ht="21.75" customHeight="1" x14ac:dyDescent="0.2">
      <c r="A167" s="42"/>
      <c r="B167" s="24" t="s">
        <v>522</v>
      </c>
      <c r="C167" s="35"/>
      <c r="D167" s="20" t="s">
        <v>200</v>
      </c>
      <c r="E167" s="21">
        <v>3000000</v>
      </c>
      <c r="F167" s="21"/>
      <c r="G167" s="62">
        <f t="shared" si="4"/>
        <v>201369426.07464755</v>
      </c>
    </row>
    <row r="168" spans="1:7" ht="21.75" customHeight="1" x14ac:dyDescent="0.2">
      <c r="A168" s="42"/>
      <c r="B168" s="24" t="s">
        <v>522</v>
      </c>
      <c r="C168" s="35"/>
      <c r="D168" s="20" t="s">
        <v>201</v>
      </c>
      <c r="E168" s="21">
        <v>4550000</v>
      </c>
      <c r="F168" s="21"/>
      <c r="G168" s="62">
        <f t="shared" si="4"/>
        <v>205919426.07464755</v>
      </c>
    </row>
    <row r="169" spans="1:7" ht="21.75" customHeight="1" x14ac:dyDescent="0.2">
      <c r="A169" s="42"/>
      <c r="B169" s="24" t="s">
        <v>522</v>
      </c>
      <c r="C169" s="35"/>
      <c r="D169" s="20" t="s">
        <v>514</v>
      </c>
      <c r="E169" s="21">
        <v>592500</v>
      </c>
      <c r="F169" s="21"/>
      <c r="G169" s="62">
        <f t="shared" si="4"/>
        <v>206511926.07464755</v>
      </c>
    </row>
    <row r="170" spans="1:7" ht="21.75" customHeight="1" x14ac:dyDescent="0.2">
      <c r="A170" s="42"/>
      <c r="B170" s="24" t="s">
        <v>522</v>
      </c>
      <c r="C170" s="35"/>
      <c r="D170" s="20" t="s">
        <v>202</v>
      </c>
      <c r="E170" s="21">
        <v>2255000</v>
      </c>
      <c r="F170" s="21"/>
      <c r="G170" s="62">
        <f t="shared" si="4"/>
        <v>208766926.07464755</v>
      </c>
    </row>
    <row r="171" spans="1:7" ht="21.75" customHeight="1" x14ac:dyDescent="0.2">
      <c r="A171" s="42"/>
      <c r="B171" s="24" t="s">
        <v>522</v>
      </c>
      <c r="C171" s="35"/>
      <c r="D171" s="20" t="s">
        <v>203</v>
      </c>
      <c r="E171" s="21">
        <v>6927778</v>
      </c>
      <c r="F171" s="21"/>
      <c r="G171" s="62">
        <f t="shared" si="4"/>
        <v>215694704.07464755</v>
      </c>
    </row>
    <row r="172" spans="1:7" ht="21.75" customHeight="1" x14ac:dyDescent="0.2">
      <c r="A172" s="42"/>
      <c r="B172" s="24" t="s">
        <v>522</v>
      </c>
      <c r="C172" s="35"/>
      <c r="D172" s="20" t="s">
        <v>204</v>
      </c>
      <c r="E172" s="21">
        <v>1610000</v>
      </c>
      <c r="F172" s="21"/>
      <c r="G172" s="62">
        <f t="shared" si="4"/>
        <v>217304704.07464755</v>
      </c>
    </row>
    <row r="173" spans="1:7" ht="21.75" customHeight="1" x14ac:dyDescent="0.2">
      <c r="A173" s="42"/>
      <c r="B173" s="24" t="s">
        <v>522</v>
      </c>
      <c r="C173" s="35"/>
      <c r="D173" s="20" t="s">
        <v>205</v>
      </c>
      <c r="E173" s="21">
        <v>18666667</v>
      </c>
      <c r="F173" s="21"/>
      <c r="G173" s="62">
        <f t="shared" si="4"/>
        <v>235971371.07464755</v>
      </c>
    </row>
    <row r="174" spans="1:7" ht="21.75" customHeight="1" x14ac:dyDescent="0.2">
      <c r="A174" s="42"/>
      <c r="B174" s="24" t="s">
        <v>522</v>
      </c>
      <c r="C174" s="35"/>
      <c r="D174" s="20" t="s">
        <v>420</v>
      </c>
      <c r="E174" s="21">
        <v>2925000</v>
      </c>
      <c r="F174" s="21"/>
      <c r="G174" s="62">
        <f t="shared" si="4"/>
        <v>238896371.07464755</v>
      </c>
    </row>
    <row r="175" spans="1:7" ht="21.75" customHeight="1" x14ac:dyDescent="0.2">
      <c r="A175" s="42"/>
      <c r="B175" s="24" t="s">
        <v>522</v>
      </c>
      <c r="C175" s="35"/>
      <c r="D175" s="20" t="s">
        <v>528</v>
      </c>
      <c r="E175" s="21"/>
      <c r="F175" s="21">
        <v>10000000</v>
      </c>
      <c r="G175" s="62">
        <f t="shared" si="4"/>
        <v>228896371.07464755</v>
      </c>
    </row>
    <row r="176" spans="1:7" ht="21.75" customHeight="1" x14ac:dyDescent="0.2">
      <c r="A176" s="42"/>
      <c r="B176" s="24" t="s">
        <v>522</v>
      </c>
      <c r="C176" s="35"/>
      <c r="D176" s="20" t="s">
        <v>529</v>
      </c>
      <c r="E176" s="21"/>
      <c r="F176" s="21">
        <v>600000</v>
      </c>
      <c r="G176" s="62">
        <f t="shared" ref="G176" si="5">+G175+E176-F176</f>
        <v>228296371.07464755</v>
      </c>
    </row>
    <row r="177" spans="1:7" ht="21.75" customHeight="1" x14ac:dyDescent="0.2">
      <c r="A177" s="42"/>
      <c r="B177" s="24" t="s">
        <v>522</v>
      </c>
      <c r="C177" s="35"/>
      <c r="D177" s="20" t="s">
        <v>530</v>
      </c>
      <c r="E177" s="21"/>
      <c r="F177" s="21">
        <v>53745000</v>
      </c>
      <c r="G177" s="62">
        <f t="shared" ref="G177:G240" si="6">+G176+E177-F177</f>
        <v>174551371.07464755</v>
      </c>
    </row>
    <row r="178" spans="1:7" ht="21.75" customHeight="1" x14ac:dyDescent="0.2">
      <c r="A178" s="42"/>
      <c r="B178" s="24" t="s">
        <v>522</v>
      </c>
      <c r="C178" s="35"/>
      <c r="D178" s="23" t="s">
        <v>480</v>
      </c>
      <c r="E178" s="21">
        <v>92687002</v>
      </c>
      <c r="F178" s="21"/>
      <c r="G178" s="62">
        <f t="shared" si="6"/>
        <v>267238373.07464755</v>
      </c>
    </row>
    <row r="179" spans="1:7" ht="21.75" customHeight="1" x14ac:dyDescent="0.2">
      <c r="A179" s="42"/>
      <c r="B179" s="24" t="s">
        <v>522</v>
      </c>
      <c r="C179" s="35"/>
      <c r="D179" s="20" t="s">
        <v>531</v>
      </c>
      <c r="E179" s="69">
        <v>1500000</v>
      </c>
      <c r="F179" s="21"/>
      <c r="G179" s="62">
        <f t="shared" si="6"/>
        <v>268738373.07464755</v>
      </c>
    </row>
    <row r="180" spans="1:7" ht="21.75" customHeight="1" x14ac:dyDescent="0.2">
      <c r="A180" s="42"/>
      <c r="B180" s="24" t="s">
        <v>522</v>
      </c>
      <c r="C180" s="35"/>
      <c r="D180" s="20" t="s">
        <v>532</v>
      </c>
      <c r="E180" s="69">
        <v>500000</v>
      </c>
      <c r="F180" s="21"/>
      <c r="G180" s="62">
        <f t="shared" si="6"/>
        <v>269238373.07464755</v>
      </c>
    </row>
    <row r="181" spans="1:7" ht="21.75" customHeight="1" x14ac:dyDescent="0.2">
      <c r="A181" s="42"/>
      <c r="B181" s="24" t="s">
        <v>522</v>
      </c>
      <c r="C181" s="35"/>
      <c r="D181" s="20" t="s">
        <v>534</v>
      </c>
      <c r="E181" s="21"/>
      <c r="F181" s="21">
        <v>5078367</v>
      </c>
      <c r="G181" s="62">
        <f t="shared" si="6"/>
        <v>264160006.07464755</v>
      </c>
    </row>
    <row r="182" spans="1:7" ht="21.75" customHeight="1" x14ac:dyDescent="0.2">
      <c r="A182" s="42"/>
      <c r="B182" s="24" t="s">
        <v>522</v>
      </c>
      <c r="C182" s="35"/>
      <c r="D182" s="20" t="s">
        <v>533</v>
      </c>
      <c r="E182" s="21"/>
      <c r="F182" s="69">
        <v>25000000</v>
      </c>
      <c r="G182" s="62">
        <f t="shared" si="6"/>
        <v>239160006.07464755</v>
      </c>
    </row>
    <row r="183" spans="1:7" ht="21.75" customHeight="1" x14ac:dyDescent="0.2">
      <c r="A183" s="42"/>
      <c r="B183" s="24" t="s">
        <v>522</v>
      </c>
      <c r="C183" s="35"/>
      <c r="D183" s="20" t="s">
        <v>21</v>
      </c>
      <c r="E183" s="21"/>
      <c r="F183" s="21">
        <v>2500</v>
      </c>
      <c r="G183" s="62">
        <f t="shared" si="6"/>
        <v>239157506.07464755</v>
      </c>
    </row>
    <row r="184" spans="1:7" ht="21.75" customHeight="1" x14ac:dyDescent="0.2">
      <c r="A184" s="42"/>
      <c r="B184" s="24" t="s">
        <v>522</v>
      </c>
      <c r="C184" s="35"/>
      <c r="D184" s="20" t="s">
        <v>535</v>
      </c>
      <c r="E184" s="21"/>
      <c r="F184" s="21">
        <v>900000</v>
      </c>
      <c r="G184" s="62">
        <f t="shared" si="6"/>
        <v>238257506.07464755</v>
      </c>
    </row>
    <row r="185" spans="1:7" ht="21.75" customHeight="1" x14ac:dyDescent="0.2">
      <c r="A185" s="42"/>
      <c r="B185" s="24" t="s">
        <v>522</v>
      </c>
      <c r="C185" s="35"/>
      <c r="D185" s="20" t="s">
        <v>536</v>
      </c>
      <c r="E185" s="21"/>
      <c r="F185" s="21">
        <v>10000000</v>
      </c>
      <c r="G185" s="62">
        <f t="shared" si="6"/>
        <v>228257506.07464755</v>
      </c>
    </row>
    <row r="186" spans="1:7" ht="21.75" customHeight="1" x14ac:dyDescent="0.2">
      <c r="A186" s="42"/>
      <c r="B186" s="24" t="s">
        <v>522</v>
      </c>
      <c r="C186" s="35"/>
      <c r="D186" s="20" t="s">
        <v>537</v>
      </c>
      <c r="E186" s="21">
        <v>1150000</v>
      </c>
      <c r="F186" s="21">
        <v>4000000</v>
      </c>
      <c r="G186" s="62">
        <f t="shared" si="6"/>
        <v>225407506.07464755</v>
      </c>
    </row>
    <row r="187" spans="1:7" ht="21.75" customHeight="1" x14ac:dyDescent="0.2">
      <c r="A187" s="42"/>
      <c r="B187" s="24" t="s">
        <v>522</v>
      </c>
      <c r="C187" s="35"/>
      <c r="D187" s="20" t="s">
        <v>538</v>
      </c>
      <c r="E187" s="21"/>
      <c r="F187" s="21">
        <v>5000000</v>
      </c>
      <c r="G187" s="62">
        <f t="shared" si="6"/>
        <v>220407506.07464755</v>
      </c>
    </row>
    <row r="188" spans="1:7" ht="21.75" customHeight="1" x14ac:dyDescent="0.2">
      <c r="A188" s="42"/>
      <c r="B188" s="24" t="s">
        <v>522</v>
      </c>
      <c r="C188" s="35"/>
      <c r="D188" s="20" t="s">
        <v>539</v>
      </c>
      <c r="E188" s="21"/>
      <c r="F188" s="21">
        <v>6000000</v>
      </c>
      <c r="G188" s="62">
        <f t="shared" si="6"/>
        <v>214407506.07464755</v>
      </c>
    </row>
    <row r="189" spans="1:7" ht="21.75" customHeight="1" x14ac:dyDescent="0.2">
      <c r="A189" s="42"/>
      <c r="B189" s="24" t="s">
        <v>522</v>
      </c>
      <c r="C189" s="35"/>
      <c r="D189" s="20" t="s">
        <v>540</v>
      </c>
      <c r="E189" s="21"/>
      <c r="F189" s="21">
        <v>850000</v>
      </c>
      <c r="G189" s="62">
        <f t="shared" si="6"/>
        <v>213557506.07464755</v>
      </c>
    </row>
    <row r="190" spans="1:7" ht="21.75" customHeight="1" x14ac:dyDescent="0.25">
      <c r="A190" s="42"/>
      <c r="B190" s="24" t="s">
        <v>522</v>
      </c>
      <c r="C190" s="35"/>
      <c r="D190" s="20" t="s">
        <v>541</v>
      </c>
      <c r="E190" s="21"/>
      <c r="F190" s="21">
        <v>500000</v>
      </c>
      <c r="G190" s="56">
        <f t="shared" si="6"/>
        <v>213057506.07464755</v>
      </c>
    </row>
    <row r="191" spans="1:7" ht="21.75" customHeight="1" x14ac:dyDescent="0.2">
      <c r="A191" s="42"/>
      <c r="B191" s="24" t="s">
        <v>522</v>
      </c>
      <c r="C191" s="35"/>
      <c r="D191" s="20" t="s">
        <v>544</v>
      </c>
      <c r="E191" s="21"/>
      <c r="F191" s="21">
        <v>10000000</v>
      </c>
      <c r="G191" s="62">
        <f t="shared" si="6"/>
        <v>203057506.07464755</v>
      </c>
    </row>
    <row r="192" spans="1:7" ht="21.75" customHeight="1" x14ac:dyDescent="0.2">
      <c r="A192" s="42"/>
      <c r="B192" s="24" t="s">
        <v>522</v>
      </c>
      <c r="C192" s="35"/>
      <c r="D192" s="20" t="s">
        <v>545</v>
      </c>
      <c r="E192" s="69">
        <v>3250000</v>
      </c>
      <c r="F192" s="21"/>
      <c r="G192" s="62">
        <f t="shared" si="6"/>
        <v>206307506.07464755</v>
      </c>
    </row>
    <row r="193" spans="1:8" ht="21.75" customHeight="1" x14ac:dyDescent="0.2">
      <c r="A193" s="42"/>
      <c r="B193" s="19" t="s">
        <v>542</v>
      </c>
      <c r="C193" s="35"/>
      <c r="D193" s="20" t="s">
        <v>546</v>
      </c>
      <c r="E193" s="69">
        <v>9000000</v>
      </c>
      <c r="F193" s="21"/>
      <c r="G193" s="62">
        <f t="shared" si="6"/>
        <v>215307506.07464755</v>
      </c>
    </row>
    <row r="194" spans="1:8" ht="21.75" customHeight="1" x14ac:dyDescent="0.2">
      <c r="A194" s="42"/>
      <c r="B194" s="24" t="s">
        <v>542</v>
      </c>
      <c r="C194" s="35"/>
      <c r="D194" s="20" t="s">
        <v>548</v>
      </c>
      <c r="E194" s="21"/>
      <c r="F194" s="69">
        <v>25000000</v>
      </c>
      <c r="G194" s="62">
        <f t="shared" si="6"/>
        <v>190307506.07464755</v>
      </c>
    </row>
    <row r="195" spans="1:8" ht="21.75" customHeight="1" x14ac:dyDescent="0.2">
      <c r="A195" s="42"/>
      <c r="B195" s="24" t="s">
        <v>542</v>
      </c>
      <c r="C195" s="35"/>
      <c r="D195" s="20" t="s">
        <v>502</v>
      </c>
      <c r="E195" s="21"/>
      <c r="F195" s="69">
        <v>21750000</v>
      </c>
      <c r="G195" s="62">
        <f t="shared" si="6"/>
        <v>168557506.07464755</v>
      </c>
    </row>
    <row r="196" spans="1:8" ht="21.75" customHeight="1" x14ac:dyDescent="0.2">
      <c r="A196" s="42"/>
      <c r="B196" s="24" t="s">
        <v>542</v>
      </c>
      <c r="C196" s="35"/>
      <c r="D196" s="20" t="s">
        <v>21</v>
      </c>
      <c r="E196" s="21"/>
      <c r="F196" s="21">
        <v>2500</v>
      </c>
      <c r="G196" s="62">
        <f t="shared" si="6"/>
        <v>168555006.07464755</v>
      </c>
    </row>
    <row r="197" spans="1:8" ht="21.75" customHeight="1" x14ac:dyDescent="0.2">
      <c r="A197" s="42"/>
      <c r="B197" s="24" t="s">
        <v>542</v>
      </c>
      <c r="C197" s="35"/>
      <c r="D197" s="20" t="s">
        <v>550</v>
      </c>
      <c r="E197" s="21"/>
      <c r="F197" s="21">
        <v>2925000</v>
      </c>
      <c r="G197" s="62">
        <f t="shared" si="6"/>
        <v>165630006.07464755</v>
      </c>
    </row>
    <row r="198" spans="1:8" ht="21.75" customHeight="1" x14ac:dyDescent="0.2">
      <c r="A198" s="42"/>
      <c r="B198" s="24" t="s">
        <v>542</v>
      </c>
      <c r="C198" s="35"/>
      <c r="D198" s="20" t="s">
        <v>547</v>
      </c>
      <c r="E198" s="21"/>
      <c r="F198" s="69">
        <v>5000000</v>
      </c>
      <c r="G198" s="62">
        <f t="shared" si="6"/>
        <v>160630006.07464755</v>
      </c>
    </row>
    <row r="199" spans="1:8" ht="21.75" customHeight="1" x14ac:dyDescent="0.2">
      <c r="A199" s="42"/>
      <c r="B199" s="19" t="s">
        <v>543</v>
      </c>
      <c r="C199" s="35"/>
      <c r="D199" s="20" t="s">
        <v>549</v>
      </c>
      <c r="E199" s="21"/>
      <c r="F199" s="69">
        <v>800000</v>
      </c>
      <c r="G199" s="62">
        <f t="shared" si="6"/>
        <v>159830006.07464755</v>
      </c>
    </row>
    <row r="200" spans="1:8" ht="21.75" customHeight="1" x14ac:dyDescent="0.2">
      <c r="A200" s="42"/>
      <c r="B200" s="24" t="s">
        <v>543</v>
      </c>
      <c r="C200" s="35"/>
      <c r="D200" s="20" t="s">
        <v>21</v>
      </c>
      <c r="E200" s="21"/>
      <c r="F200" s="21">
        <v>2500</v>
      </c>
      <c r="G200" s="62">
        <f t="shared" si="6"/>
        <v>159827506.07464755</v>
      </c>
    </row>
    <row r="201" spans="1:8" ht="21.75" customHeight="1" x14ac:dyDescent="0.2">
      <c r="A201" s="42"/>
      <c r="B201" s="19" t="s">
        <v>552</v>
      </c>
      <c r="C201" s="35"/>
      <c r="D201" s="20" t="s">
        <v>562</v>
      </c>
      <c r="E201" s="21">
        <v>1816667</v>
      </c>
      <c r="F201" s="21">
        <f>1816667+13000000</f>
        <v>14816667</v>
      </c>
      <c r="G201" s="62">
        <f t="shared" si="6"/>
        <v>146827506.07464755</v>
      </c>
      <c r="H201" s="3">
        <v>146827506.69999999</v>
      </c>
    </row>
    <row r="202" spans="1:8" ht="21.75" customHeight="1" x14ac:dyDescent="0.2">
      <c r="A202" s="42"/>
      <c r="B202" s="19" t="s">
        <v>512</v>
      </c>
      <c r="C202" s="35"/>
      <c r="D202" s="20" t="s">
        <v>551</v>
      </c>
      <c r="E202" s="21">
        <v>300000</v>
      </c>
      <c r="F202" s="21"/>
      <c r="G202" s="62">
        <f t="shared" si="6"/>
        <v>147127506.07464755</v>
      </c>
    </row>
    <row r="203" spans="1:8" ht="21.75" customHeight="1" x14ac:dyDescent="0.2">
      <c r="A203" s="42"/>
      <c r="B203" s="24" t="s">
        <v>512</v>
      </c>
      <c r="C203" s="35"/>
      <c r="D203" s="20" t="s">
        <v>30</v>
      </c>
      <c r="E203" s="21">
        <v>50000</v>
      </c>
      <c r="F203" s="21"/>
      <c r="G203" s="62">
        <f t="shared" si="6"/>
        <v>147177506.07464755</v>
      </c>
    </row>
    <row r="204" spans="1:8" ht="21.75" customHeight="1" x14ac:dyDescent="0.2">
      <c r="A204" s="42"/>
      <c r="B204" s="24" t="s">
        <v>512</v>
      </c>
      <c r="C204" s="35"/>
      <c r="D204" s="20" t="s">
        <v>29</v>
      </c>
      <c r="E204" s="21">
        <v>200000</v>
      </c>
      <c r="F204" s="21"/>
      <c r="G204" s="62">
        <f t="shared" si="6"/>
        <v>147377506.07464755</v>
      </c>
    </row>
    <row r="205" spans="1:8" ht="21.75" customHeight="1" x14ac:dyDescent="0.2">
      <c r="A205" s="42"/>
      <c r="B205" s="24" t="s">
        <v>512</v>
      </c>
      <c r="C205" s="35"/>
      <c r="D205" s="23" t="s">
        <v>480</v>
      </c>
      <c r="E205" s="21">
        <v>26427655</v>
      </c>
      <c r="F205" s="21"/>
      <c r="G205" s="62">
        <f t="shared" si="6"/>
        <v>173805161.07464755</v>
      </c>
    </row>
    <row r="206" spans="1:8" ht="21.75" customHeight="1" x14ac:dyDescent="0.2">
      <c r="A206" s="42"/>
      <c r="B206" s="24" t="s">
        <v>512</v>
      </c>
      <c r="C206" s="35"/>
      <c r="D206" s="20" t="s">
        <v>99</v>
      </c>
      <c r="E206" s="21">
        <v>50000</v>
      </c>
      <c r="F206" s="21"/>
      <c r="G206" s="62">
        <f t="shared" si="6"/>
        <v>173855161.07464755</v>
      </c>
    </row>
    <row r="207" spans="1:8" ht="21.75" customHeight="1" x14ac:dyDescent="0.2">
      <c r="A207" s="42"/>
      <c r="B207" s="24" t="s">
        <v>512</v>
      </c>
      <c r="C207" s="35"/>
      <c r="D207" s="20" t="s">
        <v>227</v>
      </c>
      <c r="E207" s="21">
        <v>115000</v>
      </c>
      <c r="F207" s="21"/>
      <c r="G207" s="62">
        <f t="shared" si="6"/>
        <v>173970161.07464755</v>
      </c>
    </row>
    <row r="208" spans="1:8" ht="21.75" customHeight="1" x14ac:dyDescent="0.25">
      <c r="A208" s="42"/>
      <c r="B208" s="24" t="s">
        <v>512</v>
      </c>
      <c r="C208" s="35"/>
      <c r="D208" s="20" t="s">
        <v>553</v>
      </c>
      <c r="E208" s="21">
        <v>600000</v>
      </c>
      <c r="F208" s="21"/>
      <c r="G208" s="56">
        <f t="shared" si="6"/>
        <v>174570161.07464755</v>
      </c>
    </row>
    <row r="209" spans="1:9" ht="21.75" customHeight="1" x14ac:dyDescent="0.2">
      <c r="A209" s="42"/>
      <c r="B209" s="24" t="s">
        <v>512</v>
      </c>
      <c r="C209" s="35"/>
      <c r="D209" s="23" t="s">
        <v>513</v>
      </c>
      <c r="E209" s="21">
        <v>0</v>
      </c>
      <c r="F209" s="21">
        <v>16696547</v>
      </c>
      <c r="G209" s="62">
        <f t="shared" si="6"/>
        <v>157873614.07464755</v>
      </c>
    </row>
    <row r="210" spans="1:9" ht="21.75" customHeight="1" x14ac:dyDescent="0.2">
      <c r="A210" s="7"/>
      <c r="B210" s="24" t="s">
        <v>512</v>
      </c>
      <c r="C210" s="35"/>
      <c r="D210" s="20" t="s">
        <v>31</v>
      </c>
      <c r="E210" s="21">
        <v>0</v>
      </c>
      <c r="F210" s="21">
        <v>10748501</v>
      </c>
      <c r="G210" s="62">
        <f t="shared" si="6"/>
        <v>147125113.07464755</v>
      </c>
    </row>
    <row r="211" spans="1:9" ht="21.75" customHeight="1" x14ac:dyDescent="0.2">
      <c r="A211" s="7"/>
      <c r="B211" s="24" t="s">
        <v>512</v>
      </c>
      <c r="C211" s="36"/>
      <c r="D211" s="20" t="s">
        <v>32</v>
      </c>
      <c r="E211" s="21">
        <v>0</v>
      </c>
      <c r="F211" s="21">
        <v>11496953</v>
      </c>
      <c r="G211" s="62">
        <f t="shared" si="6"/>
        <v>135628160.07464755</v>
      </c>
    </row>
    <row r="212" spans="1:9" ht="21.75" customHeight="1" x14ac:dyDescent="0.2">
      <c r="A212" s="7"/>
      <c r="B212" s="24" t="s">
        <v>512</v>
      </c>
      <c r="C212" s="36"/>
      <c r="D212" s="20" t="s">
        <v>33</v>
      </c>
      <c r="E212" s="21">
        <v>3353805</v>
      </c>
      <c r="F212" s="21">
        <v>0</v>
      </c>
      <c r="G212" s="62">
        <f t="shared" si="6"/>
        <v>138981965.07464755</v>
      </c>
    </row>
    <row r="213" spans="1:9" ht="21.75" customHeight="1" x14ac:dyDescent="0.2">
      <c r="A213" s="7"/>
      <c r="B213" s="24" t="s">
        <v>512</v>
      </c>
      <c r="C213" s="24"/>
      <c r="D213" s="20" t="s">
        <v>34</v>
      </c>
      <c r="E213" s="21">
        <v>1924846</v>
      </c>
      <c r="F213" s="21">
        <v>0</v>
      </c>
      <c r="G213" s="62">
        <f t="shared" si="6"/>
        <v>140906811.07464755</v>
      </c>
    </row>
    <row r="214" spans="1:9" ht="21.75" customHeight="1" x14ac:dyDescent="0.2">
      <c r="A214" s="7"/>
      <c r="B214" s="24" t="s">
        <v>512</v>
      </c>
      <c r="C214" s="36"/>
      <c r="D214" s="20" t="s">
        <v>35</v>
      </c>
      <c r="E214" s="21">
        <v>650000</v>
      </c>
      <c r="F214" s="21">
        <v>0</v>
      </c>
      <c r="G214" s="62">
        <f t="shared" si="6"/>
        <v>141556811.07464755</v>
      </c>
    </row>
    <row r="215" spans="1:9" ht="21.75" customHeight="1" x14ac:dyDescent="0.2">
      <c r="A215" s="7"/>
      <c r="B215" s="24" t="s">
        <v>512</v>
      </c>
      <c r="C215" s="24"/>
      <c r="D215" s="20" t="s">
        <v>36</v>
      </c>
      <c r="E215" s="21">
        <v>200000</v>
      </c>
      <c r="F215" s="21">
        <v>0</v>
      </c>
      <c r="G215" s="62">
        <f t="shared" si="6"/>
        <v>141756811.07464755</v>
      </c>
    </row>
    <row r="216" spans="1:9" ht="21.75" customHeight="1" x14ac:dyDescent="0.2">
      <c r="A216" s="7"/>
      <c r="B216" s="24" t="s">
        <v>512</v>
      </c>
      <c r="C216" s="36"/>
      <c r="D216" s="20" t="s">
        <v>37</v>
      </c>
      <c r="E216" s="21">
        <v>6550000</v>
      </c>
      <c r="F216" s="21">
        <v>0</v>
      </c>
      <c r="G216" s="62">
        <f t="shared" si="6"/>
        <v>148306811.07464755</v>
      </c>
    </row>
    <row r="217" spans="1:9" ht="21.75" customHeight="1" x14ac:dyDescent="0.2">
      <c r="A217" s="7"/>
      <c r="B217" s="24" t="s">
        <v>512</v>
      </c>
      <c r="C217" s="36"/>
      <c r="D217" s="20" t="s">
        <v>514</v>
      </c>
      <c r="E217" s="21">
        <v>952500</v>
      </c>
      <c r="F217" s="21"/>
      <c r="G217" s="62">
        <f t="shared" si="6"/>
        <v>149259311.07464755</v>
      </c>
    </row>
    <row r="218" spans="1:9" ht="21.75" customHeight="1" x14ac:dyDescent="0.2">
      <c r="A218" s="7"/>
      <c r="B218" s="24" t="s">
        <v>512</v>
      </c>
      <c r="C218" s="36"/>
      <c r="D218" s="20" t="s">
        <v>38</v>
      </c>
      <c r="E218" s="21">
        <v>1800000</v>
      </c>
      <c r="F218" s="21"/>
      <c r="G218" s="62">
        <f t="shared" si="6"/>
        <v>151059311.07464755</v>
      </c>
    </row>
    <row r="219" spans="1:9" ht="21.75" customHeight="1" x14ac:dyDescent="0.2">
      <c r="A219" s="7"/>
      <c r="B219" s="24" t="s">
        <v>512</v>
      </c>
      <c r="C219" s="36"/>
      <c r="D219" s="20" t="s">
        <v>515</v>
      </c>
      <c r="E219" s="21">
        <v>265000</v>
      </c>
      <c r="F219" s="21"/>
      <c r="G219" s="62">
        <f t="shared" si="6"/>
        <v>151324311.07464755</v>
      </c>
    </row>
    <row r="220" spans="1:9" ht="21.75" customHeight="1" x14ac:dyDescent="0.2">
      <c r="A220" s="7"/>
      <c r="B220" s="24" t="s">
        <v>512</v>
      </c>
      <c r="C220" s="36"/>
      <c r="D220" s="23" t="s">
        <v>516</v>
      </c>
      <c r="E220" s="21">
        <v>0</v>
      </c>
      <c r="F220" s="39">
        <f>100214969.28-4546559.96</f>
        <v>95668409.320000008</v>
      </c>
      <c r="G220" s="62">
        <f t="shared" si="6"/>
        <v>55655901.754647538</v>
      </c>
    </row>
    <row r="221" spans="1:9" ht="21.75" customHeight="1" x14ac:dyDescent="0.2">
      <c r="A221" s="7"/>
      <c r="B221" s="24" t="s">
        <v>512</v>
      </c>
      <c r="C221" s="36"/>
      <c r="D221" s="20" t="s">
        <v>41</v>
      </c>
      <c r="E221" s="39">
        <f>9508469.28-473834.96</f>
        <v>9034634.3199999984</v>
      </c>
      <c r="F221" s="21">
        <v>0</v>
      </c>
      <c r="G221" s="62">
        <f t="shared" si="6"/>
        <v>64690536.074647538</v>
      </c>
    </row>
    <row r="222" spans="1:9" ht="21.75" customHeight="1" x14ac:dyDescent="0.2">
      <c r="A222" s="7"/>
      <c r="B222" s="24" t="s">
        <v>512</v>
      </c>
      <c r="C222" s="24"/>
      <c r="D222" s="20" t="s">
        <v>42</v>
      </c>
      <c r="E222" s="21">
        <f>5499560-274978</f>
        <v>5224582</v>
      </c>
      <c r="F222" s="21">
        <v>0</v>
      </c>
      <c r="G222" s="62">
        <f t="shared" si="6"/>
        <v>69915118.074647546</v>
      </c>
      <c r="H222" s="11"/>
      <c r="I222" s="9"/>
    </row>
    <row r="223" spans="1:9" ht="21.75" customHeight="1" x14ac:dyDescent="0.2">
      <c r="A223" s="7"/>
      <c r="B223" s="24" t="s">
        <v>512</v>
      </c>
      <c r="C223" s="36"/>
      <c r="D223" s="20" t="s">
        <v>43</v>
      </c>
      <c r="E223" s="21">
        <v>1700000</v>
      </c>
      <c r="F223" s="21">
        <v>0</v>
      </c>
      <c r="G223" s="62">
        <f t="shared" si="6"/>
        <v>71615118.074647546</v>
      </c>
      <c r="H223" s="9"/>
      <c r="I223" s="9"/>
    </row>
    <row r="224" spans="1:9" ht="21.75" customHeight="1" x14ac:dyDescent="0.2">
      <c r="A224" s="7"/>
      <c r="B224" s="24" t="s">
        <v>512</v>
      </c>
      <c r="C224" s="36"/>
      <c r="D224" s="20" t="s">
        <v>44</v>
      </c>
      <c r="E224" s="21">
        <v>1750000</v>
      </c>
      <c r="F224" s="21">
        <v>0</v>
      </c>
      <c r="G224" s="62">
        <f t="shared" si="6"/>
        <v>73365118.074647546</v>
      </c>
      <c r="H224" s="9"/>
      <c r="I224" s="9">
        <f>+E224-H224</f>
        <v>1750000</v>
      </c>
    </row>
    <row r="225" spans="1:9" ht="21.75" customHeight="1" x14ac:dyDescent="0.2">
      <c r="A225" s="7"/>
      <c r="B225" s="24" t="s">
        <v>512</v>
      </c>
      <c r="C225" s="36"/>
      <c r="D225" s="20" t="s">
        <v>59</v>
      </c>
      <c r="E225" s="21">
        <v>4200000</v>
      </c>
      <c r="F225" s="21">
        <v>0</v>
      </c>
      <c r="G225" s="62">
        <f t="shared" si="6"/>
        <v>77565118.074647546</v>
      </c>
      <c r="H225" s="9"/>
      <c r="I225" s="9"/>
    </row>
    <row r="226" spans="1:9" ht="21.75" customHeight="1" x14ac:dyDescent="0.2">
      <c r="A226" s="7"/>
      <c r="B226" s="24" t="s">
        <v>512</v>
      </c>
      <c r="C226" s="36"/>
      <c r="D226" s="20" t="s">
        <v>514</v>
      </c>
      <c r="E226" s="21">
        <v>605000</v>
      </c>
      <c r="F226" s="21"/>
      <c r="G226" s="62">
        <f t="shared" si="6"/>
        <v>78170118.074647546</v>
      </c>
      <c r="H226" s="9"/>
      <c r="I226" s="9"/>
    </row>
    <row r="227" spans="1:9" ht="21.75" customHeight="1" x14ac:dyDescent="0.2">
      <c r="A227" s="7"/>
      <c r="B227" s="24" t="s">
        <v>512</v>
      </c>
      <c r="C227" s="36"/>
      <c r="D227" s="20" t="s">
        <v>58</v>
      </c>
      <c r="E227" s="21">
        <v>588000</v>
      </c>
      <c r="F227" s="21"/>
      <c r="G227" s="62">
        <f t="shared" si="6"/>
        <v>78758118.074647546</v>
      </c>
      <c r="H227" s="9"/>
      <c r="I227" s="9"/>
    </row>
    <row r="228" spans="1:9" ht="21.75" customHeight="1" x14ac:dyDescent="0.2">
      <c r="A228" s="7"/>
      <c r="B228" s="24" t="s">
        <v>512</v>
      </c>
      <c r="C228" s="36"/>
      <c r="D228" s="20" t="s">
        <v>515</v>
      </c>
      <c r="E228" s="21">
        <v>111000</v>
      </c>
      <c r="F228" s="21"/>
      <c r="G228" s="62">
        <f t="shared" si="6"/>
        <v>78869118.074647546</v>
      </c>
      <c r="H228" s="9"/>
      <c r="I228" s="9"/>
    </row>
    <row r="229" spans="1:9" ht="21.75" customHeight="1" x14ac:dyDescent="0.2">
      <c r="A229" s="7"/>
      <c r="B229" s="24" t="s">
        <v>512</v>
      </c>
      <c r="C229" s="36"/>
      <c r="D229" s="20" t="s">
        <v>51</v>
      </c>
      <c r="E229" s="21">
        <v>11500000</v>
      </c>
      <c r="F229" s="21">
        <v>0</v>
      </c>
      <c r="G229" s="62">
        <f t="shared" si="6"/>
        <v>90369118.074647546</v>
      </c>
      <c r="H229" s="9"/>
      <c r="I229" s="9"/>
    </row>
    <row r="230" spans="1:9" ht="21.75" customHeight="1" x14ac:dyDescent="0.2">
      <c r="A230" s="7"/>
      <c r="B230" s="24" t="s">
        <v>512</v>
      </c>
      <c r="C230" s="36"/>
      <c r="D230" s="20" t="s">
        <v>45</v>
      </c>
      <c r="E230" s="21">
        <v>0</v>
      </c>
      <c r="F230" s="21">
        <v>0</v>
      </c>
      <c r="G230" s="62">
        <f t="shared" si="6"/>
        <v>90369118.074647546</v>
      </c>
      <c r="H230" s="9"/>
      <c r="I230" s="9"/>
    </row>
    <row r="231" spans="1:9" ht="21.75" customHeight="1" x14ac:dyDescent="0.2">
      <c r="A231" s="7"/>
      <c r="B231" s="24" t="s">
        <v>512</v>
      </c>
      <c r="C231" s="36"/>
      <c r="D231" s="20" t="s">
        <v>577</v>
      </c>
      <c r="E231" s="21">
        <v>200000</v>
      </c>
      <c r="F231" s="21"/>
      <c r="G231" s="62">
        <f t="shared" si="6"/>
        <v>90569118.074647546</v>
      </c>
      <c r="H231" s="9"/>
      <c r="I231" s="9"/>
    </row>
    <row r="232" spans="1:9" ht="21.75" customHeight="1" x14ac:dyDescent="0.2">
      <c r="A232" s="7"/>
      <c r="B232" s="24" t="s">
        <v>512</v>
      </c>
      <c r="C232" s="36"/>
      <c r="D232" s="20" t="s">
        <v>554</v>
      </c>
      <c r="E232" s="21"/>
      <c r="F232" s="21">
        <v>200000</v>
      </c>
      <c r="G232" s="62">
        <f t="shared" si="6"/>
        <v>90369118.074647546</v>
      </c>
      <c r="H232" s="9"/>
      <c r="I232" s="9"/>
    </row>
    <row r="233" spans="1:9" ht="21.75" customHeight="1" x14ac:dyDescent="0.2">
      <c r="A233" s="7"/>
      <c r="B233" s="24" t="s">
        <v>512</v>
      </c>
      <c r="C233" s="36"/>
      <c r="D233" s="23" t="s">
        <v>517</v>
      </c>
      <c r="E233" s="21">
        <v>0</v>
      </c>
      <c r="F233" s="39">
        <v>19680239.84</v>
      </c>
      <c r="G233" s="62">
        <f t="shared" si="6"/>
        <v>70688878.234647542</v>
      </c>
      <c r="H233" s="9"/>
      <c r="I233" s="9"/>
    </row>
    <row r="234" spans="1:9" ht="21.75" customHeight="1" x14ac:dyDescent="0.2">
      <c r="A234" s="7"/>
      <c r="B234" s="24" t="s">
        <v>512</v>
      </c>
      <c r="C234" s="36"/>
      <c r="D234" s="20" t="s">
        <v>46</v>
      </c>
      <c r="E234" s="39">
        <v>1895339.84</v>
      </c>
      <c r="F234" s="21">
        <v>0</v>
      </c>
      <c r="G234" s="62">
        <f t="shared" si="6"/>
        <v>72584218.074647546</v>
      </c>
      <c r="H234" s="9"/>
      <c r="I234" s="9">
        <f>+E234-H234</f>
        <v>1895339.84</v>
      </c>
    </row>
    <row r="235" spans="1:9" ht="21.75" customHeight="1" x14ac:dyDescent="0.2">
      <c r="A235" s="7"/>
      <c r="B235" s="24" t="s">
        <v>512</v>
      </c>
      <c r="C235" s="36"/>
      <c r="D235" s="20" t="s">
        <v>47</v>
      </c>
      <c r="E235" s="21">
        <v>1099912</v>
      </c>
      <c r="F235" s="21">
        <v>0</v>
      </c>
      <c r="G235" s="62">
        <f t="shared" si="6"/>
        <v>73684130.074647546</v>
      </c>
      <c r="H235" s="9"/>
      <c r="I235" s="9"/>
    </row>
    <row r="236" spans="1:9" ht="21.75" customHeight="1" x14ac:dyDescent="0.2">
      <c r="A236" s="7"/>
      <c r="B236" s="24" t="s">
        <v>512</v>
      </c>
      <c r="C236" s="36"/>
      <c r="D236" s="20" t="s">
        <v>48</v>
      </c>
      <c r="E236" s="21">
        <v>200000</v>
      </c>
      <c r="F236" s="21">
        <v>0</v>
      </c>
      <c r="G236" s="62">
        <f t="shared" si="6"/>
        <v>73884130.074647546</v>
      </c>
      <c r="H236" s="9"/>
      <c r="I236" s="9"/>
    </row>
    <row r="237" spans="1:9" ht="21.75" customHeight="1" x14ac:dyDescent="0.2">
      <c r="A237" s="7"/>
      <c r="B237" s="24" t="s">
        <v>512</v>
      </c>
      <c r="C237" s="36"/>
      <c r="D237" s="20" t="s">
        <v>81</v>
      </c>
      <c r="E237" s="21">
        <v>100000</v>
      </c>
      <c r="F237" s="21"/>
      <c r="G237" s="62">
        <f t="shared" si="6"/>
        <v>73984130.074647546</v>
      </c>
      <c r="H237" s="9"/>
      <c r="I237" s="9"/>
    </row>
    <row r="238" spans="1:9" ht="21.75" customHeight="1" x14ac:dyDescent="0.2">
      <c r="A238" s="7"/>
      <c r="B238" s="24" t="s">
        <v>512</v>
      </c>
      <c r="C238" s="36"/>
      <c r="D238" s="20" t="s">
        <v>514</v>
      </c>
      <c r="E238" s="21">
        <v>10000</v>
      </c>
      <c r="F238" s="21"/>
      <c r="G238" s="62">
        <f t="shared" si="6"/>
        <v>73994130.074647546</v>
      </c>
      <c r="H238" s="9"/>
      <c r="I238" s="9"/>
    </row>
    <row r="239" spans="1:9" ht="21.75" customHeight="1" x14ac:dyDescent="0.2">
      <c r="A239" s="7"/>
      <c r="B239" s="24" t="s">
        <v>512</v>
      </c>
      <c r="C239" s="36"/>
      <c r="D239" s="20" t="s">
        <v>49</v>
      </c>
      <c r="E239" s="21">
        <v>2875000</v>
      </c>
      <c r="F239" s="21">
        <v>0</v>
      </c>
      <c r="G239" s="62">
        <f t="shared" si="6"/>
        <v>76869130.074647546</v>
      </c>
      <c r="H239" s="9"/>
      <c r="I239" s="9"/>
    </row>
    <row r="240" spans="1:9" ht="21.75" customHeight="1" x14ac:dyDescent="0.2">
      <c r="A240" s="7"/>
      <c r="B240" s="24" t="s">
        <v>512</v>
      </c>
      <c r="C240" s="36"/>
      <c r="D240" s="20" t="s">
        <v>50</v>
      </c>
      <c r="E240" s="21">
        <v>0</v>
      </c>
      <c r="F240" s="21"/>
      <c r="G240" s="62">
        <f t="shared" si="6"/>
        <v>76869130.074647546</v>
      </c>
      <c r="H240" s="9"/>
      <c r="I240" s="9"/>
    </row>
    <row r="241" spans="1:9" ht="21.75" customHeight="1" x14ac:dyDescent="0.2">
      <c r="A241" s="7"/>
      <c r="B241" s="24" t="s">
        <v>512</v>
      </c>
      <c r="C241" s="36"/>
      <c r="D241" s="23" t="s">
        <v>518</v>
      </c>
      <c r="E241" s="21">
        <v>0</v>
      </c>
      <c r="F241" s="39">
        <v>29929359.760000002</v>
      </c>
      <c r="G241" s="62">
        <f t="shared" ref="G241:G291" si="7">+G240+E241-F241</f>
        <v>46939770.31464754</v>
      </c>
      <c r="H241" s="9"/>
      <c r="I241" s="9"/>
    </row>
    <row r="242" spans="1:9" ht="21.75" customHeight="1" x14ac:dyDescent="0.2">
      <c r="A242" s="7"/>
      <c r="B242" s="24" t="s">
        <v>512</v>
      </c>
      <c r="C242" s="36"/>
      <c r="D242" s="20" t="s">
        <v>55</v>
      </c>
      <c r="E242" s="39">
        <v>2843009.76</v>
      </c>
      <c r="F242" s="21">
        <v>0</v>
      </c>
      <c r="G242" s="62">
        <f t="shared" si="7"/>
        <v>49782780.074647538</v>
      </c>
      <c r="H242" s="9"/>
      <c r="I242" s="9"/>
    </row>
    <row r="243" spans="1:9" ht="21.75" customHeight="1" x14ac:dyDescent="0.2">
      <c r="A243" s="7"/>
      <c r="B243" s="24" t="s">
        <v>512</v>
      </c>
      <c r="C243" s="36"/>
      <c r="D243" s="20" t="s">
        <v>54</v>
      </c>
      <c r="E243" s="21">
        <v>1649868</v>
      </c>
      <c r="F243" s="21">
        <v>0</v>
      </c>
      <c r="G243" s="62">
        <f t="shared" si="7"/>
        <v>51432648.074647538</v>
      </c>
      <c r="H243" s="9"/>
      <c r="I243" s="9"/>
    </row>
    <row r="244" spans="1:9" ht="21.75" customHeight="1" x14ac:dyDescent="0.2">
      <c r="A244" s="7"/>
      <c r="B244" s="24" t="s">
        <v>512</v>
      </c>
      <c r="C244" s="36"/>
      <c r="D244" s="20" t="s">
        <v>53</v>
      </c>
      <c r="E244" s="21">
        <v>350000</v>
      </c>
      <c r="F244" s="21">
        <v>0</v>
      </c>
      <c r="G244" s="62">
        <f t="shared" si="7"/>
        <v>51782648.074647538</v>
      </c>
      <c r="H244" s="9"/>
      <c r="I244" s="9"/>
    </row>
    <row r="245" spans="1:9" ht="21.75" customHeight="1" x14ac:dyDescent="0.2">
      <c r="A245" s="7"/>
      <c r="B245" s="24" t="s">
        <v>512</v>
      </c>
      <c r="C245" s="36"/>
      <c r="D245" s="20" t="s">
        <v>56</v>
      </c>
      <c r="E245" s="21">
        <v>100000</v>
      </c>
      <c r="F245" s="21">
        <v>0</v>
      </c>
      <c r="G245" s="62">
        <f t="shared" si="7"/>
        <v>51882648.074647538</v>
      </c>
      <c r="H245" s="9"/>
      <c r="I245" s="9"/>
    </row>
    <row r="246" spans="1:9" ht="21.75" customHeight="1" x14ac:dyDescent="0.2">
      <c r="A246" s="7"/>
      <c r="B246" s="24" t="s">
        <v>512</v>
      </c>
      <c r="C246" s="36"/>
      <c r="D246" s="20" t="s">
        <v>57</v>
      </c>
      <c r="E246" s="21">
        <v>1350000</v>
      </c>
      <c r="F246" s="21">
        <v>0</v>
      </c>
      <c r="G246" s="62">
        <f t="shared" si="7"/>
        <v>53232648.074647538</v>
      </c>
      <c r="H246" s="9"/>
      <c r="I246" s="9"/>
    </row>
    <row r="247" spans="1:9" ht="21.75" customHeight="1" x14ac:dyDescent="0.2">
      <c r="A247" s="7"/>
      <c r="B247" s="24" t="s">
        <v>512</v>
      </c>
      <c r="C247" s="36"/>
      <c r="D247" s="20" t="s">
        <v>514</v>
      </c>
      <c r="E247" s="21">
        <v>85000</v>
      </c>
      <c r="F247" s="21"/>
      <c r="G247" s="62">
        <f t="shared" si="7"/>
        <v>53317648.074647538</v>
      </c>
      <c r="H247" s="9"/>
      <c r="I247" s="9"/>
    </row>
    <row r="248" spans="1:9" ht="21.75" customHeight="1" x14ac:dyDescent="0.2">
      <c r="A248" s="7"/>
      <c r="B248" s="24" t="s">
        <v>512</v>
      </c>
      <c r="C248" s="36"/>
      <c r="D248" s="20" t="s">
        <v>216</v>
      </c>
      <c r="E248" s="21">
        <v>200000</v>
      </c>
      <c r="F248" s="21">
        <v>0</v>
      </c>
      <c r="G248" s="62">
        <f t="shared" si="7"/>
        <v>53517648.074647538</v>
      </c>
      <c r="H248" s="9"/>
      <c r="I248" s="9"/>
    </row>
    <row r="249" spans="1:9" ht="21.75" customHeight="1" x14ac:dyDescent="0.2">
      <c r="A249" s="7"/>
      <c r="B249" s="24" t="s">
        <v>512</v>
      </c>
      <c r="C249" s="36"/>
      <c r="D249" s="20" t="s">
        <v>515</v>
      </c>
      <c r="E249" s="21">
        <v>25000</v>
      </c>
      <c r="F249" s="21"/>
      <c r="G249" s="62">
        <f t="shared" si="7"/>
        <v>53542648.074647538</v>
      </c>
      <c r="H249" s="9"/>
      <c r="I249" s="9"/>
    </row>
    <row r="250" spans="1:9" ht="21.75" customHeight="1" x14ac:dyDescent="0.2">
      <c r="A250" s="7"/>
      <c r="B250" s="24" t="s">
        <v>512</v>
      </c>
      <c r="C250" s="36"/>
      <c r="D250" s="20" t="s">
        <v>52</v>
      </c>
      <c r="E250" s="21">
        <v>0</v>
      </c>
      <c r="F250" s="21">
        <v>0</v>
      </c>
      <c r="G250" s="62">
        <f t="shared" si="7"/>
        <v>53542648.074647538</v>
      </c>
      <c r="H250" s="9"/>
      <c r="I250" s="9"/>
    </row>
    <row r="251" spans="1:9" ht="21.75" customHeight="1" x14ac:dyDescent="0.2">
      <c r="A251" s="7"/>
      <c r="B251" s="24" t="s">
        <v>512</v>
      </c>
      <c r="C251" s="36"/>
      <c r="D251" s="23" t="s">
        <v>519</v>
      </c>
      <c r="E251" s="21">
        <v>0</v>
      </c>
      <c r="F251" s="39">
        <v>20066239.84</v>
      </c>
      <c r="G251" s="62">
        <f t="shared" si="7"/>
        <v>33476408.234647539</v>
      </c>
      <c r="H251" s="9"/>
      <c r="I251" s="9"/>
    </row>
    <row r="252" spans="1:9" ht="21.75" customHeight="1" x14ac:dyDescent="0.2">
      <c r="A252" s="7"/>
      <c r="B252" s="24" t="s">
        <v>512</v>
      </c>
      <c r="C252" s="36"/>
      <c r="D252" s="20" t="s">
        <v>60</v>
      </c>
      <c r="E252" s="39">
        <v>1895339.84</v>
      </c>
      <c r="F252" s="21">
        <v>0</v>
      </c>
      <c r="G252" s="62">
        <f t="shared" si="7"/>
        <v>35371748.074647538</v>
      </c>
    </row>
    <row r="253" spans="1:9" ht="21.75" customHeight="1" x14ac:dyDescent="0.2">
      <c r="A253" s="7"/>
      <c r="B253" s="24" t="s">
        <v>512</v>
      </c>
      <c r="C253" s="36"/>
      <c r="D253" s="20" t="s">
        <v>61</v>
      </c>
      <c r="E253" s="21">
        <v>1099912</v>
      </c>
      <c r="F253" s="21">
        <v>0</v>
      </c>
      <c r="G253" s="62">
        <f t="shared" si="7"/>
        <v>36471660.074647538</v>
      </c>
    </row>
    <row r="254" spans="1:9" ht="21.75" customHeight="1" x14ac:dyDescent="0.2">
      <c r="A254" s="7"/>
      <c r="B254" s="24" t="s">
        <v>512</v>
      </c>
      <c r="C254" s="36"/>
      <c r="D254" s="20" t="s">
        <v>62</v>
      </c>
      <c r="E254" s="21">
        <v>200000</v>
      </c>
      <c r="F254" s="39">
        <v>0</v>
      </c>
      <c r="G254" s="62">
        <f t="shared" si="7"/>
        <v>36671660.074647538</v>
      </c>
    </row>
    <row r="255" spans="1:9" ht="21.75" customHeight="1" x14ac:dyDescent="0.2">
      <c r="A255" s="7"/>
      <c r="B255" s="24" t="s">
        <v>512</v>
      </c>
      <c r="C255" s="36"/>
      <c r="D255" s="20" t="s">
        <v>63</v>
      </c>
      <c r="E255" s="21">
        <v>250000</v>
      </c>
      <c r="F255" s="21">
        <v>0</v>
      </c>
      <c r="G255" s="62">
        <f t="shared" si="7"/>
        <v>36921660.074647538</v>
      </c>
    </row>
    <row r="256" spans="1:9" ht="21.75" customHeight="1" x14ac:dyDescent="0.2">
      <c r="A256" s="7"/>
      <c r="B256" s="24" t="s">
        <v>512</v>
      </c>
      <c r="C256" s="36"/>
      <c r="D256" s="20" t="s">
        <v>514</v>
      </c>
      <c r="E256" s="21">
        <v>25000</v>
      </c>
      <c r="F256" s="21"/>
      <c r="G256" s="62">
        <f t="shared" si="7"/>
        <v>36946660.074647538</v>
      </c>
    </row>
    <row r="257" spans="1:9" ht="21.75" customHeight="1" x14ac:dyDescent="0.2">
      <c r="A257" s="7"/>
      <c r="B257" s="24" t="s">
        <v>512</v>
      </c>
      <c r="C257" s="36"/>
      <c r="D257" s="20" t="s">
        <v>64</v>
      </c>
      <c r="E257" s="21"/>
      <c r="F257" s="26">
        <v>1935000</v>
      </c>
      <c r="G257" s="62">
        <f>+G256+E257-F257</f>
        <v>35011660.074647538</v>
      </c>
    </row>
    <row r="258" spans="1:9" ht="21.75" customHeight="1" x14ac:dyDescent="0.2">
      <c r="A258" s="7"/>
      <c r="B258" s="24" t="s">
        <v>512</v>
      </c>
      <c r="C258" s="36"/>
      <c r="D258" s="20" t="s">
        <v>65</v>
      </c>
      <c r="E258" s="21"/>
      <c r="F258" s="21">
        <v>2040000</v>
      </c>
      <c r="G258" s="62">
        <f t="shared" si="7"/>
        <v>32971660.074647538</v>
      </c>
      <c r="H258" s="8"/>
      <c r="I258" s="46">
        <f>+E258-H258</f>
        <v>0</v>
      </c>
    </row>
    <row r="259" spans="1:9" ht="21.75" customHeight="1" x14ac:dyDescent="0.2">
      <c r="A259" s="7"/>
      <c r="B259" s="24" t="s">
        <v>512</v>
      </c>
      <c r="C259" s="36"/>
      <c r="D259" s="20" t="s">
        <v>66</v>
      </c>
      <c r="E259" s="21"/>
      <c r="F259" s="21">
        <v>1200000</v>
      </c>
      <c r="G259" s="62">
        <f t="shared" si="7"/>
        <v>31771660.074647538</v>
      </c>
      <c r="H259" s="47"/>
      <c r="I259" s="46">
        <f>+E259-H259</f>
        <v>0</v>
      </c>
    </row>
    <row r="260" spans="1:9" ht="21.75" customHeight="1" x14ac:dyDescent="0.2">
      <c r="A260" s="7"/>
      <c r="B260" s="24" t="s">
        <v>512</v>
      </c>
      <c r="C260" s="36"/>
      <c r="D260" s="20" t="s">
        <v>67</v>
      </c>
      <c r="E260" s="21"/>
      <c r="F260" s="26">
        <v>2760000</v>
      </c>
      <c r="G260" s="62">
        <f t="shared" si="7"/>
        <v>29011660.074647538</v>
      </c>
      <c r="H260" s="44"/>
    </row>
    <row r="261" spans="1:9" ht="21.75" customHeight="1" x14ac:dyDescent="0.2">
      <c r="A261" s="7"/>
      <c r="B261" s="24" t="s">
        <v>512</v>
      </c>
      <c r="C261" s="36"/>
      <c r="D261" s="20" t="s">
        <v>520</v>
      </c>
      <c r="E261" s="21"/>
      <c r="F261" s="21">
        <v>3856616</v>
      </c>
      <c r="G261" s="62">
        <f t="shared" si="7"/>
        <v>25155044.074647538</v>
      </c>
    </row>
    <row r="262" spans="1:9" ht="21.75" customHeight="1" x14ac:dyDescent="0.2">
      <c r="A262" s="7"/>
      <c r="B262" s="24" t="s">
        <v>512</v>
      </c>
      <c r="C262" s="36"/>
      <c r="D262" s="20" t="s">
        <v>521</v>
      </c>
      <c r="E262" s="21"/>
      <c r="F262" s="21">
        <v>3856616</v>
      </c>
      <c r="G262" s="62">
        <f t="shared" si="7"/>
        <v>21298428.074647538</v>
      </c>
    </row>
    <row r="263" spans="1:9" ht="21.75" customHeight="1" x14ac:dyDescent="0.2">
      <c r="A263" s="7"/>
      <c r="B263" s="24" t="s">
        <v>512</v>
      </c>
      <c r="C263" s="36"/>
      <c r="D263" s="20" t="s">
        <v>555</v>
      </c>
      <c r="E263" s="21"/>
      <c r="F263" s="21">
        <v>17366958</v>
      </c>
      <c r="G263" s="62">
        <f t="shared" si="7"/>
        <v>3931470.0746475384</v>
      </c>
    </row>
    <row r="264" spans="1:9" ht="21.75" customHeight="1" x14ac:dyDescent="0.2">
      <c r="A264" s="7"/>
      <c r="B264" s="19" t="s">
        <v>556</v>
      </c>
      <c r="C264" s="36"/>
      <c r="D264" s="20" t="s">
        <v>557</v>
      </c>
      <c r="E264" s="21">
        <v>1400000</v>
      </c>
      <c r="F264" s="21"/>
      <c r="G264" s="62">
        <f t="shared" si="7"/>
        <v>5331470.0746475384</v>
      </c>
    </row>
    <row r="265" spans="1:9" ht="21.75" customHeight="1" x14ac:dyDescent="0.2">
      <c r="A265" s="7"/>
      <c r="B265" s="24" t="s">
        <v>556</v>
      </c>
      <c r="C265" s="36"/>
      <c r="D265" s="23" t="s">
        <v>558</v>
      </c>
      <c r="E265" s="21">
        <v>0</v>
      </c>
      <c r="F265" s="39">
        <f>4546559.96</f>
        <v>4546559.96</v>
      </c>
      <c r="G265" s="62">
        <f>+G264+E265-F265</f>
        <v>784910.1146475384</v>
      </c>
    </row>
    <row r="266" spans="1:9" ht="21.75" customHeight="1" x14ac:dyDescent="0.2">
      <c r="A266" s="7"/>
      <c r="B266" s="24" t="s">
        <v>556</v>
      </c>
      <c r="C266" s="36"/>
      <c r="D266" s="20" t="s">
        <v>41</v>
      </c>
      <c r="E266" s="39">
        <v>473834.96</v>
      </c>
      <c r="F266" s="21">
        <v>0</v>
      </c>
      <c r="G266" s="62">
        <f t="shared" si="7"/>
        <v>1258745.0746475384</v>
      </c>
    </row>
    <row r="267" spans="1:9" ht="21.75" customHeight="1" x14ac:dyDescent="0.2">
      <c r="A267" s="7"/>
      <c r="B267" s="24" t="s">
        <v>556</v>
      </c>
      <c r="C267" s="36"/>
      <c r="D267" s="20" t="s">
        <v>42</v>
      </c>
      <c r="E267" s="21">
        <v>274978</v>
      </c>
      <c r="F267" s="21">
        <v>0</v>
      </c>
      <c r="G267" s="62">
        <f t="shared" si="7"/>
        <v>1533723.0746475384</v>
      </c>
    </row>
    <row r="268" spans="1:9" ht="21.75" customHeight="1" x14ac:dyDescent="0.2">
      <c r="A268" s="7"/>
      <c r="B268" s="24" t="s">
        <v>556</v>
      </c>
      <c r="C268" s="36"/>
      <c r="D268" s="20" t="s">
        <v>43</v>
      </c>
      <c r="E268" s="21">
        <v>50000</v>
      </c>
      <c r="F268" s="21">
        <v>0</v>
      </c>
      <c r="G268" s="62">
        <f t="shared" si="7"/>
        <v>1583723.0746475384</v>
      </c>
    </row>
    <row r="269" spans="1:9" ht="21.75" customHeight="1" x14ac:dyDescent="0.2">
      <c r="A269" s="7"/>
      <c r="B269" s="24" t="s">
        <v>556</v>
      </c>
      <c r="C269" s="36"/>
      <c r="D269" s="20" t="s">
        <v>58</v>
      </c>
      <c r="E269" s="21">
        <v>100000</v>
      </c>
      <c r="F269" s="21"/>
      <c r="G269" s="62">
        <f t="shared" si="7"/>
        <v>1683723.0746475384</v>
      </c>
    </row>
    <row r="270" spans="1:9" ht="21.75" customHeight="1" x14ac:dyDescent="0.2">
      <c r="A270" s="7"/>
      <c r="B270" s="24" t="s">
        <v>556</v>
      </c>
      <c r="C270" s="36"/>
      <c r="D270" s="20" t="s">
        <v>515</v>
      </c>
      <c r="E270" s="21">
        <v>25000</v>
      </c>
      <c r="F270" s="21"/>
      <c r="G270" s="62">
        <f t="shared" si="7"/>
        <v>1708723.0746475384</v>
      </c>
    </row>
    <row r="271" spans="1:9" ht="21.75" customHeight="1" x14ac:dyDescent="0.2">
      <c r="A271" s="7"/>
      <c r="B271" s="19" t="s">
        <v>559</v>
      </c>
      <c r="C271" s="36"/>
      <c r="D271" s="20" t="s">
        <v>560</v>
      </c>
      <c r="E271" s="21">
        <v>200000</v>
      </c>
      <c r="F271" s="21"/>
      <c r="G271" s="62">
        <f t="shared" si="7"/>
        <v>1908723.0746475384</v>
      </c>
    </row>
    <row r="272" spans="1:9" ht="21.75" customHeight="1" x14ac:dyDescent="0.2">
      <c r="A272" s="7"/>
      <c r="B272" s="24" t="s">
        <v>559</v>
      </c>
      <c r="C272" s="36"/>
      <c r="D272" s="20" t="s">
        <v>561</v>
      </c>
      <c r="E272" s="21">
        <v>100000</v>
      </c>
      <c r="F272" s="21"/>
      <c r="G272" s="62">
        <f t="shared" si="7"/>
        <v>2008723.0746475384</v>
      </c>
    </row>
    <row r="273" spans="1:9" ht="21.75" customHeight="1" x14ac:dyDescent="0.2">
      <c r="A273" s="7"/>
      <c r="B273" s="24" t="s">
        <v>559</v>
      </c>
      <c r="C273" s="36"/>
      <c r="D273" s="23" t="s">
        <v>570</v>
      </c>
      <c r="E273" s="25">
        <v>0</v>
      </c>
      <c r="F273" s="21"/>
      <c r="G273" s="62">
        <f t="shared" si="7"/>
        <v>2008723.0746475384</v>
      </c>
    </row>
    <row r="274" spans="1:9" ht="21.75" customHeight="1" x14ac:dyDescent="0.2">
      <c r="A274" s="7"/>
      <c r="B274" s="24" t="s">
        <v>559</v>
      </c>
      <c r="C274" s="36"/>
      <c r="D274" s="20" t="s">
        <v>413</v>
      </c>
      <c r="E274" s="21">
        <v>0</v>
      </c>
      <c r="F274" s="21"/>
      <c r="G274" s="62">
        <f t="shared" si="7"/>
        <v>2008723.0746475384</v>
      </c>
    </row>
    <row r="275" spans="1:9" ht="21.75" customHeight="1" x14ac:dyDescent="0.2">
      <c r="A275" s="7"/>
      <c r="B275" s="24" t="s">
        <v>559</v>
      </c>
      <c r="C275" s="36"/>
      <c r="D275" s="20" t="s">
        <v>236</v>
      </c>
      <c r="E275" s="21">
        <v>2700000</v>
      </c>
      <c r="F275" s="21"/>
      <c r="G275" s="62">
        <f>+G274+E275-F275</f>
        <v>4708723.0746475384</v>
      </c>
    </row>
    <row r="276" spans="1:9" ht="21.75" customHeight="1" x14ac:dyDescent="0.2">
      <c r="A276" s="7"/>
      <c r="B276" s="24" t="s">
        <v>559</v>
      </c>
      <c r="C276" s="36"/>
      <c r="D276" s="20" t="s">
        <v>237</v>
      </c>
      <c r="E276" s="54">
        <v>2300000</v>
      </c>
      <c r="F276" s="21"/>
      <c r="G276" s="62">
        <f t="shared" si="7"/>
        <v>7008723.0746475384</v>
      </c>
    </row>
    <row r="277" spans="1:9" ht="21.75" customHeight="1" x14ac:dyDescent="0.2">
      <c r="A277" s="7"/>
      <c r="B277" s="24" t="s">
        <v>559</v>
      </c>
      <c r="C277" s="36"/>
      <c r="D277" s="20" t="s">
        <v>23</v>
      </c>
      <c r="E277" s="21">
        <v>5500000</v>
      </c>
      <c r="F277" s="21"/>
      <c r="G277" s="62">
        <f t="shared" si="7"/>
        <v>12508723.074647538</v>
      </c>
    </row>
    <row r="278" spans="1:9" ht="21.75" customHeight="1" x14ac:dyDescent="0.2">
      <c r="A278" s="7"/>
      <c r="B278" s="24" t="s">
        <v>559</v>
      </c>
      <c r="C278" s="36"/>
      <c r="D278" s="20" t="s">
        <v>514</v>
      </c>
      <c r="E278" s="21">
        <v>720000</v>
      </c>
      <c r="F278" s="21"/>
      <c r="G278" s="62">
        <f t="shared" si="7"/>
        <v>13228723.074647538</v>
      </c>
    </row>
    <row r="279" spans="1:9" ht="21.75" customHeight="1" x14ac:dyDescent="0.2">
      <c r="A279" s="7"/>
      <c r="B279" s="24" t="s">
        <v>559</v>
      </c>
      <c r="C279" s="36"/>
      <c r="D279" s="20" t="s">
        <v>24</v>
      </c>
      <c r="E279" s="21">
        <v>2000000</v>
      </c>
      <c r="F279" s="21"/>
      <c r="G279" s="62">
        <f t="shared" si="7"/>
        <v>15228723.074647538</v>
      </c>
    </row>
    <row r="280" spans="1:9" ht="21.75" customHeight="1" x14ac:dyDescent="0.2">
      <c r="A280" s="7"/>
      <c r="B280" s="24" t="s">
        <v>559</v>
      </c>
      <c r="C280" s="36"/>
      <c r="D280" s="20" t="s">
        <v>515</v>
      </c>
      <c r="E280" s="21">
        <v>300000</v>
      </c>
      <c r="F280" s="21"/>
      <c r="G280" s="62">
        <f t="shared" si="7"/>
        <v>15528723.074647538</v>
      </c>
    </row>
    <row r="281" spans="1:9" ht="21.75" customHeight="1" x14ac:dyDescent="0.2">
      <c r="A281" s="7"/>
      <c r="B281" s="24" t="s">
        <v>559</v>
      </c>
      <c r="C281" s="36"/>
      <c r="D281" s="20" t="s">
        <v>26</v>
      </c>
      <c r="E281" s="21">
        <v>8820833</v>
      </c>
      <c r="F281" s="21"/>
      <c r="G281" s="62">
        <f t="shared" si="7"/>
        <v>24349556.074647538</v>
      </c>
    </row>
    <row r="282" spans="1:9" ht="21.75" customHeight="1" x14ac:dyDescent="0.2">
      <c r="A282" s="7"/>
      <c r="B282" s="24" t="s">
        <v>559</v>
      </c>
      <c r="C282" s="36"/>
      <c r="D282" s="20" t="s">
        <v>27</v>
      </c>
      <c r="E282" s="21">
        <v>429000</v>
      </c>
      <c r="F282" s="21"/>
      <c r="G282" s="62">
        <f t="shared" si="7"/>
        <v>24778556.074647538</v>
      </c>
    </row>
    <row r="283" spans="1:9" ht="21.75" customHeight="1" x14ac:dyDescent="0.2">
      <c r="A283" s="7"/>
      <c r="B283" s="24" t="s">
        <v>559</v>
      </c>
      <c r="C283" s="36"/>
      <c r="D283" s="20" t="s">
        <v>584</v>
      </c>
      <c r="E283" s="21">
        <v>2000000</v>
      </c>
      <c r="F283" s="21"/>
      <c r="G283" s="62">
        <f t="shared" si="7"/>
        <v>26778556.074647538</v>
      </c>
    </row>
    <row r="284" spans="1:9" ht="21.75" customHeight="1" x14ac:dyDescent="0.2">
      <c r="A284" s="7"/>
      <c r="B284" s="24" t="s">
        <v>559</v>
      </c>
      <c r="C284" s="36"/>
      <c r="D284" s="20" t="s">
        <v>571</v>
      </c>
      <c r="E284" s="21">
        <v>789393</v>
      </c>
      <c r="F284" s="21"/>
      <c r="G284" s="62">
        <f t="shared" si="7"/>
        <v>27567949.074647538</v>
      </c>
    </row>
    <row r="285" spans="1:9" ht="21.75" customHeight="1" x14ac:dyDescent="0.2">
      <c r="A285" s="7"/>
      <c r="B285" s="24" t="s">
        <v>559</v>
      </c>
      <c r="C285" s="36"/>
      <c r="D285" s="20" t="s">
        <v>572</v>
      </c>
      <c r="E285" s="21">
        <v>2193060</v>
      </c>
      <c r="F285" s="21"/>
      <c r="G285" s="62">
        <f t="shared" si="7"/>
        <v>29761009.074647538</v>
      </c>
    </row>
    <row r="286" spans="1:9" ht="21.75" customHeight="1" x14ac:dyDescent="0.2">
      <c r="A286" s="7"/>
      <c r="B286" s="19" t="s">
        <v>573</v>
      </c>
      <c r="C286" s="36"/>
      <c r="D286" s="20" t="s">
        <v>432</v>
      </c>
      <c r="E286" s="66"/>
      <c r="F286" s="66">
        <v>2348000</v>
      </c>
      <c r="G286" s="62">
        <f t="shared" si="7"/>
        <v>27413009.074647538</v>
      </c>
    </row>
    <row r="287" spans="1:9" ht="21.75" customHeight="1" x14ac:dyDescent="0.2">
      <c r="A287" s="7"/>
      <c r="B287" s="24" t="s">
        <v>573</v>
      </c>
      <c r="C287" s="36"/>
      <c r="D287" s="20" t="s">
        <v>574</v>
      </c>
      <c r="E287" s="67"/>
      <c r="F287" s="66">
        <v>10000000</v>
      </c>
      <c r="G287" s="62">
        <f t="shared" si="7"/>
        <v>17413009.074647538</v>
      </c>
      <c r="I287" s="3">
        <v>10000</v>
      </c>
    </row>
    <row r="288" spans="1:9" ht="21.75" customHeight="1" x14ac:dyDescent="0.2">
      <c r="A288" s="7"/>
      <c r="B288" s="24" t="s">
        <v>573</v>
      </c>
      <c r="C288" s="36"/>
      <c r="D288" s="20" t="s">
        <v>21</v>
      </c>
      <c r="E288" s="67"/>
      <c r="F288" s="67">
        <v>2500</v>
      </c>
      <c r="G288" s="62">
        <f t="shared" si="7"/>
        <v>17410509.074647538</v>
      </c>
      <c r="H288" s="9"/>
      <c r="I288" s="9"/>
    </row>
    <row r="289" spans="1:9" ht="21.75" customHeight="1" x14ac:dyDescent="0.2">
      <c r="A289" s="7"/>
      <c r="B289" s="24" t="s">
        <v>573</v>
      </c>
      <c r="C289" s="36"/>
      <c r="D289" s="20" t="s">
        <v>21</v>
      </c>
      <c r="E289" s="49"/>
      <c r="F289" s="21">
        <v>25000</v>
      </c>
      <c r="G289" s="62">
        <f t="shared" si="7"/>
        <v>17385509.074647538</v>
      </c>
      <c r="H289" s="9"/>
      <c r="I289" s="9"/>
    </row>
    <row r="290" spans="1:9" ht="21.75" customHeight="1" x14ac:dyDescent="0.2">
      <c r="A290" s="7"/>
      <c r="B290" s="24" t="s">
        <v>573</v>
      </c>
      <c r="C290" s="36"/>
      <c r="D290" s="20" t="s">
        <v>68</v>
      </c>
      <c r="E290" s="49">
        <v>49700.11</v>
      </c>
      <c r="F290" s="21"/>
      <c r="G290" s="62">
        <f t="shared" si="7"/>
        <v>17435209.184647538</v>
      </c>
      <c r="H290" s="9"/>
      <c r="I290" s="9"/>
    </row>
    <row r="291" spans="1:9" ht="21.75" customHeight="1" x14ac:dyDescent="0.25">
      <c r="A291" s="7"/>
      <c r="B291" s="24" t="s">
        <v>573</v>
      </c>
      <c r="C291" s="36"/>
      <c r="D291" s="20" t="s">
        <v>69</v>
      </c>
      <c r="E291" s="49"/>
      <c r="F291" s="49">
        <v>9940.02</v>
      </c>
      <c r="G291" s="56">
        <f t="shared" si="7"/>
        <v>17425269.164647538</v>
      </c>
    </row>
    <row r="292" spans="1:9" ht="21.75" customHeight="1" x14ac:dyDescent="0.2">
      <c r="A292" s="7"/>
      <c r="B292" s="24"/>
      <c r="C292" s="36"/>
      <c r="D292" s="20"/>
      <c r="E292" s="21"/>
      <c r="F292" s="21"/>
      <c r="G292" s="39"/>
    </row>
    <row r="293" spans="1:9" ht="14.25" x14ac:dyDescent="0.2">
      <c r="A293" s="7"/>
      <c r="B293" s="18"/>
      <c r="C293" s="18"/>
      <c r="D293" s="18"/>
      <c r="E293" s="18"/>
      <c r="F293" s="18"/>
      <c r="G293" s="18"/>
    </row>
    <row r="294" spans="1:9" customFormat="1" ht="24.75" customHeight="1" x14ac:dyDescent="0.25">
      <c r="A294" s="72"/>
      <c r="B294" s="37"/>
      <c r="C294" s="37"/>
      <c r="D294" s="41" t="s">
        <v>10</v>
      </c>
      <c r="E294" s="38">
        <f>SUM(E10:E292)</f>
        <v>1067154461.8300002</v>
      </c>
      <c r="F294" s="38">
        <f>SUM(F10:F292)</f>
        <v>1520395553.7399998</v>
      </c>
      <c r="G294" s="38">
        <f>+G291</f>
        <v>17425269.164647538</v>
      </c>
    </row>
    <row r="295" spans="1:9" ht="14.25" x14ac:dyDescent="0.2">
      <c r="B295" s="17"/>
      <c r="C295" s="17"/>
      <c r="D295" s="17"/>
      <c r="E295" s="17"/>
      <c r="F295" s="17"/>
      <c r="G295" s="17"/>
    </row>
    <row r="296" spans="1:9" ht="14.25" x14ac:dyDescent="0.2">
      <c r="D296" s="17"/>
      <c r="F296" s="89" t="s">
        <v>575</v>
      </c>
      <c r="G296" s="89"/>
    </row>
    <row r="297" spans="1:9" x14ac:dyDescent="0.2">
      <c r="F297" s="90" t="s">
        <v>11</v>
      </c>
      <c r="G297" s="90"/>
    </row>
    <row r="300" spans="1:9" x14ac:dyDescent="0.2">
      <c r="E300" s="3" t="s">
        <v>82</v>
      </c>
      <c r="F300" s="50">
        <f>+G294</f>
        <v>17425269.164647538</v>
      </c>
    </row>
    <row r="301" spans="1:9" x14ac:dyDescent="0.2">
      <c r="E301" s="3" t="s">
        <v>83</v>
      </c>
      <c r="F301" s="51">
        <v>0</v>
      </c>
    </row>
  </sheetData>
  <mergeCells count="8">
    <mergeCell ref="F296:G296"/>
    <mergeCell ref="F297:G297"/>
    <mergeCell ref="A7:A8"/>
    <mergeCell ref="B7:B8"/>
    <mergeCell ref="D7:D8"/>
    <mergeCell ref="E7:E8"/>
    <mergeCell ref="F7:F8"/>
    <mergeCell ref="G7:G8"/>
  </mergeCells>
  <phoneticPr fontId="1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63F5-2209-49A3-8268-493C910F1756}">
  <sheetPr>
    <tabColor rgb="FFFF0000"/>
  </sheetPr>
  <dimension ref="A1:K207"/>
  <sheetViews>
    <sheetView topLeftCell="A96" zoomScale="80" zoomScaleNormal="80" workbookViewId="0">
      <selection activeCell="D105" sqref="D105"/>
    </sheetView>
  </sheetViews>
  <sheetFormatPr defaultColWidth="9.140625" defaultRowHeight="12.75" x14ac:dyDescent="0.2"/>
  <cols>
    <col min="1" max="1" width="9.7109375" style="3" customWidth="1"/>
    <col min="2" max="2" width="17.7109375" style="3" customWidth="1"/>
    <col min="3" max="3" width="14.85546875" style="3" customWidth="1"/>
    <col min="4" max="4" width="92" style="3" customWidth="1"/>
    <col min="5" max="5" width="22.42578125" style="3" customWidth="1"/>
    <col min="6" max="6" width="21.5703125" style="3" customWidth="1"/>
    <col min="7" max="7" width="22.7109375" style="3" customWidth="1"/>
    <col min="8" max="8" width="16.42578125" style="3" customWidth="1"/>
    <col min="9" max="9" width="12.5703125" style="3" customWidth="1"/>
    <col min="10" max="10" width="12.28515625" style="3" bestFit="1" customWidth="1"/>
    <col min="11" max="16384" width="9.140625" style="3"/>
  </cols>
  <sheetData>
    <row r="1" spans="1:11" x14ac:dyDescent="0.2">
      <c r="A1" s="2"/>
      <c r="B1" s="2"/>
      <c r="C1" s="2"/>
      <c r="D1" s="2"/>
      <c r="E1" s="2"/>
      <c r="F1" s="2"/>
      <c r="G1" s="2"/>
    </row>
    <row r="2" spans="1:11" x14ac:dyDescent="0.2">
      <c r="A2" s="2"/>
      <c r="B2" s="2"/>
      <c r="C2" s="2"/>
      <c r="D2" s="2"/>
      <c r="E2" s="2"/>
      <c r="F2" s="2"/>
      <c r="G2" s="2"/>
    </row>
    <row r="3" spans="1:11" ht="15" customHeight="1" x14ac:dyDescent="0.2">
      <c r="A3" s="4" t="s">
        <v>8</v>
      </c>
      <c r="B3" s="4"/>
    </row>
    <row r="4" spans="1:11" ht="15" customHeight="1" x14ac:dyDescent="0.2">
      <c r="A4" s="4" t="s">
        <v>85</v>
      </c>
      <c r="B4" s="4"/>
    </row>
    <row r="5" spans="1:11" ht="15" customHeight="1" x14ac:dyDescent="0.2">
      <c r="A5" s="4" t="s">
        <v>9</v>
      </c>
      <c r="B5" s="4"/>
      <c r="D5" s="5" t="s">
        <v>576</v>
      </c>
    </row>
    <row r="6" spans="1:11" ht="13.5" thickBot="1" x14ac:dyDescent="0.25"/>
    <row r="7" spans="1:11" x14ac:dyDescent="0.2">
      <c r="A7" s="91" t="s">
        <v>0</v>
      </c>
      <c r="B7" s="93" t="s">
        <v>1</v>
      </c>
      <c r="C7" s="73" t="s">
        <v>2</v>
      </c>
      <c r="D7" s="93" t="s">
        <v>4</v>
      </c>
      <c r="E7" s="93" t="s">
        <v>5</v>
      </c>
      <c r="F7" s="93" t="s">
        <v>76</v>
      </c>
      <c r="G7" s="95" t="s">
        <v>6</v>
      </c>
      <c r="H7" s="6"/>
      <c r="I7" s="2"/>
      <c r="J7" s="2"/>
      <c r="K7" s="2"/>
    </row>
    <row r="8" spans="1:11" ht="13.5" thickBot="1" x14ac:dyDescent="0.25">
      <c r="A8" s="92"/>
      <c r="B8" s="94"/>
      <c r="C8" s="74" t="s">
        <v>3</v>
      </c>
      <c r="D8" s="94"/>
      <c r="E8" s="94"/>
      <c r="F8" s="94"/>
      <c r="G8" s="96"/>
      <c r="H8" s="6"/>
      <c r="I8" s="2"/>
      <c r="J8" s="2"/>
      <c r="K8" s="2"/>
    </row>
    <row r="9" spans="1:11" s="17" customFormat="1" ht="22.35" customHeight="1" x14ac:dyDescent="0.25">
      <c r="A9" s="13"/>
      <c r="B9" s="13"/>
      <c r="C9" s="13"/>
      <c r="D9" s="14" t="s">
        <v>7</v>
      </c>
      <c r="E9" s="15">
        <v>0</v>
      </c>
      <c r="F9" s="16">
        <v>0</v>
      </c>
      <c r="G9" s="45">
        <f>+'03, MAR 26'!G291</f>
        <v>17425269.164647538</v>
      </c>
      <c r="H9" s="33"/>
    </row>
    <row r="10" spans="1:11" s="17" customFormat="1" ht="21.75" customHeight="1" x14ac:dyDescent="0.25">
      <c r="A10" s="18"/>
      <c r="B10" s="19" t="s">
        <v>593</v>
      </c>
      <c r="C10" s="18"/>
      <c r="D10" s="77" t="s">
        <v>585</v>
      </c>
      <c r="E10" s="21"/>
      <c r="F10" s="21"/>
      <c r="G10" s="39">
        <f>+G9+E10-F10</f>
        <v>17425269.164647538</v>
      </c>
    </row>
    <row r="11" spans="1:11" s="17" customFormat="1" ht="21.75" customHeight="1" x14ac:dyDescent="0.2">
      <c r="A11" s="18"/>
      <c r="B11" s="24" t="s">
        <v>593</v>
      </c>
      <c r="C11" s="18"/>
      <c r="D11" s="20" t="s">
        <v>592</v>
      </c>
      <c r="E11" s="21">
        <v>8050000</v>
      </c>
      <c r="F11" s="21"/>
      <c r="G11" s="39">
        <f t="shared" ref="G11:G26" si="0">+G10+E11-F11</f>
        <v>25475269.164647538</v>
      </c>
    </row>
    <row r="12" spans="1:11" s="17" customFormat="1" ht="21.75" customHeight="1" x14ac:dyDescent="0.2">
      <c r="A12" s="18"/>
      <c r="B12" s="24" t="s">
        <v>593</v>
      </c>
      <c r="C12" s="18"/>
      <c r="D12" s="20" t="s">
        <v>586</v>
      </c>
      <c r="E12" s="21">
        <v>4650000</v>
      </c>
      <c r="F12" s="21"/>
      <c r="G12" s="39">
        <f t="shared" si="0"/>
        <v>30125269.164647538</v>
      </c>
    </row>
    <row r="13" spans="1:11" s="17" customFormat="1" ht="21.75" customHeight="1" x14ac:dyDescent="0.2">
      <c r="A13" s="18"/>
      <c r="B13" s="24" t="s">
        <v>593</v>
      </c>
      <c r="C13" s="18"/>
      <c r="D13" s="20" t="s">
        <v>587</v>
      </c>
      <c r="E13" s="21">
        <v>16250000</v>
      </c>
      <c r="F13" s="21"/>
      <c r="G13" s="39">
        <f t="shared" si="0"/>
        <v>46375269.164647534</v>
      </c>
    </row>
    <row r="14" spans="1:11" s="17" customFormat="1" ht="21.75" customHeight="1" x14ac:dyDescent="0.2">
      <c r="A14" s="18"/>
      <c r="B14" s="24" t="s">
        <v>593</v>
      </c>
      <c r="C14" s="18"/>
      <c r="D14" s="20" t="s">
        <v>450</v>
      </c>
      <c r="E14" s="21">
        <v>2175000</v>
      </c>
      <c r="F14" s="21"/>
      <c r="G14" s="39">
        <f t="shared" si="0"/>
        <v>48550269.164647534</v>
      </c>
    </row>
    <row r="15" spans="1:11" s="17" customFormat="1" ht="21.75" customHeight="1" x14ac:dyDescent="0.2">
      <c r="A15" s="18"/>
      <c r="B15" s="24" t="s">
        <v>593</v>
      </c>
      <c r="C15" s="18"/>
      <c r="D15" s="20" t="s">
        <v>588</v>
      </c>
      <c r="E15" s="21">
        <v>1400000</v>
      </c>
      <c r="F15" s="21"/>
      <c r="G15" s="39">
        <f t="shared" si="0"/>
        <v>49950269.164647534</v>
      </c>
    </row>
    <row r="16" spans="1:11" s="17" customFormat="1" ht="21.75" customHeight="1" x14ac:dyDescent="0.2">
      <c r="A16" s="18"/>
      <c r="B16" s="24" t="s">
        <v>593</v>
      </c>
      <c r="C16" s="18"/>
      <c r="D16" s="20" t="s">
        <v>449</v>
      </c>
      <c r="E16" s="21">
        <v>185750</v>
      </c>
      <c r="F16" s="21"/>
      <c r="G16" s="39">
        <f t="shared" si="0"/>
        <v>50136019.164647534</v>
      </c>
    </row>
    <row r="17" spans="1:7" s="17" customFormat="1" ht="21.75" customHeight="1" x14ac:dyDescent="0.2">
      <c r="A17" s="18"/>
      <c r="B17" s="24" t="s">
        <v>593</v>
      </c>
      <c r="C17" s="18"/>
      <c r="D17" s="20" t="s">
        <v>589</v>
      </c>
      <c r="E17" s="21">
        <v>272000</v>
      </c>
      <c r="F17" s="21"/>
      <c r="G17" s="39">
        <f t="shared" si="0"/>
        <v>50408019.164647534</v>
      </c>
    </row>
    <row r="18" spans="1:7" s="17" customFormat="1" ht="21.75" customHeight="1" x14ac:dyDescent="0.2">
      <c r="A18" s="18"/>
      <c r="B18" s="24" t="s">
        <v>593</v>
      </c>
      <c r="C18" s="18"/>
      <c r="D18" s="20" t="s">
        <v>590</v>
      </c>
      <c r="E18" s="21">
        <v>181000</v>
      </c>
      <c r="F18" s="21"/>
      <c r="G18" s="39">
        <f t="shared" si="0"/>
        <v>50589019.164647534</v>
      </c>
    </row>
    <row r="19" spans="1:7" s="17" customFormat="1" ht="21.75" customHeight="1" x14ac:dyDescent="0.2">
      <c r="A19" s="18"/>
      <c r="B19" s="24" t="s">
        <v>593</v>
      </c>
      <c r="C19" s="18"/>
      <c r="D19" s="20" t="s">
        <v>13</v>
      </c>
      <c r="E19" s="21">
        <v>920000</v>
      </c>
      <c r="F19" s="21"/>
      <c r="G19" s="39">
        <f t="shared" si="0"/>
        <v>51509019.164647534</v>
      </c>
    </row>
    <row r="20" spans="1:7" s="17" customFormat="1" ht="21.75" customHeight="1" x14ac:dyDescent="0.2">
      <c r="A20" s="18"/>
      <c r="B20" s="24" t="s">
        <v>593</v>
      </c>
      <c r="C20" s="24"/>
      <c r="D20" s="20" t="s">
        <v>14</v>
      </c>
      <c r="E20" s="21">
        <v>3450000</v>
      </c>
      <c r="F20" s="21"/>
      <c r="G20" s="39">
        <f t="shared" si="0"/>
        <v>54959019.164647534</v>
      </c>
    </row>
    <row r="21" spans="1:7" s="17" customFormat="1" ht="21.75" customHeight="1" x14ac:dyDescent="0.2">
      <c r="A21" s="18"/>
      <c r="B21" s="24" t="s">
        <v>593</v>
      </c>
      <c r="C21" s="18"/>
      <c r="D21" s="20" t="s">
        <v>15</v>
      </c>
      <c r="E21" s="21">
        <v>2300000</v>
      </c>
      <c r="F21" s="21"/>
      <c r="G21" s="39">
        <f t="shared" si="0"/>
        <v>57259019.164647534</v>
      </c>
    </row>
    <row r="22" spans="1:7" s="17" customFormat="1" ht="21.75" customHeight="1" x14ac:dyDescent="0.2">
      <c r="A22" s="18"/>
      <c r="B22" s="24" t="s">
        <v>593</v>
      </c>
      <c r="C22" s="18"/>
      <c r="D22" s="20" t="s">
        <v>16</v>
      </c>
      <c r="E22" s="21">
        <v>3400000</v>
      </c>
      <c r="F22" s="21"/>
      <c r="G22" s="39">
        <f t="shared" si="0"/>
        <v>60659019.164647534</v>
      </c>
    </row>
    <row r="23" spans="1:7" s="17" customFormat="1" ht="21.75" customHeight="1" x14ac:dyDescent="0.2">
      <c r="A23" s="18"/>
      <c r="B23" s="24" t="s">
        <v>593</v>
      </c>
      <c r="C23" s="18"/>
      <c r="D23" s="20" t="s">
        <v>591</v>
      </c>
      <c r="E23" s="21">
        <f>1816667+560000</f>
        <v>2376667</v>
      </c>
      <c r="F23" s="21"/>
      <c r="G23" s="39">
        <f t="shared" si="0"/>
        <v>63035686.164647534</v>
      </c>
    </row>
    <row r="24" spans="1:7" s="17" customFormat="1" ht="21.75" customHeight="1" x14ac:dyDescent="0.2">
      <c r="A24" s="18"/>
      <c r="B24" s="24" t="s">
        <v>593</v>
      </c>
      <c r="C24" s="18"/>
      <c r="D24" s="20" t="s">
        <v>18</v>
      </c>
      <c r="E24" s="21">
        <v>0</v>
      </c>
      <c r="F24" s="21"/>
      <c r="G24" s="39">
        <f t="shared" si="0"/>
        <v>63035686.164647534</v>
      </c>
    </row>
    <row r="25" spans="1:7" s="17" customFormat="1" ht="21.75" customHeight="1" x14ac:dyDescent="0.2">
      <c r="A25" s="18"/>
      <c r="B25" s="24" t="s">
        <v>593</v>
      </c>
      <c r="C25" s="18"/>
      <c r="D25" s="20" t="s">
        <v>17</v>
      </c>
      <c r="E25" s="21">
        <v>0</v>
      </c>
      <c r="F25" s="21"/>
      <c r="G25" s="39">
        <f t="shared" si="0"/>
        <v>63035686.164647534</v>
      </c>
    </row>
    <row r="26" spans="1:7" s="17" customFormat="1" ht="21.75" customHeight="1" x14ac:dyDescent="0.2">
      <c r="A26" s="18"/>
      <c r="B26" s="24" t="s">
        <v>593</v>
      </c>
      <c r="C26" s="18"/>
      <c r="D26" s="20" t="s">
        <v>583</v>
      </c>
      <c r="E26" s="21">
        <v>35394</v>
      </c>
      <c r="F26" s="21"/>
      <c r="G26" s="39">
        <f t="shared" si="0"/>
        <v>63071080.164647534</v>
      </c>
    </row>
    <row r="27" spans="1:7" s="17" customFormat="1" ht="21.75" customHeight="1" x14ac:dyDescent="0.2">
      <c r="A27" s="18"/>
      <c r="B27" s="24" t="s">
        <v>593</v>
      </c>
      <c r="C27" s="18"/>
      <c r="D27" s="20" t="s">
        <v>594</v>
      </c>
      <c r="E27" s="21"/>
      <c r="F27" s="21">
        <v>4526292</v>
      </c>
      <c r="G27" s="61">
        <f t="shared" ref="G27:G74" si="1">+G26+E27-F27</f>
        <v>58544788.164647534</v>
      </c>
    </row>
    <row r="28" spans="1:7" s="17" customFormat="1" ht="21.75" customHeight="1" x14ac:dyDescent="0.2">
      <c r="A28" s="18"/>
      <c r="B28" s="24" t="s">
        <v>593</v>
      </c>
      <c r="C28" s="18"/>
      <c r="D28" s="20" t="s">
        <v>595</v>
      </c>
      <c r="E28" s="21"/>
      <c r="F28" s="21">
        <v>4526292</v>
      </c>
      <c r="G28" s="39">
        <f t="shared" si="1"/>
        <v>54018496.164647534</v>
      </c>
    </row>
    <row r="29" spans="1:7" s="17" customFormat="1" ht="21.75" customHeight="1" x14ac:dyDescent="0.2">
      <c r="A29" s="18"/>
      <c r="B29" s="24" t="s">
        <v>593</v>
      </c>
      <c r="C29" s="18"/>
      <c r="D29" s="20" t="s">
        <v>78</v>
      </c>
      <c r="E29" s="21">
        <v>549956</v>
      </c>
      <c r="F29" s="21"/>
      <c r="G29" s="39">
        <f t="shared" si="1"/>
        <v>54568452.164647534</v>
      </c>
    </row>
    <row r="30" spans="1:7" s="17" customFormat="1" ht="21.75" customHeight="1" x14ac:dyDescent="0.2">
      <c r="A30" s="18"/>
      <c r="B30" s="24" t="s">
        <v>593</v>
      </c>
      <c r="C30" s="18"/>
      <c r="D30" s="20" t="s">
        <v>77</v>
      </c>
      <c r="E30" s="21">
        <v>60552</v>
      </c>
      <c r="F30" s="21"/>
      <c r="G30" s="39">
        <f t="shared" si="1"/>
        <v>54629004.164647534</v>
      </c>
    </row>
    <row r="31" spans="1:7" s="17" customFormat="1" ht="21.75" customHeight="1" x14ac:dyDescent="0.2">
      <c r="A31" s="18"/>
      <c r="B31" s="24" t="s">
        <v>593</v>
      </c>
      <c r="C31" s="18"/>
      <c r="D31" s="20" t="s">
        <v>597</v>
      </c>
      <c r="E31" s="21"/>
      <c r="F31" s="21">
        <v>1500000</v>
      </c>
      <c r="G31" s="39">
        <f t="shared" si="1"/>
        <v>53129004.164647534</v>
      </c>
    </row>
    <row r="32" spans="1:7" s="17" customFormat="1" ht="21.75" customHeight="1" x14ac:dyDescent="0.2">
      <c r="A32" s="18"/>
      <c r="B32" s="24" t="s">
        <v>593</v>
      </c>
      <c r="C32" s="18"/>
      <c r="D32" s="20" t="s">
        <v>596</v>
      </c>
      <c r="E32" s="21"/>
      <c r="F32" s="21">
        <v>1000000</v>
      </c>
      <c r="G32" s="39">
        <f t="shared" si="1"/>
        <v>52129004.164647534</v>
      </c>
    </row>
    <row r="33" spans="1:8" s="17" customFormat="1" ht="21.75" customHeight="1" x14ac:dyDescent="0.2">
      <c r="A33" s="18"/>
      <c r="B33" s="24" t="s">
        <v>598</v>
      </c>
      <c r="C33" s="18"/>
      <c r="D33" s="20" t="s">
        <v>623</v>
      </c>
      <c r="E33" s="21"/>
      <c r="F33" s="21">
        <v>9899208</v>
      </c>
      <c r="G33" s="39">
        <f t="shared" si="1"/>
        <v>42229796.164647534</v>
      </c>
    </row>
    <row r="34" spans="1:8" s="17" customFormat="1" ht="21.75" customHeight="1" x14ac:dyDescent="0.2">
      <c r="A34" s="18"/>
      <c r="B34" s="24" t="s">
        <v>598</v>
      </c>
      <c r="C34" s="18"/>
      <c r="D34" s="20" t="s">
        <v>387</v>
      </c>
      <c r="E34" s="21"/>
      <c r="F34" s="21">
        <v>60552</v>
      </c>
      <c r="G34" s="39">
        <f t="shared" si="1"/>
        <v>42169244.164647534</v>
      </c>
    </row>
    <row r="35" spans="1:8" s="17" customFormat="1" ht="21.75" customHeight="1" x14ac:dyDescent="0.2">
      <c r="A35" s="18"/>
      <c r="B35" s="24" t="s">
        <v>598</v>
      </c>
      <c r="C35" s="18"/>
      <c r="D35" s="20" t="s">
        <v>622</v>
      </c>
      <c r="E35" s="21"/>
      <c r="F35" s="21">
        <v>5278654</v>
      </c>
      <c r="G35" s="39">
        <f t="shared" si="1"/>
        <v>36890590.164647534</v>
      </c>
    </row>
    <row r="36" spans="1:8" s="17" customFormat="1" ht="21.75" customHeight="1" x14ac:dyDescent="0.2">
      <c r="A36" s="18"/>
      <c r="B36" s="24" t="s">
        <v>598</v>
      </c>
      <c r="C36" s="18"/>
      <c r="D36" s="20" t="s">
        <v>141</v>
      </c>
      <c r="E36" s="21"/>
      <c r="F36" s="21">
        <v>15668323</v>
      </c>
      <c r="G36" s="39">
        <f t="shared" si="1"/>
        <v>21222267.164647534</v>
      </c>
    </row>
    <row r="37" spans="1:8" s="17" customFormat="1" ht="21.75" customHeight="1" x14ac:dyDescent="0.2">
      <c r="A37" s="18"/>
      <c r="B37" s="24" t="s">
        <v>598</v>
      </c>
      <c r="C37" s="18"/>
      <c r="D37" s="20" t="s">
        <v>621</v>
      </c>
      <c r="E37" s="21"/>
      <c r="F37" s="21">
        <v>16514116</v>
      </c>
      <c r="G37" s="39">
        <f t="shared" si="1"/>
        <v>4708151.1646475345</v>
      </c>
    </row>
    <row r="38" spans="1:8" s="17" customFormat="1" ht="21.75" customHeight="1" x14ac:dyDescent="0.2">
      <c r="A38" s="18"/>
      <c r="B38" s="24" t="s">
        <v>598</v>
      </c>
      <c r="C38" s="18"/>
      <c r="D38" s="20" t="s">
        <v>142</v>
      </c>
      <c r="E38" s="21"/>
      <c r="F38" s="21">
        <v>3353804</v>
      </c>
      <c r="G38" s="39">
        <f t="shared" si="1"/>
        <v>1354347.1646475345</v>
      </c>
    </row>
    <row r="39" spans="1:8" s="17" customFormat="1" ht="21.75" customHeight="1" x14ac:dyDescent="0.2">
      <c r="A39" s="18"/>
      <c r="B39" s="24" t="s">
        <v>599</v>
      </c>
      <c r="C39" s="18"/>
      <c r="D39" s="20" t="s">
        <v>617</v>
      </c>
      <c r="E39" s="21">
        <v>1650000</v>
      </c>
      <c r="F39" s="21"/>
      <c r="G39" s="39">
        <f t="shared" si="1"/>
        <v>3004347.1646475345</v>
      </c>
    </row>
    <row r="40" spans="1:8" s="17" customFormat="1" ht="21.75" customHeight="1" x14ac:dyDescent="0.2">
      <c r="A40" s="18"/>
      <c r="B40" s="24" t="s">
        <v>599</v>
      </c>
      <c r="C40" s="18"/>
      <c r="D40" s="20" t="s">
        <v>618</v>
      </c>
      <c r="E40" s="21">
        <v>2450000</v>
      </c>
      <c r="F40" s="21"/>
      <c r="G40" s="39">
        <f t="shared" si="1"/>
        <v>5454347.1646475345</v>
      </c>
    </row>
    <row r="41" spans="1:8" s="17" customFormat="1" ht="21.75" customHeight="1" x14ac:dyDescent="0.2">
      <c r="A41" s="18"/>
      <c r="B41" s="24" t="s">
        <v>600</v>
      </c>
      <c r="C41" s="18"/>
      <c r="D41" s="20" t="s">
        <v>452</v>
      </c>
      <c r="E41" s="21"/>
      <c r="F41" s="21">
        <v>3477000</v>
      </c>
      <c r="G41" s="39">
        <f t="shared" si="1"/>
        <v>1977347.1646475345</v>
      </c>
    </row>
    <row r="42" spans="1:8" s="17" customFormat="1" ht="21.75" customHeight="1" x14ac:dyDescent="0.25">
      <c r="A42" s="18"/>
      <c r="B42" s="24" t="s">
        <v>601</v>
      </c>
      <c r="C42" s="18"/>
      <c r="D42" s="20" t="s">
        <v>619</v>
      </c>
      <c r="E42" s="21">
        <v>31274250</v>
      </c>
      <c r="F42" s="21"/>
      <c r="G42" s="76">
        <f t="shared" si="1"/>
        <v>33251597.164647534</v>
      </c>
    </row>
    <row r="43" spans="1:8" s="17" customFormat="1" ht="21.75" customHeight="1" x14ac:dyDescent="0.2">
      <c r="A43" s="18"/>
      <c r="B43" s="24" t="s">
        <v>601</v>
      </c>
      <c r="C43" s="18"/>
      <c r="D43" s="20" t="s">
        <v>614</v>
      </c>
      <c r="E43" s="21"/>
      <c r="F43" s="21">
        <v>2645000</v>
      </c>
      <c r="G43" s="39">
        <f t="shared" si="1"/>
        <v>30606597.164647534</v>
      </c>
    </row>
    <row r="44" spans="1:8" s="17" customFormat="1" ht="21.75" customHeight="1" x14ac:dyDescent="0.2">
      <c r="A44" s="18"/>
      <c r="B44" s="24" t="s">
        <v>601</v>
      </c>
      <c r="C44" s="18"/>
      <c r="D44" s="20" t="s">
        <v>615</v>
      </c>
      <c r="E44" s="21"/>
      <c r="F44" s="21">
        <v>9816900</v>
      </c>
      <c r="G44" s="39">
        <f t="shared" si="1"/>
        <v>20789697.164647534</v>
      </c>
    </row>
    <row r="45" spans="1:8" s="17" customFormat="1" ht="21.75" customHeight="1" x14ac:dyDescent="0.2">
      <c r="A45" s="18"/>
      <c r="B45" s="24" t="s">
        <v>601</v>
      </c>
      <c r="C45" s="18"/>
      <c r="D45" s="20" t="s">
        <v>616</v>
      </c>
      <c r="E45" s="21"/>
      <c r="F45" s="21">
        <v>7655000</v>
      </c>
      <c r="G45" s="39">
        <f t="shared" si="1"/>
        <v>13134697.164647534</v>
      </c>
    </row>
    <row r="46" spans="1:8" s="17" customFormat="1" ht="21.75" customHeight="1" x14ac:dyDescent="0.2">
      <c r="A46" s="18"/>
      <c r="B46" s="24" t="s">
        <v>601</v>
      </c>
      <c r="C46" s="18"/>
      <c r="D46" s="20" t="s">
        <v>319</v>
      </c>
      <c r="E46" s="21"/>
      <c r="F46" s="21">
        <v>9380000</v>
      </c>
      <c r="G46" s="39">
        <f t="shared" si="1"/>
        <v>3754697.1646475345</v>
      </c>
    </row>
    <row r="47" spans="1:8" s="17" customFormat="1" ht="21.75" customHeight="1" x14ac:dyDescent="0.2">
      <c r="A47" s="18"/>
      <c r="B47" s="24" t="s">
        <v>601</v>
      </c>
      <c r="C47" s="18"/>
      <c r="D47" s="20" t="s">
        <v>613</v>
      </c>
      <c r="E47" s="21"/>
      <c r="F47" s="21">
        <v>2500000</v>
      </c>
      <c r="G47" s="39">
        <f t="shared" si="1"/>
        <v>1254697.1646475345</v>
      </c>
      <c r="H47" s="34"/>
    </row>
    <row r="48" spans="1:8" s="17" customFormat="1" ht="21.75" customHeight="1" x14ac:dyDescent="0.2">
      <c r="A48" s="18"/>
      <c r="B48" s="24" t="s">
        <v>602</v>
      </c>
      <c r="C48" s="18"/>
      <c r="D48" s="20" t="s">
        <v>610</v>
      </c>
      <c r="E48" s="21">
        <v>1161020</v>
      </c>
      <c r="F48" s="75"/>
      <c r="G48" s="39">
        <f t="shared" si="1"/>
        <v>2415717.1646475345</v>
      </c>
      <c r="H48" s="34"/>
    </row>
    <row r="49" spans="1:8" s="17" customFormat="1" ht="21.75" customHeight="1" x14ac:dyDescent="0.2">
      <c r="A49" s="18"/>
      <c r="B49" s="24" t="s">
        <v>602</v>
      </c>
      <c r="C49" s="18"/>
      <c r="D49" s="20" t="s">
        <v>611</v>
      </c>
      <c r="E49" s="21">
        <v>51259460</v>
      </c>
      <c r="F49" s="21"/>
      <c r="G49" s="39">
        <f t="shared" si="1"/>
        <v>53675177.164647534</v>
      </c>
      <c r="H49" s="33"/>
    </row>
    <row r="50" spans="1:8" s="17" customFormat="1" ht="21.75" customHeight="1" x14ac:dyDescent="0.2">
      <c r="A50" s="18"/>
      <c r="B50" s="24" t="s">
        <v>602</v>
      </c>
      <c r="C50" s="18"/>
      <c r="D50" s="20" t="s">
        <v>612</v>
      </c>
      <c r="E50" s="21">
        <v>161863363</v>
      </c>
      <c r="F50" s="21"/>
      <c r="G50" s="62">
        <f t="shared" si="1"/>
        <v>215538540.16464752</v>
      </c>
    </row>
    <row r="51" spans="1:8" s="17" customFormat="1" ht="21.75" customHeight="1" x14ac:dyDescent="0.2">
      <c r="A51" s="18"/>
      <c r="B51" s="24" t="s">
        <v>602</v>
      </c>
      <c r="C51" s="18"/>
      <c r="D51" s="20" t="s">
        <v>609</v>
      </c>
      <c r="E51" s="21"/>
      <c r="F51" s="21">
        <v>3500000</v>
      </c>
      <c r="G51" s="39">
        <f t="shared" si="1"/>
        <v>212038540.16464752</v>
      </c>
    </row>
    <row r="52" spans="1:8" s="17" customFormat="1" ht="21.75" customHeight="1" x14ac:dyDescent="0.2">
      <c r="A52" s="18"/>
      <c r="B52" s="24" t="s">
        <v>602</v>
      </c>
      <c r="C52" s="18"/>
      <c r="D52" s="20" t="s">
        <v>607</v>
      </c>
      <c r="E52" s="21"/>
      <c r="F52" s="21">
        <v>10605316</v>
      </c>
      <c r="G52" s="39">
        <f t="shared" si="1"/>
        <v>201433224.16464752</v>
      </c>
    </row>
    <row r="53" spans="1:8" s="17" customFormat="1" ht="21.75" customHeight="1" x14ac:dyDescent="0.2">
      <c r="A53" s="18"/>
      <c r="B53" s="24" t="s">
        <v>602</v>
      </c>
      <c r="C53" s="18"/>
      <c r="D53" s="20" t="s">
        <v>21</v>
      </c>
      <c r="E53" s="21"/>
      <c r="F53" s="21">
        <v>2900</v>
      </c>
      <c r="G53" s="39">
        <f t="shared" si="1"/>
        <v>201430324.16464752</v>
      </c>
    </row>
    <row r="54" spans="1:8" s="17" customFormat="1" ht="21.75" customHeight="1" x14ac:dyDescent="0.2">
      <c r="A54" s="18"/>
      <c r="B54" s="24" t="s">
        <v>602</v>
      </c>
      <c r="C54" s="18"/>
      <c r="D54" s="20" t="s">
        <v>605</v>
      </c>
      <c r="E54" s="21"/>
      <c r="F54" s="21">
        <v>16762500</v>
      </c>
      <c r="G54" s="39">
        <f t="shared" si="1"/>
        <v>184667824.16464752</v>
      </c>
    </row>
    <row r="55" spans="1:8" s="17" customFormat="1" ht="21.75" customHeight="1" x14ac:dyDescent="0.2">
      <c r="A55" s="18"/>
      <c r="B55" s="24" t="s">
        <v>602</v>
      </c>
      <c r="C55" s="18"/>
      <c r="D55" s="20" t="s">
        <v>608</v>
      </c>
      <c r="E55" s="21"/>
      <c r="F55" s="21">
        <v>51067154</v>
      </c>
      <c r="G55" s="39">
        <f t="shared" si="1"/>
        <v>133600670.16464752</v>
      </c>
    </row>
    <row r="56" spans="1:8" s="17" customFormat="1" ht="21.75" customHeight="1" x14ac:dyDescent="0.2">
      <c r="A56" s="18"/>
      <c r="B56" s="24" t="s">
        <v>602</v>
      </c>
      <c r="C56" s="18"/>
      <c r="D56" s="20" t="s">
        <v>21</v>
      </c>
      <c r="E56" s="21"/>
      <c r="F56" s="21">
        <v>2500</v>
      </c>
      <c r="G56" s="39">
        <f t="shared" si="1"/>
        <v>133598170.16464752</v>
      </c>
    </row>
    <row r="57" spans="1:8" s="17" customFormat="1" ht="21.75" customHeight="1" x14ac:dyDescent="0.2">
      <c r="A57" s="18"/>
      <c r="B57" s="24" t="s">
        <v>602</v>
      </c>
      <c r="C57" s="18"/>
      <c r="D57" s="20" t="s">
        <v>606</v>
      </c>
      <c r="E57" s="21"/>
      <c r="F57" s="21">
        <v>50810816</v>
      </c>
      <c r="G57" s="39">
        <f t="shared" si="1"/>
        <v>82787354.16464752</v>
      </c>
    </row>
    <row r="58" spans="1:8" s="17" customFormat="1" ht="21.75" customHeight="1" x14ac:dyDescent="0.2">
      <c r="A58" s="18"/>
      <c r="B58" s="24" t="s">
        <v>602</v>
      </c>
      <c r="C58" s="18"/>
      <c r="D58" s="20" t="s">
        <v>604</v>
      </c>
      <c r="E58" s="21"/>
      <c r="F58" s="21">
        <v>2500000</v>
      </c>
      <c r="G58" s="39">
        <f t="shared" si="1"/>
        <v>80287354.16464752</v>
      </c>
    </row>
    <row r="59" spans="1:8" s="17" customFormat="1" ht="21.75" customHeight="1" x14ac:dyDescent="0.2">
      <c r="A59" s="18"/>
      <c r="B59" s="24" t="s">
        <v>602</v>
      </c>
      <c r="C59" s="18"/>
      <c r="D59" s="20" t="s">
        <v>21</v>
      </c>
      <c r="E59" s="21"/>
      <c r="F59" s="21">
        <v>2500</v>
      </c>
      <c r="G59" s="39">
        <f t="shared" si="1"/>
        <v>80284854.16464752</v>
      </c>
    </row>
    <row r="60" spans="1:8" s="17" customFormat="1" ht="21.75" customHeight="1" x14ac:dyDescent="0.2">
      <c r="A60" s="18"/>
      <c r="B60" s="24" t="s">
        <v>603</v>
      </c>
      <c r="C60" s="18"/>
      <c r="D60" s="20" t="s">
        <v>626</v>
      </c>
      <c r="E60" s="21">
        <v>0</v>
      </c>
      <c r="F60" s="21">
        <v>2500000</v>
      </c>
      <c r="G60" s="39">
        <f t="shared" si="1"/>
        <v>77784854.16464752</v>
      </c>
    </row>
    <row r="61" spans="1:8" s="17" customFormat="1" ht="21.75" customHeight="1" x14ac:dyDescent="0.2">
      <c r="A61" s="18"/>
      <c r="B61" s="24" t="s">
        <v>627</v>
      </c>
      <c r="C61" s="18"/>
      <c r="D61" s="20" t="s">
        <v>629</v>
      </c>
      <c r="E61" s="21">
        <v>800000</v>
      </c>
      <c r="F61" s="21"/>
      <c r="G61" s="39">
        <f t="shared" si="1"/>
        <v>78584854.16464752</v>
      </c>
    </row>
    <row r="62" spans="1:8" s="17" customFormat="1" ht="21.75" customHeight="1" x14ac:dyDescent="0.2">
      <c r="A62" s="18"/>
      <c r="B62" s="24" t="s">
        <v>628</v>
      </c>
      <c r="C62" s="18"/>
      <c r="D62" s="20" t="s">
        <v>631</v>
      </c>
      <c r="E62" s="21"/>
      <c r="F62" s="21">
        <v>12810001</v>
      </c>
      <c r="G62" s="39">
        <f t="shared" si="1"/>
        <v>65774853.16464752</v>
      </c>
    </row>
    <row r="63" spans="1:8" s="17" customFormat="1" ht="21.75" customHeight="1" x14ac:dyDescent="0.2">
      <c r="A63" s="18"/>
      <c r="B63" s="24" t="s">
        <v>628</v>
      </c>
      <c r="C63" s="18"/>
      <c r="D63" s="20" t="s">
        <v>632</v>
      </c>
      <c r="E63" s="21"/>
      <c r="F63" s="21">
        <v>14090000</v>
      </c>
      <c r="G63" s="39">
        <f t="shared" si="1"/>
        <v>51684853.16464752</v>
      </c>
    </row>
    <row r="64" spans="1:8" s="17" customFormat="1" ht="21.75" customHeight="1" x14ac:dyDescent="0.2">
      <c r="A64" s="18"/>
      <c r="B64" s="24" t="s">
        <v>628</v>
      </c>
      <c r="C64" s="18"/>
      <c r="D64" s="78" t="s">
        <v>630</v>
      </c>
      <c r="E64" s="21"/>
      <c r="F64" s="21">
        <v>5000000</v>
      </c>
      <c r="G64" s="39">
        <f t="shared" si="1"/>
        <v>46684853.16464752</v>
      </c>
    </row>
    <row r="65" spans="1:8" s="17" customFormat="1" ht="21.75" customHeight="1" x14ac:dyDescent="0.2">
      <c r="A65" s="18"/>
      <c r="B65" s="24" t="s">
        <v>628</v>
      </c>
      <c r="C65" s="18"/>
      <c r="D65" s="20" t="s">
        <v>21</v>
      </c>
      <c r="E65" s="21"/>
      <c r="F65" s="21">
        <v>2500</v>
      </c>
      <c r="G65" s="39">
        <f t="shared" si="1"/>
        <v>46682353.16464752</v>
      </c>
    </row>
    <row r="66" spans="1:8" s="17" customFormat="1" ht="21.75" customHeight="1" x14ac:dyDescent="0.2">
      <c r="A66" s="18"/>
      <c r="B66" s="24" t="s">
        <v>628</v>
      </c>
      <c r="C66" s="18"/>
      <c r="D66" s="20" t="s">
        <v>633</v>
      </c>
      <c r="E66" s="21"/>
      <c r="F66" s="21">
        <v>1000000</v>
      </c>
      <c r="G66" s="39">
        <f t="shared" si="1"/>
        <v>45682353.16464752</v>
      </c>
    </row>
    <row r="67" spans="1:8" s="17" customFormat="1" ht="21.75" customHeight="1" x14ac:dyDescent="0.2">
      <c r="A67" s="18"/>
      <c r="B67" s="24" t="s">
        <v>639</v>
      </c>
      <c r="C67" s="24"/>
      <c r="D67" s="20" t="s">
        <v>634</v>
      </c>
      <c r="E67" s="21"/>
      <c r="F67" s="21">
        <v>1000000</v>
      </c>
      <c r="G67" s="39">
        <f t="shared" si="1"/>
        <v>44682353.16464752</v>
      </c>
    </row>
    <row r="68" spans="1:8" s="17" customFormat="1" ht="21.75" customHeight="1" x14ac:dyDescent="0.2">
      <c r="A68" s="18"/>
      <c r="B68" s="24" t="s">
        <v>639</v>
      </c>
      <c r="C68" s="24"/>
      <c r="D68" s="20" t="s">
        <v>21</v>
      </c>
      <c r="E68" s="21"/>
      <c r="F68" s="21">
        <v>2500</v>
      </c>
      <c r="G68" s="39">
        <f t="shared" si="1"/>
        <v>44679853.16464752</v>
      </c>
    </row>
    <row r="69" spans="1:8" s="17" customFormat="1" ht="21.75" customHeight="1" x14ac:dyDescent="0.2">
      <c r="A69" s="18"/>
      <c r="B69" s="24" t="s">
        <v>639</v>
      </c>
      <c r="C69" s="18"/>
      <c r="D69" s="20" t="s">
        <v>635</v>
      </c>
      <c r="E69" s="21"/>
      <c r="F69" s="21">
        <v>17355841</v>
      </c>
      <c r="G69" s="39">
        <f t="shared" si="1"/>
        <v>27324012.16464752</v>
      </c>
      <c r="H69" s="17" t="s">
        <v>12</v>
      </c>
    </row>
    <row r="70" spans="1:8" s="17" customFormat="1" ht="21.75" customHeight="1" x14ac:dyDescent="0.2">
      <c r="A70" s="18"/>
      <c r="B70" s="24" t="s">
        <v>639</v>
      </c>
      <c r="C70" s="18"/>
      <c r="D70" s="20" t="s">
        <v>642</v>
      </c>
      <c r="E70" s="21"/>
      <c r="F70" s="21">
        <v>2163528</v>
      </c>
      <c r="G70" s="39">
        <f t="shared" si="1"/>
        <v>25160484.16464752</v>
      </c>
    </row>
    <row r="71" spans="1:8" s="17" customFormat="1" ht="21.75" customHeight="1" x14ac:dyDescent="0.2">
      <c r="A71" s="18"/>
      <c r="B71" s="24" t="s">
        <v>640</v>
      </c>
      <c r="C71" s="18"/>
      <c r="D71" s="20" t="s">
        <v>636</v>
      </c>
      <c r="E71" s="21">
        <v>10000000</v>
      </c>
      <c r="F71" s="21"/>
      <c r="G71" s="39">
        <f t="shared" si="1"/>
        <v>35160484.16464752</v>
      </c>
    </row>
    <row r="72" spans="1:8" s="17" customFormat="1" ht="21.75" customHeight="1" x14ac:dyDescent="0.2">
      <c r="A72" s="18"/>
      <c r="B72" s="24" t="s">
        <v>641</v>
      </c>
      <c r="C72" s="18"/>
      <c r="D72" s="20" t="s">
        <v>638</v>
      </c>
      <c r="E72" s="21">
        <v>300000</v>
      </c>
      <c r="F72" s="21"/>
      <c r="G72" s="39">
        <f t="shared" si="1"/>
        <v>35460484.16464752</v>
      </c>
    </row>
    <row r="73" spans="1:8" s="17" customFormat="1" ht="21.75" customHeight="1" x14ac:dyDescent="0.2">
      <c r="A73" s="18"/>
      <c r="B73" s="24" t="s">
        <v>641</v>
      </c>
      <c r="C73" s="18"/>
      <c r="D73" s="23" t="s">
        <v>637</v>
      </c>
      <c r="E73" s="21">
        <v>20021875</v>
      </c>
      <c r="F73" s="21"/>
      <c r="G73" s="39">
        <f t="shared" si="1"/>
        <v>55482359.16464752</v>
      </c>
    </row>
    <row r="74" spans="1:8" s="17" customFormat="1" ht="21.75" customHeight="1" x14ac:dyDescent="0.2">
      <c r="A74" s="18"/>
      <c r="B74" s="24" t="s">
        <v>641</v>
      </c>
      <c r="C74" s="24"/>
      <c r="D74" s="20" t="s">
        <v>650</v>
      </c>
      <c r="E74" s="21">
        <v>2742750</v>
      </c>
      <c r="F74" s="21"/>
      <c r="G74" s="39">
        <f t="shared" si="1"/>
        <v>58225109.16464752</v>
      </c>
    </row>
    <row r="75" spans="1:8" s="17" customFormat="1" ht="21.75" customHeight="1" x14ac:dyDescent="0.2">
      <c r="A75" s="18"/>
      <c r="B75" s="24" t="s">
        <v>641</v>
      </c>
      <c r="C75" s="18"/>
      <c r="D75" s="20" t="s">
        <v>644</v>
      </c>
      <c r="E75" s="21">
        <v>5319069</v>
      </c>
      <c r="F75" s="21"/>
      <c r="G75" s="39">
        <f t="shared" ref="G75:G120" si="2">+G74+E75-F75</f>
        <v>63544178.16464752</v>
      </c>
    </row>
    <row r="76" spans="1:8" s="17" customFormat="1" ht="21.75" customHeight="1" x14ac:dyDescent="0.2">
      <c r="A76" s="18"/>
      <c r="B76" s="24" t="s">
        <v>641</v>
      </c>
      <c r="C76" s="18"/>
      <c r="D76" s="20" t="s">
        <v>649</v>
      </c>
      <c r="E76" s="21">
        <v>5534367</v>
      </c>
      <c r="F76" s="21"/>
      <c r="G76" s="39">
        <f t="shared" si="2"/>
        <v>69078545.16464752</v>
      </c>
    </row>
    <row r="77" spans="1:8" s="17" customFormat="1" ht="21.75" customHeight="1" x14ac:dyDescent="0.2">
      <c r="A77" s="18"/>
      <c r="B77" s="24" t="s">
        <v>641</v>
      </c>
      <c r="C77" s="18"/>
      <c r="D77" s="20" t="s">
        <v>648</v>
      </c>
      <c r="E77" s="21">
        <v>11445231</v>
      </c>
      <c r="F77" s="21"/>
      <c r="G77" s="39">
        <f t="shared" si="2"/>
        <v>80523776.16464752</v>
      </c>
    </row>
    <row r="78" spans="1:8" s="17" customFormat="1" ht="21.75" customHeight="1" x14ac:dyDescent="0.2">
      <c r="A78" s="18"/>
      <c r="B78" s="24" t="s">
        <v>641</v>
      </c>
      <c r="C78" s="18"/>
      <c r="D78" s="20" t="s">
        <v>645</v>
      </c>
      <c r="E78" s="21">
        <v>5319069</v>
      </c>
      <c r="F78" s="21"/>
      <c r="G78" s="39">
        <f t="shared" si="2"/>
        <v>85842845.16464752</v>
      </c>
    </row>
    <row r="79" spans="1:8" s="17" customFormat="1" ht="21.75" customHeight="1" x14ac:dyDescent="0.2">
      <c r="A79" s="18"/>
      <c r="B79" s="24" t="s">
        <v>641</v>
      </c>
      <c r="C79" s="18"/>
      <c r="D79" s="20" t="s">
        <v>646</v>
      </c>
      <c r="E79" s="21">
        <v>48507291</v>
      </c>
      <c r="F79" s="21"/>
      <c r="G79" s="39">
        <f t="shared" si="2"/>
        <v>134350136.16464752</v>
      </c>
    </row>
    <row r="80" spans="1:8" s="17" customFormat="1" ht="21.75" customHeight="1" x14ac:dyDescent="0.2">
      <c r="A80" s="18"/>
      <c r="B80" s="24" t="s">
        <v>641</v>
      </c>
      <c r="C80" s="18"/>
      <c r="D80" s="20" t="s">
        <v>647</v>
      </c>
      <c r="E80" s="21">
        <v>48507291</v>
      </c>
      <c r="F80" s="21"/>
      <c r="G80" s="39">
        <f t="shared" si="2"/>
        <v>182857427.16464752</v>
      </c>
    </row>
    <row r="81" spans="1:7" s="17" customFormat="1" ht="21.75" customHeight="1" x14ac:dyDescent="0.2">
      <c r="A81" s="18"/>
      <c r="B81" s="24" t="s">
        <v>641</v>
      </c>
      <c r="C81" s="18"/>
      <c r="D81" s="20" t="s">
        <v>669</v>
      </c>
      <c r="E81" s="21">
        <v>51259460</v>
      </c>
      <c r="F81" s="21"/>
      <c r="G81" s="39">
        <f t="shared" si="2"/>
        <v>234116887.16464752</v>
      </c>
    </row>
    <row r="82" spans="1:7" s="17" customFormat="1" ht="21.75" customHeight="1" x14ac:dyDescent="0.2">
      <c r="A82" s="18"/>
      <c r="B82" s="24" t="s">
        <v>641</v>
      </c>
      <c r="C82" s="18"/>
      <c r="D82" s="20" t="s">
        <v>643</v>
      </c>
      <c r="E82" s="21"/>
      <c r="F82" s="21">
        <v>1924846</v>
      </c>
      <c r="G82" s="39">
        <f t="shared" si="2"/>
        <v>232192041.16464752</v>
      </c>
    </row>
    <row r="83" spans="1:7" s="17" customFormat="1" ht="21.75" customHeight="1" x14ac:dyDescent="0.2">
      <c r="A83" s="18"/>
      <c r="B83" s="24" t="s">
        <v>641</v>
      </c>
      <c r="C83" s="18"/>
      <c r="D83" s="23" t="s">
        <v>651</v>
      </c>
      <c r="E83" s="21">
        <v>0</v>
      </c>
      <c r="F83" s="21">
        <v>16696547</v>
      </c>
      <c r="G83" s="39">
        <f t="shared" si="2"/>
        <v>215495494.16464752</v>
      </c>
    </row>
    <row r="84" spans="1:7" s="17" customFormat="1" ht="21.75" customHeight="1" x14ac:dyDescent="0.2">
      <c r="A84" s="18"/>
      <c r="B84" s="24" t="s">
        <v>641</v>
      </c>
      <c r="C84" s="35"/>
      <c r="D84" s="20" t="s">
        <v>31</v>
      </c>
      <c r="E84" s="21">
        <v>0</v>
      </c>
      <c r="F84" s="21">
        <v>10748501</v>
      </c>
      <c r="G84" s="39">
        <f t="shared" si="2"/>
        <v>204746993.16464752</v>
      </c>
    </row>
    <row r="85" spans="1:7" s="17" customFormat="1" ht="21.75" customHeight="1" x14ac:dyDescent="0.2">
      <c r="A85" s="18"/>
      <c r="B85" s="24" t="s">
        <v>641</v>
      </c>
      <c r="C85" s="18"/>
      <c r="D85" s="20" t="s">
        <v>32</v>
      </c>
      <c r="E85" s="21">
        <v>0</v>
      </c>
      <c r="F85" s="21">
        <v>11496953</v>
      </c>
      <c r="G85" s="39">
        <f t="shared" si="2"/>
        <v>193250040.16464752</v>
      </c>
    </row>
    <row r="86" spans="1:7" s="17" customFormat="1" ht="21.75" customHeight="1" x14ac:dyDescent="0.2">
      <c r="A86" s="18"/>
      <c r="B86" s="24" t="s">
        <v>641</v>
      </c>
      <c r="C86" s="36"/>
      <c r="D86" s="20" t="s">
        <v>33</v>
      </c>
      <c r="E86" s="21">
        <v>3353805</v>
      </c>
      <c r="F86" s="21">
        <v>0</v>
      </c>
      <c r="G86" s="39">
        <f t="shared" si="2"/>
        <v>196603845.16464752</v>
      </c>
    </row>
    <row r="87" spans="1:7" s="17" customFormat="1" ht="21.75" customHeight="1" x14ac:dyDescent="0.2">
      <c r="A87" s="18"/>
      <c r="B87" s="24" t="s">
        <v>641</v>
      </c>
      <c r="C87" s="36"/>
      <c r="D87" s="20" t="s">
        <v>34</v>
      </c>
      <c r="E87" s="21">
        <v>1924846</v>
      </c>
      <c r="F87" s="21">
        <v>0</v>
      </c>
      <c r="G87" s="65">
        <f t="shared" si="2"/>
        <v>198528691.16464752</v>
      </c>
    </row>
    <row r="88" spans="1:7" s="17" customFormat="1" ht="21.75" customHeight="1" x14ac:dyDescent="0.2">
      <c r="A88" s="18"/>
      <c r="B88" s="24" t="s">
        <v>641</v>
      </c>
      <c r="C88" s="36"/>
      <c r="D88" s="20" t="s">
        <v>35</v>
      </c>
      <c r="E88" s="21">
        <v>650000</v>
      </c>
      <c r="F88" s="21">
        <v>0</v>
      </c>
      <c r="G88" s="39">
        <f t="shared" si="2"/>
        <v>199178691.16464752</v>
      </c>
    </row>
    <row r="89" spans="1:7" s="17" customFormat="1" ht="21.75" customHeight="1" x14ac:dyDescent="0.2">
      <c r="A89" s="18"/>
      <c r="B89" s="24" t="s">
        <v>641</v>
      </c>
      <c r="C89" s="36"/>
      <c r="D89" s="20" t="s">
        <v>36</v>
      </c>
      <c r="E89" s="21">
        <v>200000</v>
      </c>
      <c r="F89" s="21">
        <v>0</v>
      </c>
      <c r="G89" s="39">
        <f t="shared" si="2"/>
        <v>199378691.16464752</v>
      </c>
    </row>
    <row r="90" spans="1:7" s="17" customFormat="1" ht="21.75" customHeight="1" x14ac:dyDescent="0.2">
      <c r="A90" s="18"/>
      <c r="B90" s="24" t="s">
        <v>641</v>
      </c>
      <c r="C90" s="36"/>
      <c r="D90" s="20" t="s">
        <v>37</v>
      </c>
      <c r="E90" s="21">
        <v>6550000</v>
      </c>
      <c r="F90" s="21">
        <v>0</v>
      </c>
      <c r="G90" s="39">
        <f t="shared" si="2"/>
        <v>205928691.16464752</v>
      </c>
    </row>
    <row r="91" spans="1:7" s="17" customFormat="1" ht="21.75" customHeight="1" x14ac:dyDescent="0.2">
      <c r="A91" s="18"/>
      <c r="B91" s="24" t="s">
        <v>641</v>
      </c>
      <c r="C91" s="36"/>
      <c r="D91" s="20" t="s">
        <v>514</v>
      </c>
      <c r="E91" s="21">
        <v>952500</v>
      </c>
      <c r="F91" s="21"/>
      <c r="G91" s="39">
        <f t="shared" si="2"/>
        <v>206881191.16464752</v>
      </c>
    </row>
    <row r="92" spans="1:7" s="17" customFormat="1" ht="21.75" customHeight="1" x14ac:dyDescent="0.2">
      <c r="A92" s="18"/>
      <c r="B92" s="24" t="s">
        <v>641</v>
      </c>
      <c r="C92" s="36"/>
      <c r="D92" s="20" t="s">
        <v>38</v>
      </c>
      <c r="E92" s="21">
        <v>1800000</v>
      </c>
      <c r="F92" s="21"/>
      <c r="G92" s="39">
        <f t="shared" si="2"/>
        <v>208681191.16464752</v>
      </c>
    </row>
    <row r="93" spans="1:7" s="17" customFormat="1" ht="21.75" customHeight="1" x14ac:dyDescent="0.2">
      <c r="A93" s="18"/>
      <c r="B93" s="24" t="s">
        <v>641</v>
      </c>
      <c r="C93" s="36"/>
      <c r="D93" s="20" t="s">
        <v>515</v>
      </c>
      <c r="E93" s="21">
        <v>265000</v>
      </c>
      <c r="F93" s="21"/>
      <c r="G93" s="39">
        <f t="shared" si="2"/>
        <v>208946191.16464752</v>
      </c>
    </row>
    <row r="94" spans="1:7" s="17" customFormat="1" ht="21.75" customHeight="1" x14ac:dyDescent="0.2">
      <c r="A94" s="18"/>
      <c r="B94" s="24" t="s">
        <v>641</v>
      </c>
      <c r="C94" s="36"/>
      <c r="D94" s="23" t="s">
        <v>652</v>
      </c>
      <c r="E94" s="21">
        <v>0</v>
      </c>
      <c r="F94" s="39">
        <v>100214969.28</v>
      </c>
      <c r="G94" s="39">
        <f t="shared" si="2"/>
        <v>108731221.88464752</v>
      </c>
    </row>
    <row r="95" spans="1:7" s="17" customFormat="1" ht="21.75" customHeight="1" x14ac:dyDescent="0.2">
      <c r="A95" s="18"/>
      <c r="B95" s="24" t="s">
        <v>641</v>
      </c>
      <c r="C95" s="36"/>
      <c r="D95" s="20" t="s">
        <v>41</v>
      </c>
      <c r="E95" s="39">
        <v>9508469.2799999993</v>
      </c>
      <c r="F95" s="21">
        <v>0</v>
      </c>
      <c r="G95" s="39">
        <f t="shared" si="2"/>
        <v>118239691.16464752</v>
      </c>
    </row>
    <row r="96" spans="1:7" s="17" customFormat="1" ht="21.75" customHeight="1" x14ac:dyDescent="0.2">
      <c r="A96" s="18"/>
      <c r="B96" s="24" t="s">
        <v>641</v>
      </c>
      <c r="C96" s="36"/>
      <c r="D96" s="20" t="s">
        <v>42</v>
      </c>
      <c r="E96" s="21">
        <v>5499560</v>
      </c>
      <c r="F96" s="21">
        <v>0</v>
      </c>
      <c r="G96" s="39">
        <f t="shared" si="2"/>
        <v>123739251.16464752</v>
      </c>
    </row>
    <row r="97" spans="1:7" s="17" customFormat="1" ht="21.75" customHeight="1" x14ac:dyDescent="0.2">
      <c r="A97" s="18"/>
      <c r="B97" s="24" t="s">
        <v>641</v>
      </c>
      <c r="C97" s="36"/>
      <c r="D97" s="20" t="s">
        <v>43</v>
      </c>
      <c r="E97" s="21">
        <v>1750000</v>
      </c>
      <c r="F97" s="21">
        <v>0</v>
      </c>
      <c r="G97" s="39">
        <f t="shared" si="2"/>
        <v>125489251.16464752</v>
      </c>
    </row>
    <row r="98" spans="1:7" s="17" customFormat="1" ht="21.75" customHeight="1" x14ac:dyDescent="0.2">
      <c r="A98" s="18"/>
      <c r="B98" s="24" t="s">
        <v>641</v>
      </c>
      <c r="C98" s="36"/>
      <c r="D98" s="20" t="s">
        <v>44</v>
      </c>
      <c r="E98" s="21">
        <v>1750000</v>
      </c>
      <c r="F98" s="21">
        <v>0</v>
      </c>
      <c r="G98" s="39">
        <f t="shared" si="2"/>
        <v>127239251.16464752</v>
      </c>
    </row>
    <row r="99" spans="1:7" s="17" customFormat="1" ht="21.75" customHeight="1" x14ac:dyDescent="0.2">
      <c r="A99" s="18"/>
      <c r="B99" s="24" t="s">
        <v>641</v>
      </c>
      <c r="C99" s="36"/>
      <c r="D99" s="20" t="s">
        <v>59</v>
      </c>
      <c r="E99" s="21">
        <v>4200000</v>
      </c>
      <c r="F99" s="21">
        <v>0</v>
      </c>
      <c r="G99" s="39">
        <f t="shared" si="2"/>
        <v>131439251.16464752</v>
      </c>
    </row>
    <row r="100" spans="1:7" s="17" customFormat="1" ht="21.75" customHeight="1" x14ac:dyDescent="0.2">
      <c r="A100" s="18"/>
      <c r="B100" s="24" t="s">
        <v>641</v>
      </c>
      <c r="C100" s="36"/>
      <c r="D100" s="20" t="s">
        <v>514</v>
      </c>
      <c r="E100" s="21">
        <v>605000</v>
      </c>
      <c r="F100" s="21"/>
      <c r="G100" s="39">
        <f t="shared" si="2"/>
        <v>132044251.16464752</v>
      </c>
    </row>
    <row r="101" spans="1:7" ht="21.75" customHeight="1" x14ac:dyDescent="0.2">
      <c r="A101" s="7"/>
      <c r="B101" s="24" t="s">
        <v>641</v>
      </c>
      <c r="C101" s="10"/>
      <c r="D101" s="20" t="s">
        <v>58</v>
      </c>
      <c r="E101" s="21">
        <v>400000</v>
      </c>
      <c r="F101" s="21"/>
      <c r="G101" s="39">
        <f t="shared" si="2"/>
        <v>132444251.16464752</v>
      </c>
    </row>
    <row r="102" spans="1:7" ht="21.75" customHeight="1" x14ac:dyDescent="0.2">
      <c r="A102" s="7"/>
      <c r="B102" s="24" t="s">
        <v>641</v>
      </c>
      <c r="C102" s="10"/>
      <c r="D102" s="20" t="s">
        <v>515</v>
      </c>
      <c r="E102" s="21">
        <v>100000</v>
      </c>
      <c r="F102" s="21"/>
      <c r="G102" s="39">
        <f t="shared" si="2"/>
        <v>132544251.16464752</v>
      </c>
    </row>
    <row r="103" spans="1:7" ht="21.75" customHeight="1" x14ac:dyDescent="0.2">
      <c r="A103" s="7"/>
      <c r="B103" s="24" t="s">
        <v>641</v>
      </c>
      <c r="C103" s="10"/>
      <c r="D103" s="20" t="s">
        <v>51</v>
      </c>
      <c r="E103" s="21">
        <v>11500000</v>
      </c>
      <c r="F103" s="21">
        <v>0</v>
      </c>
      <c r="G103" s="39">
        <f t="shared" si="2"/>
        <v>144044251.16464752</v>
      </c>
    </row>
    <row r="104" spans="1:7" ht="21.75" customHeight="1" x14ac:dyDescent="0.2">
      <c r="A104" s="7"/>
      <c r="B104" s="24" t="s">
        <v>641</v>
      </c>
      <c r="C104" s="10"/>
      <c r="D104" s="20" t="s">
        <v>45</v>
      </c>
      <c r="E104" s="21">
        <v>58000</v>
      </c>
      <c r="F104" s="21">
        <v>0</v>
      </c>
      <c r="G104" s="39">
        <f t="shared" si="2"/>
        <v>144102251.16464752</v>
      </c>
    </row>
    <row r="105" spans="1:7" ht="21.75" customHeight="1" x14ac:dyDescent="0.2">
      <c r="A105" s="7"/>
      <c r="B105" s="24" t="s">
        <v>641</v>
      </c>
      <c r="C105" s="36"/>
      <c r="D105" s="20" t="s">
        <v>577</v>
      </c>
      <c r="E105" s="21">
        <v>200000</v>
      </c>
      <c r="F105" s="21"/>
      <c r="G105" s="39">
        <f t="shared" si="2"/>
        <v>144302251.16464752</v>
      </c>
    </row>
    <row r="106" spans="1:7" ht="21.75" customHeight="1" x14ac:dyDescent="0.2">
      <c r="A106" s="7"/>
      <c r="B106" s="24" t="s">
        <v>641</v>
      </c>
      <c r="C106" s="35"/>
      <c r="D106" s="23" t="s">
        <v>653</v>
      </c>
      <c r="E106" s="21">
        <v>0</v>
      </c>
      <c r="F106" s="39">
        <v>19680239.84</v>
      </c>
      <c r="G106" s="39">
        <f t="shared" si="2"/>
        <v>124622011.32464752</v>
      </c>
    </row>
    <row r="107" spans="1:7" ht="21.75" customHeight="1" x14ac:dyDescent="0.2">
      <c r="A107" s="7"/>
      <c r="B107" s="24" t="s">
        <v>641</v>
      </c>
      <c r="C107" s="35"/>
      <c r="D107" s="20" t="s">
        <v>46</v>
      </c>
      <c r="E107" s="39">
        <v>1895339.84</v>
      </c>
      <c r="F107" s="21">
        <v>0</v>
      </c>
      <c r="G107" s="39">
        <f t="shared" si="2"/>
        <v>126517351.16464752</v>
      </c>
    </row>
    <row r="108" spans="1:7" ht="21.75" customHeight="1" x14ac:dyDescent="0.2">
      <c r="A108" s="7"/>
      <c r="B108" s="24" t="s">
        <v>641</v>
      </c>
      <c r="C108" s="35"/>
      <c r="D108" s="20" t="s">
        <v>47</v>
      </c>
      <c r="E108" s="21">
        <v>1099912</v>
      </c>
      <c r="F108" s="21">
        <v>0</v>
      </c>
      <c r="G108" s="39">
        <f t="shared" si="2"/>
        <v>127617263.16464752</v>
      </c>
    </row>
    <row r="109" spans="1:7" ht="21.75" customHeight="1" x14ac:dyDescent="0.2">
      <c r="A109" s="7"/>
      <c r="B109" s="24" t="s">
        <v>641</v>
      </c>
      <c r="C109" s="35"/>
      <c r="D109" s="20" t="s">
        <v>48</v>
      </c>
      <c r="E109" s="21">
        <v>200000</v>
      </c>
      <c r="F109" s="21">
        <v>0</v>
      </c>
      <c r="G109" s="62">
        <f t="shared" si="2"/>
        <v>127817263.16464752</v>
      </c>
    </row>
    <row r="110" spans="1:7" ht="21.75" customHeight="1" x14ac:dyDescent="0.2">
      <c r="A110" s="7"/>
      <c r="B110" s="24" t="s">
        <v>641</v>
      </c>
      <c r="C110" s="35"/>
      <c r="D110" s="20" t="s">
        <v>81</v>
      </c>
      <c r="E110" s="21">
        <v>100000</v>
      </c>
      <c r="F110" s="21"/>
      <c r="G110" s="62">
        <f t="shared" si="2"/>
        <v>127917263.16464752</v>
      </c>
    </row>
    <row r="111" spans="1:7" ht="21.75" customHeight="1" x14ac:dyDescent="0.2">
      <c r="A111" s="7"/>
      <c r="B111" s="24" t="s">
        <v>641</v>
      </c>
      <c r="C111" s="35"/>
      <c r="D111" s="20" t="s">
        <v>514</v>
      </c>
      <c r="E111" s="21">
        <v>10000</v>
      </c>
      <c r="F111" s="21"/>
      <c r="G111" s="62">
        <f t="shared" si="2"/>
        <v>127927263.16464752</v>
      </c>
    </row>
    <row r="112" spans="1:7" ht="21.75" customHeight="1" x14ac:dyDescent="0.2">
      <c r="A112" s="7"/>
      <c r="B112" s="24" t="s">
        <v>641</v>
      </c>
      <c r="C112" s="35"/>
      <c r="D112" s="20" t="s">
        <v>49</v>
      </c>
      <c r="E112" s="21">
        <v>2875000</v>
      </c>
      <c r="F112" s="21">
        <v>0</v>
      </c>
      <c r="G112" s="62">
        <f t="shared" si="2"/>
        <v>130802263.16464752</v>
      </c>
    </row>
    <row r="113" spans="1:7" ht="21.75" customHeight="1" x14ac:dyDescent="0.2">
      <c r="A113" s="7"/>
      <c r="B113" s="24" t="s">
        <v>641</v>
      </c>
      <c r="C113" s="35"/>
      <c r="D113" s="20" t="s">
        <v>50</v>
      </c>
      <c r="E113" s="21">
        <v>40000</v>
      </c>
      <c r="F113" s="21"/>
      <c r="G113" s="62">
        <f t="shared" si="2"/>
        <v>130842263.16464752</v>
      </c>
    </row>
    <row r="114" spans="1:7" ht="21.75" customHeight="1" x14ac:dyDescent="0.2">
      <c r="A114" s="7"/>
      <c r="B114" s="24" t="s">
        <v>641</v>
      </c>
      <c r="C114" s="35"/>
      <c r="D114" s="23" t="s">
        <v>654</v>
      </c>
      <c r="E114" s="21">
        <v>0</v>
      </c>
      <c r="F114" s="39">
        <v>29929359.760000002</v>
      </c>
      <c r="G114" s="62">
        <f t="shared" si="2"/>
        <v>100912903.40464751</v>
      </c>
    </row>
    <row r="115" spans="1:7" ht="21.75" customHeight="1" x14ac:dyDescent="0.2">
      <c r="A115" s="7"/>
      <c r="B115" s="24" t="s">
        <v>641</v>
      </c>
      <c r="C115" s="36"/>
      <c r="D115" s="20" t="s">
        <v>55</v>
      </c>
      <c r="E115" s="39">
        <v>2843009.76</v>
      </c>
      <c r="F115" s="21">
        <v>0</v>
      </c>
      <c r="G115" s="62">
        <f t="shared" si="2"/>
        <v>103755913.16464752</v>
      </c>
    </row>
    <row r="116" spans="1:7" ht="21.75" customHeight="1" x14ac:dyDescent="0.2">
      <c r="A116" s="7"/>
      <c r="B116" s="24" t="s">
        <v>641</v>
      </c>
      <c r="C116" s="36"/>
      <c r="D116" s="20" t="s">
        <v>54</v>
      </c>
      <c r="E116" s="21">
        <v>1649868</v>
      </c>
      <c r="F116" s="21">
        <v>0</v>
      </c>
      <c r="G116" s="62">
        <f t="shared" si="2"/>
        <v>105405781.16464752</v>
      </c>
    </row>
    <row r="117" spans="1:7" ht="21.75" customHeight="1" x14ac:dyDescent="0.2">
      <c r="A117" s="7"/>
      <c r="B117" s="24" t="s">
        <v>641</v>
      </c>
      <c r="C117" s="36"/>
      <c r="D117" s="20" t="s">
        <v>53</v>
      </c>
      <c r="E117" s="21">
        <v>350000</v>
      </c>
      <c r="F117" s="21">
        <v>0</v>
      </c>
      <c r="G117" s="62">
        <f t="shared" si="2"/>
        <v>105755781.16464752</v>
      </c>
    </row>
    <row r="118" spans="1:7" ht="21.75" customHeight="1" x14ac:dyDescent="0.2">
      <c r="A118" s="7"/>
      <c r="B118" s="24" t="s">
        <v>641</v>
      </c>
      <c r="C118" s="36"/>
      <c r="D118" s="20" t="s">
        <v>56</v>
      </c>
      <c r="E118" s="21">
        <v>100000</v>
      </c>
      <c r="F118" s="21">
        <v>0</v>
      </c>
      <c r="G118" s="62">
        <f t="shared" si="2"/>
        <v>105855781.16464752</v>
      </c>
    </row>
    <row r="119" spans="1:7" ht="21.75" customHeight="1" x14ac:dyDescent="0.2">
      <c r="A119" s="7"/>
      <c r="B119" s="24" t="s">
        <v>641</v>
      </c>
      <c r="C119" s="36"/>
      <c r="D119" s="20" t="s">
        <v>57</v>
      </c>
      <c r="E119" s="21">
        <f>1350000-500000</f>
        <v>850000</v>
      </c>
      <c r="F119" s="21">
        <v>0</v>
      </c>
      <c r="G119" s="62">
        <f t="shared" si="2"/>
        <v>106705781.16464752</v>
      </c>
    </row>
    <row r="120" spans="1:7" ht="21.75" customHeight="1" x14ac:dyDescent="0.25">
      <c r="A120" s="7"/>
      <c r="B120" s="24" t="s">
        <v>641</v>
      </c>
      <c r="C120" s="36"/>
      <c r="D120" s="20" t="s">
        <v>514</v>
      </c>
      <c r="E120" s="21">
        <v>85000</v>
      </c>
      <c r="F120" s="21"/>
      <c r="G120" s="56">
        <f t="shared" si="2"/>
        <v>106790781.16464752</v>
      </c>
    </row>
    <row r="121" spans="1:7" ht="21.75" customHeight="1" x14ac:dyDescent="0.2">
      <c r="A121" s="7"/>
      <c r="B121" s="24" t="s">
        <v>641</v>
      </c>
      <c r="C121" s="36"/>
      <c r="D121" s="20" t="s">
        <v>216</v>
      </c>
      <c r="E121" s="21">
        <v>200000</v>
      </c>
      <c r="F121" s="21">
        <v>0</v>
      </c>
      <c r="G121" s="62">
        <f>+G120+E121-F121</f>
        <v>106990781.16464752</v>
      </c>
    </row>
    <row r="122" spans="1:7" ht="21.75" customHeight="1" x14ac:dyDescent="0.2">
      <c r="A122" s="7"/>
      <c r="B122" s="24" t="s">
        <v>641</v>
      </c>
      <c r="C122" s="36"/>
      <c r="D122" s="20" t="s">
        <v>515</v>
      </c>
      <c r="E122" s="21">
        <v>25000</v>
      </c>
      <c r="F122" s="21"/>
      <c r="G122" s="62">
        <f t="shared" ref="G122:G188" si="3">+G121+E122-F122</f>
        <v>107015781.16464752</v>
      </c>
    </row>
    <row r="123" spans="1:7" ht="21.75" customHeight="1" x14ac:dyDescent="0.2">
      <c r="A123" s="7"/>
      <c r="B123" s="24" t="s">
        <v>641</v>
      </c>
      <c r="C123" s="36"/>
      <c r="D123" s="20" t="s">
        <v>52</v>
      </c>
      <c r="E123" s="21">
        <v>0</v>
      </c>
      <c r="F123" s="21">
        <v>0</v>
      </c>
      <c r="G123" s="62">
        <f t="shared" si="3"/>
        <v>107015781.16464752</v>
      </c>
    </row>
    <row r="124" spans="1:7" ht="21.75" customHeight="1" x14ac:dyDescent="0.2">
      <c r="A124" s="7"/>
      <c r="B124" s="24" t="s">
        <v>641</v>
      </c>
      <c r="C124" s="36"/>
      <c r="D124" s="23" t="s">
        <v>655</v>
      </c>
      <c r="E124" s="21">
        <v>0</v>
      </c>
      <c r="F124" s="39">
        <v>20066239.84</v>
      </c>
      <c r="G124" s="62">
        <f t="shared" si="3"/>
        <v>86949541.324647516</v>
      </c>
    </row>
    <row r="125" spans="1:7" ht="21.75" customHeight="1" x14ac:dyDescent="0.2">
      <c r="A125" s="7"/>
      <c r="B125" s="24" t="s">
        <v>641</v>
      </c>
      <c r="C125" s="24"/>
      <c r="D125" s="20" t="s">
        <v>60</v>
      </c>
      <c r="E125" s="39">
        <v>1895339.84</v>
      </c>
      <c r="F125" s="21">
        <v>0</v>
      </c>
      <c r="G125" s="62">
        <f t="shared" si="3"/>
        <v>88844881.16464752</v>
      </c>
    </row>
    <row r="126" spans="1:7" ht="21.75" customHeight="1" x14ac:dyDescent="0.2">
      <c r="A126" s="7"/>
      <c r="B126" s="24" t="s">
        <v>641</v>
      </c>
      <c r="C126" s="35"/>
      <c r="D126" s="20" t="s">
        <v>61</v>
      </c>
      <c r="E126" s="21">
        <v>1099912</v>
      </c>
      <c r="F126" s="21">
        <v>0</v>
      </c>
      <c r="G126" s="62">
        <f t="shared" si="3"/>
        <v>89944793.16464752</v>
      </c>
    </row>
    <row r="127" spans="1:7" ht="21.75" customHeight="1" x14ac:dyDescent="0.2">
      <c r="A127" s="7"/>
      <c r="B127" s="24" t="s">
        <v>641</v>
      </c>
      <c r="C127" s="35"/>
      <c r="D127" s="20" t="s">
        <v>62</v>
      </c>
      <c r="E127" s="21">
        <v>200000</v>
      </c>
      <c r="F127" s="39">
        <v>0</v>
      </c>
      <c r="G127" s="62">
        <f t="shared" si="3"/>
        <v>90144793.16464752</v>
      </c>
    </row>
    <row r="128" spans="1:7" ht="21.75" customHeight="1" x14ac:dyDescent="0.2">
      <c r="A128" s="7"/>
      <c r="B128" s="24" t="s">
        <v>641</v>
      </c>
      <c r="C128" s="35"/>
      <c r="D128" s="20" t="s">
        <v>63</v>
      </c>
      <c r="E128" s="21">
        <v>250000</v>
      </c>
      <c r="F128" s="21">
        <v>0</v>
      </c>
      <c r="G128" s="62">
        <f t="shared" si="3"/>
        <v>90394793.16464752</v>
      </c>
    </row>
    <row r="129" spans="1:8" ht="21.75" customHeight="1" x14ac:dyDescent="0.2">
      <c r="A129" s="7"/>
      <c r="B129" s="24" t="s">
        <v>641</v>
      </c>
      <c r="C129" s="18"/>
      <c r="D129" s="20" t="s">
        <v>514</v>
      </c>
      <c r="E129" s="21">
        <v>25000</v>
      </c>
      <c r="F129" s="21"/>
      <c r="G129" s="62">
        <f t="shared" si="3"/>
        <v>90419793.16464752</v>
      </c>
    </row>
    <row r="130" spans="1:8" ht="21.75" customHeight="1" x14ac:dyDescent="0.2">
      <c r="A130" s="7"/>
      <c r="B130" s="24" t="s">
        <v>641</v>
      </c>
      <c r="C130" s="18"/>
      <c r="D130" s="20" t="s">
        <v>64</v>
      </c>
      <c r="E130" s="21"/>
      <c r="F130" s="26">
        <v>3090000</v>
      </c>
      <c r="G130" s="62">
        <f t="shared" si="3"/>
        <v>87329793.16464752</v>
      </c>
      <c r="H130" s="46"/>
    </row>
    <row r="131" spans="1:8" ht="21.75" customHeight="1" x14ac:dyDescent="0.2">
      <c r="A131" s="7"/>
      <c r="B131" s="24" t="s">
        <v>641</v>
      </c>
      <c r="C131" s="18"/>
      <c r="D131" s="20" t="s">
        <v>65</v>
      </c>
      <c r="E131" s="21"/>
      <c r="F131" s="21">
        <v>2760000</v>
      </c>
      <c r="G131" s="62">
        <f t="shared" si="3"/>
        <v>84569793.16464752</v>
      </c>
      <c r="H131" s="46"/>
    </row>
    <row r="132" spans="1:8" ht="21.75" customHeight="1" x14ac:dyDescent="0.2">
      <c r="A132" s="7"/>
      <c r="B132" s="24" t="s">
        <v>641</v>
      </c>
      <c r="C132" s="36"/>
      <c r="D132" s="20" t="s">
        <v>66</v>
      </c>
      <c r="E132" s="21"/>
      <c r="F132" s="21">
        <v>2160000</v>
      </c>
      <c r="G132" s="62">
        <f t="shared" si="3"/>
        <v>82409793.16464752</v>
      </c>
    </row>
    <row r="133" spans="1:8" ht="21.75" customHeight="1" x14ac:dyDescent="0.2">
      <c r="A133" s="7"/>
      <c r="B133" s="24" t="s">
        <v>641</v>
      </c>
      <c r="C133" s="36"/>
      <c r="D133" s="20" t="s">
        <v>67</v>
      </c>
      <c r="E133" s="21"/>
      <c r="F133" s="26">
        <v>3640000</v>
      </c>
      <c r="G133" s="62">
        <f t="shared" si="3"/>
        <v>78769793.16464752</v>
      </c>
    </row>
    <row r="134" spans="1:8" ht="21.75" customHeight="1" x14ac:dyDescent="0.2">
      <c r="A134" s="7"/>
      <c r="B134" s="24" t="s">
        <v>641</v>
      </c>
      <c r="C134" s="36"/>
      <c r="D134" s="20" t="s">
        <v>657</v>
      </c>
      <c r="E134" s="21"/>
      <c r="F134" s="21">
        <v>2847302</v>
      </c>
      <c r="G134" s="62">
        <f t="shared" si="3"/>
        <v>75922491.16464752</v>
      </c>
    </row>
    <row r="135" spans="1:8" ht="21.75" customHeight="1" x14ac:dyDescent="0.2">
      <c r="A135" s="7"/>
      <c r="B135" s="24" t="s">
        <v>641</v>
      </c>
      <c r="C135" s="36"/>
      <c r="D135" s="20" t="s">
        <v>658</v>
      </c>
      <c r="E135" s="21"/>
      <c r="F135" s="21">
        <v>2847302</v>
      </c>
      <c r="G135" s="62">
        <f t="shared" si="3"/>
        <v>73075189.16464752</v>
      </c>
    </row>
    <row r="136" spans="1:8" ht="21.75" customHeight="1" x14ac:dyDescent="0.2">
      <c r="A136" s="7"/>
      <c r="B136" s="24" t="s">
        <v>641</v>
      </c>
      <c r="C136" s="36"/>
      <c r="D136" s="20" t="s">
        <v>656</v>
      </c>
      <c r="E136" s="21"/>
      <c r="F136" s="21">
        <v>12675000</v>
      </c>
      <c r="G136" s="62">
        <f t="shared" si="3"/>
        <v>60400189.16464752</v>
      </c>
    </row>
    <row r="137" spans="1:8" ht="21.75" customHeight="1" x14ac:dyDescent="0.2">
      <c r="A137" s="7"/>
      <c r="B137" s="24" t="s">
        <v>641</v>
      </c>
      <c r="C137" s="36"/>
      <c r="D137" s="20" t="s">
        <v>659</v>
      </c>
      <c r="E137" s="21"/>
      <c r="F137" s="21">
        <v>2875000</v>
      </c>
      <c r="G137" s="62">
        <f t="shared" si="3"/>
        <v>57525189.16464752</v>
      </c>
    </row>
    <row r="138" spans="1:8" ht="21.75" customHeight="1" x14ac:dyDescent="0.2">
      <c r="A138" s="7"/>
      <c r="B138" s="24" t="s">
        <v>641</v>
      </c>
      <c r="C138" s="35"/>
      <c r="D138" s="20" t="s">
        <v>660</v>
      </c>
      <c r="E138" s="21"/>
      <c r="F138" s="21">
        <v>1150000</v>
      </c>
      <c r="G138" s="62">
        <f t="shared" si="3"/>
        <v>56375189.16464752</v>
      </c>
    </row>
    <row r="139" spans="1:8" ht="21.75" customHeight="1" x14ac:dyDescent="0.2">
      <c r="A139" s="7"/>
      <c r="B139" s="24" t="s">
        <v>641</v>
      </c>
      <c r="C139" s="35"/>
      <c r="D139" s="23" t="s">
        <v>661</v>
      </c>
      <c r="E139" s="25"/>
      <c r="F139" s="21"/>
      <c r="G139" s="62">
        <f t="shared" si="3"/>
        <v>56375189.16464752</v>
      </c>
    </row>
    <row r="140" spans="1:8" ht="21.75" customHeight="1" x14ac:dyDescent="0.2">
      <c r="A140" s="7"/>
      <c r="B140" s="24" t="s">
        <v>641</v>
      </c>
      <c r="C140" s="35"/>
      <c r="D140" s="20" t="s">
        <v>413</v>
      </c>
      <c r="E140" s="21">
        <v>0</v>
      </c>
      <c r="F140" s="21"/>
      <c r="G140" s="62">
        <f t="shared" si="3"/>
        <v>56375189.16464752</v>
      </c>
    </row>
    <row r="141" spans="1:8" s="12" customFormat="1" ht="21.75" customHeight="1" x14ac:dyDescent="0.2">
      <c r="A141" s="7"/>
      <c r="B141" s="24" t="s">
        <v>641</v>
      </c>
      <c r="C141" s="35"/>
      <c r="D141" s="20" t="s">
        <v>236</v>
      </c>
      <c r="E141" s="21">
        <v>750000</v>
      </c>
      <c r="F141" s="21"/>
      <c r="G141" s="62">
        <f t="shared" si="3"/>
        <v>57125189.16464752</v>
      </c>
    </row>
    <row r="142" spans="1:8" s="12" customFormat="1" ht="21.75" customHeight="1" x14ac:dyDescent="0.2">
      <c r="A142" s="7"/>
      <c r="B142" s="24" t="s">
        <v>641</v>
      </c>
      <c r="C142" s="35"/>
      <c r="D142" s="20" t="s">
        <v>237</v>
      </c>
      <c r="E142" s="54">
        <v>200000</v>
      </c>
      <c r="F142" s="21"/>
      <c r="G142" s="62">
        <f t="shared" si="3"/>
        <v>57325189.16464752</v>
      </c>
    </row>
    <row r="143" spans="1:8" s="12" customFormat="1" ht="21.75" customHeight="1" x14ac:dyDescent="0.2">
      <c r="A143" s="42"/>
      <c r="B143" s="24" t="s">
        <v>641</v>
      </c>
      <c r="C143" s="35"/>
      <c r="D143" s="20" t="s">
        <v>23</v>
      </c>
      <c r="E143" s="21">
        <v>3500000</v>
      </c>
      <c r="F143" s="21"/>
      <c r="G143" s="62">
        <f t="shared" si="3"/>
        <v>60825189.16464752</v>
      </c>
    </row>
    <row r="144" spans="1:8" s="12" customFormat="1" ht="21.75" customHeight="1" x14ac:dyDescent="0.2">
      <c r="A144" s="42"/>
      <c r="B144" s="24" t="s">
        <v>641</v>
      </c>
      <c r="C144" s="35"/>
      <c r="D144" s="20" t="s">
        <v>514</v>
      </c>
      <c r="E144" s="21">
        <v>420000</v>
      </c>
      <c r="F144" s="21"/>
      <c r="G144" s="62">
        <f t="shared" si="3"/>
        <v>61245189.16464752</v>
      </c>
    </row>
    <row r="145" spans="1:8" s="12" customFormat="1" ht="21.75" customHeight="1" x14ac:dyDescent="0.2">
      <c r="A145" s="42"/>
      <c r="B145" s="24" t="s">
        <v>641</v>
      </c>
      <c r="C145" s="35"/>
      <c r="D145" s="20" t="s">
        <v>24</v>
      </c>
      <c r="E145" s="21">
        <v>2000000</v>
      </c>
      <c r="F145" s="21"/>
      <c r="G145" s="62">
        <f t="shared" si="3"/>
        <v>63245189.16464752</v>
      </c>
    </row>
    <row r="146" spans="1:8" s="12" customFormat="1" ht="21.75" customHeight="1" x14ac:dyDescent="0.2">
      <c r="A146" s="42"/>
      <c r="B146" s="24" t="s">
        <v>641</v>
      </c>
      <c r="C146" s="35"/>
      <c r="D146" s="20" t="s">
        <v>515</v>
      </c>
      <c r="E146" s="21">
        <v>300000</v>
      </c>
      <c r="F146" s="21"/>
      <c r="G146" s="62">
        <f t="shared" si="3"/>
        <v>63545189.16464752</v>
      </c>
    </row>
    <row r="147" spans="1:8" s="12" customFormat="1" ht="21.75" customHeight="1" x14ac:dyDescent="0.2">
      <c r="A147" s="42"/>
      <c r="B147" s="24" t="s">
        <v>641</v>
      </c>
      <c r="C147" s="35"/>
      <c r="D147" s="20" t="s">
        <v>26</v>
      </c>
      <c r="E147" s="21">
        <f>3333333+285000+1015000+1666667+180000+945000</f>
        <v>7425000</v>
      </c>
      <c r="F147" s="39"/>
      <c r="G147" s="62">
        <f t="shared" si="3"/>
        <v>70970189.16464752</v>
      </c>
    </row>
    <row r="148" spans="1:8" s="12" customFormat="1" ht="21.75" customHeight="1" x14ac:dyDescent="0.2">
      <c r="A148" s="42"/>
      <c r="B148" s="24" t="s">
        <v>641</v>
      </c>
      <c r="C148" s="35"/>
      <c r="D148" s="20" t="s">
        <v>27</v>
      </c>
      <c r="E148" s="21">
        <v>40000</v>
      </c>
      <c r="F148" s="21"/>
      <c r="G148" s="62">
        <f t="shared" si="3"/>
        <v>71010189.16464752</v>
      </c>
    </row>
    <row r="149" spans="1:8" s="12" customFormat="1" ht="21.75" customHeight="1" x14ac:dyDescent="0.2">
      <c r="A149" s="42"/>
      <c r="B149" s="24" t="s">
        <v>641</v>
      </c>
      <c r="C149" s="35"/>
      <c r="D149" s="20" t="s">
        <v>584</v>
      </c>
      <c r="E149" s="21">
        <v>1000000</v>
      </c>
      <c r="F149" s="21"/>
      <c r="G149" s="62">
        <f t="shared" si="3"/>
        <v>72010189.16464752</v>
      </c>
      <c r="H149" s="12">
        <v>72010189.159999996</v>
      </c>
    </row>
    <row r="150" spans="1:8" s="12" customFormat="1" ht="21.75" customHeight="1" x14ac:dyDescent="0.2">
      <c r="A150" s="42"/>
      <c r="B150" s="24" t="s">
        <v>662</v>
      </c>
      <c r="C150" s="35"/>
      <c r="D150" s="20" t="s">
        <v>30</v>
      </c>
      <c r="E150" s="21">
        <v>50000</v>
      </c>
      <c r="F150" s="21"/>
      <c r="G150" s="62">
        <f t="shared" si="3"/>
        <v>72060189.16464752</v>
      </c>
    </row>
    <row r="151" spans="1:8" s="12" customFormat="1" ht="21.75" customHeight="1" x14ac:dyDescent="0.2">
      <c r="A151" s="42"/>
      <c r="B151" s="24" t="s">
        <v>662</v>
      </c>
      <c r="C151" s="35"/>
      <c r="D151" s="20" t="s">
        <v>29</v>
      </c>
      <c r="E151" s="21">
        <v>200000</v>
      </c>
      <c r="F151" s="21"/>
      <c r="G151" s="62">
        <f t="shared" si="3"/>
        <v>72260189.16464752</v>
      </c>
    </row>
    <row r="152" spans="1:8" s="12" customFormat="1" ht="21.75" customHeight="1" x14ac:dyDescent="0.2">
      <c r="A152" s="42"/>
      <c r="B152" s="24" t="s">
        <v>662</v>
      </c>
      <c r="C152" s="35"/>
      <c r="D152" s="20" t="s">
        <v>665</v>
      </c>
      <c r="E152" s="21">
        <v>100000</v>
      </c>
      <c r="F152" s="21"/>
      <c r="G152" s="62">
        <f t="shared" si="3"/>
        <v>72360189.16464752</v>
      </c>
    </row>
    <row r="153" spans="1:8" s="12" customFormat="1" ht="21.75" customHeight="1" x14ac:dyDescent="0.2">
      <c r="A153" s="42"/>
      <c r="B153" s="24" t="s">
        <v>662</v>
      </c>
      <c r="C153" s="35"/>
      <c r="D153" s="20" t="s">
        <v>664</v>
      </c>
      <c r="E153" s="21">
        <v>1150000</v>
      </c>
      <c r="F153" s="21"/>
      <c r="G153" s="62">
        <f t="shared" si="3"/>
        <v>73510189.16464752</v>
      </c>
    </row>
    <row r="154" spans="1:8" s="12" customFormat="1" ht="21.75" customHeight="1" x14ac:dyDescent="0.2">
      <c r="A154" s="42"/>
      <c r="B154" s="24" t="s">
        <v>663</v>
      </c>
      <c r="C154" s="35"/>
      <c r="D154" s="20" t="s">
        <v>666</v>
      </c>
      <c r="E154" s="21">
        <v>17931705</v>
      </c>
      <c r="F154" s="21"/>
      <c r="G154" s="62">
        <f t="shared" si="3"/>
        <v>91441894.16464752</v>
      </c>
    </row>
    <row r="155" spans="1:8" s="12" customFormat="1" ht="21.75" customHeight="1" x14ac:dyDescent="0.2">
      <c r="A155" s="42"/>
      <c r="B155" s="24" t="s">
        <v>663</v>
      </c>
      <c r="C155" s="35"/>
      <c r="D155" s="20" t="s">
        <v>668</v>
      </c>
      <c r="E155" s="21">
        <v>163785421</v>
      </c>
      <c r="F155" s="21"/>
      <c r="G155" s="62">
        <f t="shared" si="3"/>
        <v>255227315.16464752</v>
      </c>
    </row>
    <row r="156" spans="1:8" s="12" customFormat="1" ht="21.75" customHeight="1" x14ac:dyDescent="0.2">
      <c r="A156" s="42"/>
      <c r="B156" s="24" t="s">
        <v>663</v>
      </c>
      <c r="C156" s="35"/>
      <c r="D156" s="20" t="s">
        <v>667</v>
      </c>
      <c r="E156" s="21">
        <v>13759200</v>
      </c>
      <c r="F156" s="21"/>
      <c r="G156" s="62">
        <f t="shared" si="3"/>
        <v>268986515.16464752</v>
      </c>
    </row>
    <row r="157" spans="1:8" s="12" customFormat="1" ht="21.75" customHeight="1" x14ac:dyDescent="0.2">
      <c r="A157" s="42"/>
      <c r="B157" s="24" t="s">
        <v>663</v>
      </c>
      <c r="C157" s="35"/>
      <c r="D157" s="20" t="s">
        <v>672</v>
      </c>
      <c r="E157" s="21">
        <v>2500000</v>
      </c>
      <c r="F157" s="21"/>
      <c r="G157" s="62">
        <f t="shared" si="3"/>
        <v>271486515.16464752</v>
      </c>
    </row>
    <row r="158" spans="1:8" s="12" customFormat="1" ht="21.75" customHeight="1" x14ac:dyDescent="0.2">
      <c r="A158" s="42"/>
      <c r="B158" s="24" t="s">
        <v>663</v>
      </c>
      <c r="C158" s="35"/>
      <c r="D158" s="20" t="s">
        <v>670</v>
      </c>
      <c r="E158" s="21">
        <v>115290000</v>
      </c>
      <c r="F158" s="21"/>
      <c r="G158" s="62">
        <f t="shared" si="3"/>
        <v>386776515.16464752</v>
      </c>
    </row>
    <row r="159" spans="1:8" s="12" customFormat="1" ht="21.75" customHeight="1" x14ac:dyDescent="0.2">
      <c r="A159" s="42"/>
      <c r="B159" s="24" t="s">
        <v>663</v>
      </c>
      <c r="C159" s="35"/>
      <c r="D159" s="23" t="s">
        <v>198</v>
      </c>
      <c r="E159" s="21">
        <v>35079195</v>
      </c>
      <c r="F159" s="21"/>
      <c r="G159" s="55">
        <f t="shared" si="3"/>
        <v>421855710.16464752</v>
      </c>
    </row>
    <row r="160" spans="1:8" ht="21.75" customHeight="1" x14ac:dyDescent="0.2">
      <c r="A160" s="42"/>
      <c r="B160" s="24" t="s">
        <v>673</v>
      </c>
      <c r="C160" s="35"/>
      <c r="D160" s="20" t="s">
        <v>671</v>
      </c>
      <c r="E160" s="21"/>
      <c r="F160" s="21">
        <v>22500000</v>
      </c>
      <c r="G160" s="62">
        <f t="shared" si="3"/>
        <v>399355710.16464752</v>
      </c>
    </row>
    <row r="161" spans="1:7" ht="21.75" customHeight="1" x14ac:dyDescent="0.2">
      <c r="A161" s="42"/>
      <c r="B161" s="24" t="s">
        <v>673</v>
      </c>
      <c r="C161" s="35"/>
      <c r="D161" s="20" t="s">
        <v>676</v>
      </c>
      <c r="E161" s="21"/>
      <c r="F161" s="21">
        <v>114000000</v>
      </c>
      <c r="G161" s="62">
        <f t="shared" si="3"/>
        <v>285355710.16464752</v>
      </c>
    </row>
    <row r="162" spans="1:7" ht="21.75" customHeight="1" x14ac:dyDescent="0.2">
      <c r="A162" s="42"/>
      <c r="B162" s="24" t="s">
        <v>673</v>
      </c>
      <c r="C162" s="35"/>
      <c r="D162" s="20" t="s">
        <v>21</v>
      </c>
      <c r="E162" s="21"/>
      <c r="F162" s="21">
        <v>2500</v>
      </c>
      <c r="G162" s="62">
        <f t="shared" si="3"/>
        <v>285353210.16464752</v>
      </c>
    </row>
    <row r="163" spans="1:7" ht="21.75" customHeight="1" x14ac:dyDescent="0.2">
      <c r="A163" s="42"/>
      <c r="B163" s="24" t="s">
        <v>673</v>
      </c>
      <c r="C163" s="35"/>
      <c r="D163" s="20" t="s">
        <v>679</v>
      </c>
      <c r="E163" s="21"/>
      <c r="F163" s="21">
        <v>2620250</v>
      </c>
      <c r="G163" s="62">
        <f t="shared" si="3"/>
        <v>282732960.16464752</v>
      </c>
    </row>
    <row r="164" spans="1:7" ht="21.75" customHeight="1" x14ac:dyDescent="0.2">
      <c r="A164" s="42"/>
      <c r="B164" s="24" t="s">
        <v>673</v>
      </c>
      <c r="C164" s="35"/>
      <c r="D164" s="20" t="s">
        <v>675</v>
      </c>
      <c r="E164" s="21"/>
      <c r="F164" s="21">
        <v>11291500</v>
      </c>
      <c r="G164" s="62">
        <f t="shared" si="3"/>
        <v>271441460.16464752</v>
      </c>
    </row>
    <row r="165" spans="1:7" ht="21.75" customHeight="1" x14ac:dyDescent="0.2">
      <c r="A165" s="42"/>
      <c r="B165" s="24" t="s">
        <v>673</v>
      </c>
      <c r="C165" s="35"/>
      <c r="D165" s="20" t="s">
        <v>674</v>
      </c>
      <c r="E165" s="21"/>
      <c r="F165" s="21">
        <v>7652091</v>
      </c>
      <c r="G165" s="62">
        <f t="shared" si="3"/>
        <v>263789369.16464752</v>
      </c>
    </row>
    <row r="166" spans="1:7" ht="21.75" customHeight="1" x14ac:dyDescent="0.2">
      <c r="A166" s="42"/>
      <c r="B166" s="24" t="s">
        <v>673</v>
      </c>
      <c r="C166" s="35"/>
      <c r="D166" s="20" t="s">
        <v>695</v>
      </c>
      <c r="E166" s="21"/>
      <c r="F166" s="21">
        <v>500000</v>
      </c>
      <c r="G166" s="62">
        <f t="shared" si="3"/>
        <v>263289369.16464752</v>
      </c>
    </row>
    <row r="167" spans="1:7" ht="21.75" customHeight="1" x14ac:dyDescent="0.2">
      <c r="A167" s="42"/>
      <c r="B167" s="24" t="s">
        <v>673</v>
      </c>
      <c r="C167" s="35"/>
      <c r="D167" s="20" t="s">
        <v>21</v>
      </c>
      <c r="E167" s="21"/>
      <c r="F167" s="21">
        <v>2500</v>
      </c>
      <c r="G167" s="62">
        <f t="shared" si="3"/>
        <v>263286869.16464752</v>
      </c>
    </row>
    <row r="168" spans="1:7" ht="21.75" customHeight="1" x14ac:dyDescent="0.2">
      <c r="A168" s="42"/>
      <c r="B168" s="24" t="s">
        <v>673</v>
      </c>
      <c r="C168" s="35"/>
      <c r="D168" s="23" t="s">
        <v>680</v>
      </c>
      <c r="E168" s="21"/>
      <c r="F168" s="21"/>
      <c r="G168" s="62">
        <f t="shared" si="3"/>
        <v>263286869.16464752</v>
      </c>
    </row>
    <row r="169" spans="1:7" ht="21.75" customHeight="1" x14ac:dyDescent="0.2">
      <c r="A169" s="42"/>
      <c r="B169" s="24" t="s">
        <v>673</v>
      </c>
      <c r="C169" s="35"/>
      <c r="D169" s="20" t="s">
        <v>70</v>
      </c>
      <c r="E169" s="21">
        <v>1050000</v>
      </c>
      <c r="F169" s="21"/>
      <c r="G169" s="62">
        <f t="shared" si="3"/>
        <v>264336869.16464752</v>
      </c>
    </row>
    <row r="170" spans="1:7" ht="21.75" customHeight="1" x14ac:dyDescent="0.2">
      <c r="A170" s="42"/>
      <c r="B170" s="24" t="s">
        <v>673</v>
      </c>
      <c r="C170" s="35"/>
      <c r="D170" s="20" t="s">
        <v>71</v>
      </c>
      <c r="E170" s="21">
        <v>450000</v>
      </c>
      <c r="F170" s="21"/>
      <c r="G170" s="62">
        <f t="shared" si="3"/>
        <v>264786869.16464752</v>
      </c>
    </row>
    <row r="171" spans="1:7" ht="21.75" customHeight="1" x14ac:dyDescent="0.2">
      <c r="A171" s="42"/>
      <c r="B171" s="24" t="s">
        <v>673</v>
      </c>
      <c r="C171" s="35"/>
      <c r="D171" s="20" t="s">
        <v>72</v>
      </c>
      <c r="E171" s="21">
        <v>3000000</v>
      </c>
      <c r="F171" s="21"/>
      <c r="G171" s="62">
        <f t="shared" si="3"/>
        <v>267786869.16464752</v>
      </c>
    </row>
    <row r="172" spans="1:7" ht="21.75" customHeight="1" x14ac:dyDescent="0.2">
      <c r="A172" s="42"/>
      <c r="B172" s="24" t="s">
        <v>673</v>
      </c>
      <c r="C172" s="35"/>
      <c r="D172" s="20" t="s">
        <v>510</v>
      </c>
      <c r="E172" s="21">
        <v>380000</v>
      </c>
      <c r="F172" s="21"/>
      <c r="G172" s="62">
        <f t="shared" si="3"/>
        <v>268166869.16464752</v>
      </c>
    </row>
    <row r="173" spans="1:7" ht="21.75" customHeight="1" x14ac:dyDescent="0.2">
      <c r="A173" s="42"/>
      <c r="B173" s="24" t="s">
        <v>673</v>
      </c>
      <c r="C173" s="35"/>
      <c r="D173" s="20" t="s">
        <v>84</v>
      </c>
      <c r="E173" s="21">
        <v>240000</v>
      </c>
      <c r="F173" s="21"/>
      <c r="G173" s="62">
        <f t="shared" si="3"/>
        <v>268406869.16464752</v>
      </c>
    </row>
    <row r="174" spans="1:7" ht="21.75" customHeight="1" x14ac:dyDescent="0.2">
      <c r="A174" s="42"/>
      <c r="B174" s="24" t="s">
        <v>673</v>
      </c>
      <c r="C174" s="35"/>
      <c r="D174" s="20" t="s">
        <v>511</v>
      </c>
      <c r="E174" s="21">
        <v>28800</v>
      </c>
      <c r="F174" s="21"/>
      <c r="G174" s="62">
        <f t="shared" si="3"/>
        <v>268435669.16464752</v>
      </c>
    </row>
    <row r="175" spans="1:7" ht="21.75" customHeight="1" x14ac:dyDescent="0.2">
      <c r="A175" s="42"/>
      <c r="B175" s="24" t="s">
        <v>673</v>
      </c>
      <c r="C175" s="35"/>
      <c r="D175" s="20" t="s">
        <v>73</v>
      </c>
      <c r="E175" s="21">
        <v>81000</v>
      </c>
      <c r="F175" s="21"/>
      <c r="G175" s="62">
        <f t="shared" si="3"/>
        <v>268516669.16464752</v>
      </c>
    </row>
    <row r="176" spans="1:7" ht="21.75" customHeight="1" x14ac:dyDescent="0.2">
      <c r="A176" s="42"/>
      <c r="B176" s="24" t="s">
        <v>673</v>
      </c>
      <c r="C176" s="35"/>
      <c r="D176" s="20" t="s">
        <v>74</v>
      </c>
      <c r="E176" s="21">
        <v>0</v>
      </c>
      <c r="F176" s="21"/>
      <c r="G176" s="62">
        <f t="shared" si="3"/>
        <v>268516669.16464752</v>
      </c>
    </row>
    <row r="177" spans="1:7" ht="21.75" customHeight="1" x14ac:dyDescent="0.2">
      <c r="A177" s="42"/>
      <c r="B177" s="24" t="s">
        <v>677</v>
      </c>
      <c r="C177" s="35"/>
      <c r="D177" s="20" t="s">
        <v>681</v>
      </c>
      <c r="E177" s="21"/>
      <c r="F177" s="21">
        <v>1290000</v>
      </c>
      <c r="G177" s="62">
        <f t="shared" si="3"/>
        <v>267226669.16464752</v>
      </c>
    </row>
    <row r="178" spans="1:7" ht="21.75" customHeight="1" x14ac:dyDescent="0.2">
      <c r="A178" s="42"/>
      <c r="B178" s="24" t="s">
        <v>677</v>
      </c>
      <c r="C178" s="35"/>
      <c r="D178" s="20" t="s">
        <v>684</v>
      </c>
      <c r="E178" s="21"/>
      <c r="F178" s="21">
        <v>3000000</v>
      </c>
      <c r="G178" s="62">
        <f t="shared" si="3"/>
        <v>264226669.16464752</v>
      </c>
    </row>
    <row r="179" spans="1:7" ht="21.75" customHeight="1" x14ac:dyDescent="0.2">
      <c r="A179" s="42"/>
      <c r="B179" s="24" t="s">
        <v>677</v>
      </c>
      <c r="C179" s="35"/>
      <c r="D179" s="20" t="s">
        <v>21</v>
      </c>
      <c r="E179" s="21"/>
      <c r="F179" s="21">
        <v>2500</v>
      </c>
      <c r="G179" s="62">
        <f t="shared" si="3"/>
        <v>264224169.16464752</v>
      </c>
    </row>
    <row r="180" spans="1:7" ht="21.75" customHeight="1" x14ac:dyDescent="0.2">
      <c r="A180" s="42"/>
      <c r="B180" s="24" t="s">
        <v>677</v>
      </c>
      <c r="C180" s="35"/>
      <c r="D180" s="20" t="s">
        <v>696</v>
      </c>
      <c r="E180" s="21"/>
      <c r="F180" s="21">
        <v>4010000</v>
      </c>
      <c r="G180" s="62">
        <f t="shared" si="3"/>
        <v>260214169.16464752</v>
      </c>
    </row>
    <row r="181" spans="1:7" ht="21.75" customHeight="1" x14ac:dyDescent="0.2">
      <c r="A181" s="42"/>
      <c r="B181" s="24" t="s">
        <v>677</v>
      </c>
      <c r="C181" s="35"/>
      <c r="D181" s="20" t="s">
        <v>683</v>
      </c>
      <c r="E181" s="21"/>
      <c r="F181" s="21">
        <v>6000000</v>
      </c>
      <c r="G181" s="62">
        <f t="shared" si="3"/>
        <v>254214169.16464752</v>
      </c>
    </row>
    <row r="182" spans="1:7" ht="21.75" customHeight="1" x14ac:dyDescent="0.2">
      <c r="A182" s="42"/>
      <c r="B182" s="24" t="s">
        <v>677</v>
      </c>
      <c r="C182" s="35"/>
      <c r="D182" s="20" t="s">
        <v>682</v>
      </c>
      <c r="E182" s="21"/>
      <c r="F182" s="21">
        <v>1000000</v>
      </c>
      <c r="G182" s="62">
        <f t="shared" si="3"/>
        <v>253214169.16464752</v>
      </c>
    </row>
    <row r="183" spans="1:7" ht="21.75" customHeight="1" x14ac:dyDescent="0.2">
      <c r="A183" s="42"/>
      <c r="B183" s="24" t="s">
        <v>677</v>
      </c>
      <c r="C183" s="35"/>
      <c r="D183" s="20" t="s">
        <v>685</v>
      </c>
      <c r="E183" s="21"/>
      <c r="F183" s="21">
        <v>2165000</v>
      </c>
      <c r="G183" s="62">
        <f t="shared" si="3"/>
        <v>251049169.16464752</v>
      </c>
    </row>
    <row r="184" spans="1:7" ht="21.75" customHeight="1" x14ac:dyDescent="0.2">
      <c r="A184" s="42"/>
      <c r="B184" s="24" t="s">
        <v>677</v>
      </c>
      <c r="C184" s="35"/>
      <c r="D184" s="20" t="s">
        <v>686</v>
      </c>
      <c r="E184" s="21"/>
      <c r="F184" s="21">
        <v>200000</v>
      </c>
      <c r="G184" s="62">
        <f t="shared" si="3"/>
        <v>250849169.16464752</v>
      </c>
    </row>
    <row r="185" spans="1:7" ht="21.75" customHeight="1" x14ac:dyDescent="0.2">
      <c r="A185" s="42"/>
      <c r="B185" s="24" t="s">
        <v>677</v>
      </c>
      <c r="C185" s="35"/>
      <c r="D185" s="20" t="s">
        <v>687</v>
      </c>
      <c r="E185" s="21"/>
      <c r="F185" s="21">
        <v>8025000</v>
      </c>
      <c r="G185" s="62">
        <f t="shared" si="3"/>
        <v>242824169.16464752</v>
      </c>
    </row>
    <row r="186" spans="1:7" ht="21.75" customHeight="1" x14ac:dyDescent="0.2">
      <c r="A186" s="42"/>
      <c r="B186" s="24" t="s">
        <v>677</v>
      </c>
      <c r="C186" s="35"/>
      <c r="D186" s="20" t="s">
        <v>21</v>
      </c>
      <c r="E186" s="21"/>
      <c r="F186" s="21">
        <v>2900</v>
      </c>
      <c r="G186" s="62">
        <f t="shared" si="3"/>
        <v>242821269.16464752</v>
      </c>
    </row>
    <row r="187" spans="1:7" ht="21.75" customHeight="1" x14ac:dyDescent="0.2">
      <c r="A187" s="42"/>
      <c r="B187" s="24" t="s">
        <v>677</v>
      </c>
      <c r="C187" s="35"/>
      <c r="D187" s="20" t="s">
        <v>688</v>
      </c>
      <c r="E187" s="21"/>
      <c r="F187" s="21">
        <v>15000000</v>
      </c>
      <c r="G187" s="62">
        <f t="shared" si="3"/>
        <v>227821269.16464752</v>
      </c>
    </row>
    <row r="188" spans="1:7" ht="21.75" customHeight="1" x14ac:dyDescent="0.2">
      <c r="A188" s="42"/>
      <c r="B188" s="24" t="s">
        <v>678</v>
      </c>
      <c r="C188" s="35"/>
      <c r="D188" s="20" t="s">
        <v>689</v>
      </c>
      <c r="E188" s="21">
        <v>50000</v>
      </c>
      <c r="F188" s="21"/>
      <c r="G188" s="62">
        <f t="shared" si="3"/>
        <v>227871269.16464752</v>
      </c>
    </row>
    <row r="189" spans="1:7" ht="21.75" customHeight="1" x14ac:dyDescent="0.2">
      <c r="A189" s="42"/>
      <c r="B189" s="24" t="s">
        <v>678</v>
      </c>
      <c r="C189" s="35"/>
      <c r="D189" s="20" t="s">
        <v>690</v>
      </c>
      <c r="E189" s="21">
        <v>215000</v>
      </c>
      <c r="F189" s="21"/>
      <c r="G189" s="62">
        <f t="shared" ref="G189:G195" si="4">+G188+E189-F189</f>
        <v>228086269.16464752</v>
      </c>
    </row>
    <row r="190" spans="1:7" ht="21.75" customHeight="1" x14ac:dyDescent="0.2">
      <c r="A190" s="42"/>
      <c r="B190" s="24" t="s">
        <v>678</v>
      </c>
      <c r="C190" s="35"/>
      <c r="D190" s="20" t="s">
        <v>691</v>
      </c>
      <c r="E190" s="21">
        <v>15000</v>
      </c>
      <c r="F190" s="21"/>
      <c r="G190" s="62">
        <f t="shared" si="4"/>
        <v>228101269.16464752</v>
      </c>
    </row>
    <row r="191" spans="1:7" ht="21.75" customHeight="1" x14ac:dyDescent="0.25">
      <c r="A191" s="42"/>
      <c r="B191" s="24" t="s">
        <v>678</v>
      </c>
      <c r="C191" s="35"/>
      <c r="D191" s="20" t="s">
        <v>694</v>
      </c>
      <c r="E191" s="21"/>
      <c r="F191" s="21">
        <v>85165</v>
      </c>
      <c r="G191" s="56">
        <f t="shared" si="4"/>
        <v>228016104.16464752</v>
      </c>
    </row>
    <row r="192" spans="1:7" ht="21.75" customHeight="1" x14ac:dyDescent="0.2">
      <c r="A192" s="42"/>
      <c r="B192" s="24" t="s">
        <v>678</v>
      </c>
      <c r="C192" s="35"/>
      <c r="D192" s="20" t="s">
        <v>692</v>
      </c>
      <c r="E192" s="21"/>
      <c r="F192" s="21">
        <v>30721975</v>
      </c>
      <c r="G192" s="62">
        <f t="shared" si="4"/>
        <v>197294129.16464752</v>
      </c>
    </row>
    <row r="193" spans="1:7" ht="21.75" customHeight="1" x14ac:dyDescent="0.2">
      <c r="A193" s="42"/>
      <c r="B193" s="24" t="s">
        <v>678</v>
      </c>
      <c r="C193" s="35"/>
      <c r="D193" s="20" t="s">
        <v>21</v>
      </c>
      <c r="E193" s="21"/>
      <c r="F193" s="21">
        <v>25000</v>
      </c>
      <c r="G193" s="62">
        <f t="shared" si="4"/>
        <v>197269129.16464752</v>
      </c>
    </row>
    <row r="194" spans="1:7" ht="21.75" customHeight="1" x14ac:dyDescent="0.2">
      <c r="A194" s="42"/>
      <c r="B194" s="24" t="s">
        <v>678</v>
      </c>
      <c r="C194" s="35"/>
      <c r="D194" s="20" t="s">
        <v>68</v>
      </c>
      <c r="E194" s="81">
        <v>7640.16</v>
      </c>
      <c r="F194" s="81"/>
      <c r="G194" s="62">
        <f t="shared" si="4"/>
        <v>197276769.32464752</v>
      </c>
    </row>
    <row r="195" spans="1:7" ht="21.75" customHeight="1" x14ac:dyDescent="0.2">
      <c r="A195" s="42"/>
      <c r="B195" s="24" t="s">
        <v>678</v>
      </c>
      <c r="C195" s="35"/>
      <c r="D195" s="20" t="s">
        <v>69</v>
      </c>
      <c r="E195" s="81"/>
      <c r="F195" s="81">
        <v>1528.03</v>
      </c>
      <c r="G195" s="62">
        <f t="shared" si="4"/>
        <v>197275241.29464751</v>
      </c>
    </row>
    <row r="196" spans="1:7" ht="21.75" customHeight="1" x14ac:dyDescent="0.2">
      <c r="A196" s="42"/>
      <c r="B196" s="24"/>
      <c r="C196" s="35"/>
      <c r="D196" s="20"/>
      <c r="E196" s="21"/>
      <c r="F196" s="21"/>
      <c r="G196" s="62"/>
    </row>
    <row r="197" spans="1:7" ht="21.75" customHeight="1" x14ac:dyDescent="0.2">
      <c r="A197" s="42"/>
      <c r="B197" s="24"/>
      <c r="C197" s="35"/>
      <c r="D197" s="20"/>
      <c r="E197" s="21"/>
      <c r="F197" s="21"/>
      <c r="G197" s="62"/>
    </row>
    <row r="198" spans="1:7" ht="21.75" customHeight="1" x14ac:dyDescent="0.2">
      <c r="A198" s="7"/>
      <c r="B198" s="24"/>
      <c r="C198" s="36"/>
      <c r="D198" s="20"/>
      <c r="E198" s="21"/>
      <c r="F198" s="21"/>
      <c r="G198" s="39"/>
    </row>
    <row r="199" spans="1:7" ht="14.25" x14ac:dyDescent="0.2">
      <c r="A199" s="7"/>
      <c r="B199" s="18"/>
      <c r="C199" s="18"/>
      <c r="D199" s="18"/>
      <c r="E199" s="18"/>
      <c r="F199" s="18"/>
      <c r="G199" s="18"/>
    </row>
    <row r="200" spans="1:7" customFormat="1" ht="24.75" customHeight="1" x14ac:dyDescent="0.25">
      <c r="A200" s="72"/>
      <c r="B200" s="37"/>
      <c r="C200" s="37"/>
      <c r="D200" s="41" t="s">
        <v>10</v>
      </c>
      <c r="E200" s="38">
        <f>SUM(E10:E198)</f>
        <v>943729337.88</v>
      </c>
      <c r="F200" s="38">
        <f>SUM(F10:F198)</f>
        <v>763879365.74999988</v>
      </c>
      <c r="G200" s="38">
        <f>+G195</f>
        <v>197275241.29464751</v>
      </c>
    </row>
    <row r="201" spans="1:7" ht="14.25" x14ac:dyDescent="0.2">
      <c r="B201" s="17"/>
      <c r="C201" s="17"/>
      <c r="D201" s="17"/>
      <c r="E201" s="17"/>
      <c r="F201" s="17"/>
      <c r="G201" s="17"/>
    </row>
    <row r="202" spans="1:7" ht="14.25" x14ac:dyDescent="0.2">
      <c r="D202" s="17"/>
      <c r="F202" s="89" t="s">
        <v>693</v>
      </c>
      <c r="G202" s="89"/>
    </row>
    <row r="203" spans="1:7" x14ac:dyDescent="0.2">
      <c r="F203" s="90" t="s">
        <v>11</v>
      </c>
      <c r="G203" s="90"/>
    </row>
    <row r="206" spans="1:7" x14ac:dyDescent="0.2">
      <c r="E206" s="3" t="s">
        <v>82</v>
      </c>
      <c r="F206" s="50">
        <f>+G200</f>
        <v>197275241.29464751</v>
      </c>
    </row>
    <row r="207" spans="1:7" x14ac:dyDescent="0.2">
      <c r="E207" s="3" t="s">
        <v>83</v>
      </c>
      <c r="F207" s="51">
        <v>0</v>
      </c>
    </row>
  </sheetData>
  <mergeCells count="8">
    <mergeCell ref="F202:G202"/>
    <mergeCell ref="F203:G203"/>
    <mergeCell ref="A7:A8"/>
    <mergeCell ref="B7:B8"/>
    <mergeCell ref="D7:D8"/>
    <mergeCell ref="E7:E8"/>
    <mergeCell ref="F7:F8"/>
    <mergeCell ref="G7:G8"/>
  </mergeCells>
  <phoneticPr fontId="1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3F0C-889E-4538-817E-0CA68AE39D56}">
  <sheetPr>
    <tabColor rgb="FF0070C0"/>
  </sheetPr>
  <dimension ref="A1:K275"/>
  <sheetViews>
    <sheetView view="pageBreakPreview" topLeftCell="A188" zoomScale="60" zoomScaleNormal="90" workbookViewId="0">
      <selection activeCell="D200" sqref="D200"/>
    </sheetView>
  </sheetViews>
  <sheetFormatPr defaultColWidth="9.140625" defaultRowHeight="12.75" x14ac:dyDescent="0.2"/>
  <cols>
    <col min="1" max="1" width="9.7109375" style="3" customWidth="1"/>
    <col min="2" max="2" width="17.7109375" style="3" customWidth="1"/>
    <col min="3" max="3" width="14.85546875" style="3" customWidth="1"/>
    <col min="4" max="4" width="92" style="3" customWidth="1"/>
    <col min="5" max="5" width="22.42578125" style="3" customWidth="1"/>
    <col min="6" max="6" width="21.5703125" style="3" customWidth="1"/>
    <col min="7" max="7" width="22.7109375" style="3" customWidth="1"/>
    <col min="8" max="8" width="16.42578125" style="3" customWidth="1"/>
    <col min="9" max="9" width="12.5703125" style="3" customWidth="1"/>
    <col min="10" max="10" width="12.28515625" style="3" bestFit="1" customWidth="1"/>
    <col min="11" max="16384" width="9.140625" style="3"/>
  </cols>
  <sheetData>
    <row r="1" spans="1:11" x14ac:dyDescent="0.2">
      <c r="A1" s="2"/>
      <c r="B1" s="2"/>
      <c r="C1" s="2"/>
      <c r="D1" s="2"/>
      <c r="E1" s="2"/>
      <c r="F1" s="2"/>
      <c r="G1" s="2"/>
    </row>
    <row r="2" spans="1:11" x14ac:dyDescent="0.2">
      <c r="A2" s="2"/>
      <c r="B2" s="2"/>
      <c r="C2" s="2"/>
      <c r="D2" s="2"/>
      <c r="E2" s="2"/>
      <c r="F2" s="2"/>
      <c r="G2" s="2"/>
    </row>
    <row r="3" spans="1:11" ht="15" customHeight="1" x14ac:dyDescent="0.2">
      <c r="A3" s="4" t="s">
        <v>8</v>
      </c>
      <c r="B3" s="4"/>
    </row>
    <row r="4" spans="1:11" ht="15" customHeight="1" x14ac:dyDescent="0.2">
      <c r="A4" s="4" t="s">
        <v>85</v>
      </c>
      <c r="B4" s="4"/>
    </row>
    <row r="5" spans="1:11" ht="15" customHeight="1" x14ac:dyDescent="0.2">
      <c r="A5" s="4" t="s">
        <v>9</v>
      </c>
      <c r="B5" s="4"/>
      <c r="D5" s="5" t="s">
        <v>697</v>
      </c>
    </row>
    <row r="6" spans="1:11" ht="13.5" thickBot="1" x14ac:dyDescent="0.25"/>
    <row r="7" spans="1:11" x14ac:dyDescent="0.2">
      <c r="A7" s="91" t="s">
        <v>0</v>
      </c>
      <c r="B7" s="93" t="s">
        <v>1</v>
      </c>
      <c r="C7" s="79" t="s">
        <v>2</v>
      </c>
      <c r="D7" s="93" t="s">
        <v>4</v>
      </c>
      <c r="E7" s="93" t="s">
        <v>5</v>
      </c>
      <c r="F7" s="93" t="s">
        <v>76</v>
      </c>
      <c r="G7" s="95" t="s">
        <v>6</v>
      </c>
      <c r="H7" s="6"/>
      <c r="I7" s="2"/>
      <c r="J7" s="2"/>
      <c r="K7" s="2"/>
    </row>
    <row r="8" spans="1:11" ht="13.5" thickBot="1" x14ac:dyDescent="0.25">
      <c r="A8" s="92"/>
      <c r="B8" s="94"/>
      <c r="C8" s="80" t="s">
        <v>3</v>
      </c>
      <c r="D8" s="94"/>
      <c r="E8" s="94"/>
      <c r="F8" s="94"/>
      <c r="G8" s="96"/>
      <c r="H8" s="6"/>
      <c r="I8" s="2"/>
      <c r="J8" s="2"/>
      <c r="K8" s="2"/>
    </row>
    <row r="9" spans="1:11" s="17" customFormat="1" ht="22.35" customHeight="1" x14ac:dyDescent="0.25">
      <c r="A9" s="13"/>
      <c r="B9" s="13"/>
      <c r="C9" s="13"/>
      <c r="D9" s="14" t="s">
        <v>7</v>
      </c>
      <c r="E9" s="15">
        <v>0</v>
      </c>
      <c r="F9" s="16">
        <v>0</v>
      </c>
      <c r="G9" s="45">
        <f>+'04, APRIL 26'!G200</f>
        <v>197275241.29464751</v>
      </c>
      <c r="H9" s="33"/>
    </row>
    <row r="10" spans="1:11" s="17" customFormat="1" ht="21.75" customHeight="1" x14ac:dyDescent="0.2">
      <c r="A10" s="18"/>
      <c r="B10" s="19" t="s">
        <v>698</v>
      </c>
      <c r="C10" s="18"/>
      <c r="D10" s="20" t="s">
        <v>845</v>
      </c>
      <c r="E10" s="21"/>
      <c r="F10" s="21">
        <v>5594229</v>
      </c>
      <c r="G10" s="39">
        <f>+G9+E10-F10</f>
        <v>191681012.29464751</v>
      </c>
    </row>
    <row r="11" spans="1:11" s="17" customFormat="1" ht="21.75" customHeight="1" x14ac:dyDescent="0.2">
      <c r="A11" s="18"/>
      <c r="B11" s="24"/>
      <c r="C11" s="18"/>
      <c r="D11" s="20" t="s">
        <v>846</v>
      </c>
      <c r="E11" s="21"/>
      <c r="F11" s="21">
        <v>5594229</v>
      </c>
      <c r="G11" s="39">
        <f t="shared" ref="G11:G87" si="0">+G10+E11-F11</f>
        <v>186086783.29464751</v>
      </c>
    </row>
    <row r="12" spans="1:11" s="17" customFormat="1" ht="21.75" customHeight="1" x14ac:dyDescent="0.2">
      <c r="A12" s="18"/>
      <c r="B12" s="24"/>
      <c r="C12" s="18"/>
      <c r="D12" s="20" t="s">
        <v>78</v>
      </c>
      <c r="E12" s="21">
        <v>549956</v>
      </c>
      <c r="F12" s="21"/>
      <c r="G12" s="39">
        <f t="shared" si="0"/>
        <v>186636739.29464751</v>
      </c>
    </row>
    <row r="13" spans="1:11" s="17" customFormat="1" ht="21.75" customHeight="1" x14ac:dyDescent="0.2">
      <c r="A13" s="18"/>
      <c r="B13" s="24"/>
      <c r="C13" s="18"/>
      <c r="D13" s="20" t="s">
        <v>77</v>
      </c>
      <c r="E13" s="21">
        <v>60552</v>
      </c>
      <c r="F13" s="21"/>
      <c r="G13" s="39">
        <f t="shared" si="0"/>
        <v>186697291.29464751</v>
      </c>
    </row>
    <row r="14" spans="1:11" s="17" customFormat="1" ht="21.75" customHeight="1" x14ac:dyDescent="0.2">
      <c r="A14" s="18"/>
      <c r="B14" s="24"/>
      <c r="C14" s="18"/>
      <c r="D14" s="20" t="s">
        <v>699</v>
      </c>
      <c r="E14" s="21"/>
      <c r="F14" s="21">
        <v>3600000</v>
      </c>
      <c r="G14" s="39">
        <f t="shared" si="0"/>
        <v>183097291.29464751</v>
      </c>
    </row>
    <row r="15" spans="1:11" s="17" customFormat="1" ht="21.75" customHeight="1" x14ac:dyDescent="0.2">
      <c r="A15" s="18"/>
      <c r="B15" s="24"/>
      <c r="C15" s="18"/>
      <c r="D15" s="20" t="s">
        <v>21</v>
      </c>
      <c r="E15" s="21"/>
      <c r="F15" s="21">
        <v>2500</v>
      </c>
      <c r="G15" s="39">
        <f t="shared" si="0"/>
        <v>183094791.29464751</v>
      </c>
    </row>
    <row r="16" spans="1:11" s="17" customFormat="1" ht="21.75" customHeight="1" x14ac:dyDescent="0.2">
      <c r="A16" s="18"/>
      <c r="B16" s="24"/>
      <c r="C16" s="18"/>
      <c r="D16" s="20" t="s">
        <v>856</v>
      </c>
      <c r="E16" s="21"/>
      <c r="F16" s="21">
        <v>8745000</v>
      </c>
      <c r="G16" s="39">
        <f t="shared" si="0"/>
        <v>174349791.29464751</v>
      </c>
    </row>
    <row r="17" spans="1:7" s="17" customFormat="1" ht="21.75" customHeight="1" x14ac:dyDescent="0.2">
      <c r="A17" s="18"/>
      <c r="B17" s="24"/>
      <c r="C17" s="18"/>
      <c r="D17" s="20" t="s">
        <v>702</v>
      </c>
      <c r="E17" s="21"/>
      <c r="F17" s="21">
        <v>56276389</v>
      </c>
      <c r="G17" s="39">
        <f t="shared" si="0"/>
        <v>118073402.29464751</v>
      </c>
    </row>
    <row r="18" spans="1:7" s="17" customFormat="1" ht="21.75" customHeight="1" x14ac:dyDescent="0.2">
      <c r="A18" s="18"/>
      <c r="B18" s="24"/>
      <c r="C18" s="18"/>
      <c r="D18" s="20" t="s">
        <v>21</v>
      </c>
      <c r="E18" s="21"/>
      <c r="F18" s="21">
        <v>2500</v>
      </c>
      <c r="G18" s="39">
        <f t="shared" si="0"/>
        <v>118070902.29464751</v>
      </c>
    </row>
    <row r="19" spans="1:7" s="17" customFormat="1" ht="21.75" customHeight="1" x14ac:dyDescent="0.2">
      <c r="A19" s="18"/>
      <c r="B19" s="24"/>
      <c r="C19" s="18"/>
      <c r="D19" s="20" t="s">
        <v>701</v>
      </c>
      <c r="E19" s="21"/>
      <c r="F19" s="21">
        <v>1217986</v>
      </c>
      <c r="G19" s="39">
        <f t="shared" si="0"/>
        <v>116852916.29464751</v>
      </c>
    </row>
    <row r="20" spans="1:7" s="17" customFormat="1" ht="21.75" customHeight="1" x14ac:dyDescent="0.2">
      <c r="A20" s="18"/>
      <c r="B20" s="24"/>
      <c r="C20" s="24"/>
      <c r="D20" s="20" t="s">
        <v>703</v>
      </c>
      <c r="E20" s="21"/>
      <c r="F20" s="21">
        <v>874875</v>
      </c>
      <c r="G20" s="39">
        <f t="shared" si="0"/>
        <v>115978041.29464751</v>
      </c>
    </row>
    <row r="21" spans="1:7" s="17" customFormat="1" ht="21.75" customHeight="1" x14ac:dyDescent="0.2">
      <c r="A21" s="18"/>
      <c r="B21" s="24"/>
      <c r="C21" s="18"/>
      <c r="D21" s="20" t="s">
        <v>704</v>
      </c>
      <c r="E21" s="21"/>
      <c r="F21" s="21">
        <v>335000</v>
      </c>
      <c r="G21" s="39">
        <f t="shared" si="0"/>
        <v>115643041.29464751</v>
      </c>
    </row>
    <row r="22" spans="1:7" s="17" customFormat="1" ht="21.75" customHeight="1" x14ac:dyDescent="0.2">
      <c r="A22" s="18"/>
      <c r="B22" s="19" t="s">
        <v>700</v>
      </c>
      <c r="C22" s="18"/>
      <c r="D22" s="20" t="s">
        <v>705</v>
      </c>
      <c r="E22" s="21"/>
      <c r="F22" s="21">
        <v>19500000</v>
      </c>
      <c r="G22" s="39">
        <f t="shared" si="0"/>
        <v>96143041.294647515</v>
      </c>
    </row>
    <row r="23" spans="1:7" s="17" customFormat="1" ht="21.75" customHeight="1" x14ac:dyDescent="0.2">
      <c r="A23" s="18"/>
      <c r="B23" s="19" t="s">
        <v>709</v>
      </c>
      <c r="C23" s="18"/>
      <c r="D23" s="20" t="s">
        <v>706</v>
      </c>
      <c r="E23" s="21">
        <v>1000000</v>
      </c>
      <c r="F23" s="21"/>
      <c r="G23" s="39">
        <f t="shared" si="0"/>
        <v>97143041.294647515</v>
      </c>
    </row>
    <row r="24" spans="1:7" s="17" customFormat="1" ht="21.75" customHeight="1" x14ac:dyDescent="0.2">
      <c r="A24" s="18"/>
      <c r="B24" s="19" t="s">
        <v>710</v>
      </c>
      <c r="C24" s="18"/>
      <c r="D24" s="20" t="s">
        <v>387</v>
      </c>
      <c r="E24" s="21">
        <v>0</v>
      </c>
      <c r="F24" s="21">
        <v>60552</v>
      </c>
      <c r="G24" s="39">
        <f t="shared" si="0"/>
        <v>97082489.294647515</v>
      </c>
    </row>
    <row r="25" spans="1:7" s="17" customFormat="1" ht="21.75" customHeight="1" x14ac:dyDescent="0.2">
      <c r="A25" s="18"/>
      <c r="B25" s="24"/>
      <c r="C25" s="18"/>
      <c r="D25" s="20" t="s">
        <v>643</v>
      </c>
      <c r="E25" s="21">
        <v>0</v>
      </c>
      <c r="F25" s="21">
        <v>1924846</v>
      </c>
      <c r="G25" s="39">
        <f t="shared" si="0"/>
        <v>95157643.294647515</v>
      </c>
    </row>
    <row r="26" spans="1:7" s="17" customFormat="1" ht="21.75" customHeight="1" x14ac:dyDescent="0.2">
      <c r="A26" s="18"/>
      <c r="B26" s="24"/>
      <c r="C26" s="18"/>
      <c r="D26" s="20" t="s">
        <v>707</v>
      </c>
      <c r="E26" s="21"/>
      <c r="F26" s="21">
        <v>2453175</v>
      </c>
      <c r="G26" s="39">
        <f t="shared" si="0"/>
        <v>92704468.294647515</v>
      </c>
    </row>
    <row r="27" spans="1:7" s="17" customFormat="1" ht="21.75" customHeight="1" x14ac:dyDescent="0.25">
      <c r="A27" s="18"/>
      <c r="B27" s="24"/>
      <c r="C27" s="18"/>
      <c r="D27" s="20" t="s">
        <v>708</v>
      </c>
      <c r="E27" s="21"/>
      <c r="F27" s="21">
        <v>5315708</v>
      </c>
      <c r="G27" s="56">
        <f t="shared" si="0"/>
        <v>87388760.294647515</v>
      </c>
    </row>
    <row r="28" spans="1:7" s="17" customFormat="1" ht="21.75" customHeight="1" x14ac:dyDescent="0.2">
      <c r="A28" s="18"/>
      <c r="B28" s="24"/>
      <c r="C28" s="18"/>
      <c r="D28" s="20" t="s">
        <v>623</v>
      </c>
      <c r="E28" s="21"/>
      <c r="F28" s="21">
        <v>9899208</v>
      </c>
      <c r="G28" s="39">
        <f t="shared" si="0"/>
        <v>77489552.294647515</v>
      </c>
    </row>
    <row r="29" spans="1:7" s="17" customFormat="1" ht="21.75" customHeight="1" x14ac:dyDescent="0.2">
      <c r="A29" s="18"/>
      <c r="B29" s="24"/>
      <c r="C29" s="18"/>
      <c r="D29" s="20" t="s">
        <v>141</v>
      </c>
      <c r="E29" s="21"/>
      <c r="F29" s="21">
        <v>15194488</v>
      </c>
      <c r="G29" s="39">
        <f t="shared" si="0"/>
        <v>62295064.294647515</v>
      </c>
    </row>
    <row r="30" spans="1:7" s="17" customFormat="1" ht="21.75" customHeight="1" x14ac:dyDescent="0.2">
      <c r="A30" s="18"/>
      <c r="B30" s="24"/>
      <c r="C30" s="18"/>
      <c r="D30" s="20" t="s">
        <v>713</v>
      </c>
      <c r="E30" s="21"/>
      <c r="F30" s="21">
        <v>20289466</v>
      </c>
      <c r="G30" s="39">
        <f t="shared" si="0"/>
        <v>42005598.294647515</v>
      </c>
    </row>
    <row r="31" spans="1:7" s="17" customFormat="1" ht="21.75" customHeight="1" x14ac:dyDescent="0.2">
      <c r="A31" s="18"/>
      <c r="B31" s="24"/>
      <c r="C31" s="18"/>
      <c r="D31" s="20" t="s">
        <v>142</v>
      </c>
      <c r="E31" s="21"/>
      <c r="F31" s="21">
        <v>3353804</v>
      </c>
      <c r="G31" s="39">
        <f t="shared" si="0"/>
        <v>38651794.294647515</v>
      </c>
    </row>
    <row r="32" spans="1:7" s="17" customFormat="1" ht="21.75" customHeight="1" x14ac:dyDescent="0.2">
      <c r="A32" s="18"/>
      <c r="B32" s="24"/>
      <c r="C32" s="18"/>
      <c r="D32" s="20" t="s">
        <v>560</v>
      </c>
      <c r="E32" s="21">
        <v>200000</v>
      </c>
      <c r="F32" s="21"/>
      <c r="G32" s="39">
        <f t="shared" si="0"/>
        <v>38851794.294647515</v>
      </c>
    </row>
    <row r="33" spans="1:7" s="17" customFormat="1" ht="21.75" customHeight="1" x14ac:dyDescent="0.2">
      <c r="A33" s="18"/>
      <c r="B33" s="24"/>
      <c r="C33" s="18"/>
      <c r="D33" s="20" t="s">
        <v>561</v>
      </c>
      <c r="E33" s="21">
        <v>100000</v>
      </c>
      <c r="F33" s="21"/>
      <c r="G33" s="39">
        <f t="shared" si="0"/>
        <v>38951794.294647515</v>
      </c>
    </row>
    <row r="34" spans="1:7" s="17" customFormat="1" ht="21.75" customHeight="1" x14ac:dyDescent="0.2">
      <c r="A34" s="18"/>
      <c r="B34" s="24"/>
      <c r="C34" s="18"/>
      <c r="D34" s="20" t="s">
        <v>711</v>
      </c>
      <c r="E34" s="21">
        <v>100000</v>
      </c>
      <c r="F34" s="21"/>
      <c r="G34" s="39">
        <f t="shared" si="0"/>
        <v>39051794.294647515</v>
      </c>
    </row>
    <row r="35" spans="1:7" s="17" customFormat="1" ht="21.75" customHeight="1" x14ac:dyDescent="0.2">
      <c r="A35" s="18"/>
      <c r="B35" s="24"/>
      <c r="C35" s="18"/>
      <c r="D35" s="20" t="s">
        <v>712</v>
      </c>
      <c r="E35" s="21">
        <v>161863363</v>
      </c>
      <c r="F35" s="21"/>
      <c r="G35" s="39">
        <f t="shared" si="0"/>
        <v>200915157.29464751</v>
      </c>
    </row>
    <row r="36" spans="1:7" s="17" customFormat="1" ht="21.75" customHeight="1" x14ac:dyDescent="0.2">
      <c r="A36" s="18"/>
      <c r="B36" s="24"/>
      <c r="C36" s="18"/>
      <c r="D36" s="20" t="s">
        <v>583</v>
      </c>
      <c r="E36" s="21">
        <v>5041</v>
      </c>
      <c r="F36" s="21"/>
      <c r="G36" s="39">
        <f t="shared" si="0"/>
        <v>200920198.29464751</v>
      </c>
    </row>
    <row r="37" spans="1:7" s="17" customFormat="1" ht="21.75" customHeight="1" x14ac:dyDescent="0.25">
      <c r="A37" s="18"/>
      <c r="B37" s="24"/>
      <c r="C37" s="18"/>
      <c r="D37" s="77" t="s">
        <v>724</v>
      </c>
      <c r="E37" s="21">
        <v>0</v>
      </c>
      <c r="F37" s="21"/>
      <c r="G37" s="39">
        <f t="shared" si="0"/>
        <v>200920198.29464751</v>
      </c>
    </row>
    <row r="38" spans="1:7" s="17" customFormat="1" ht="21.75" customHeight="1" x14ac:dyDescent="0.2">
      <c r="A38" s="18"/>
      <c r="B38" s="24"/>
      <c r="C38" s="18"/>
      <c r="D38" s="20" t="s">
        <v>725</v>
      </c>
      <c r="E38" s="21">
        <v>8050000</v>
      </c>
      <c r="F38" s="21"/>
      <c r="G38" s="39">
        <f t="shared" si="0"/>
        <v>208970198.29464751</v>
      </c>
    </row>
    <row r="39" spans="1:7" s="17" customFormat="1" ht="21.75" customHeight="1" x14ac:dyDescent="0.2">
      <c r="A39" s="18"/>
      <c r="B39" s="24"/>
      <c r="C39" s="18"/>
      <c r="D39" s="20" t="s">
        <v>726</v>
      </c>
      <c r="E39" s="21">
        <v>4400000</v>
      </c>
      <c r="F39" s="21"/>
      <c r="G39" s="39">
        <f t="shared" si="0"/>
        <v>213370198.29464751</v>
      </c>
    </row>
    <row r="40" spans="1:7" s="17" customFormat="1" ht="21.75" customHeight="1" x14ac:dyDescent="0.2">
      <c r="A40" s="18"/>
      <c r="B40" s="24"/>
      <c r="C40" s="18"/>
      <c r="D40" s="20" t="s">
        <v>727</v>
      </c>
      <c r="E40" s="21">
        <v>13450000</v>
      </c>
      <c r="F40" s="21"/>
      <c r="G40" s="39">
        <f t="shared" si="0"/>
        <v>226820198.29464751</v>
      </c>
    </row>
    <row r="41" spans="1:7" s="17" customFormat="1" ht="21.75" customHeight="1" x14ac:dyDescent="0.2">
      <c r="A41" s="18"/>
      <c r="B41" s="24"/>
      <c r="C41" s="18"/>
      <c r="D41" s="20" t="s">
        <v>450</v>
      </c>
      <c r="E41" s="21">
        <v>1755000</v>
      </c>
      <c r="F41" s="21"/>
      <c r="G41" s="39">
        <f t="shared" si="0"/>
        <v>228575198.29464751</v>
      </c>
    </row>
    <row r="42" spans="1:7" s="17" customFormat="1" ht="21.75" customHeight="1" x14ac:dyDescent="0.2">
      <c r="A42" s="18"/>
      <c r="B42" s="24"/>
      <c r="C42" s="18"/>
      <c r="D42" s="20" t="s">
        <v>728</v>
      </c>
      <c r="E42" s="21">
        <v>1400000</v>
      </c>
      <c r="F42" s="21"/>
      <c r="G42" s="39">
        <f t="shared" si="0"/>
        <v>229975198.29464751</v>
      </c>
    </row>
    <row r="43" spans="1:7" s="17" customFormat="1" ht="21.75" customHeight="1" x14ac:dyDescent="0.2">
      <c r="A43" s="18"/>
      <c r="B43" s="24"/>
      <c r="C43" s="18"/>
      <c r="D43" s="20" t="s">
        <v>449</v>
      </c>
      <c r="E43" s="21">
        <v>185750</v>
      </c>
      <c r="F43" s="21"/>
      <c r="G43" s="39">
        <f t="shared" si="0"/>
        <v>230160948.29464751</v>
      </c>
    </row>
    <row r="44" spans="1:7" s="17" customFormat="1" ht="21.75" customHeight="1" x14ac:dyDescent="0.2">
      <c r="A44" s="18"/>
      <c r="B44" s="24"/>
      <c r="C44" s="18"/>
      <c r="D44" s="20" t="s">
        <v>729</v>
      </c>
      <c r="E44" s="21">
        <v>0</v>
      </c>
      <c r="F44" s="21"/>
      <c r="G44" s="39">
        <f t="shared" si="0"/>
        <v>230160948.29464751</v>
      </c>
    </row>
    <row r="45" spans="1:7" s="17" customFormat="1" ht="21.75" customHeight="1" x14ac:dyDescent="0.2">
      <c r="A45" s="18"/>
      <c r="B45" s="24"/>
      <c r="C45" s="18"/>
      <c r="D45" s="20" t="s">
        <v>730</v>
      </c>
      <c r="E45" s="21">
        <v>0</v>
      </c>
      <c r="F45" s="21"/>
      <c r="G45" s="39">
        <f t="shared" si="0"/>
        <v>230160948.29464751</v>
      </c>
    </row>
    <row r="46" spans="1:7" s="17" customFormat="1" ht="21.75" customHeight="1" x14ac:dyDescent="0.2">
      <c r="A46" s="18"/>
      <c r="B46" s="24"/>
      <c r="C46" s="18"/>
      <c r="D46" s="20" t="s">
        <v>13</v>
      </c>
      <c r="E46" s="21">
        <v>1190000</v>
      </c>
      <c r="F46" s="21"/>
      <c r="G46" s="39">
        <f t="shared" si="0"/>
        <v>231350948.29464751</v>
      </c>
    </row>
    <row r="47" spans="1:7" s="17" customFormat="1" ht="21.75" customHeight="1" x14ac:dyDescent="0.2">
      <c r="A47" s="18"/>
      <c r="B47" s="24"/>
      <c r="C47" s="18"/>
      <c r="D47" s="20" t="s">
        <v>15</v>
      </c>
      <c r="E47" s="21">
        <v>2400000</v>
      </c>
      <c r="F47" s="21"/>
      <c r="G47" s="39">
        <f t="shared" si="0"/>
        <v>233750948.29464751</v>
      </c>
    </row>
    <row r="48" spans="1:7" s="17" customFormat="1" ht="21.75" customHeight="1" x14ac:dyDescent="0.2">
      <c r="A48" s="18"/>
      <c r="B48" s="24"/>
      <c r="C48" s="18"/>
      <c r="D48" s="20" t="s">
        <v>16</v>
      </c>
      <c r="E48" s="21">
        <v>3450000</v>
      </c>
      <c r="F48" s="21"/>
      <c r="G48" s="39">
        <f t="shared" si="0"/>
        <v>237200948.29464751</v>
      </c>
    </row>
    <row r="49" spans="1:8" s="17" customFormat="1" ht="21.75" customHeight="1" x14ac:dyDescent="0.2">
      <c r="A49" s="18"/>
      <c r="B49" s="24"/>
      <c r="C49" s="18"/>
      <c r="D49" s="20" t="s">
        <v>591</v>
      </c>
      <c r="E49" s="21">
        <v>2456667</v>
      </c>
      <c r="F49" s="21"/>
      <c r="G49" s="39">
        <f t="shared" si="0"/>
        <v>239657615.29464751</v>
      </c>
    </row>
    <row r="50" spans="1:8" s="17" customFormat="1" ht="21.75" customHeight="1" x14ac:dyDescent="0.2">
      <c r="A50" s="18"/>
      <c r="B50" s="24"/>
      <c r="C50" s="18"/>
      <c r="D50" s="20" t="s">
        <v>18</v>
      </c>
      <c r="E50" s="21">
        <v>0</v>
      </c>
      <c r="F50" s="21"/>
      <c r="G50" s="39">
        <f t="shared" si="0"/>
        <v>239657615.29464751</v>
      </c>
    </row>
    <row r="51" spans="1:8" s="17" customFormat="1" ht="21.75" customHeight="1" x14ac:dyDescent="0.2">
      <c r="A51" s="18"/>
      <c r="B51" s="24"/>
      <c r="C51" s="18"/>
      <c r="D51" s="20" t="s">
        <v>17</v>
      </c>
      <c r="E51" s="21">
        <v>0</v>
      </c>
      <c r="F51" s="21"/>
      <c r="G51" s="39">
        <f t="shared" si="0"/>
        <v>239657615.29464751</v>
      </c>
    </row>
    <row r="52" spans="1:8" s="17" customFormat="1" ht="21.75" customHeight="1" x14ac:dyDescent="0.2">
      <c r="A52" s="18"/>
      <c r="B52" s="24"/>
      <c r="C52" s="18"/>
      <c r="D52" s="20" t="s">
        <v>723</v>
      </c>
      <c r="E52" s="21"/>
      <c r="F52" s="21">
        <v>50810816</v>
      </c>
      <c r="G52" s="39">
        <f>+G51+E52-F52</f>
        <v>188846799.29464751</v>
      </c>
    </row>
    <row r="53" spans="1:8" s="17" customFormat="1" ht="21.75" customHeight="1" x14ac:dyDescent="0.2">
      <c r="A53" s="18"/>
      <c r="B53" s="24"/>
      <c r="C53" s="18"/>
      <c r="D53" s="20" t="s">
        <v>722</v>
      </c>
      <c r="E53" s="21"/>
      <c r="F53" s="21">
        <v>51067154</v>
      </c>
      <c r="G53" s="39">
        <f>+G52+E53-F53</f>
        <v>137779645.29464751</v>
      </c>
    </row>
    <row r="54" spans="1:8" s="17" customFormat="1" ht="21.75" customHeight="1" x14ac:dyDescent="0.2">
      <c r="A54" s="18"/>
      <c r="B54" s="24"/>
      <c r="C54" s="18"/>
      <c r="D54" s="20" t="s">
        <v>21</v>
      </c>
      <c r="E54" s="21"/>
      <c r="F54" s="21">
        <v>2500</v>
      </c>
      <c r="G54" s="39">
        <f t="shared" ref="G54:G73" si="1">+G53+E54-F54</f>
        <v>137777145.29464751</v>
      </c>
    </row>
    <row r="55" spans="1:8" s="17" customFormat="1" ht="21.75" customHeight="1" x14ac:dyDescent="0.2">
      <c r="A55" s="18"/>
      <c r="B55" s="24"/>
      <c r="C55" s="18"/>
      <c r="D55" s="20" t="s">
        <v>716</v>
      </c>
      <c r="E55" s="21"/>
      <c r="F55" s="21">
        <v>17662500</v>
      </c>
      <c r="G55" s="39">
        <f t="shared" si="1"/>
        <v>120114645.29464751</v>
      </c>
    </row>
    <row r="56" spans="1:8" s="17" customFormat="1" ht="21.75" customHeight="1" x14ac:dyDescent="0.2">
      <c r="A56" s="18"/>
      <c r="B56" s="24"/>
      <c r="C56" s="18"/>
      <c r="D56" s="20" t="s">
        <v>715</v>
      </c>
      <c r="E56" s="21"/>
      <c r="F56" s="21">
        <v>5000000</v>
      </c>
      <c r="G56" s="39">
        <f t="shared" si="1"/>
        <v>115114645.29464751</v>
      </c>
    </row>
    <row r="57" spans="1:8" s="17" customFormat="1" ht="21.75" customHeight="1" x14ac:dyDescent="0.2">
      <c r="A57" s="18"/>
      <c r="B57" s="24"/>
      <c r="C57" s="18"/>
      <c r="D57" s="20" t="s">
        <v>21</v>
      </c>
      <c r="E57" s="21"/>
      <c r="F57" s="21">
        <v>2500</v>
      </c>
      <c r="G57" s="39">
        <f t="shared" si="1"/>
        <v>115112145.29464751</v>
      </c>
    </row>
    <row r="58" spans="1:8" s="17" customFormat="1" ht="21.75" customHeight="1" x14ac:dyDescent="0.2">
      <c r="A58" s="18"/>
      <c r="B58" s="24"/>
      <c r="C58" s="18"/>
      <c r="D58" s="20" t="s">
        <v>714</v>
      </c>
      <c r="E58" s="21"/>
      <c r="F58" s="21">
        <v>3500000</v>
      </c>
      <c r="G58" s="39">
        <f t="shared" si="1"/>
        <v>111612145.29464751</v>
      </c>
    </row>
    <row r="59" spans="1:8" s="17" customFormat="1" ht="21.75" customHeight="1" x14ac:dyDescent="0.2">
      <c r="A59" s="18"/>
      <c r="B59" s="24"/>
      <c r="C59" s="18"/>
      <c r="D59" s="20" t="s">
        <v>21</v>
      </c>
      <c r="E59" s="21"/>
      <c r="F59" s="21">
        <v>2900</v>
      </c>
      <c r="G59" s="39">
        <f t="shared" si="1"/>
        <v>111609245.29464751</v>
      </c>
    </row>
    <row r="60" spans="1:8" s="17" customFormat="1" ht="21.75" customHeight="1" x14ac:dyDescent="0.2">
      <c r="A60" s="18"/>
      <c r="B60" s="24"/>
      <c r="C60" s="18"/>
      <c r="D60" s="20" t="s">
        <v>721</v>
      </c>
      <c r="E60" s="21"/>
      <c r="F60" s="21">
        <v>37678000</v>
      </c>
      <c r="G60" s="39">
        <f t="shared" si="1"/>
        <v>73931245.294647515</v>
      </c>
    </row>
    <row r="61" spans="1:8" s="17" customFormat="1" ht="21.75" customHeight="1" x14ac:dyDescent="0.2">
      <c r="A61" s="18"/>
      <c r="B61" s="24"/>
      <c r="C61" s="18"/>
      <c r="D61" s="20" t="s">
        <v>720</v>
      </c>
      <c r="E61" s="21"/>
      <c r="F61" s="21">
        <v>7600000</v>
      </c>
      <c r="G61" s="39">
        <f t="shared" si="1"/>
        <v>66331245.294647515</v>
      </c>
      <c r="H61" s="34"/>
    </row>
    <row r="62" spans="1:8" s="17" customFormat="1" ht="21.75" customHeight="1" x14ac:dyDescent="0.2">
      <c r="A62" s="18"/>
      <c r="B62" s="24"/>
      <c r="C62" s="18"/>
      <c r="D62" s="20" t="s">
        <v>719</v>
      </c>
      <c r="E62" s="21"/>
      <c r="F62" s="66">
        <v>9025125</v>
      </c>
      <c r="G62" s="39">
        <f t="shared" si="1"/>
        <v>57306120.294647515</v>
      </c>
      <c r="H62" s="34"/>
    </row>
    <row r="63" spans="1:8" s="17" customFormat="1" ht="21.75" customHeight="1" x14ac:dyDescent="0.2">
      <c r="A63" s="18"/>
      <c r="B63" s="24"/>
      <c r="C63" s="18"/>
      <c r="D63" s="20" t="s">
        <v>21</v>
      </c>
      <c r="E63" s="21"/>
      <c r="F63" s="21">
        <v>2500</v>
      </c>
      <c r="G63" s="39">
        <f t="shared" si="1"/>
        <v>57303620.294647515</v>
      </c>
      <c r="H63" s="33"/>
    </row>
    <row r="64" spans="1:8" s="17" customFormat="1" ht="21.75" customHeight="1" x14ac:dyDescent="0.2">
      <c r="A64" s="18"/>
      <c r="B64" s="24"/>
      <c r="C64" s="18"/>
      <c r="D64" s="20" t="s">
        <v>718</v>
      </c>
      <c r="E64" s="21"/>
      <c r="F64" s="21">
        <v>9350000</v>
      </c>
      <c r="G64" s="39">
        <f t="shared" si="1"/>
        <v>47953620.294647515</v>
      </c>
    </row>
    <row r="65" spans="1:7" s="17" customFormat="1" ht="21.75" customHeight="1" x14ac:dyDescent="0.25">
      <c r="A65" s="18"/>
      <c r="B65" s="24"/>
      <c r="C65" s="18"/>
      <c r="D65" s="20" t="s">
        <v>717</v>
      </c>
      <c r="E65" s="21"/>
      <c r="F65" s="21">
        <v>10605136</v>
      </c>
      <c r="G65" s="56">
        <f>+G64+E65-F65-180</f>
        <v>37348304.294647515</v>
      </c>
    </row>
    <row r="66" spans="1:7" s="17" customFormat="1" ht="21.75" customHeight="1" x14ac:dyDescent="0.2">
      <c r="A66" s="18"/>
      <c r="B66" s="24"/>
      <c r="C66" s="18"/>
      <c r="D66" s="20" t="s">
        <v>732</v>
      </c>
      <c r="E66" s="21"/>
      <c r="F66" s="21">
        <v>5250000</v>
      </c>
      <c r="G66" s="39">
        <f t="shared" si="1"/>
        <v>32098304.294647515</v>
      </c>
    </row>
    <row r="67" spans="1:7" s="17" customFormat="1" ht="21.75" customHeight="1" x14ac:dyDescent="0.2">
      <c r="A67" s="18"/>
      <c r="B67" s="24"/>
      <c r="C67" s="18"/>
      <c r="D67" s="20" t="s">
        <v>733</v>
      </c>
      <c r="E67" s="21">
        <v>3400000</v>
      </c>
      <c r="F67" s="21"/>
      <c r="G67" s="39">
        <f t="shared" si="1"/>
        <v>35498304.294647515</v>
      </c>
    </row>
    <row r="68" spans="1:7" s="17" customFormat="1" ht="21.75" customHeight="1" x14ac:dyDescent="0.2">
      <c r="A68" s="18"/>
      <c r="B68" s="19" t="s">
        <v>731</v>
      </c>
      <c r="C68" s="18"/>
      <c r="D68" s="20" t="s">
        <v>734</v>
      </c>
      <c r="E68" s="21"/>
      <c r="F68" s="21">
        <v>4000000</v>
      </c>
      <c r="G68" s="39">
        <f t="shared" si="1"/>
        <v>31498304.294647515</v>
      </c>
    </row>
    <row r="69" spans="1:7" s="17" customFormat="1" ht="21.75" customHeight="1" x14ac:dyDescent="0.2">
      <c r="A69" s="18"/>
      <c r="B69" s="24"/>
      <c r="C69" s="18"/>
      <c r="D69" s="20" t="s">
        <v>735</v>
      </c>
      <c r="E69" s="21"/>
      <c r="F69" s="21">
        <v>3000000</v>
      </c>
      <c r="G69" s="39">
        <f t="shared" si="1"/>
        <v>28498304.294647515</v>
      </c>
    </row>
    <row r="70" spans="1:7" s="17" customFormat="1" ht="21.75" customHeight="1" x14ac:dyDescent="0.2">
      <c r="A70" s="18"/>
      <c r="B70" s="24"/>
      <c r="C70" s="18"/>
      <c r="D70" s="23" t="s">
        <v>737</v>
      </c>
      <c r="E70" s="21">
        <v>410000</v>
      </c>
      <c r="F70" s="21">
        <v>2500000</v>
      </c>
      <c r="G70" s="39">
        <f t="shared" si="1"/>
        <v>26408304.294647515</v>
      </c>
    </row>
    <row r="71" spans="1:7" s="17" customFormat="1" ht="21.75" customHeight="1" x14ac:dyDescent="0.2">
      <c r="A71" s="18"/>
      <c r="B71" s="24"/>
      <c r="C71" s="18"/>
      <c r="D71" s="20" t="s">
        <v>738</v>
      </c>
      <c r="E71" s="21"/>
      <c r="F71" s="21">
        <v>6770000</v>
      </c>
      <c r="G71" s="39">
        <f t="shared" si="1"/>
        <v>19638304.294647515</v>
      </c>
    </row>
    <row r="72" spans="1:7" s="17" customFormat="1" ht="21.75" customHeight="1" x14ac:dyDescent="0.2">
      <c r="A72" s="18"/>
      <c r="B72" s="24"/>
      <c r="C72" s="18"/>
      <c r="D72" s="20" t="s">
        <v>739</v>
      </c>
      <c r="E72" s="21"/>
      <c r="F72" s="21">
        <v>2570000</v>
      </c>
      <c r="G72" s="39">
        <f t="shared" si="1"/>
        <v>17068304.294647515</v>
      </c>
    </row>
    <row r="73" spans="1:7" s="17" customFormat="1" ht="21.75" customHeight="1" x14ac:dyDescent="0.2">
      <c r="A73" s="18"/>
      <c r="B73" s="24"/>
      <c r="C73" s="18"/>
      <c r="D73" s="23" t="s">
        <v>736</v>
      </c>
      <c r="E73" s="21">
        <v>410000</v>
      </c>
      <c r="F73" s="21">
        <v>2500000</v>
      </c>
      <c r="G73" s="39">
        <f t="shared" si="1"/>
        <v>14978304.294647515</v>
      </c>
    </row>
    <row r="74" spans="1:7" s="17" customFormat="1" ht="21.75" customHeight="1" x14ac:dyDescent="0.2">
      <c r="A74" s="18"/>
      <c r="B74" s="24"/>
      <c r="C74" s="18"/>
      <c r="D74" s="23" t="s">
        <v>744</v>
      </c>
      <c r="E74" s="21">
        <v>625000</v>
      </c>
      <c r="F74" s="21">
        <v>2000000</v>
      </c>
      <c r="G74" s="39">
        <f t="shared" si="0"/>
        <v>13603304.294647515</v>
      </c>
    </row>
    <row r="75" spans="1:7" s="17" customFormat="1" ht="21.75" customHeight="1" x14ac:dyDescent="0.2">
      <c r="A75" s="18"/>
      <c r="B75" s="24"/>
      <c r="C75" s="18"/>
      <c r="D75" s="20" t="s">
        <v>743</v>
      </c>
      <c r="E75" s="21"/>
      <c r="F75" s="21">
        <v>2500000</v>
      </c>
      <c r="G75" s="39">
        <f t="shared" si="0"/>
        <v>11103304.294647515</v>
      </c>
    </row>
    <row r="76" spans="1:7" s="17" customFormat="1" ht="21.75" customHeight="1" x14ac:dyDescent="0.2">
      <c r="A76" s="18"/>
      <c r="B76" s="24"/>
      <c r="C76" s="18"/>
      <c r="D76" s="20" t="s">
        <v>742</v>
      </c>
      <c r="E76" s="21"/>
      <c r="F76" s="21">
        <v>4000000</v>
      </c>
      <c r="G76" s="39">
        <f t="shared" si="0"/>
        <v>7103304.2946475148</v>
      </c>
    </row>
    <row r="77" spans="1:7" s="17" customFormat="1" ht="21.75" customHeight="1" x14ac:dyDescent="0.2">
      <c r="A77" s="18"/>
      <c r="B77" s="24"/>
      <c r="C77" s="18"/>
      <c r="D77" s="78" t="s">
        <v>740</v>
      </c>
      <c r="E77" s="21"/>
      <c r="F77" s="21">
        <v>2000000</v>
      </c>
      <c r="G77" s="39">
        <f t="shared" si="0"/>
        <v>5103304.2946475148</v>
      </c>
    </row>
    <row r="78" spans="1:7" s="17" customFormat="1" ht="21.75" customHeight="1" x14ac:dyDescent="0.2">
      <c r="A78" s="18"/>
      <c r="B78" s="24"/>
      <c r="C78" s="18"/>
      <c r="D78" s="20" t="s">
        <v>452</v>
      </c>
      <c r="E78" s="21"/>
      <c r="F78" s="21">
        <v>3598000</v>
      </c>
      <c r="G78" s="39">
        <f t="shared" si="0"/>
        <v>1505304.2946475148</v>
      </c>
    </row>
    <row r="79" spans="1:7" s="17" customFormat="1" ht="21.75" customHeight="1" x14ac:dyDescent="0.2">
      <c r="A79" s="18"/>
      <c r="B79" s="24"/>
      <c r="C79" s="18"/>
      <c r="D79" s="20" t="s">
        <v>741</v>
      </c>
      <c r="E79" s="21">
        <v>2000000</v>
      </c>
      <c r="F79" s="21"/>
      <c r="G79" s="39">
        <f t="shared" si="0"/>
        <v>3505304.2946475148</v>
      </c>
    </row>
    <row r="80" spans="1:7" s="17" customFormat="1" ht="21.75" customHeight="1" x14ac:dyDescent="0.2">
      <c r="A80" s="18"/>
      <c r="B80" s="24"/>
      <c r="C80" s="24"/>
      <c r="D80" s="20" t="s">
        <v>748</v>
      </c>
      <c r="E80" s="21">
        <v>175975334</v>
      </c>
      <c r="F80" s="21"/>
      <c r="G80" s="39">
        <f t="shared" si="0"/>
        <v>179480638.29464751</v>
      </c>
    </row>
    <row r="81" spans="1:8" s="17" customFormat="1" ht="21.75" customHeight="1" x14ac:dyDescent="0.2">
      <c r="A81" s="18"/>
      <c r="B81" s="24"/>
      <c r="C81" s="24"/>
      <c r="D81" s="20" t="s">
        <v>747</v>
      </c>
      <c r="E81" s="21">
        <v>274400000</v>
      </c>
      <c r="F81" s="21"/>
      <c r="G81" s="39">
        <f t="shared" si="0"/>
        <v>453880638.29464751</v>
      </c>
    </row>
    <row r="82" spans="1:8" s="17" customFormat="1" ht="21.75" customHeight="1" x14ac:dyDescent="0.2">
      <c r="A82" s="18"/>
      <c r="B82" s="19" t="s">
        <v>745</v>
      </c>
      <c r="C82" s="18"/>
      <c r="D82" s="23" t="s">
        <v>746</v>
      </c>
      <c r="E82" s="21"/>
      <c r="F82" s="21">
        <v>2000000</v>
      </c>
      <c r="G82" s="39">
        <f t="shared" si="0"/>
        <v>451880638.29464751</v>
      </c>
      <c r="H82" s="17" t="s">
        <v>12</v>
      </c>
    </row>
    <row r="83" spans="1:8" s="17" customFormat="1" ht="21.75" customHeight="1" x14ac:dyDescent="0.2">
      <c r="A83" s="18"/>
      <c r="B83" s="24"/>
      <c r="C83" s="18"/>
      <c r="D83" s="20" t="s">
        <v>752</v>
      </c>
      <c r="E83" s="21"/>
      <c r="F83" s="21">
        <v>9947400</v>
      </c>
      <c r="G83" s="39">
        <f t="shared" si="0"/>
        <v>441933238.29464751</v>
      </c>
    </row>
    <row r="84" spans="1:8" s="17" customFormat="1" ht="21.75" customHeight="1" x14ac:dyDescent="0.2">
      <c r="A84" s="18"/>
      <c r="B84" s="24"/>
      <c r="C84" s="18"/>
      <c r="D84" s="20" t="s">
        <v>751</v>
      </c>
      <c r="E84" s="21"/>
      <c r="F84" s="21">
        <v>1000000</v>
      </c>
      <c r="G84" s="39">
        <f t="shared" si="0"/>
        <v>440933238.29464751</v>
      </c>
    </row>
    <row r="85" spans="1:8" s="17" customFormat="1" ht="21.75" customHeight="1" x14ac:dyDescent="0.2">
      <c r="A85" s="18"/>
      <c r="B85" s="19" t="s">
        <v>749</v>
      </c>
      <c r="C85" s="18"/>
      <c r="D85" s="20" t="s">
        <v>750</v>
      </c>
      <c r="E85" s="21"/>
      <c r="F85" s="21">
        <v>10000000</v>
      </c>
      <c r="G85" s="39">
        <f t="shared" si="0"/>
        <v>430933238.29464751</v>
      </c>
    </row>
    <row r="86" spans="1:8" s="17" customFormat="1" ht="21.75" customHeight="1" x14ac:dyDescent="0.25">
      <c r="A86" s="18"/>
      <c r="B86" s="24"/>
      <c r="C86" s="18"/>
      <c r="D86" s="20" t="s">
        <v>21</v>
      </c>
      <c r="E86" s="21"/>
      <c r="F86" s="21">
        <v>2500</v>
      </c>
      <c r="G86" s="56">
        <f t="shared" si="0"/>
        <v>430930738.29464751</v>
      </c>
    </row>
    <row r="87" spans="1:8" s="17" customFormat="1" ht="21.75" customHeight="1" x14ac:dyDescent="0.2">
      <c r="A87" s="18"/>
      <c r="B87" s="24"/>
      <c r="C87" s="24"/>
      <c r="D87" s="23" t="s">
        <v>753</v>
      </c>
      <c r="E87" s="21"/>
      <c r="F87" s="21">
        <v>2000000</v>
      </c>
      <c r="G87" s="39">
        <f t="shared" si="0"/>
        <v>428930738.29464751</v>
      </c>
    </row>
    <row r="88" spans="1:8" s="17" customFormat="1" ht="21.75" customHeight="1" x14ac:dyDescent="0.2">
      <c r="A88" s="18"/>
      <c r="B88" s="24"/>
      <c r="C88" s="18"/>
      <c r="D88" s="20" t="s">
        <v>21</v>
      </c>
      <c r="E88" s="21"/>
      <c r="F88" s="21">
        <v>2500</v>
      </c>
      <c r="G88" s="39">
        <f t="shared" ref="G88:G133" si="2">+G87+E88-F88</f>
        <v>428928238.29464751</v>
      </c>
    </row>
    <row r="89" spans="1:8" s="17" customFormat="1" ht="21.75" customHeight="1" x14ac:dyDescent="0.2">
      <c r="A89" s="18"/>
      <c r="B89" s="24"/>
      <c r="C89" s="18"/>
      <c r="D89" s="20" t="s">
        <v>754</v>
      </c>
      <c r="E89" s="21"/>
      <c r="F89" s="21">
        <v>2700000</v>
      </c>
      <c r="G89" s="39">
        <f t="shared" si="2"/>
        <v>426228238.29464751</v>
      </c>
    </row>
    <row r="90" spans="1:8" s="17" customFormat="1" ht="21.75" customHeight="1" x14ac:dyDescent="0.2">
      <c r="A90" s="18"/>
      <c r="B90" s="24"/>
      <c r="C90" s="18"/>
      <c r="D90" s="20" t="s">
        <v>756</v>
      </c>
      <c r="E90" s="21"/>
      <c r="F90" s="21">
        <v>200000000</v>
      </c>
      <c r="G90" s="39">
        <f t="shared" si="2"/>
        <v>226228238.29464751</v>
      </c>
    </row>
    <row r="91" spans="1:8" s="17" customFormat="1" ht="21.75" customHeight="1" x14ac:dyDescent="0.2">
      <c r="A91" s="18"/>
      <c r="B91" s="24"/>
      <c r="C91" s="18"/>
      <c r="D91" s="20" t="s">
        <v>21</v>
      </c>
      <c r="E91" s="21"/>
      <c r="F91" s="21">
        <v>2500</v>
      </c>
      <c r="G91" s="39">
        <f t="shared" si="2"/>
        <v>226225738.29464751</v>
      </c>
    </row>
    <row r="92" spans="1:8" s="17" customFormat="1" ht="21.75" customHeight="1" x14ac:dyDescent="0.2">
      <c r="A92" s="18"/>
      <c r="B92" s="24"/>
      <c r="C92" s="18"/>
      <c r="D92" s="20" t="s">
        <v>755</v>
      </c>
      <c r="E92" s="21"/>
      <c r="F92" s="21">
        <v>25000000</v>
      </c>
      <c r="G92" s="39">
        <f t="shared" si="2"/>
        <v>201225738.29464751</v>
      </c>
    </row>
    <row r="93" spans="1:8" s="17" customFormat="1" ht="21.75" customHeight="1" x14ac:dyDescent="0.2">
      <c r="A93" s="18"/>
      <c r="B93" s="24"/>
      <c r="C93" s="18"/>
      <c r="D93" s="20" t="s">
        <v>757</v>
      </c>
      <c r="E93" s="21"/>
      <c r="F93" s="21">
        <v>4000000</v>
      </c>
      <c r="G93" s="39">
        <f t="shared" si="2"/>
        <v>197225738.29464751</v>
      </c>
    </row>
    <row r="94" spans="1:8" s="17" customFormat="1" ht="21.75" customHeight="1" x14ac:dyDescent="0.2">
      <c r="A94" s="18"/>
      <c r="B94" s="24"/>
      <c r="C94" s="18"/>
      <c r="D94" s="23" t="s">
        <v>808</v>
      </c>
      <c r="E94" s="21">
        <v>500000</v>
      </c>
      <c r="F94" s="21">
        <v>3000000</v>
      </c>
      <c r="G94" s="39">
        <f t="shared" si="2"/>
        <v>194725738.29464751</v>
      </c>
    </row>
    <row r="95" spans="1:8" s="17" customFormat="1" ht="21.75" customHeight="1" x14ac:dyDescent="0.2">
      <c r="A95" s="18"/>
      <c r="B95" s="19" t="s">
        <v>759</v>
      </c>
      <c r="C95" s="18"/>
      <c r="D95" s="23" t="s">
        <v>758</v>
      </c>
      <c r="E95" s="21">
        <v>500000</v>
      </c>
      <c r="F95" s="21">
        <v>5500000</v>
      </c>
      <c r="G95" s="39">
        <f t="shared" si="2"/>
        <v>189725738.29464751</v>
      </c>
    </row>
    <row r="96" spans="1:8" s="17" customFormat="1" ht="21.75" customHeight="1" x14ac:dyDescent="0.2">
      <c r="A96" s="18"/>
      <c r="B96" s="19" t="s">
        <v>763</v>
      </c>
      <c r="C96" s="18"/>
      <c r="D96" s="23" t="s">
        <v>760</v>
      </c>
      <c r="E96" s="21">
        <v>42115945</v>
      </c>
      <c r="F96" s="21"/>
      <c r="G96" s="39">
        <f t="shared" si="2"/>
        <v>231841683.29464751</v>
      </c>
    </row>
    <row r="97" spans="1:7" s="17" customFormat="1" ht="21.75" customHeight="1" x14ac:dyDescent="0.2">
      <c r="A97" s="18"/>
      <c r="B97" s="24"/>
      <c r="C97" s="35"/>
      <c r="D97" s="20" t="s">
        <v>419</v>
      </c>
      <c r="E97" s="21"/>
      <c r="F97" s="21"/>
      <c r="G97" s="39">
        <f t="shared" si="2"/>
        <v>231841683.29464751</v>
      </c>
    </row>
    <row r="98" spans="1:7" s="17" customFormat="1" ht="21.75" customHeight="1" x14ac:dyDescent="0.2">
      <c r="A98" s="18"/>
      <c r="B98" s="24"/>
      <c r="C98" s="18"/>
      <c r="D98" s="20" t="s">
        <v>200</v>
      </c>
      <c r="E98" s="21"/>
      <c r="F98" s="21"/>
      <c r="G98" s="39">
        <f t="shared" si="2"/>
        <v>231841683.29464751</v>
      </c>
    </row>
    <row r="99" spans="1:7" s="17" customFormat="1" ht="21.75" customHeight="1" x14ac:dyDescent="0.2">
      <c r="A99" s="18"/>
      <c r="B99" s="24"/>
      <c r="C99" s="36"/>
      <c r="D99" s="20" t="s">
        <v>201</v>
      </c>
      <c r="E99" s="21"/>
      <c r="F99" s="21"/>
      <c r="G99" s="39">
        <f t="shared" si="2"/>
        <v>231841683.29464751</v>
      </c>
    </row>
    <row r="100" spans="1:7" s="17" customFormat="1" ht="21.75" customHeight="1" x14ac:dyDescent="0.2">
      <c r="A100" s="18"/>
      <c r="B100" s="24"/>
      <c r="C100" s="36"/>
      <c r="D100" s="20" t="s">
        <v>514</v>
      </c>
      <c r="E100" s="21"/>
      <c r="F100" s="21"/>
      <c r="G100" s="62">
        <f t="shared" si="2"/>
        <v>231841683.29464751</v>
      </c>
    </row>
    <row r="101" spans="1:7" s="17" customFormat="1" ht="21.75" customHeight="1" x14ac:dyDescent="0.2">
      <c r="A101" s="18"/>
      <c r="B101" s="24"/>
      <c r="C101" s="36"/>
      <c r="D101" s="20" t="s">
        <v>202</v>
      </c>
      <c r="E101" s="21"/>
      <c r="F101" s="21"/>
      <c r="G101" s="39">
        <f t="shared" si="2"/>
        <v>231841683.29464751</v>
      </c>
    </row>
    <row r="102" spans="1:7" s="17" customFormat="1" ht="21.75" customHeight="1" x14ac:dyDescent="0.2">
      <c r="A102" s="18"/>
      <c r="B102" s="24"/>
      <c r="C102" s="36"/>
      <c r="D102" s="20" t="s">
        <v>203</v>
      </c>
      <c r="E102" s="21"/>
      <c r="F102" s="21"/>
      <c r="G102" s="39">
        <f t="shared" si="2"/>
        <v>231841683.29464751</v>
      </c>
    </row>
    <row r="103" spans="1:7" s="17" customFormat="1" ht="21.75" customHeight="1" x14ac:dyDescent="0.2">
      <c r="A103" s="18"/>
      <c r="B103" s="24"/>
      <c r="C103" s="36"/>
      <c r="D103" s="20" t="s">
        <v>204</v>
      </c>
      <c r="E103" s="21"/>
      <c r="F103" s="21"/>
      <c r="G103" s="39">
        <f t="shared" si="2"/>
        <v>231841683.29464751</v>
      </c>
    </row>
    <row r="104" spans="1:7" s="17" customFormat="1" ht="21.75" customHeight="1" x14ac:dyDescent="0.2">
      <c r="A104" s="18"/>
      <c r="B104" s="24"/>
      <c r="C104" s="36"/>
      <c r="D104" s="20" t="s">
        <v>205</v>
      </c>
      <c r="E104" s="21"/>
      <c r="F104" s="21"/>
      <c r="G104" s="39">
        <f t="shared" si="2"/>
        <v>231841683.29464751</v>
      </c>
    </row>
    <row r="105" spans="1:7" s="17" customFormat="1" ht="21.75" customHeight="1" x14ac:dyDescent="0.2">
      <c r="A105" s="18"/>
      <c r="B105" s="24"/>
      <c r="C105" s="36"/>
      <c r="D105" s="20" t="s">
        <v>420</v>
      </c>
      <c r="E105" s="21"/>
      <c r="F105" s="21"/>
      <c r="G105" s="39">
        <f t="shared" si="2"/>
        <v>231841683.29464751</v>
      </c>
    </row>
    <row r="106" spans="1:7" s="17" customFormat="1" ht="21.75" customHeight="1" x14ac:dyDescent="0.2">
      <c r="A106" s="18"/>
      <c r="B106" s="24"/>
      <c r="C106" s="36"/>
      <c r="D106" s="23" t="s">
        <v>761</v>
      </c>
      <c r="E106" s="21">
        <v>15840000</v>
      </c>
      <c r="F106" s="21"/>
      <c r="G106" s="39">
        <f t="shared" si="2"/>
        <v>247681683.29464751</v>
      </c>
    </row>
    <row r="107" spans="1:7" s="17" customFormat="1" ht="21.75" customHeight="1" x14ac:dyDescent="0.2">
      <c r="A107" s="18"/>
      <c r="B107" s="24"/>
      <c r="C107" s="36"/>
      <c r="D107" s="20" t="s">
        <v>424</v>
      </c>
      <c r="E107" s="21"/>
      <c r="F107" s="39"/>
      <c r="G107" s="39">
        <f t="shared" si="2"/>
        <v>247681683.29464751</v>
      </c>
    </row>
    <row r="108" spans="1:7" s="17" customFormat="1" ht="21.75" customHeight="1" x14ac:dyDescent="0.2">
      <c r="A108" s="18"/>
      <c r="B108" s="24"/>
      <c r="C108" s="36"/>
      <c r="D108" s="20" t="s">
        <v>425</v>
      </c>
      <c r="E108" s="21"/>
      <c r="F108" s="21"/>
      <c r="G108" s="39">
        <f t="shared" si="2"/>
        <v>247681683.29464751</v>
      </c>
    </row>
    <row r="109" spans="1:7" s="17" customFormat="1" ht="21.75" customHeight="1" x14ac:dyDescent="0.2">
      <c r="A109" s="18"/>
      <c r="B109" s="24"/>
      <c r="C109" s="36"/>
      <c r="D109" s="20" t="s">
        <v>426</v>
      </c>
      <c r="E109" s="21"/>
      <c r="F109" s="21"/>
      <c r="G109" s="39">
        <f t="shared" si="2"/>
        <v>247681683.29464751</v>
      </c>
    </row>
    <row r="110" spans="1:7" s="17" customFormat="1" ht="21.75" customHeight="1" x14ac:dyDescent="0.2">
      <c r="A110" s="18"/>
      <c r="B110" s="24"/>
      <c r="C110" s="36"/>
      <c r="D110" s="20" t="s">
        <v>203</v>
      </c>
      <c r="E110" s="21"/>
      <c r="F110" s="21"/>
      <c r="G110" s="39">
        <f t="shared" si="2"/>
        <v>247681683.29464751</v>
      </c>
    </row>
    <row r="111" spans="1:7" s="17" customFormat="1" ht="21.75" customHeight="1" x14ac:dyDescent="0.2">
      <c r="A111" s="18"/>
      <c r="B111" s="24"/>
      <c r="C111" s="36"/>
      <c r="D111" s="23" t="s">
        <v>762</v>
      </c>
      <c r="E111" s="21">
        <v>15840000</v>
      </c>
      <c r="F111" s="21"/>
      <c r="G111" s="39">
        <f t="shared" si="2"/>
        <v>263521683.29464751</v>
      </c>
    </row>
    <row r="112" spans="1:7" s="17" customFormat="1" ht="21.75" customHeight="1" x14ac:dyDescent="0.2">
      <c r="A112" s="18"/>
      <c r="B112" s="24"/>
      <c r="C112" s="36"/>
      <c r="D112" s="20" t="s">
        <v>424</v>
      </c>
      <c r="E112" s="21"/>
      <c r="F112" s="21"/>
      <c r="G112" s="39">
        <f t="shared" si="2"/>
        <v>263521683.29464751</v>
      </c>
    </row>
    <row r="113" spans="1:7" s="17" customFormat="1" ht="21.75" customHeight="1" x14ac:dyDescent="0.2">
      <c r="A113" s="18"/>
      <c r="B113" s="24"/>
      <c r="C113" s="36"/>
      <c r="D113" s="20" t="s">
        <v>425</v>
      </c>
      <c r="E113" s="21"/>
      <c r="F113" s="21"/>
      <c r="G113" s="39">
        <f t="shared" si="2"/>
        <v>263521683.29464751</v>
      </c>
    </row>
    <row r="114" spans="1:7" ht="21.75" customHeight="1" x14ac:dyDescent="0.2">
      <c r="A114" s="7"/>
      <c r="B114" s="24"/>
      <c r="C114" s="10"/>
      <c r="D114" s="20" t="s">
        <v>426</v>
      </c>
      <c r="E114" s="21"/>
      <c r="F114" s="21"/>
      <c r="G114" s="39">
        <f t="shared" si="2"/>
        <v>263521683.29464751</v>
      </c>
    </row>
    <row r="115" spans="1:7" ht="21.75" customHeight="1" x14ac:dyDescent="0.2">
      <c r="A115" s="7"/>
      <c r="B115" s="24"/>
      <c r="C115" s="10"/>
      <c r="D115" s="20" t="s">
        <v>203</v>
      </c>
      <c r="E115" s="21"/>
      <c r="F115" s="21"/>
      <c r="G115" s="39">
        <f t="shared" si="2"/>
        <v>263521683.29464751</v>
      </c>
    </row>
    <row r="116" spans="1:7" ht="21.75" customHeight="1" x14ac:dyDescent="0.2">
      <c r="A116" s="7"/>
      <c r="B116" s="19" t="s">
        <v>764</v>
      </c>
      <c r="C116" s="10"/>
      <c r="D116" s="20" t="s">
        <v>765</v>
      </c>
      <c r="E116" s="21"/>
      <c r="F116" s="21">
        <v>20000000</v>
      </c>
      <c r="G116" s="39">
        <f t="shared" si="2"/>
        <v>243521683.29464751</v>
      </c>
    </row>
    <row r="117" spans="1:7" ht="21.75" customHeight="1" x14ac:dyDescent="0.2">
      <c r="A117" s="7"/>
      <c r="B117" s="24"/>
      <c r="C117" s="10"/>
      <c r="D117" s="20" t="s">
        <v>21</v>
      </c>
      <c r="E117" s="21"/>
      <c r="F117" s="21">
        <v>2500</v>
      </c>
      <c r="G117" s="39">
        <f t="shared" si="2"/>
        <v>243519183.29464751</v>
      </c>
    </row>
    <row r="118" spans="1:7" ht="21.75" customHeight="1" x14ac:dyDescent="0.2">
      <c r="A118" s="7"/>
      <c r="B118" s="24"/>
      <c r="C118" s="36"/>
      <c r="D118" s="20" t="s">
        <v>766</v>
      </c>
      <c r="E118" s="21"/>
      <c r="F118" s="21">
        <v>5120000</v>
      </c>
      <c r="G118" s="39">
        <f t="shared" si="2"/>
        <v>238399183.29464751</v>
      </c>
    </row>
    <row r="119" spans="1:7" ht="21.75" customHeight="1" x14ac:dyDescent="0.2">
      <c r="A119" s="7"/>
      <c r="B119" s="24"/>
      <c r="C119" s="35"/>
      <c r="D119" s="20" t="s">
        <v>767</v>
      </c>
      <c r="E119" s="21"/>
      <c r="F119" s="21">
        <v>2925000</v>
      </c>
      <c r="G119" s="39">
        <f t="shared" si="2"/>
        <v>235474183.29464751</v>
      </c>
    </row>
    <row r="120" spans="1:7" ht="21.75" customHeight="1" x14ac:dyDescent="0.2">
      <c r="A120" s="7"/>
      <c r="B120" s="24"/>
      <c r="C120" s="35"/>
      <c r="D120" s="20" t="s">
        <v>768</v>
      </c>
      <c r="E120" s="39"/>
      <c r="F120" s="21">
        <v>1368886</v>
      </c>
      <c r="G120" s="39">
        <f t="shared" si="2"/>
        <v>234105297.29464751</v>
      </c>
    </row>
    <row r="121" spans="1:7" ht="21.75" customHeight="1" x14ac:dyDescent="0.2">
      <c r="A121" s="7"/>
      <c r="B121" s="19" t="s">
        <v>769</v>
      </c>
      <c r="C121" s="35"/>
      <c r="D121" s="23" t="s">
        <v>918</v>
      </c>
      <c r="E121" s="21"/>
      <c r="F121" s="21">
        <v>10000000</v>
      </c>
      <c r="G121" s="39">
        <f t="shared" si="2"/>
        <v>224105297.29464751</v>
      </c>
    </row>
    <row r="122" spans="1:7" ht="21.75" customHeight="1" x14ac:dyDescent="0.2">
      <c r="A122" s="7"/>
      <c r="B122" s="24"/>
      <c r="C122" s="35"/>
      <c r="D122" s="20" t="s">
        <v>770</v>
      </c>
      <c r="E122" s="21"/>
      <c r="F122" s="21">
        <v>27620000</v>
      </c>
      <c r="G122" s="62">
        <f t="shared" si="2"/>
        <v>196485297.29464751</v>
      </c>
    </row>
    <row r="123" spans="1:7" ht="21.75" customHeight="1" x14ac:dyDescent="0.2">
      <c r="A123" s="7"/>
      <c r="B123" s="24"/>
      <c r="C123" s="35"/>
      <c r="D123" s="20" t="s">
        <v>21</v>
      </c>
      <c r="E123" s="21"/>
      <c r="F123" s="21">
        <v>2500</v>
      </c>
      <c r="G123" s="62">
        <f t="shared" si="2"/>
        <v>196482797.29464751</v>
      </c>
    </row>
    <row r="124" spans="1:7" ht="21.75" customHeight="1" x14ac:dyDescent="0.2">
      <c r="A124" s="7"/>
      <c r="B124" s="24"/>
      <c r="C124" s="35"/>
      <c r="D124" s="20" t="s">
        <v>771</v>
      </c>
      <c r="E124" s="21"/>
      <c r="F124" s="21">
        <v>500000</v>
      </c>
      <c r="G124" s="62">
        <f t="shared" si="2"/>
        <v>195982797.29464751</v>
      </c>
    </row>
    <row r="125" spans="1:7" ht="21.75" customHeight="1" x14ac:dyDescent="0.25">
      <c r="A125" s="7"/>
      <c r="B125" s="24"/>
      <c r="C125" s="35"/>
      <c r="D125" s="20" t="s">
        <v>772</v>
      </c>
      <c r="E125" s="21"/>
      <c r="F125" s="21">
        <v>600000</v>
      </c>
      <c r="G125" s="56">
        <f t="shared" si="2"/>
        <v>195382797.29464751</v>
      </c>
    </row>
    <row r="126" spans="1:7" ht="21.75" customHeight="1" x14ac:dyDescent="0.2">
      <c r="A126" s="7"/>
      <c r="B126" s="24"/>
      <c r="C126" s="35"/>
      <c r="D126" s="20" t="s">
        <v>21</v>
      </c>
      <c r="E126" s="21"/>
      <c r="F126" s="21">
        <v>2500</v>
      </c>
      <c r="G126" s="62">
        <f t="shared" si="2"/>
        <v>195380297.29464751</v>
      </c>
    </row>
    <row r="127" spans="1:7" ht="21.75" customHeight="1" x14ac:dyDescent="0.2">
      <c r="A127" s="7"/>
      <c r="B127" s="24"/>
      <c r="C127" s="35"/>
      <c r="D127" s="20" t="s">
        <v>775</v>
      </c>
      <c r="E127" s="21"/>
      <c r="F127" s="39">
        <v>1200000</v>
      </c>
      <c r="G127" s="62">
        <f t="shared" si="2"/>
        <v>194180297.29464751</v>
      </c>
    </row>
    <row r="128" spans="1:7" ht="21.75" customHeight="1" x14ac:dyDescent="0.2">
      <c r="A128" s="7"/>
      <c r="B128" s="24"/>
      <c r="C128" s="36"/>
      <c r="D128" s="20" t="s">
        <v>776</v>
      </c>
      <c r="E128" s="39"/>
      <c r="F128" s="21">
        <v>1930000</v>
      </c>
      <c r="G128" s="62">
        <f t="shared" si="2"/>
        <v>192250297.29464751</v>
      </c>
    </row>
    <row r="129" spans="1:8" ht="21.75" customHeight="1" x14ac:dyDescent="0.2">
      <c r="A129" s="7"/>
      <c r="B129" s="24"/>
      <c r="C129" s="36"/>
      <c r="D129" s="20" t="s">
        <v>777</v>
      </c>
      <c r="E129" s="21"/>
      <c r="F129" s="21">
        <v>400000</v>
      </c>
      <c r="G129" s="62">
        <f t="shared" si="2"/>
        <v>191850297.29464751</v>
      </c>
    </row>
    <row r="130" spans="1:8" ht="21.75" customHeight="1" x14ac:dyDescent="0.2">
      <c r="A130" s="7"/>
      <c r="B130" s="24"/>
      <c r="C130" s="36"/>
      <c r="D130" s="20" t="s">
        <v>778</v>
      </c>
      <c r="E130" s="21"/>
      <c r="F130" s="21">
        <v>500000</v>
      </c>
      <c r="G130" s="62">
        <f t="shared" si="2"/>
        <v>191350297.29464751</v>
      </c>
    </row>
    <row r="131" spans="1:8" ht="21.75" customHeight="1" x14ac:dyDescent="0.2">
      <c r="A131" s="7"/>
      <c r="B131" s="24"/>
      <c r="C131" s="36"/>
      <c r="D131" s="20" t="s">
        <v>80</v>
      </c>
      <c r="E131" s="21"/>
      <c r="F131" s="21">
        <v>400000</v>
      </c>
      <c r="G131" s="62">
        <f t="shared" si="2"/>
        <v>190950297.29464751</v>
      </c>
    </row>
    <row r="132" spans="1:8" ht="21.75" customHeight="1" x14ac:dyDescent="0.2">
      <c r="A132" s="7"/>
      <c r="B132" s="24"/>
      <c r="C132" s="36"/>
      <c r="D132" s="23" t="s">
        <v>779</v>
      </c>
      <c r="E132" s="21"/>
      <c r="F132" s="21">
        <v>5000000</v>
      </c>
      <c r="G132" s="62">
        <f t="shared" si="2"/>
        <v>185950297.29464751</v>
      </c>
    </row>
    <row r="133" spans="1:8" ht="21.75" customHeight="1" x14ac:dyDescent="0.2">
      <c r="A133" s="7"/>
      <c r="B133" s="24"/>
      <c r="C133" s="36"/>
      <c r="D133" s="23" t="s">
        <v>780</v>
      </c>
      <c r="E133" s="21"/>
      <c r="F133" s="21">
        <v>8500000</v>
      </c>
      <c r="G133" s="62">
        <f t="shared" si="2"/>
        <v>177450297.29464751</v>
      </c>
    </row>
    <row r="134" spans="1:8" ht="21.75" customHeight="1" x14ac:dyDescent="0.2">
      <c r="A134" s="7"/>
      <c r="B134" s="24"/>
      <c r="C134" s="36"/>
      <c r="D134" s="20" t="s">
        <v>781</v>
      </c>
      <c r="E134" s="21"/>
      <c r="F134" s="21">
        <v>1000000</v>
      </c>
      <c r="G134" s="62">
        <f>+G133+E134-F134</f>
        <v>176450297.29464751</v>
      </c>
    </row>
    <row r="135" spans="1:8" ht="21.75" customHeight="1" x14ac:dyDescent="0.2">
      <c r="A135" s="7"/>
      <c r="B135" s="24"/>
      <c r="C135" s="36"/>
      <c r="D135" s="20" t="s">
        <v>782</v>
      </c>
      <c r="E135" s="21"/>
      <c r="F135" s="21">
        <v>2000000</v>
      </c>
      <c r="G135" s="62">
        <f t="shared" ref="G135:G187" si="3">+G134+E135-F135</f>
        <v>174450297.29464751</v>
      </c>
    </row>
    <row r="136" spans="1:8" ht="21.75" customHeight="1" x14ac:dyDescent="0.2">
      <c r="A136" s="7"/>
      <c r="B136" s="24"/>
      <c r="C136" s="36"/>
      <c r="D136" s="20" t="s">
        <v>783</v>
      </c>
      <c r="E136" s="21"/>
      <c r="F136" s="21">
        <v>1500000</v>
      </c>
      <c r="G136" s="62">
        <f t="shared" si="3"/>
        <v>172950297.29464751</v>
      </c>
    </row>
    <row r="137" spans="1:8" ht="21.75" customHeight="1" x14ac:dyDescent="0.2">
      <c r="A137" s="7"/>
      <c r="B137" s="24"/>
      <c r="C137" s="36"/>
      <c r="D137" s="82" t="s">
        <v>784</v>
      </c>
      <c r="E137" s="21"/>
      <c r="F137" s="21">
        <v>5000000</v>
      </c>
      <c r="G137" s="62">
        <f t="shared" si="3"/>
        <v>167950297.29464751</v>
      </c>
    </row>
    <row r="138" spans="1:8" ht="21.75" customHeight="1" x14ac:dyDescent="0.2">
      <c r="A138" s="7"/>
      <c r="B138" s="24"/>
      <c r="C138" s="24"/>
      <c r="D138" s="23" t="s">
        <v>773</v>
      </c>
      <c r="E138" s="39"/>
      <c r="F138" s="21">
        <v>3000000</v>
      </c>
      <c r="G138" s="62">
        <f t="shared" si="3"/>
        <v>164950297.29464751</v>
      </c>
    </row>
    <row r="139" spans="1:8" ht="21.75" customHeight="1" x14ac:dyDescent="0.2">
      <c r="A139" s="7"/>
      <c r="B139" s="24"/>
      <c r="C139" s="35"/>
      <c r="D139" s="23" t="s">
        <v>774</v>
      </c>
      <c r="E139" s="21"/>
      <c r="F139" s="21">
        <v>1500000</v>
      </c>
      <c r="G139" s="62">
        <f t="shared" si="3"/>
        <v>163450297.29464751</v>
      </c>
    </row>
    <row r="140" spans="1:8" ht="21.75" customHeight="1" x14ac:dyDescent="0.2">
      <c r="A140" s="7"/>
      <c r="B140" s="19" t="s">
        <v>785</v>
      </c>
      <c r="C140" s="35"/>
      <c r="D140" s="20" t="s">
        <v>786</v>
      </c>
      <c r="E140" s="21">
        <v>26950000</v>
      </c>
      <c r="F140" s="39"/>
      <c r="G140" s="62">
        <f t="shared" si="3"/>
        <v>190400297.29464751</v>
      </c>
    </row>
    <row r="141" spans="1:8" ht="21.75" customHeight="1" x14ac:dyDescent="0.2">
      <c r="A141" s="7"/>
      <c r="B141" s="24"/>
      <c r="C141" s="35"/>
      <c r="D141" s="20" t="s">
        <v>787</v>
      </c>
      <c r="E141" s="21"/>
      <c r="F141" s="21">
        <v>7500000</v>
      </c>
      <c r="G141" s="62">
        <f t="shared" si="3"/>
        <v>182900297.29464751</v>
      </c>
    </row>
    <row r="142" spans="1:8" ht="21.75" customHeight="1" x14ac:dyDescent="0.2">
      <c r="A142" s="7"/>
      <c r="B142" s="24"/>
      <c r="C142" s="18"/>
      <c r="D142" s="20" t="s">
        <v>788</v>
      </c>
      <c r="E142" s="21"/>
      <c r="F142" s="21">
        <v>12000000</v>
      </c>
      <c r="G142" s="62">
        <f t="shared" si="3"/>
        <v>170900297.29464751</v>
      </c>
    </row>
    <row r="143" spans="1:8" ht="21.75" customHeight="1" x14ac:dyDescent="0.2">
      <c r="A143" s="7"/>
      <c r="B143" s="24"/>
      <c r="C143" s="18"/>
      <c r="D143" s="20" t="s">
        <v>21</v>
      </c>
      <c r="E143" s="21"/>
      <c r="F143" s="26">
        <v>2500</v>
      </c>
      <c r="G143" s="62">
        <f t="shared" si="3"/>
        <v>170897797.29464751</v>
      </c>
      <c r="H143" s="46"/>
    </row>
    <row r="144" spans="1:8" ht="21.75" customHeight="1" x14ac:dyDescent="0.2">
      <c r="A144" s="7"/>
      <c r="B144" s="24"/>
      <c r="C144" s="18"/>
      <c r="D144" s="20" t="s">
        <v>789</v>
      </c>
      <c r="E144" s="21"/>
      <c r="F144" s="21">
        <v>800000</v>
      </c>
      <c r="G144" s="62">
        <f t="shared" si="3"/>
        <v>170097797.29464751</v>
      </c>
      <c r="H144" s="46"/>
    </row>
    <row r="145" spans="1:8" ht="21.75" customHeight="1" x14ac:dyDescent="0.2">
      <c r="A145" s="7"/>
      <c r="B145" s="24"/>
      <c r="C145" s="36"/>
      <c r="D145" s="20" t="s">
        <v>790</v>
      </c>
      <c r="E145" s="21"/>
      <c r="F145" s="21">
        <v>5040000</v>
      </c>
      <c r="G145" s="62">
        <f t="shared" si="3"/>
        <v>165057797.29464751</v>
      </c>
    </row>
    <row r="146" spans="1:8" ht="21.75" customHeight="1" x14ac:dyDescent="0.25">
      <c r="A146" s="7"/>
      <c r="B146" s="24"/>
      <c r="C146" s="36"/>
      <c r="D146" s="20" t="s">
        <v>21</v>
      </c>
      <c r="E146" s="21"/>
      <c r="F146" s="26">
        <v>2500</v>
      </c>
      <c r="G146" s="56">
        <f t="shared" si="3"/>
        <v>165055297.29464751</v>
      </c>
    </row>
    <row r="147" spans="1:8" ht="21.75" customHeight="1" x14ac:dyDescent="0.2">
      <c r="A147" s="7"/>
      <c r="B147" s="24"/>
      <c r="C147" s="36"/>
      <c r="D147" s="20" t="s">
        <v>792</v>
      </c>
      <c r="E147" s="21"/>
      <c r="F147" s="21">
        <v>4100000</v>
      </c>
      <c r="G147" s="62">
        <f t="shared" si="3"/>
        <v>160955297.29464751</v>
      </c>
    </row>
    <row r="148" spans="1:8" ht="21.75" customHeight="1" x14ac:dyDescent="0.2">
      <c r="A148" s="7"/>
      <c r="B148" s="24"/>
      <c r="C148" s="36"/>
      <c r="D148" s="20" t="s">
        <v>793</v>
      </c>
      <c r="E148" s="21"/>
      <c r="F148" s="21">
        <v>37500000</v>
      </c>
      <c r="G148" s="62">
        <f t="shared" si="3"/>
        <v>123455297.29464751</v>
      </c>
    </row>
    <row r="149" spans="1:8" ht="21.75" customHeight="1" x14ac:dyDescent="0.2">
      <c r="A149" s="7"/>
      <c r="B149" s="24"/>
      <c r="C149" s="36"/>
      <c r="D149" s="20" t="s">
        <v>21</v>
      </c>
      <c r="E149" s="21"/>
      <c r="F149" s="21">
        <v>2500</v>
      </c>
      <c r="G149" s="62">
        <f t="shared" si="3"/>
        <v>123452797.29464751</v>
      </c>
    </row>
    <row r="150" spans="1:8" ht="21.75" customHeight="1" x14ac:dyDescent="0.2">
      <c r="A150" s="7"/>
      <c r="B150" s="24"/>
      <c r="C150" s="36"/>
      <c r="D150" s="20" t="s">
        <v>889</v>
      </c>
      <c r="E150" s="21"/>
      <c r="F150" s="21">
        <v>1000000</v>
      </c>
      <c r="G150" s="62">
        <f t="shared" si="3"/>
        <v>122452797.29464751</v>
      </c>
    </row>
    <row r="151" spans="1:8" ht="21.75" customHeight="1" x14ac:dyDescent="0.2">
      <c r="A151" s="7"/>
      <c r="B151" s="19" t="s">
        <v>791</v>
      </c>
      <c r="C151" s="35"/>
      <c r="D151" s="20" t="s">
        <v>795</v>
      </c>
      <c r="E151" s="21">
        <v>800000</v>
      </c>
      <c r="F151" s="21"/>
      <c r="G151" s="62">
        <f t="shared" si="3"/>
        <v>123252797.29464751</v>
      </c>
    </row>
    <row r="152" spans="1:8" ht="21.75" customHeight="1" x14ac:dyDescent="0.2">
      <c r="A152" s="7"/>
      <c r="B152" s="24"/>
      <c r="C152" s="35"/>
      <c r="D152" s="20" t="s">
        <v>796</v>
      </c>
      <c r="E152" s="25"/>
      <c r="F152" s="21">
        <v>7752000</v>
      </c>
      <c r="G152" s="62">
        <f t="shared" si="3"/>
        <v>115500797.29464751</v>
      </c>
    </row>
    <row r="153" spans="1:8" ht="21.75" customHeight="1" x14ac:dyDescent="0.2">
      <c r="A153" s="7"/>
      <c r="B153" s="24"/>
      <c r="C153" s="35"/>
      <c r="D153" s="20" t="s">
        <v>21</v>
      </c>
      <c r="E153" s="21"/>
      <c r="F153" s="21">
        <v>2500</v>
      </c>
      <c r="G153" s="62">
        <f t="shared" si="3"/>
        <v>115498297.29464751</v>
      </c>
    </row>
    <row r="154" spans="1:8" s="12" customFormat="1" ht="21.75" customHeight="1" x14ac:dyDescent="0.2">
      <c r="A154" s="7"/>
      <c r="B154" s="24"/>
      <c r="C154" s="35"/>
      <c r="D154" s="20" t="s">
        <v>797</v>
      </c>
      <c r="E154" s="21"/>
      <c r="F154" s="21">
        <v>700000</v>
      </c>
      <c r="G154" s="62">
        <f t="shared" si="3"/>
        <v>114798297.29464751</v>
      </c>
      <c r="H154" s="12">
        <v>11277000</v>
      </c>
    </row>
    <row r="155" spans="1:8" s="12" customFormat="1" ht="21.75" customHeight="1" x14ac:dyDescent="0.2">
      <c r="A155" s="7"/>
      <c r="B155" s="24"/>
      <c r="C155" s="35"/>
      <c r="D155" s="20" t="s">
        <v>21</v>
      </c>
      <c r="E155" s="54"/>
      <c r="F155" s="21">
        <v>2500</v>
      </c>
      <c r="G155" s="62">
        <f t="shared" si="3"/>
        <v>114795797.29464751</v>
      </c>
    </row>
    <row r="156" spans="1:8" s="12" customFormat="1" ht="21.75" customHeight="1" x14ac:dyDescent="0.2">
      <c r="A156" s="42"/>
      <c r="B156" s="24"/>
      <c r="C156" s="35"/>
      <c r="D156" s="20" t="s">
        <v>21</v>
      </c>
      <c r="E156" s="21"/>
      <c r="F156" s="21">
        <v>2500</v>
      </c>
      <c r="G156" s="62">
        <f t="shared" si="3"/>
        <v>114793297.29464751</v>
      </c>
    </row>
    <row r="157" spans="1:8" s="12" customFormat="1" ht="21.75" customHeight="1" x14ac:dyDescent="0.2">
      <c r="A157" s="42"/>
      <c r="B157" s="24"/>
      <c r="C157" s="35"/>
      <c r="D157" s="20" t="s">
        <v>798</v>
      </c>
      <c r="E157" s="21"/>
      <c r="F157" s="21">
        <v>840000</v>
      </c>
      <c r="G157" s="62">
        <f t="shared" si="3"/>
        <v>113953297.29464751</v>
      </c>
    </row>
    <row r="158" spans="1:8" s="12" customFormat="1" ht="21.75" customHeight="1" x14ac:dyDescent="0.2">
      <c r="A158" s="42"/>
      <c r="B158" s="24"/>
      <c r="C158" s="35"/>
      <c r="D158" s="20" t="s">
        <v>21</v>
      </c>
      <c r="E158" s="21"/>
      <c r="F158" s="21">
        <v>2500</v>
      </c>
      <c r="G158" s="62">
        <f t="shared" si="3"/>
        <v>113950797.29464751</v>
      </c>
    </row>
    <row r="159" spans="1:8" s="12" customFormat="1" ht="21.75" customHeight="1" x14ac:dyDescent="0.2">
      <c r="A159" s="42"/>
      <c r="B159" s="24"/>
      <c r="C159" s="35"/>
      <c r="D159" s="20" t="s">
        <v>788</v>
      </c>
      <c r="E159" s="21"/>
      <c r="F159" s="21">
        <v>2000000</v>
      </c>
      <c r="G159" s="62">
        <f t="shared" si="3"/>
        <v>111950797.29464751</v>
      </c>
    </row>
    <row r="160" spans="1:8" s="12" customFormat="1" ht="21.75" customHeight="1" x14ac:dyDescent="0.2">
      <c r="A160" s="42"/>
      <c r="B160" s="19" t="s">
        <v>794</v>
      </c>
      <c r="C160" s="35"/>
      <c r="D160" s="20" t="s">
        <v>800</v>
      </c>
      <c r="E160" s="21"/>
      <c r="F160" s="39">
        <v>10000000</v>
      </c>
      <c r="G160" s="62">
        <f t="shared" si="3"/>
        <v>101950797.29464751</v>
      </c>
    </row>
    <row r="161" spans="1:7" s="12" customFormat="1" ht="21.75" customHeight="1" x14ac:dyDescent="0.2">
      <c r="A161" s="42"/>
      <c r="B161" s="24"/>
      <c r="C161" s="35"/>
      <c r="D161" s="20" t="s">
        <v>21</v>
      </c>
      <c r="E161" s="21"/>
      <c r="F161" s="21">
        <v>2500</v>
      </c>
      <c r="G161" s="62">
        <f t="shared" si="3"/>
        <v>101948297.29464751</v>
      </c>
    </row>
    <row r="162" spans="1:7" s="12" customFormat="1" ht="21.75" customHeight="1" x14ac:dyDescent="0.2">
      <c r="A162" s="42"/>
      <c r="B162" s="19" t="s">
        <v>799</v>
      </c>
      <c r="C162" s="35"/>
      <c r="D162" s="20" t="s">
        <v>801</v>
      </c>
      <c r="E162" s="21"/>
      <c r="F162" s="21">
        <v>2000000</v>
      </c>
      <c r="G162" s="62">
        <f t="shared" si="3"/>
        <v>99948297.294647515</v>
      </c>
    </row>
    <row r="163" spans="1:7" s="12" customFormat="1" ht="21.75" customHeight="1" x14ac:dyDescent="0.2">
      <c r="A163" s="42"/>
      <c r="B163" s="19" t="s">
        <v>804</v>
      </c>
      <c r="C163" s="35"/>
      <c r="D163" s="20" t="s">
        <v>802</v>
      </c>
      <c r="E163" s="21"/>
      <c r="F163" s="21">
        <v>15000000</v>
      </c>
      <c r="G163" s="62">
        <f t="shared" si="3"/>
        <v>84948297.294647515</v>
      </c>
    </row>
    <row r="164" spans="1:7" s="12" customFormat="1" ht="21.75" customHeight="1" x14ac:dyDescent="0.2">
      <c r="A164" s="42"/>
      <c r="B164" s="24"/>
      <c r="C164" s="35"/>
      <c r="D164" s="20" t="s">
        <v>803</v>
      </c>
      <c r="E164" s="21"/>
      <c r="F164" s="21">
        <v>9000000</v>
      </c>
      <c r="G164" s="62">
        <f t="shared" si="3"/>
        <v>75948297.294647515</v>
      </c>
    </row>
    <row r="165" spans="1:7" s="12" customFormat="1" ht="21.75" customHeight="1" x14ac:dyDescent="0.2">
      <c r="A165" s="42"/>
      <c r="B165" s="24"/>
      <c r="C165" s="35"/>
      <c r="D165" s="20" t="s">
        <v>21</v>
      </c>
      <c r="E165" s="21"/>
      <c r="F165" s="21">
        <v>2500</v>
      </c>
      <c r="G165" s="62">
        <f t="shared" si="3"/>
        <v>75945797.294647515</v>
      </c>
    </row>
    <row r="166" spans="1:7" s="12" customFormat="1" ht="21.75" customHeight="1" x14ac:dyDescent="0.2">
      <c r="A166" s="42"/>
      <c r="B166" s="24"/>
      <c r="C166" s="35"/>
      <c r="D166" s="20" t="s">
        <v>807</v>
      </c>
      <c r="E166" s="21"/>
      <c r="F166" s="21">
        <v>545000</v>
      </c>
      <c r="G166" s="62">
        <f t="shared" si="3"/>
        <v>75400797.294647515</v>
      </c>
    </row>
    <row r="167" spans="1:7" s="12" customFormat="1" ht="21.75" customHeight="1" x14ac:dyDescent="0.2">
      <c r="A167" s="42"/>
      <c r="B167" s="24"/>
      <c r="C167" s="35"/>
      <c r="D167" s="20" t="s">
        <v>806</v>
      </c>
      <c r="E167" s="21"/>
      <c r="F167" s="21">
        <v>675000</v>
      </c>
      <c r="G167" s="62">
        <f t="shared" si="3"/>
        <v>74725797.294647515</v>
      </c>
    </row>
    <row r="168" spans="1:7" s="12" customFormat="1" ht="21.75" customHeight="1" x14ac:dyDescent="0.2">
      <c r="A168" s="42"/>
      <c r="B168" s="24"/>
      <c r="C168" s="35"/>
      <c r="D168" s="20" t="s">
        <v>805</v>
      </c>
      <c r="E168" s="21"/>
      <c r="F168" s="21">
        <v>550000</v>
      </c>
      <c r="G168" s="62">
        <f t="shared" si="3"/>
        <v>74175797.294647515</v>
      </c>
    </row>
    <row r="169" spans="1:7" s="12" customFormat="1" ht="21.75" customHeight="1" x14ac:dyDescent="0.2">
      <c r="A169" s="42"/>
      <c r="B169" s="24"/>
      <c r="C169" s="35"/>
      <c r="D169" s="20" t="s">
        <v>21</v>
      </c>
      <c r="E169" s="21"/>
      <c r="F169" s="21">
        <v>2500</v>
      </c>
      <c r="G169" s="62">
        <f t="shared" si="3"/>
        <v>74173297.294647515</v>
      </c>
    </row>
    <row r="170" spans="1:7" s="12" customFormat="1" ht="21.75" customHeight="1" x14ac:dyDescent="0.2">
      <c r="A170" s="42"/>
      <c r="B170" s="24"/>
      <c r="C170" s="35"/>
      <c r="D170" s="20" t="s">
        <v>809</v>
      </c>
      <c r="E170" s="21"/>
      <c r="F170" s="21">
        <v>2100000</v>
      </c>
      <c r="G170" s="62">
        <f t="shared" si="3"/>
        <v>72073297.294647515</v>
      </c>
    </row>
    <row r="171" spans="1:7" s="12" customFormat="1" ht="21.75" customHeight="1" x14ac:dyDescent="0.2">
      <c r="A171" s="42"/>
      <c r="B171" s="24"/>
      <c r="C171" s="35"/>
      <c r="D171" s="20" t="s">
        <v>810</v>
      </c>
      <c r="E171" s="21"/>
      <c r="F171" s="21">
        <v>17250285</v>
      </c>
      <c r="G171" s="62">
        <f t="shared" si="3"/>
        <v>54823012.294647515</v>
      </c>
    </row>
    <row r="172" spans="1:7" s="12" customFormat="1" ht="21.75" customHeight="1" x14ac:dyDescent="0.2">
      <c r="A172" s="42"/>
      <c r="B172" s="24"/>
      <c r="C172" s="35"/>
      <c r="D172" s="20" t="s">
        <v>811</v>
      </c>
      <c r="E172" s="21"/>
      <c r="F172" s="21">
        <v>5000000</v>
      </c>
      <c r="G172" s="62">
        <f t="shared" si="3"/>
        <v>49823012.294647515</v>
      </c>
    </row>
    <row r="173" spans="1:7" s="12" customFormat="1" ht="21.75" customHeight="1" x14ac:dyDescent="0.2">
      <c r="A173" s="42"/>
      <c r="B173" s="19" t="s">
        <v>812</v>
      </c>
      <c r="C173" s="35"/>
      <c r="D173" s="20" t="s">
        <v>813</v>
      </c>
      <c r="E173" s="21">
        <v>8922623</v>
      </c>
      <c r="F173" s="21"/>
      <c r="G173" s="62">
        <f t="shared" si="3"/>
        <v>58745635.294647515</v>
      </c>
    </row>
    <row r="174" spans="1:7" ht="21.75" customHeight="1" x14ac:dyDescent="0.2">
      <c r="A174" s="42"/>
      <c r="B174" s="19"/>
      <c r="C174" s="35"/>
      <c r="D174" s="20" t="s">
        <v>638</v>
      </c>
      <c r="E174" s="21">
        <v>300000</v>
      </c>
      <c r="F174" s="21"/>
      <c r="G174" s="62">
        <f t="shared" si="3"/>
        <v>59045635.294647515</v>
      </c>
    </row>
    <row r="175" spans="1:7" ht="21.75" customHeight="1" x14ac:dyDescent="0.2">
      <c r="A175" s="42"/>
      <c r="B175" s="24"/>
      <c r="C175" s="35"/>
      <c r="D175" s="20" t="s">
        <v>30</v>
      </c>
      <c r="E175" s="21">
        <v>50000</v>
      </c>
      <c r="F175" s="21"/>
      <c r="G175" s="62">
        <f t="shared" si="3"/>
        <v>59095635.294647515</v>
      </c>
    </row>
    <row r="176" spans="1:7" ht="21.75" customHeight="1" x14ac:dyDescent="0.2">
      <c r="A176" s="42"/>
      <c r="B176" s="24"/>
      <c r="C176" s="35"/>
      <c r="D176" s="20" t="s">
        <v>29</v>
      </c>
      <c r="E176" s="21">
        <v>200000</v>
      </c>
      <c r="F176" s="21"/>
      <c r="G176" s="62">
        <f t="shared" si="3"/>
        <v>59295635.294647515</v>
      </c>
    </row>
    <row r="177" spans="1:7" ht="21.75" customHeight="1" x14ac:dyDescent="0.2">
      <c r="A177" s="42"/>
      <c r="B177" s="24"/>
      <c r="C177" s="35"/>
      <c r="D177" s="20" t="s">
        <v>814</v>
      </c>
      <c r="E177" s="21">
        <v>11445232</v>
      </c>
      <c r="F177" s="21"/>
      <c r="G177" s="62">
        <f t="shared" si="3"/>
        <v>70740867.294647515</v>
      </c>
    </row>
    <row r="178" spans="1:7" ht="21.75" customHeight="1" x14ac:dyDescent="0.2">
      <c r="A178" s="42"/>
      <c r="B178" s="24"/>
      <c r="C178" s="35"/>
      <c r="D178" s="23" t="s">
        <v>819</v>
      </c>
      <c r="E178" s="25">
        <v>33789833</v>
      </c>
      <c r="F178" s="21"/>
      <c r="G178" s="62">
        <f t="shared" si="3"/>
        <v>104530700.29464751</v>
      </c>
    </row>
    <row r="179" spans="1:7" ht="21.75" customHeight="1" x14ac:dyDescent="0.2">
      <c r="A179" s="42"/>
      <c r="B179" s="24"/>
      <c r="C179" s="35"/>
      <c r="D179" s="20" t="s">
        <v>413</v>
      </c>
      <c r="E179" s="21">
        <v>0</v>
      </c>
      <c r="F179" s="21"/>
      <c r="G179" s="62">
        <f t="shared" si="3"/>
        <v>104530700.29464751</v>
      </c>
    </row>
    <row r="180" spans="1:7" ht="21.75" customHeight="1" x14ac:dyDescent="0.2">
      <c r="A180" s="42"/>
      <c r="B180" s="24"/>
      <c r="C180" s="35"/>
      <c r="D180" s="20" t="s">
        <v>236</v>
      </c>
      <c r="E180" s="21">
        <v>0</v>
      </c>
      <c r="F180" s="21"/>
      <c r="G180" s="62">
        <f t="shared" si="3"/>
        <v>104530700.29464751</v>
      </c>
    </row>
    <row r="181" spans="1:7" ht="21.75" customHeight="1" x14ac:dyDescent="0.2">
      <c r="A181" s="42"/>
      <c r="B181" s="24"/>
      <c r="C181" s="35"/>
      <c r="D181" s="20" t="s">
        <v>237</v>
      </c>
      <c r="E181" s="54">
        <v>0</v>
      </c>
      <c r="F181" s="21"/>
      <c r="G181" s="62">
        <f t="shared" si="3"/>
        <v>104530700.29464751</v>
      </c>
    </row>
    <row r="182" spans="1:7" ht="21.75" customHeight="1" x14ac:dyDescent="0.2">
      <c r="A182" s="42"/>
      <c r="B182" s="24"/>
      <c r="C182" s="35"/>
      <c r="D182" s="20" t="s">
        <v>23</v>
      </c>
      <c r="E182" s="21">
        <v>0</v>
      </c>
      <c r="F182" s="21"/>
      <c r="G182" s="62">
        <f t="shared" si="3"/>
        <v>104530700.29464751</v>
      </c>
    </row>
    <row r="183" spans="1:7" ht="21.75" customHeight="1" x14ac:dyDescent="0.2">
      <c r="A183" s="42"/>
      <c r="B183" s="24"/>
      <c r="C183" s="35"/>
      <c r="D183" s="20" t="s">
        <v>514</v>
      </c>
      <c r="E183" s="21">
        <v>0</v>
      </c>
      <c r="F183" s="21"/>
      <c r="G183" s="62">
        <f t="shared" si="3"/>
        <v>104530700.29464751</v>
      </c>
    </row>
    <row r="184" spans="1:7" ht="21.75" customHeight="1" x14ac:dyDescent="0.2">
      <c r="A184" s="42"/>
      <c r="B184" s="24"/>
      <c r="C184" s="35"/>
      <c r="D184" s="20" t="s">
        <v>24</v>
      </c>
      <c r="E184" s="21">
        <v>0</v>
      </c>
      <c r="F184" s="21"/>
      <c r="G184" s="62">
        <f t="shared" si="3"/>
        <v>104530700.29464751</v>
      </c>
    </row>
    <row r="185" spans="1:7" ht="21.75" customHeight="1" x14ac:dyDescent="0.2">
      <c r="A185" s="42"/>
      <c r="B185" s="24"/>
      <c r="C185" s="35"/>
      <c r="D185" s="20" t="s">
        <v>515</v>
      </c>
      <c r="E185" s="21">
        <v>0</v>
      </c>
      <c r="F185" s="21"/>
      <c r="G185" s="62">
        <f t="shared" si="3"/>
        <v>104530700.29464751</v>
      </c>
    </row>
    <row r="186" spans="1:7" ht="21.75" customHeight="1" x14ac:dyDescent="0.2">
      <c r="A186" s="42"/>
      <c r="B186" s="24"/>
      <c r="C186" s="35"/>
      <c r="D186" s="20" t="s">
        <v>26</v>
      </c>
      <c r="E186" s="21">
        <v>0</v>
      </c>
      <c r="F186" s="21"/>
      <c r="G186" s="62">
        <f t="shared" si="3"/>
        <v>104530700.29464751</v>
      </c>
    </row>
    <row r="187" spans="1:7" ht="21.75" customHeight="1" x14ac:dyDescent="0.2">
      <c r="A187" s="42"/>
      <c r="B187" s="24"/>
      <c r="C187" s="35"/>
      <c r="D187" s="20" t="s">
        <v>27</v>
      </c>
      <c r="E187" s="21">
        <v>0</v>
      </c>
      <c r="F187" s="21"/>
      <c r="G187" s="62">
        <f t="shared" si="3"/>
        <v>104530700.29464751</v>
      </c>
    </row>
    <row r="188" spans="1:7" ht="21.75" customHeight="1" x14ac:dyDescent="0.2">
      <c r="A188" s="42"/>
      <c r="B188" s="24"/>
      <c r="C188" s="35"/>
      <c r="D188" s="20" t="s">
        <v>584</v>
      </c>
      <c r="E188" s="21">
        <v>0</v>
      </c>
      <c r="F188" s="21"/>
      <c r="G188" s="62">
        <f t="shared" ref="G188:G224" si="4">+G187+E188-F188</f>
        <v>104530700.29464751</v>
      </c>
    </row>
    <row r="189" spans="1:7" ht="21.75" customHeight="1" x14ac:dyDescent="0.2">
      <c r="A189" s="42"/>
      <c r="B189" s="24"/>
      <c r="C189" s="35"/>
      <c r="D189" s="23" t="s">
        <v>815</v>
      </c>
      <c r="E189" s="21">
        <v>0</v>
      </c>
      <c r="F189" s="81">
        <v>73564284.439999998</v>
      </c>
      <c r="G189" s="62">
        <f t="shared" si="4"/>
        <v>30966415.854647517</v>
      </c>
    </row>
    <row r="190" spans="1:7" ht="21.75" customHeight="1" x14ac:dyDescent="0.2">
      <c r="A190" s="42"/>
      <c r="B190" s="24"/>
      <c r="C190" s="35"/>
      <c r="D190" s="20" t="s">
        <v>41</v>
      </c>
      <c r="E190" s="39">
        <v>7123409.4400000004</v>
      </c>
      <c r="F190" s="21"/>
      <c r="G190" s="62">
        <f t="shared" si="4"/>
        <v>38089825.294647515</v>
      </c>
    </row>
    <row r="191" spans="1:7" ht="21.75" customHeight="1" x14ac:dyDescent="0.2">
      <c r="A191" s="42"/>
      <c r="B191" s="24"/>
      <c r="C191" s="35"/>
      <c r="D191" s="20" t="s">
        <v>42</v>
      </c>
      <c r="E191" s="21">
        <v>4124670</v>
      </c>
      <c r="F191" s="21"/>
      <c r="G191" s="62">
        <f t="shared" si="4"/>
        <v>42214495.294647515</v>
      </c>
    </row>
    <row r="192" spans="1:7" ht="21.75" customHeight="1" x14ac:dyDescent="0.2">
      <c r="A192" s="42"/>
      <c r="B192" s="24"/>
      <c r="C192" s="35"/>
      <c r="D192" s="20" t="s">
        <v>43</v>
      </c>
      <c r="E192" s="21">
        <v>1300000</v>
      </c>
      <c r="F192" s="21"/>
      <c r="G192" s="62">
        <f t="shared" si="4"/>
        <v>43514495.294647515</v>
      </c>
    </row>
    <row r="193" spans="1:7" ht="21.75" customHeight="1" x14ac:dyDescent="0.2">
      <c r="A193" s="42"/>
      <c r="B193" s="24"/>
      <c r="C193" s="35"/>
      <c r="D193" s="20" t="s">
        <v>44</v>
      </c>
      <c r="E193" s="21">
        <v>1750000</v>
      </c>
      <c r="F193" s="21"/>
      <c r="G193" s="62">
        <f t="shared" si="4"/>
        <v>45264495.294647515</v>
      </c>
    </row>
    <row r="194" spans="1:7" ht="21.75" customHeight="1" x14ac:dyDescent="0.2">
      <c r="A194" s="42"/>
      <c r="B194" s="24"/>
      <c r="C194" s="35"/>
      <c r="D194" s="20" t="s">
        <v>59</v>
      </c>
      <c r="E194" s="21">
        <v>2550000</v>
      </c>
      <c r="F194" s="21"/>
      <c r="G194" s="62">
        <f t="shared" si="4"/>
        <v>47814495.294647515</v>
      </c>
    </row>
    <row r="195" spans="1:7" ht="21.75" customHeight="1" x14ac:dyDescent="0.2">
      <c r="A195" s="42"/>
      <c r="B195" s="24"/>
      <c r="C195" s="35"/>
      <c r="D195" s="20" t="s">
        <v>514</v>
      </c>
      <c r="E195" s="21">
        <v>350000</v>
      </c>
      <c r="F195" s="21"/>
      <c r="G195" s="62">
        <f t="shared" si="4"/>
        <v>48164495.294647515</v>
      </c>
    </row>
    <row r="196" spans="1:7" ht="21.75" customHeight="1" x14ac:dyDescent="0.2">
      <c r="A196" s="42"/>
      <c r="B196" s="24"/>
      <c r="C196" s="35"/>
      <c r="D196" s="20" t="s">
        <v>58</v>
      </c>
      <c r="E196" s="21">
        <v>400000</v>
      </c>
      <c r="F196" s="21"/>
      <c r="G196" s="62">
        <f t="shared" si="4"/>
        <v>48564495.294647515</v>
      </c>
    </row>
    <row r="197" spans="1:7" ht="21.75" customHeight="1" x14ac:dyDescent="0.2">
      <c r="A197" s="42"/>
      <c r="B197" s="24"/>
      <c r="C197" s="35"/>
      <c r="D197" s="20" t="s">
        <v>515</v>
      </c>
      <c r="E197" s="21">
        <v>75000</v>
      </c>
      <c r="F197" s="21"/>
      <c r="G197" s="62">
        <f t="shared" si="4"/>
        <v>48639495.294647515</v>
      </c>
    </row>
    <row r="198" spans="1:7" ht="21.75" customHeight="1" x14ac:dyDescent="0.2">
      <c r="A198" s="42"/>
      <c r="B198" s="24"/>
      <c r="C198" s="35"/>
      <c r="D198" s="20" t="s">
        <v>51</v>
      </c>
      <c r="E198" s="21">
        <v>5750000</v>
      </c>
      <c r="F198" s="21"/>
      <c r="G198" s="62">
        <f t="shared" si="4"/>
        <v>54389495.294647515</v>
      </c>
    </row>
    <row r="199" spans="1:7" ht="21.75" customHeight="1" x14ac:dyDescent="0.2">
      <c r="A199" s="42"/>
      <c r="B199" s="24"/>
      <c r="C199" s="35"/>
      <c r="D199" s="20" t="s">
        <v>45</v>
      </c>
      <c r="E199" s="21">
        <v>73000</v>
      </c>
      <c r="F199" s="21"/>
      <c r="G199" s="62">
        <f t="shared" si="4"/>
        <v>54462495.294647515</v>
      </c>
    </row>
    <row r="200" spans="1:7" ht="21.75" customHeight="1" x14ac:dyDescent="0.2">
      <c r="A200" s="42"/>
      <c r="B200" s="24"/>
      <c r="C200" s="35"/>
      <c r="D200" s="20" t="s">
        <v>577</v>
      </c>
      <c r="E200" s="21">
        <v>200000</v>
      </c>
      <c r="F200" s="21"/>
      <c r="G200" s="62">
        <f t="shared" si="4"/>
        <v>54662495.294647515</v>
      </c>
    </row>
    <row r="201" spans="1:7" ht="21.75" customHeight="1" x14ac:dyDescent="0.2">
      <c r="A201" s="42"/>
      <c r="B201" s="24"/>
      <c r="C201" s="35"/>
      <c r="D201" s="23" t="s">
        <v>816</v>
      </c>
      <c r="E201" s="21">
        <v>0</v>
      </c>
      <c r="F201" s="21">
        <v>19680239.84</v>
      </c>
      <c r="G201" s="62">
        <f t="shared" si="4"/>
        <v>34982255.454647511</v>
      </c>
    </row>
    <row r="202" spans="1:7" ht="21.75" customHeight="1" x14ac:dyDescent="0.2">
      <c r="A202" s="42"/>
      <c r="B202" s="24"/>
      <c r="C202" s="35"/>
      <c r="D202" s="20" t="s">
        <v>46</v>
      </c>
      <c r="E202" s="39">
        <v>1895339.84</v>
      </c>
      <c r="F202" s="21"/>
      <c r="G202" s="62">
        <f t="shared" si="4"/>
        <v>36877595.294647515</v>
      </c>
    </row>
    <row r="203" spans="1:7" ht="21.75" customHeight="1" x14ac:dyDescent="0.2">
      <c r="A203" s="42"/>
      <c r="B203" s="24"/>
      <c r="C203" s="35"/>
      <c r="D203" s="20" t="s">
        <v>47</v>
      </c>
      <c r="E203" s="21">
        <v>1099912</v>
      </c>
      <c r="F203" s="21"/>
      <c r="G203" s="62">
        <f t="shared" si="4"/>
        <v>37977507.294647515</v>
      </c>
    </row>
    <row r="204" spans="1:7" ht="21.75" customHeight="1" x14ac:dyDescent="0.2">
      <c r="A204" s="42"/>
      <c r="B204" s="24"/>
      <c r="C204" s="35"/>
      <c r="D204" s="20" t="s">
        <v>48</v>
      </c>
      <c r="E204" s="21">
        <v>200000</v>
      </c>
      <c r="F204" s="21"/>
      <c r="G204" s="62">
        <f t="shared" si="4"/>
        <v>38177507.294647515</v>
      </c>
    </row>
    <row r="205" spans="1:7" ht="21.75" customHeight="1" x14ac:dyDescent="0.2">
      <c r="A205" s="42"/>
      <c r="B205" s="24"/>
      <c r="C205" s="35"/>
      <c r="D205" s="20" t="s">
        <v>81</v>
      </c>
      <c r="E205" s="21">
        <v>250000</v>
      </c>
      <c r="F205" s="21"/>
      <c r="G205" s="62">
        <f t="shared" si="4"/>
        <v>38427507.294647515</v>
      </c>
    </row>
    <row r="206" spans="1:7" ht="21.75" customHeight="1" x14ac:dyDescent="0.2">
      <c r="A206" s="42"/>
      <c r="B206" s="24"/>
      <c r="C206" s="35"/>
      <c r="D206" s="20" t="s">
        <v>514</v>
      </c>
      <c r="E206" s="21">
        <v>25000</v>
      </c>
      <c r="F206" s="21"/>
      <c r="G206" s="62">
        <f t="shared" si="4"/>
        <v>38452507.294647515</v>
      </c>
    </row>
    <row r="207" spans="1:7" ht="21.75" customHeight="1" x14ac:dyDescent="0.2">
      <c r="A207" s="42"/>
      <c r="B207" s="24"/>
      <c r="C207" s="35"/>
      <c r="D207" s="20" t="s">
        <v>49</v>
      </c>
      <c r="E207" s="21">
        <v>0</v>
      </c>
      <c r="F207" s="21"/>
      <c r="G207" s="62">
        <f t="shared" si="4"/>
        <v>38452507.294647515</v>
      </c>
    </row>
    <row r="208" spans="1:7" ht="21.75" customHeight="1" x14ac:dyDescent="0.2">
      <c r="A208" s="42"/>
      <c r="B208" s="24"/>
      <c r="C208" s="35"/>
      <c r="D208" s="20" t="s">
        <v>50</v>
      </c>
      <c r="E208" s="21">
        <v>0</v>
      </c>
      <c r="F208" s="21"/>
      <c r="G208" s="62">
        <f t="shared" si="4"/>
        <v>38452507.294647515</v>
      </c>
    </row>
    <row r="209" spans="1:7" ht="21.75" customHeight="1" x14ac:dyDescent="0.2">
      <c r="A209" s="42"/>
      <c r="B209" s="24"/>
      <c r="C209" s="35"/>
      <c r="D209" s="23" t="s">
        <v>817</v>
      </c>
      <c r="E209" s="21">
        <v>0</v>
      </c>
      <c r="F209" s="21">
        <v>29929359.760000002</v>
      </c>
      <c r="G209" s="62">
        <f t="shared" si="4"/>
        <v>8523147.5346475132</v>
      </c>
    </row>
    <row r="210" spans="1:7" ht="21.75" customHeight="1" x14ac:dyDescent="0.2">
      <c r="A210" s="42"/>
      <c r="B210" s="24"/>
      <c r="C210" s="35"/>
      <c r="D210" s="20" t="s">
        <v>55</v>
      </c>
      <c r="E210" s="39">
        <v>2843009.76</v>
      </c>
      <c r="F210" s="21"/>
      <c r="G210" s="62">
        <f t="shared" si="4"/>
        <v>11366157.294647513</v>
      </c>
    </row>
    <row r="211" spans="1:7" ht="21.75" customHeight="1" x14ac:dyDescent="0.2">
      <c r="A211" s="42"/>
      <c r="B211" s="24"/>
      <c r="C211" s="35"/>
      <c r="D211" s="20" t="s">
        <v>54</v>
      </c>
      <c r="E211" s="21">
        <v>1649868</v>
      </c>
      <c r="F211" s="21"/>
      <c r="G211" s="62">
        <f t="shared" si="4"/>
        <v>13016025.294647513</v>
      </c>
    </row>
    <row r="212" spans="1:7" ht="21.75" customHeight="1" x14ac:dyDescent="0.2">
      <c r="A212" s="42"/>
      <c r="B212" s="24"/>
      <c r="C212" s="35"/>
      <c r="D212" s="20" t="s">
        <v>53</v>
      </c>
      <c r="E212" s="21">
        <v>350000</v>
      </c>
      <c r="F212" s="21"/>
      <c r="G212" s="62">
        <f t="shared" si="4"/>
        <v>13366025.294647513</v>
      </c>
    </row>
    <row r="213" spans="1:7" ht="21.75" customHeight="1" x14ac:dyDescent="0.2">
      <c r="A213" s="42"/>
      <c r="B213" s="24"/>
      <c r="C213" s="35"/>
      <c r="D213" s="20" t="s">
        <v>56</v>
      </c>
      <c r="E213" s="21">
        <v>100000</v>
      </c>
      <c r="F213" s="21"/>
      <c r="G213" s="62">
        <f t="shared" si="4"/>
        <v>13466025.294647513</v>
      </c>
    </row>
    <row r="214" spans="1:7" ht="21.75" customHeight="1" x14ac:dyDescent="0.2">
      <c r="A214" s="42"/>
      <c r="B214" s="24"/>
      <c r="C214" s="35"/>
      <c r="D214" s="20" t="s">
        <v>57</v>
      </c>
      <c r="E214" s="21">
        <v>600000</v>
      </c>
      <c r="F214" s="21"/>
      <c r="G214" s="62">
        <f t="shared" si="4"/>
        <v>14066025.294647513</v>
      </c>
    </row>
    <row r="215" spans="1:7" ht="21.75" customHeight="1" x14ac:dyDescent="0.2">
      <c r="A215" s="42"/>
      <c r="B215" s="24"/>
      <c r="C215" s="35"/>
      <c r="D215" s="20" t="s">
        <v>514</v>
      </c>
      <c r="E215" s="21">
        <v>60000</v>
      </c>
      <c r="F215" s="21"/>
      <c r="G215" s="62">
        <f t="shared" si="4"/>
        <v>14126025.294647513</v>
      </c>
    </row>
    <row r="216" spans="1:7" ht="21.75" customHeight="1" x14ac:dyDescent="0.2">
      <c r="A216" s="42"/>
      <c r="B216" s="24"/>
      <c r="C216" s="35"/>
      <c r="D216" s="20" t="s">
        <v>216</v>
      </c>
      <c r="E216" s="21">
        <v>200000</v>
      </c>
      <c r="F216" s="21"/>
      <c r="G216" s="62">
        <f t="shared" si="4"/>
        <v>14326025.294647513</v>
      </c>
    </row>
    <row r="217" spans="1:7" ht="21.75" customHeight="1" x14ac:dyDescent="0.2">
      <c r="A217" s="42"/>
      <c r="B217" s="24"/>
      <c r="C217" s="35"/>
      <c r="D217" s="20" t="s">
        <v>515</v>
      </c>
      <c r="E217" s="21">
        <v>25000</v>
      </c>
      <c r="F217" s="21"/>
      <c r="G217" s="62">
        <f t="shared" si="4"/>
        <v>14351025.294647513</v>
      </c>
    </row>
    <row r="218" spans="1:7" ht="21.75" customHeight="1" x14ac:dyDescent="0.2">
      <c r="A218" s="42"/>
      <c r="B218" s="24"/>
      <c r="C218" s="35"/>
      <c r="D218" s="20" t="s">
        <v>52</v>
      </c>
      <c r="E218" s="21">
        <v>39000</v>
      </c>
      <c r="F218" s="21"/>
      <c r="G218" s="62">
        <f t="shared" si="4"/>
        <v>14390025.294647513</v>
      </c>
    </row>
    <row r="219" spans="1:7" ht="21.75" customHeight="1" x14ac:dyDescent="0.2">
      <c r="A219" s="42"/>
      <c r="B219" s="24"/>
      <c r="C219" s="35"/>
      <c r="D219" s="23" t="s">
        <v>818</v>
      </c>
      <c r="E219" s="21">
        <v>0</v>
      </c>
      <c r="F219" s="39">
        <v>15519679.880000001</v>
      </c>
      <c r="G219" s="62">
        <f t="shared" si="4"/>
        <v>-1129654.5853524879</v>
      </c>
    </row>
    <row r="220" spans="1:7" ht="21.75" customHeight="1" x14ac:dyDescent="0.2">
      <c r="A220" s="42"/>
      <c r="B220" s="24"/>
      <c r="C220" s="35"/>
      <c r="D220" s="20" t="s">
        <v>60</v>
      </c>
      <c r="E220" s="39">
        <v>1421504.88</v>
      </c>
      <c r="F220" s="21">
        <v>0</v>
      </c>
      <c r="G220" s="62">
        <f t="shared" si="4"/>
        <v>291850.29464751203</v>
      </c>
    </row>
    <row r="221" spans="1:7" ht="21.75" customHeight="1" x14ac:dyDescent="0.2">
      <c r="A221" s="42"/>
      <c r="B221" s="24"/>
      <c r="C221" s="35"/>
      <c r="D221" s="20" t="s">
        <v>61</v>
      </c>
      <c r="E221" s="21">
        <v>824934</v>
      </c>
      <c r="F221" s="21">
        <v>0</v>
      </c>
      <c r="G221" s="62">
        <f t="shared" si="4"/>
        <v>1116784.294647512</v>
      </c>
    </row>
    <row r="222" spans="1:7" ht="21.75" customHeight="1" x14ac:dyDescent="0.2">
      <c r="A222" s="42"/>
      <c r="B222" s="24"/>
      <c r="C222" s="35"/>
      <c r="D222" s="20" t="s">
        <v>62</v>
      </c>
      <c r="E222" s="21">
        <v>150000</v>
      </c>
      <c r="F222" s="39">
        <v>0</v>
      </c>
      <c r="G222" s="62">
        <f t="shared" si="4"/>
        <v>1266784.294647512</v>
      </c>
    </row>
    <row r="223" spans="1:7" ht="21.75" customHeight="1" x14ac:dyDescent="0.2">
      <c r="A223" s="42"/>
      <c r="B223" s="24"/>
      <c r="C223" s="35"/>
      <c r="D223" s="20" t="s">
        <v>63</v>
      </c>
      <c r="E223" s="21">
        <v>250000</v>
      </c>
      <c r="F223" s="21">
        <v>0</v>
      </c>
      <c r="G223" s="62">
        <f t="shared" si="4"/>
        <v>1516784.294647512</v>
      </c>
    </row>
    <row r="224" spans="1:7" ht="21.75" customHeight="1" x14ac:dyDescent="0.25">
      <c r="A224" s="42"/>
      <c r="B224" s="24"/>
      <c r="C224" s="35"/>
      <c r="D224" s="20" t="s">
        <v>514</v>
      </c>
      <c r="E224" s="21">
        <v>25000</v>
      </c>
      <c r="F224" s="21"/>
      <c r="G224" s="56">
        <f t="shared" si="4"/>
        <v>1541784.294647512</v>
      </c>
    </row>
    <row r="225" spans="1:7" ht="21.75" customHeight="1" x14ac:dyDescent="0.2">
      <c r="A225" s="42"/>
      <c r="B225" s="19" t="s">
        <v>820</v>
      </c>
      <c r="C225" s="35"/>
      <c r="D225" s="3" t="s">
        <v>821</v>
      </c>
      <c r="E225" s="21">
        <v>25000000</v>
      </c>
      <c r="F225" s="26"/>
      <c r="G225" s="62">
        <f t="shared" ref="G225:G255" si="5">+G224+E225-F225</f>
        <v>26541784.294647511</v>
      </c>
    </row>
    <row r="226" spans="1:7" ht="21.75" customHeight="1" x14ac:dyDescent="0.2">
      <c r="A226" s="42"/>
      <c r="B226" s="24"/>
      <c r="C226" s="35"/>
      <c r="D226" s="23" t="s">
        <v>818</v>
      </c>
      <c r="E226" s="21">
        <v>0</v>
      </c>
      <c r="F226" s="39">
        <v>4546559.96</v>
      </c>
      <c r="G226" s="62">
        <f t="shared" si="5"/>
        <v>21995224.33464751</v>
      </c>
    </row>
    <row r="227" spans="1:7" ht="21.75" customHeight="1" x14ac:dyDescent="0.2">
      <c r="A227" s="42"/>
      <c r="B227" s="24"/>
      <c r="C227" s="35"/>
      <c r="D227" s="20" t="s">
        <v>60</v>
      </c>
      <c r="E227" s="39">
        <v>473834.96</v>
      </c>
      <c r="F227" s="21">
        <v>0</v>
      </c>
      <c r="G227" s="62">
        <f t="shared" si="5"/>
        <v>22469059.294647511</v>
      </c>
    </row>
    <row r="228" spans="1:7" ht="21.75" customHeight="1" x14ac:dyDescent="0.2">
      <c r="A228" s="42"/>
      <c r="B228" s="24"/>
      <c r="C228" s="35"/>
      <c r="D228" s="20" t="s">
        <v>61</v>
      </c>
      <c r="E228" s="21">
        <v>274978</v>
      </c>
      <c r="F228" s="21">
        <v>0</v>
      </c>
      <c r="G228" s="62">
        <f t="shared" si="5"/>
        <v>22744037.294647511</v>
      </c>
    </row>
    <row r="229" spans="1:7" ht="21.75" customHeight="1" x14ac:dyDescent="0.2">
      <c r="A229" s="42"/>
      <c r="B229" s="24"/>
      <c r="C229" s="35"/>
      <c r="D229" s="20" t="s">
        <v>62</v>
      </c>
      <c r="E229" s="21">
        <v>50000</v>
      </c>
      <c r="F229" s="39">
        <v>0</v>
      </c>
      <c r="G229" s="62">
        <f t="shared" si="5"/>
        <v>22794037.294647511</v>
      </c>
    </row>
    <row r="230" spans="1:7" ht="21.75" customHeight="1" x14ac:dyDescent="0.2">
      <c r="A230" s="42"/>
      <c r="B230" s="24"/>
      <c r="C230" s="35"/>
      <c r="D230" s="23" t="s">
        <v>815</v>
      </c>
      <c r="E230" s="21">
        <v>0</v>
      </c>
      <c r="F230" s="81">
        <v>26650684.84</v>
      </c>
      <c r="G230" s="62">
        <f t="shared" si="5"/>
        <v>-3856647.5453524888</v>
      </c>
    </row>
    <row r="231" spans="1:7" ht="21.75" customHeight="1" x14ac:dyDescent="0.2">
      <c r="A231" s="42"/>
      <c r="B231" s="24"/>
      <c r="C231" s="35"/>
      <c r="D231" s="20" t="s">
        <v>41</v>
      </c>
      <c r="E231" s="39">
        <v>2385059.8399999999</v>
      </c>
      <c r="F231" s="21"/>
      <c r="G231" s="62">
        <f t="shared" si="5"/>
        <v>-1471587.7053524889</v>
      </c>
    </row>
    <row r="232" spans="1:7" ht="21.75" customHeight="1" x14ac:dyDescent="0.2">
      <c r="A232" s="42"/>
      <c r="B232" s="24"/>
      <c r="C232" s="35"/>
      <c r="D232" s="20" t="s">
        <v>42</v>
      </c>
      <c r="E232" s="21">
        <v>1374890</v>
      </c>
      <c r="F232" s="21"/>
      <c r="G232" s="62">
        <f t="shared" si="5"/>
        <v>-96697.705352488905</v>
      </c>
    </row>
    <row r="233" spans="1:7" ht="21.75" customHeight="1" x14ac:dyDescent="0.2">
      <c r="A233" s="42"/>
      <c r="B233" s="24"/>
      <c r="C233" s="35"/>
      <c r="D233" s="20" t="s">
        <v>43</v>
      </c>
      <c r="E233" s="21">
        <v>450000</v>
      </c>
      <c r="F233" s="21"/>
      <c r="G233" s="62">
        <f t="shared" si="5"/>
        <v>353302.29464751109</v>
      </c>
    </row>
    <row r="234" spans="1:7" ht="21.75" customHeight="1" x14ac:dyDescent="0.2">
      <c r="A234" s="42"/>
      <c r="B234" s="24"/>
      <c r="C234" s="35"/>
      <c r="D234" s="20" t="s">
        <v>44</v>
      </c>
      <c r="E234" s="21">
        <v>0</v>
      </c>
      <c r="F234" s="21"/>
      <c r="G234" s="62">
        <f t="shared" si="5"/>
        <v>353302.29464751109</v>
      </c>
    </row>
    <row r="235" spans="1:7" ht="21.75" customHeight="1" x14ac:dyDescent="0.2">
      <c r="A235" s="42"/>
      <c r="B235" s="24"/>
      <c r="C235" s="35"/>
      <c r="D235" s="20" t="s">
        <v>59</v>
      </c>
      <c r="E235" s="21">
        <v>1800000</v>
      </c>
      <c r="F235" s="21"/>
      <c r="G235" s="62">
        <f t="shared" si="5"/>
        <v>2153302.2946475111</v>
      </c>
    </row>
    <row r="236" spans="1:7" ht="21.75" customHeight="1" x14ac:dyDescent="0.2">
      <c r="A236" s="42"/>
      <c r="B236" s="24"/>
      <c r="C236" s="35"/>
      <c r="D236" s="20" t="s">
        <v>514</v>
      </c>
      <c r="E236" s="21">
        <v>270000</v>
      </c>
      <c r="F236" s="21"/>
      <c r="G236" s="62">
        <f t="shared" si="5"/>
        <v>2423302.2946475111</v>
      </c>
    </row>
    <row r="237" spans="1:7" ht="21.75" customHeight="1" x14ac:dyDescent="0.2">
      <c r="A237" s="42"/>
      <c r="B237" s="24"/>
      <c r="C237" s="35"/>
      <c r="D237" s="20" t="s">
        <v>58</v>
      </c>
      <c r="E237" s="21">
        <v>200000</v>
      </c>
      <c r="F237" s="21"/>
      <c r="G237" s="62">
        <f t="shared" si="5"/>
        <v>2623302.2946475111</v>
      </c>
    </row>
    <row r="238" spans="1:7" ht="21.75" customHeight="1" x14ac:dyDescent="0.2">
      <c r="A238" s="42"/>
      <c r="B238" s="24"/>
      <c r="C238" s="35"/>
      <c r="D238" s="20" t="s">
        <v>515</v>
      </c>
      <c r="E238" s="21">
        <v>50000</v>
      </c>
      <c r="F238" s="21"/>
      <c r="G238" s="62">
        <f t="shared" si="5"/>
        <v>2673302.2946475111</v>
      </c>
    </row>
    <row r="239" spans="1:7" ht="21.75" customHeight="1" x14ac:dyDescent="0.2">
      <c r="A239" s="42"/>
      <c r="B239" s="24"/>
      <c r="C239" s="35"/>
      <c r="D239" s="20" t="s">
        <v>99</v>
      </c>
      <c r="E239" s="21">
        <v>50000</v>
      </c>
      <c r="F239" s="21"/>
      <c r="G239" s="62">
        <f t="shared" si="5"/>
        <v>2723302.2946475111</v>
      </c>
    </row>
    <row r="240" spans="1:7" ht="21.75" customHeight="1" x14ac:dyDescent="0.2">
      <c r="A240" s="42"/>
      <c r="B240" s="24"/>
      <c r="C240" s="35"/>
      <c r="D240" s="20" t="s">
        <v>822</v>
      </c>
      <c r="E240" s="21">
        <v>215000</v>
      </c>
      <c r="F240" s="21"/>
      <c r="G240" s="62">
        <f t="shared" si="5"/>
        <v>2938302.2946475111</v>
      </c>
    </row>
    <row r="241" spans="1:7" ht="21.75" customHeight="1" x14ac:dyDescent="0.2">
      <c r="A241" s="42"/>
      <c r="B241" s="24"/>
      <c r="C241" s="35"/>
      <c r="D241" s="20" t="s">
        <v>823</v>
      </c>
      <c r="E241" s="21">
        <v>22000000</v>
      </c>
      <c r="F241" s="21"/>
      <c r="G241" s="62">
        <f t="shared" si="5"/>
        <v>24938302.294647511</v>
      </c>
    </row>
    <row r="242" spans="1:7" ht="21.75" customHeight="1" x14ac:dyDescent="0.2">
      <c r="A242" s="42"/>
      <c r="B242" s="24"/>
      <c r="C242" s="35"/>
      <c r="D242" s="23" t="s">
        <v>832</v>
      </c>
      <c r="E242" s="21">
        <v>0</v>
      </c>
      <c r="F242" s="21">
        <v>16696547</v>
      </c>
      <c r="G242" s="62">
        <f t="shared" si="5"/>
        <v>8241755.2946475111</v>
      </c>
    </row>
    <row r="243" spans="1:7" ht="21.75" customHeight="1" x14ac:dyDescent="0.2">
      <c r="A243" s="42"/>
      <c r="B243" s="24"/>
      <c r="C243" s="35"/>
      <c r="D243" s="20" t="s">
        <v>31</v>
      </c>
      <c r="E243" s="21">
        <v>0</v>
      </c>
      <c r="F243" s="21">
        <v>10748501</v>
      </c>
      <c r="G243" s="62">
        <f t="shared" si="5"/>
        <v>-2506745.7053524889</v>
      </c>
    </row>
    <row r="244" spans="1:7" ht="21.75" customHeight="1" x14ac:dyDescent="0.2">
      <c r="A244" s="42"/>
      <c r="B244" s="24"/>
      <c r="C244" s="35"/>
      <c r="D244" s="20" t="s">
        <v>32</v>
      </c>
      <c r="E244" s="21">
        <v>0</v>
      </c>
      <c r="F244" s="21">
        <v>11496953</v>
      </c>
      <c r="G244" s="62">
        <f t="shared" si="5"/>
        <v>-14003698.705352489</v>
      </c>
    </row>
    <row r="245" spans="1:7" ht="21.75" customHeight="1" x14ac:dyDescent="0.2">
      <c r="A245" s="42"/>
      <c r="B245" s="24"/>
      <c r="C245" s="35"/>
      <c r="D245" s="20" t="s">
        <v>33</v>
      </c>
      <c r="E245" s="21">
        <v>3353805</v>
      </c>
      <c r="F245" s="21">
        <v>0</v>
      </c>
      <c r="G245" s="62">
        <f t="shared" si="5"/>
        <v>-10649893.705352489</v>
      </c>
    </row>
    <row r="246" spans="1:7" ht="21.75" customHeight="1" x14ac:dyDescent="0.2">
      <c r="A246" s="42"/>
      <c r="B246" s="24"/>
      <c r="C246" s="35"/>
      <c r="D246" s="20" t="s">
        <v>34</v>
      </c>
      <c r="E246" s="21">
        <v>1924846</v>
      </c>
      <c r="F246" s="21">
        <v>0</v>
      </c>
      <c r="G246" s="62">
        <f t="shared" si="5"/>
        <v>-8725047.7053524889</v>
      </c>
    </row>
    <row r="247" spans="1:7" ht="21.75" customHeight="1" x14ac:dyDescent="0.2">
      <c r="A247" s="42"/>
      <c r="B247" s="24"/>
      <c r="C247" s="35"/>
      <c r="D247" s="20" t="s">
        <v>35</v>
      </c>
      <c r="E247" s="21">
        <v>650000</v>
      </c>
      <c r="F247" s="21">
        <v>0</v>
      </c>
      <c r="G247" s="62">
        <f t="shared" si="5"/>
        <v>-8075047.7053524889</v>
      </c>
    </row>
    <row r="248" spans="1:7" ht="21.75" customHeight="1" x14ac:dyDescent="0.2">
      <c r="A248" s="42"/>
      <c r="B248" s="24"/>
      <c r="C248" s="35"/>
      <c r="D248" s="20" t="s">
        <v>36</v>
      </c>
      <c r="E248" s="21">
        <v>200000</v>
      </c>
      <c r="F248" s="21">
        <v>0</v>
      </c>
      <c r="G248" s="62">
        <f t="shared" si="5"/>
        <v>-7875047.7053524889</v>
      </c>
    </row>
    <row r="249" spans="1:7" ht="21.75" customHeight="1" x14ac:dyDescent="0.2">
      <c r="A249" s="42"/>
      <c r="B249" s="24"/>
      <c r="C249" s="35"/>
      <c r="D249" s="20" t="s">
        <v>37</v>
      </c>
      <c r="E249" s="21">
        <v>6550000</v>
      </c>
      <c r="F249" s="21">
        <v>0</v>
      </c>
      <c r="G249" s="62">
        <f t="shared" si="5"/>
        <v>-1325047.7053524889</v>
      </c>
    </row>
    <row r="250" spans="1:7" ht="21.75" customHeight="1" x14ac:dyDescent="0.2">
      <c r="A250" s="42"/>
      <c r="B250" s="24"/>
      <c r="C250" s="35"/>
      <c r="D250" s="20" t="s">
        <v>514</v>
      </c>
      <c r="E250" s="21">
        <v>952500</v>
      </c>
      <c r="F250" s="21"/>
      <c r="G250" s="62">
        <f t="shared" si="5"/>
        <v>-372547.70535248891</v>
      </c>
    </row>
    <row r="251" spans="1:7" ht="21.75" customHeight="1" x14ac:dyDescent="0.2">
      <c r="A251" s="42"/>
      <c r="B251" s="24"/>
      <c r="C251" s="35"/>
      <c r="D251" s="20" t="s">
        <v>38</v>
      </c>
      <c r="E251" s="21">
        <v>1800000</v>
      </c>
      <c r="F251" s="21"/>
      <c r="G251" s="62">
        <f t="shared" si="5"/>
        <v>1427452.2946475111</v>
      </c>
    </row>
    <row r="252" spans="1:7" ht="21.75" customHeight="1" x14ac:dyDescent="0.2">
      <c r="A252" s="42"/>
      <c r="B252" s="24"/>
      <c r="C252" s="35"/>
      <c r="D252" s="20" t="s">
        <v>515</v>
      </c>
      <c r="E252" s="21">
        <v>265000</v>
      </c>
      <c r="F252" s="21"/>
      <c r="G252" s="62">
        <f t="shared" si="5"/>
        <v>1692452.2946475111</v>
      </c>
    </row>
    <row r="253" spans="1:7" ht="21.75" customHeight="1" x14ac:dyDescent="0.2">
      <c r="A253" s="42"/>
      <c r="B253" s="19" t="s">
        <v>824</v>
      </c>
      <c r="C253" s="35"/>
      <c r="D253" s="23" t="s">
        <v>833</v>
      </c>
      <c r="E253" s="21">
        <v>1000000</v>
      </c>
      <c r="F253" s="21"/>
      <c r="G253" s="62">
        <f t="shared" si="5"/>
        <v>2692452.2946475111</v>
      </c>
    </row>
    <row r="254" spans="1:7" ht="21.75" customHeight="1" x14ac:dyDescent="0.2">
      <c r="A254" s="42"/>
      <c r="B254" s="24"/>
      <c r="C254" s="35"/>
      <c r="D254" s="20" t="s">
        <v>825</v>
      </c>
      <c r="E254" s="21">
        <v>10000000</v>
      </c>
      <c r="F254" s="21"/>
      <c r="G254" s="62">
        <f t="shared" si="5"/>
        <v>12692452.294647511</v>
      </c>
    </row>
    <row r="255" spans="1:7" ht="21.75" customHeight="1" x14ac:dyDescent="0.2">
      <c r="A255" s="42"/>
      <c r="B255" s="24"/>
      <c r="C255" s="35"/>
      <c r="D255" s="20" t="s">
        <v>826</v>
      </c>
      <c r="E255" s="21">
        <v>4060000</v>
      </c>
      <c r="F255" s="21"/>
      <c r="G255" s="62">
        <f t="shared" si="5"/>
        <v>16752452.294647511</v>
      </c>
    </row>
    <row r="256" spans="1:7" ht="21.75" customHeight="1" x14ac:dyDescent="0.25">
      <c r="A256" s="42"/>
      <c r="B256" s="24"/>
      <c r="C256" s="35"/>
      <c r="D256" s="20" t="s">
        <v>827</v>
      </c>
      <c r="E256" s="21">
        <v>15450000</v>
      </c>
      <c r="F256" s="21"/>
      <c r="G256" s="56">
        <f t="shared" ref="G256:G263" si="6">+G255+E256-F256</f>
        <v>32202452.294647511</v>
      </c>
    </row>
    <row r="257" spans="1:7" ht="21.75" customHeight="1" x14ac:dyDescent="0.2">
      <c r="A257" s="42"/>
      <c r="B257" s="24"/>
      <c r="C257" s="35"/>
      <c r="D257" s="20" t="s">
        <v>831</v>
      </c>
      <c r="E257" s="21"/>
      <c r="F257" s="21">
        <v>22000000</v>
      </c>
      <c r="G257" s="62">
        <f t="shared" si="6"/>
        <v>10202452.294647511</v>
      </c>
    </row>
    <row r="258" spans="1:7" ht="21.75" customHeight="1" x14ac:dyDescent="0.2">
      <c r="A258" s="42"/>
      <c r="B258" s="24"/>
      <c r="C258" s="35"/>
      <c r="D258" s="20" t="s">
        <v>21</v>
      </c>
      <c r="E258" s="21"/>
      <c r="F258" s="21">
        <v>2500</v>
      </c>
      <c r="G258" s="62">
        <f t="shared" si="6"/>
        <v>10199952.294647511</v>
      </c>
    </row>
    <row r="259" spans="1:7" ht="21.75" customHeight="1" x14ac:dyDescent="0.2">
      <c r="A259" s="42"/>
      <c r="B259" s="24"/>
      <c r="C259" s="35"/>
      <c r="D259" s="20" t="s">
        <v>828</v>
      </c>
      <c r="E259" s="21"/>
      <c r="F259" s="21">
        <v>2172896</v>
      </c>
      <c r="G259" s="62">
        <f t="shared" si="6"/>
        <v>8027056.2946475111</v>
      </c>
    </row>
    <row r="260" spans="1:7" ht="21.75" customHeight="1" x14ac:dyDescent="0.2">
      <c r="A260" s="42"/>
      <c r="B260" s="24"/>
      <c r="C260" s="35"/>
      <c r="D260" s="20" t="s">
        <v>829</v>
      </c>
      <c r="E260" s="21"/>
      <c r="F260" s="21">
        <v>2172896</v>
      </c>
      <c r="G260" s="62">
        <f t="shared" si="6"/>
        <v>5854160.2946475111</v>
      </c>
    </row>
    <row r="261" spans="1:7" ht="21.75" customHeight="1" x14ac:dyDescent="0.2">
      <c r="A261" s="42"/>
      <c r="B261" s="24" t="s">
        <v>678</v>
      </c>
      <c r="C261" s="35"/>
      <c r="D261" s="20" t="s">
        <v>21</v>
      </c>
      <c r="E261" s="21"/>
      <c r="F261" s="21">
        <v>25000</v>
      </c>
      <c r="G261" s="62">
        <f t="shared" si="6"/>
        <v>5829160.2946475111</v>
      </c>
    </row>
    <row r="262" spans="1:7" ht="21.75" customHeight="1" x14ac:dyDescent="0.2">
      <c r="A262" s="42"/>
      <c r="B262" s="24" t="s">
        <v>678</v>
      </c>
      <c r="C262" s="35"/>
      <c r="D262" s="20" t="s">
        <v>68</v>
      </c>
      <c r="E262" s="81">
        <v>22343.42</v>
      </c>
      <c r="F262" s="81"/>
      <c r="G262" s="62">
        <f t="shared" si="6"/>
        <v>5851503.714647511</v>
      </c>
    </row>
    <row r="263" spans="1:7" ht="21.75" customHeight="1" x14ac:dyDescent="0.2">
      <c r="A263" s="42"/>
      <c r="B263" s="24" t="s">
        <v>678</v>
      </c>
      <c r="C263" s="35"/>
      <c r="D263" s="20" t="s">
        <v>69</v>
      </c>
      <c r="E263" s="81"/>
      <c r="F263" s="81">
        <v>4468.68</v>
      </c>
      <c r="G263" s="62">
        <f t="shared" si="6"/>
        <v>5847035.0346475113</v>
      </c>
    </row>
    <row r="264" spans="1:7" ht="21.75" customHeight="1" x14ac:dyDescent="0.2">
      <c r="A264" s="42"/>
      <c r="B264" s="24"/>
      <c r="C264" s="35"/>
      <c r="D264" s="20"/>
      <c r="E264" s="21"/>
      <c r="F264" s="21"/>
      <c r="G264" s="62"/>
    </row>
    <row r="265" spans="1:7" ht="21.75" customHeight="1" x14ac:dyDescent="0.2">
      <c r="A265" s="42"/>
      <c r="B265" s="24"/>
      <c r="C265" s="35"/>
      <c r="D265" s="20"/>
      <c r="E265" s="21"/>
      <c r="F265" s="21"/>
      <c r="G265" s="62"/>
    </row>
    <row r="266" spans="1:7" ht="21.75" customHeight="1" x14ac:dyDescent="0.2">
      <c r="A266" s="7"/>
      <c r="B266" s="24"/>
      <c r="C266" s="36"/>
      <c r="D266" s="20"/>
      <c r="E266" s="21"/>
      <c r="F266" s="21"/>
      <c r="G266" s="39"/>
    </row>
    <row r="267" spans="1:7" ht="14.25" x14ac:dyDescent="0.2">
      <c r="A267" s="7"/>
      <c r="B267" s="18"/>
      <c r="C267" s="18"/>
      <c r="D267" s="18"/>
      <c r="E267" s="18"/>
      <c r="F267" s="18"/>
      <c r="G267" s="18"/>
    </row>
    <row r="268" spans="1:7" customFormat="1" ht="24.75" customHeight="1" x14ac:dyDescent="0.25">
      <c r="A268" s="72"/>
      <c r="B268" s="37"/>
      <c r="C268" s="37"/>
      <c r="D268" s="41" t="s">
        <v>10</v>
      </c>
      <c r="E268" s="38">
        <f>SUM(E10:E266)</f>
        <v>953617201.1400001</v>
      </c>
      <c r="F268" s="38">
        <f>SUM(F10:F266)</f>
        <v>1145045227.4000001</v>
      </c>
      <c r="G268" s="38">
        <f>+G263</f>
        <v>5847035.0346475113</v>
      </c>
    </row>
    <row r="269" spans="1:7" ht="14.25" x14ac:dyDescent="0.2">
      <c r="B269" s="17"/>
      <c r="C269" s="17"/>
      <c r="D269" s="17"/>
      <c r="E269" s="17"/>
      <c r="F269" s="17"/>
      <c r="G269" s="17"/>
    </row>
    <row r="270" spans="1:7" ht="14.25" x14ac:dyDescent="0.2">
      <c r="D270" s="17"/>
      <c r="F270" s="89" t="s">
        <v>830</v>
      </c>
      <c r="G270" s="89"/>
    </row>
    <row r="271" spans="1:7" x14ac:dyDescent="0.2">
      <c r="F271" s="90" t="s">
        <v>11</v>
      </c>
      <c r="G271" s="90"/>
    </row>
    <row r="274" spans="5:6" x14ac:dyDescent="0.2">
      <c r="E274" s="3" t="s">
        <v>82</v>
      </c>
      <c r="F274" s="50">
        <f>+G268</f>
        <v>5847035.0346475113</v>
      </c>
    </row>
    <row r="275" spans="5:6" x14ac:dyDescent="0.2">
      <c r="E275" s="3" t="s">
        <v>83</v>
      </c>
      <c r="F275" s="51">
        <v>0</v>
      </c>
    </row>
  </sheetData>
  <mergeCells count="8">
    <mergeCell ref="F270:G270"/>
    <mergeCell ref="F271:G271"/>
    <mergeCell ref="A7:A8"/>
    <mergeCell ref="B7:B8"/>
    <mergeCell ref="D7:D8"/>
    <mergeCell ref="E7:E8"/>
    <mergeCell ref="F7:F8"/>
    <mergeCell ref="G7:G8"/>
  </mergeCells>
  <phoneticPr fontId="1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3D3D-2711-494A-9159-4007AE630895}">
  <sheetPr>
    <tabColor rgb="FF0070C0"/>
  </sheetPr>
  <dimension ref="A1:K349"/>
  <sheetViews>
    <sheetView tabSelected="1" topLeftCell="A329" zoomScale="90" zoomScaleNormal="90" workbookViewId="0">
      <selection activeCell="D338" sqref="D338"/>
    </sheetView>
  </sheetViews>
  <sheetFormatPr defaultColWidth="9.140625" defaultRowHeight="12.75" x14ac:dyDescent="0.2"/>
  <cols>
    <col min="1" max="1" width="9.7109375" style="3" customWidth="1"/>
    <col min="2" max="2" width="17.7109375" style="3" customWidth="1"/>
    <col min="3" max="3" width="14.85546875" style="3" customWidth="1"/>
    <col min="4" max="4" width="95.140625" style="3" customWidth="1"/>
    <col min="5" max="5" width="22.42578125" style="3" customWidth="1"/>
    <col min="6" max="6" width="21.5703125" style="3" customWidth="1"/>
    <col min="7" max="7" width="22.7109375" style="3" customWidth="1"/>
    <col min="8" max="8" width="16.42578125" style="3" customWidth="1"/>
    <col min="9" max="9" width="12.5703125" style="3" customWidth="1"/>
    <col min="10" max="10" width="12.28515625" style="3" bestFit="1" customWidth="1"/>
    <col min="11" max="16384" width="9.140625" style="3"/>
  </cols>
  <sheetData>
    <row r="1" spans="1:11" x14ac:dyDescent="0.2">
      <c r="A1" s="2"/>
      <c r="B1" s="2"/>
      <c r="C1" s="2"/>
      <c r="D1" s="2"/>
      <c r="E1" s="2"/>
      <c r="F1" s="2"/>
      <c r="G1" s="2"/>
    </row>
    <row r="2" spans="1:11" x14ac:dyDescent="0.2">
      <c r="A2" s="2"/>
      <c r="B2" s="2"/>
      <c r="C2" s="2"/>
      <c r="D2" s="2"/>
      <c r="E2" s="2"/>
      <c r="F2" s="2"/>
      <c r="G2" s="2"/>
    </row>
    <row r="3" spans="1:11" ht="15" customHeight="1" x14ac:dyDescent="0.2">
      <c r="A3" s="4" t="s">
        <v>8</v>
      </c>
      <c r="B3" s="4"/>
    </row>
    <row r="4" spans="1:11" ht="15" customHeight="1" x14ac:dyDescent="0.2">
      <c r="A4" s="4" t="s">
        <v>85</v>
      </c>
      <c r="B4" s="4"/>
    </row>
    <row r="5" spans="1:11" ht="15" customHeight="1" x14ac:dyDescent="0.2">
      <c r="A5" s="4" t="s">
        <v>9</v>
      </c>
      <c r="B5" s="4"/>
      <c r="D5" s="5" t="s">
        <v>834</v>
      </c>
    </row>
    <row r="6" spans="1:11" ht="13.5" thickBot="1" x14ac:dyDescent="0.25"/>
    <row r="7" spans="1:11" x14ac:dyDescent="0.2">
      <c r="A7" s="91" t="s">
        <v>0</v>
      </c>
      <c r="B7" s="93" t="s">
        <v>1</v>
      </c>
      <c r="C7" s="83" t="s">
        <v>2</v>
      </c>
      <c r="D7" s="93" t="s">
        <v>4</v>
      </c>
      <c r="E7" s="93" t="s">
        <v>5</v>
      </c>
      <c r="F7" s="93" t="s">
        <v>76</v>
      </c>
      <c r="G7" s="95" t="s">
        <v>6</v>
      </c>
      <c r="H7" s="6"/>
      <c r="I7" s="2"/>
      <c r="J7" s="2"/>
      <c r="K7" s="2"/>
    </row>
    <row r="8" spans="1:11" ht="13.5" thickBot="1" x14ac:dyDescent="0.25">
      <c r="A8" s="92"/>
      <c r="B8" s="94"/>
      <c r="C8" s="84" t="s">
        <v>3</v>
      </c>
      <c r="D8" s="94"/>
      <c r="E8" s="94"/>
      <c r="F8" s="94"/>
      <c r="G8" s="96"/>
      <c r="H8" s="6"/>
      <c r="I8" s="2"/>
      <c r="J8" s="2"/>
      <c r="K8" s="2"/>
    </row>
    <row r="9" spans="1:11" s="17" customFormat="1" ht="22.35" customHeight="1" x14ac:dyDescent="0.25">
      <c r="A9" s="13"/>
      <c r="B9" s="13"/>
      <c r="C9" s="13"/>
      <c r="D9" s="14" t="s">
        <v>7</v>
      </c>
      <c r="E9" s="15">
        <v>0</v>
      </c>
      <c r="F9" s="16">
        <v>0</v>
      </c>
      <c r="G9" s="45">
        <f>+'05,MEI 26'!G268</f>
        <v>5847035.0346475113</v>
      </c>
      <c r="H9" s="33"/>
    </row>
    <row r="10" spans="1:11" s="17" customFormat="1" ht="21.75" customHeight="1" x14ac:dyDescent="0.2">
      <c r="A10" s="18"/>
      <c r="B10" s="19" t="s">
        <v>836</v>
      </c>
      <c r="C10" s="18"/>
      <c r="D10" s="20" t="s">
        <v>835</v>
      </c>
      <c r="E10" s="21">
        <v>10000000</v>
      </c>
      <c r="F10" s="21"/>
      <c r="G10" s="39">
        <f>+G9+E10-F10</f>
        <v>15847035.034647511</v>
      </c>
    </row>
    <row r="11" spans="1:11" s="17" customFormat="1" ht="21.75" customHeight="1" x14ac:dyDescent="0.25">
      <c r="A11" s="18"/>
      <c r="B11" s="24"/>
      <c r="C11" s="18"/>
      <c r="D11" s="77" t="s">
        <v>837</v>
      </c>
      <c r="E11" s="21"/>
      <c r="F11" s="21"/>
      <c r="G11" s="39">
        <f t="shared" ref="G11:G80" si="0">+G10+E11-F11</f>
        <v>15847035.034647511</v>
      </c>
    </row>
    <row r="12" spans="1:11" s="17" customFormat="1" ht="21.75" customHeight="1" x14ac:dyDescent="0.2">
      <c r="A12" s="18"/>
      <c r="B12" s="24"/>
      <c r="C12" s="18"/>
      <c r="D12" s="20" t="s">
        <v>838</v>
      </c>
      <c r="E12" s="21">
        <v>8050000</v>
      </c>
      <c r="F12" s="21"/>
      <c r="G12" s="39">
        <f t="shared" si="0"/>
        <v>23897035.034647509</v>
      </c>
    </row>
    <row r="13" spans="1:11" s="17" customFormat="1" ht="21.75" customHeight="1" x14ac:dyDescent="0.2">
      <c r="A13" s="18"/>
      <c r="B13" s="24"/>
      <c r="C13" s="18"/>
      <c r="D13" s="20" t="s">
        <v>839</v>
      </c>
      <c r="E13" s="21">
        <v>4400000</v>
      </c>
      <c r="F13" s="21"/>
      <c r="G13" s="39">
        <f t="shared" si="0"/>
        <v>28297035.034647509</v>
      </c>
    </row>
    <row r="14" spans="1:11" s="17" customFormat="1" ht="21.75" customHeight="1" x14ac:dyDescent="0.2">
      <c r="A14" s="18"/>
      <c r="B14" s="24"/>
      <c r="C14" s="18"/>
      <c r="D14" s="20" t="s">
        <v>840</v>
      </c>
      <c r="E14" s="21">
        <v>14700000</v>
      </c>
      <c r="F14" s="21"/>
      <c r="G14" s="39">
        <f t="shared" si="0"/>
        <v>42997035.034647509</v>
      </c>
    </row>
    <row r="15" spans="1:11" s="17" customFormat="1" ht="21.75" customHeight="1" x14ac:dyDescent="0.2">
      <c r="A15" s="18"/>
      <c r="B15" s="24"/>
      <c r="C15" s="18"/>
      <c r="D15" s="20" t="s">
        <v>450</v>
      </c>
      <c r="E15" s="21">
        <v>1780000</v>
      </c>
      <c r="F15" s="21"/>
      <c r="G15" s="39">
        <f t="shared" si="0"/>
        <v>44777035.034647509</v>
      </c>
    </row>
    <row r="16" spans="1:11" s="17" customFormat="1" ht="21.75" customHeight="1" x14ac:dyDescent="0.2">
      <c r="A16" s="18"/>
      <c r="B16" s="24"/>
      <c r="C16" s="18"/>
      <c r="D16" s="20" t="s">
        <v>841</v>
      </c>
      <c r="E16" s="21">
        <v>1400000</v>
      </c>
      <c r="F16" s="21"/>
      <c r="G16" s="39">
        <f t="shared" si="0"/>
        <v>46177035.034647509</v>
      </c>
    </row>
    <row r="17" spans="1:7" s="17" customFormat="1" ht="21.75" customHeight="1" x14ac:dyDescent="0.2">
      <c r="A17" s="18"/>
      <c r="B17" s="24"/>
      <c r="C17" s="18"/>
      <c r="D17" s="20" t="s">
        <v>449</v>
      </c>
      <c r="E17" s="21">
        <v>185750</v>
      </c>
      <c r="F17" s="21"/>
      <c r="G17" s="39">
        <f t="shared" si="0"/>
        <v>46362785.034647509</v>
      </c>
    </row>
    <row r="18" spans="1:7" s="17" customFormat="1" ht="21.75" customHeight="1" x14ac:dyDescent="0.2">
      <c r="A18" s="18"/>
      <c r="B18" s="24"/>
      <c r="C18" s="18"/>
      <c r="D18" s="20" t="s">
        <v>842</v>
      </c>
      <c r="E18" s="21">
        <v>437000</v>
      </c>
      <c r="F18" s="21"/>
      <c r="G18" s="39">
        <f t="shared" si="0"/>
        <v>46799785.034647509</v>
      </c>
    </row>
    <row r="19" spans="1:7" s="17" customFormat="1" ht="21.75" customHeight="1" x14ac:dyDescent="0.2">
      <c r="A19" s="18"/>
      <c r="B19" s="24"/>
      <c r="C19" s="18"/>
      <c r="D19" s="20" t="s">
        <v>843</v>
      </c>
      <c r="E19" s="21">
        <v>431000</v>
      </c>
      <c r="F19" s="21"/>
      <c r="G19" s="39">
        <f t="shared" si="0"/>
        <v>47230785.034647509</v>
      </c>
    </row>
    <row r="20" spans="1:7" s="17" customFormat="1" ht="21.75" customHeight="1" x14ac:dyDescent="0.2">
      <c r="A20" s="18"/>
      <c r="B20" s="24"/>
      <c r="C20" s="24"/>
      <c r="D20" s="20" t="s">
        <v>13</v>
      </c>
      <c r="E20" s="21">
        <v>1190000</v>
      </c>
      <c r="F20" s="21"/>
      <c r="G20" s="39">
        <f t="shared" si="0"/>
        <v>48420785.034647509</v>
      </c>
    </row>
    <row r="21" spans="1:7" s="17" customFormat="1" ht="21.75" customHeight="1" x14ac:dyDescent="0.2">
      <c r="A21" s="18"/>
      <c r="B21" s="24"/>
      <c r="C21" s="18"/>
      <c r="D21" s="20" t="s">
        <v>15</v>
      </c>
      <c r="E21" s="21">
        <v>2400000</v>
      </c>
      <c r="F21" s="21"/>
      <c r="G21" s="39">
        <f t="shared" si="0"/>
        <v>50820785.034647509</v>
      </c>
    </row>
    <row r="22" spans="1:7" s="17" customFormat="1" ht="21.75" customHeight="1" x14ac:dyDescent="0.2">
      <c r="A22" s="18"/>
      <c r="B22" s="19"/>
      <c r="C22" s="18"/>
      <c r="D22" s="20" t="s">
        <v>16</v>
      </c>
      <c r="E22" s="21">
        <v>3150000</v>
      </c>
      <c r="F22" s="21"/>
      <c r="G22" s="39">
        <f t="shared" si="0"/>
        <v>53970785.034647509</v>
      </c>
    </row>
    <row r="23" spans="1:7" s="17" customFormat="1" ht="21.75" customHeight="1" x14ac:dyDescent="0.2">
      <c r="A23" s="18"/>
      <c r="B23" s="19"/>
      <c r="C23" s="18"/>
      <c r="D23" s="20" t="s">
        <v>844</v>
      </c>
      <c r="E23" s="21">
        <v>2456667</v>
      </c>
      <c r="F23" s="21"/>
      <c r="G23" s="39">
        <f t="shared" si="0"/>
        <v>56427452.034647509</v>
      </c>
    </row>
    <row r="24" spans="1:7" s="17" customFormat="1" ht="21.75" customHeight="1" x14ac:dyDescent="0.2">
      <c r="A24" s="18"/>
      <c r="B24" s="19"/>
      <c r="C24" s="18"/>
      <c r="D24" s="20" t="s">
        <v>18</v>
      </c>
      <c r="E24" s="21">
        <v>0</v>
      </c>
      <c r="F24" s="21"/>
      <c r="G24" s="39">
        <f t="shared" si="0"/>
        <v>56427452.034647509</v>
      </c>
    </row>
    <row r="25" spans="1:7" s="17" customFormat="1" ht="21.75" customHeight="1" x14ac:dyDescent="0.2">
      <c r="A25" s="18"/>
      <c r="B25" s="24"/>
      <c r="C25" s="18"/>
      <c r="D25" s="20" t="s">
        <v>17</v>
      </c>
      <c r="E25" s="21">
        <v>0</v>
      </c>
      <c r="F25" s="21"/>
      <c r="G25" s="39">
        <f t="shared" si="0"/>
        <v>56427452.034647509</v>
      </c>
    </row>
    <row r="26" spans="1:7" s="17" customFormat="1" ht="21.75" customHeight="1" x14ac:dyDescent="0.2">
      <c r="A26" s="18"/>
      <c r="B26" s="24"/>
      <c r="C26" s="18"/>
      <c r="D26" s="20" t="s">
        <v>64</v>
      </c>
      <c r="E26" s="21"/>
      <c r="F26" s="26">
        <v>3090000</v>
      </c>
      <c r="G26" s="39">
        <f t="shared" si="0"/>
        <v>53337452.034647509</v>
      </c>
    </row>
    <row r="27" spans="1:7" s="17" customFormat="1" ht="21.75" customHeight="1" x14ac:dyDescent="0.2">
      <c r="A27" s="18"/>
      <c r="B27" s="24"/>
      <c r="C27" s="18"/>
      <c r="D27" s="20" t="s">
        <v>65</v>
      </c>
      <c r="E27" s="21"/>
      <c r="F27" s="21">
        <v>1680000</v>
      </c>
      <c r="G27" s="39">
        <f t="shared" si="0"/>
        <v>51657452.034647509</v>
      </c>
    </row>
    <row r="28" spans="1:7" s="17" customFormat="1" ht="21.75" customHeight="1" x14ac:dyDescent="0.2">
      <c r="A28" s="18"/>
      <c r="B28" s="24"/>
      <c r="C28" s="18"/>
      <c r="D28" s="20" t="s">
        <v>66</v>
      </c>
      <c r="E28" s="21"/>
      <c r="F28" s="21">
        <v>1560000</v>
      </c>
      <c r="G28" s="39">
        <f t="shared" si="0"/>
        <v>50097452.034647509</v>
      </c>
    </row>
    <row r="29" spans="1:7" s="17" customFormat="1" ht="21.75" customHeight="1" x14ac:dyDescent="0.2">
      <c r="A29" s="18"/>
      <c r="B29" s="24"/>
      <c r="C29" s="18"/>
      <c r="D29" s="20" t="s">
        <v>67</v>
      </c>
      <c r="E29" s="21"/>
      <c r="F29" s="26">
        <v>2160000</v>
      </c>
      <c r="G29" s="39">
        <f t="shared" si="0"/>
        <v>47937452.034647509</v>
      </c>
    </row>
    <row r="30" spans="1:7" s="17" customFormat="1" ht="21.75" customHeight="1" x14ac:dyDescent="0.2">
      <c r="A30" s="18"/>
      <c r="B30" s="24"/>
      <c r="C30" s="18"/>
      <c r="D30" s="20" t="s">
        <v>847</v>
      </c>
      <c r="E30" s="21"/>
      <c r="F30" s="21">
        <v>5861213</v>
      </c>
      <c r="G30" s="39">
        <f t="shared" si="0"/>
        <v>42076239.034647509</v>
      </c>
    </row>
    <row r="31" spans="1:7" s="17" customFormat="1" ht="21.75" customHeight="1" x14ac:dyDescent="0.2">
      <c r="A31" s="18"/>
      <c r="B31" s="24"/>
      <c r="C31" s="18"/>
      <c r="D31" s="20" t="s">
        <v>848</v>
      </c>
      <c r="E31" s="21"/>
      <c r="F31" s="21">
        <v>4793276</v>
      </c>
      <c r="G31" s="39">
        <f t="shared" si="0"/>
        <v>37282963.034647509</v>
      </c>
    </row>
    <row r="32" spans="1:7" s="17" customFormat="1" ht="21.75" customHeight="1" x14ac:dyDescent="0.2">
      <c r="A32" s="18"/>
      <c r="B32" s="24"/>
      <c r="C32" s="18"/>
      <c r="D32" s="20" t="s">
        <v>78</v>
      </c>
      <c r="E32" s="21">
        <v>549956</v>
      </c>
      <c r="F32" s="21"/>
      <c r="G32" s="39">
        <f t="shared" si="0"/>
        <v>37832919.034647509</v>
      </c>
    </row>
    <row r="33" spans="1:7" s="17" customFormat="1" ht="21.75" customHeight="1" x14ac:dyDescent="0.2">
      <c r="A33" s="18"/>
      <c r="B33" s="24"/>
      <c r="C33" s="18"/>
      <c r="D33" s="20" t="s">
        <v>77</v>
      </c>
      <c r="E33" s="21">
        <v>60552</v>
      </c>
      <c r="F33" s="21"/>
      <c r="G33" s="39">
        <f t="shared" si="0"/>
        <v>37893471.034647509</v>
      </c>
    </row>
    <row r="34" spans="1:7" s="17" customFormat="1" ht="21.75" customHeight="1" x14ac:dyDescent="0.2">
      <c r="A34" s="18"/>
      <c r="B34" s="24"/>
      <c r="C34" s="18"/>
      <c r="D34" s="20" t="s">
        <v>849</v>
      </c>
      <c r="E34" s="21"/>
      <c r="F34" s="21">
        <v>200000</v>
      </c>
      <c r="G34" s="39">
        <f t="shared" si="0"/>
        <v>37693471.034647509</v>
      </c>
    </row>
    <row r="35" spans="1:7" s="17" customFormat="1" ht="21.75" customHeight="1" x14ac:dyDescent="0.2">
      <c r="A35" s="18"/>
      <c r="B35" s="19" t="s">
        <v>850</v>
      </c>
      <c r="C35" s="18"/>
      <c r="D35" s="20" t="s">
        <v>633</v>
      </c>
      <c r="E35" s="21"/>
      <c r="F35" s="21">
        <v>1500000</v>
      </c>
      <c r="G35" s="39">
        <f t="shared" si="0"/>
        <v>36193471.034647509</v>
      </c>
    </row>
    <row r="36" spans="1:7" s="17" customFormat="1" ht="21.75" customHeight="1" x14ac:dyDescent="0.2">
      <c r="A36" s="18"/>
      <c r="B36" s="24"/>
      <c r="C36" s="18"/>
      <c r="D36" s="20" t="s">
        <v>21</v>
      </c>
      <c r="E36" s="21"/>
      <c r="F36" s="21">
        <v>2500</v>
      </c>
      <c r="G36" s="39">
        <f t="shared" si="0"/>
        <v>36190971.034647509</v>
      </c>
    </row>
    <row r="37" spans="1:7" s="17" customFormat="1" ht="21.75" customHeight="1" x14ac:dyDescent="0.2">
      <c r="A37" s="18"/>
      <c r="B37" s="24"/>
      <c r="C37" s="18"/>
      <c r="D37" s="20" t="s">
        <v>851</v>
      </c>
      <c r="E37" s="21">
        <v>10000000</v>
      </c>
      <c r="F37" s="21"/>
      <c r="G37" s="39">
        <f t="shared" si="0"/>
        <v>46190971.034647509</v>
      </c>
    </row>
    <row r="38" spans="1:7" s="17" customFormat="1" ht="21.75" customHeight="1" x14ac:dyDescent="0.2">
      <c r="A38" s="18"/>
      <c r="B38" s="24"/>
      <c r="C38" s="18"/>
      <c r="D38" s="20" t="s">
        <v>852</v>
      </c>
      <c r="E38" s="21"/>
      <c r="F38" s="21">
        <v>11204228</v>
      </c>
      <c r="G38" s="39">
        <f t="shared" si="0"/>
        <v>34986743.034647509</v>
      </c>
    </row>
    <row r="39" spans="1:7" s="17" customFormat="1" ht="21.75" customHeight="1" x14ac:dyDescent="0.2">
      <c r="A39" s="18"/>
      <c r="B39" s="24"/>
      <c r="C39" s="18"/>
      <c r="D39" s="20" t="s">
        <v>853</v>
      </c>
      <c r="E39" s="21">
        <v>106550000</v>
      </c>
      <c r="F39" s="21"/>
      <c r="G39" s="39">
        <f t="shared" si="0"/>
        <v>141536743.03464752</v>
      </c>
    </row>
    <row r="40" spans="1:7" s="17" customFormat="1" ht="21.75" customHeight="1" x14ac:dyDescent="0.2">
      <c r="A40" s="18"/>
      <c r="B40" s="24"/>
      <c r="C40" s="18"/>
      <c r="D40" s="20"/>
      <c r="E40" s="21">
        <v>0</v>
      </c>
      <c r="F40" s="21"/>
      <c r="G40" s="39">
        <f t="shared" si="0"/>
        <v>141536743.03464752</v>
      </c>
    </row>
    <row r="41" spans="1:7" s="17" customFormat="1" ht="21.75" customHeight="1" x14ac:dyDescent="0.2">
      <c r="A41" s="18"/>
      <c r="B41" s="24"/>
      <c r="C41" s="18"/>
      <c r="D41" s="20"/>
      <c r="E41" s="21">
        <v>0</v>
      </c>
      <c r="F41" s="21"/>
      <c r="G41" s="39">
        <f t="shared" si="0"/>
        <v>141536743.03464752</v>
      </c>
    </row>
    <row r="42" spans="1:7" s="17" customFormat="1" ht="21.75" customHeight="1" x14ac:dyDescent="0.2">
      <c r="A42" s="18"/>
      <c r="B42" s="24"/>
      <c r="C42" s="18"/>
      <c r="D42" s="20"/>
      <c r="E42" s="21">
        <v>0</v>
      </c>
      <c r="F42" s="21"/>
      <c r="G42" s="39">
        <f t="shared" si="0"/>
        <v>141536743.03464752</v>
      </c>
    </row>
    <row r="43" spans="1:7" s="17" customFormat="1" ht="21.75" customHeight="1" x14ac:dyDescent="0.2">
      <c r="A43" s="18"/>
      <c r="B43" s="24"/>
      <c r="C43" s="18"/>
      <c r="D43" s="20"/>
      <c r="E43" s="21">
        <v>0</v>
      </c>
      <c r="F43" s="21"/>
      <c r="G43" s="39">
        <f t="shared" si="0"/>
        <v>141536743.03464752</v>
      </c>
    </row>
    <row r="44" spans="1:7" s="17" customFormat="1" ht="21.75" customHeight="1" x14ac:dyDescent="0.2">
      <c r="A44" s="18"/>
      <c r="B44" s="24"/>
      <c r="C44" s="18"/>
      <c r="D44" s="20"/>
      <c r="E44" s="21">
        <v>0</v>
      </c>
      <c r="F44" s="21"/>
      <c r="G44" s="39">
        <f t="shared" si="0"/>
        <v>141536743.03464752</v>
      </c>
    </row>
    <row r="45" spans="1:7" s="17" customFormat="1" ht="21.75" customHeight="1" x14ac:dyDescent="0.2">
      <c r="A45" s="18"/>
      <c r="B45" s="24"/>
      <c r="C45" s="18"/>
      <c r="D45" s="20"/>
      <c r="E45" s="21">
        <v>0</v>
      </c>
      <c r="F45" s="21"/>
      <c r="G45" s="39">
        <f t="shared" si="0"/>
        <v>141536743.03464752</v>
      </c>
    </row>
    <row r="46" spans="1:7" s="17" customFormat="1" ht="21.75" customHeight="1" x14ac:dyDescent="0.2">
      <c r="A46" s="18"/>
      <c r="B46" s="19" t="s">
        <v>854</v>
      </c>
      <c r="C46" s="18"/>
      <c r="D46" s="20" t="s">
        <v>855</v>
      </c>
      <c r="E46" s="21">
        <v>1000000</v>
      </c>
      <c r="F46" s="21"/>
      <c r="G46" s="39">
        <f t="shared" si="0"/>
        <v>142536743.03464752</v>
      </c>
    </row>
    <row r="47" spans="1:7" s="17" customFormat="1" ht="21.75" customHeight="1" x14ac:dyDescent="0.2">
      <c r="A47" s="18"/>
      <c r="B47" s="24"/>
      <c r="C47" s="18"/>
      <c r="D47" s="20" t="s">
        <v>643</v>
      </c>
      <c r="E47" s="21">
        <v>0</v>
      </c>
      <c r="F47" s="21">
        <v>1924846</v>
      </c>
      <c r="G47" s="39">
        <f t="shared" si="0"/>
        <v>140611897.03464752</v>
      </c>
    </row>
    <row r="48" spans="1:7" s="17" customFormat="1" ht="21.75" customHeight="1" x14ac:dyDescent="0.2">
      <c r="A48" s="18"/>
      <c r="B48" s="24"/>
      <c r="C48" s="18"/>
      <c r="D48" s="20" t="s">
        <v>387</v>
      </c>
      <c r="E48" s="21">
        <v>0</v>
      </c>
      <c r="F48" s="21">
        <v>60552</v>
      </c>
      <c r="G48" s="39">
        <f t="shared" si="0"/>
        <v>140551345.03464752</v>
      </c>
    </row>
    <row r="49" spans="1:8" s="17" customFormat="1" ht="21.75" customHeight="1" x14ac:dyDescent="0.2">
      <c r="A49" s="18"/>
      <c r="B49" s="24"/>
      <c r="C49" s="18"/>
      <c r="D49" s="20" t="s">
        <v>142</v>
      </c>
      <c r="E49" s="21"/>
      <c r="F49" s="21">
        <v>3353804</v>
      </c>
      <c r="G49" s="39">
        <f t="shared" si="0"/>
        <v>137197541.03464752</v>
      </c>
    </row>
    <row r="50" spans="1:8" s="17" customFormat="1" ht="21.75" customHeight="1" x14ac:dyDescent="0.2">
      <c r="A50" s="18"/>
      <c r="B50" s="24"/>
      <c r="C50" s="18"/>
      <c r="D50" s="20" t="s">
        <v>623</v>
      </c>
      <c r="E50" s="21"/>
      <c r="F50" s="21">
        <v>9899208</v>
      </c>
      <c r="G50" s="39">
        <f t="shared" si="0"/>
        <v>127298333.03464752</v>
      </c>
    </row>
    <row r="51" spans="1:8" s="17" customFormat="1" ht="21.75" customHeight="1" x14ac:dyDescent="0.2">
      <c r="A51" s="18"/>
      <c r="B51" s="24"/>
      <c r="C51" s="18"/>
      <c r="D51" s="20" t="s">
        <v>858</v>
      </c>
      <c r="E51" s="21"/>
      <c r="F51" s="21">
        <v>2500000</v>
      </c>
      <c r="G51" s="39">
        <f t="shared" si="0"/>
        <v>124798333.03464752</v>
      </c>
    </row>
    <row r="52" spans="1:8" s="17" customFormat="1" ht="21.75" customHeight="1" x14ac:dyDescent="0.2">
      <c r="A52" s="18"/>
      <c r="B52" s="24"/>
      <c r="C52" s="18"/>
      <c r="D52" s="20" t="s">
        <v>882</v>
      </c>
      <c r="E52" s="21"/>
      <c r="F52" s="21">
        <v>2165192</v>
      </c>
      <c r="G52" s="39">
        <f>+G51+E52-F52</f>
        <v>122633141.03464752</v>
      </c>
    </row>
    <row r="53" spans="1:8" s="17" customFormat="1" ht="21.75" customHeight="1" x14ac:dyDescent="0.2">
      <c r="A53" s="18"/>
      <c r="B53" s="24"/>
      <c r="C53" s="18"/>
      <c r="D53" s="20" t="s">
        <v>881</v>
      </c>
      <c r="E53" s="21"/>
      <c r="F53" s="21">
        <v>5315800</v>
      </c>
      <c r="G53" s="39">
        <f>+G52+E53-F53</f>
        <v>117317341.03464752</v>
      </c>
    </row>
    <row r="54" spans="1:8" s="17" customFormat="1" ht="21.75" customHeight="1" x14ac:dyDescent="0.2">
      <c r="A54" s="18"/>
      <c r="B54" s="24"/>
      <c r="C54" s="18"/>
      <c r="D54" s="20" t="s">
        <v>856</v>
      </c>
      <c r="E54" s="21"/>
      <c r="F54" s="21">
        <v>8745000</v>
      </c>
      <c r="G54" s="39">
        <f t="shared" ref="G54:G55" si="1">+G53+E54-F54</f>
        <v>108572341.03464752</v>
      </c>
    </row>
    <row r="55" spans="1:8" s="17" customFormat="1" ht="21.75" customHeight="1" x14ac:dyDescent="0.2">
      <c r="A55" s="18"/>
      <c r="B55" s="24"/>
      <c r="C55" s="18"/>
      <c r="D55" s="20" t="s">
        <v>79</v>
      </c>
      <c r="E55" s="21"/>
      <c r="F55" s="21">
        <v>4237000</v>
      </c>
      <c r="G55" s="39">
        <f t="shared" si="1"/>
        <v>104335341.03464752</v>
      </c>
    </row>
    <row r="56" spans="1:8" s="17" customFormat="1" ht="21.75" customHeight="1" x14ac:dyDescent="0.2">
      <c r="A56" s="18"/>
      <c r="B56" s="24"/>
      <c r="C56" s="18"/>
      <c r="D56" s="20" t="s">
        <v>857</v>
      </c>
      <c r="E56" s="21"/>
      <c r="F56" s="21">
        <v>2655000</v>
      </c>
      <c r="G56" s="39">
        <f t="shared" ref="G56:G79" si="2">+G55+E56-F56</f>
        <v>101680341.03464752</v>
      </c>
    </row>
    <row r="57" spans="1:8" s="17" customFormat="1" ht="21.75" customHeight="1" x14ac:dyDescent="0.2">
      <c r="A57" s="18"/>
      <c r="B57" s="19" t="s">
        <v>861</v>
      </c>
      <c r="C57" s="18"/>
      <c r="D57" s="20" t="s">
        <v>859</v>
      </c>
      <c r="E57" s="21">
        <v>200000000</v>
      </c>
      <c r="F57" s="21"/>
      <c r="G57" s="39">
        <f t="shared" si="2"/>
        <v>301680341.03464752</v>
      </c>
    </row>
    <row r="58" spans="1:8" s="17" customFormat="1" ht="21.75" customHeight="1" x14ac:dyDescent="0.2">
      <c r="A58" s="18"/>
      <c r="B58" s="24"/>
      <c r="C58" s="18"/>
      <c r="D58" s="20" t="s">
        <v>862</v>
      </c>
      <c r="E58" s="21">
        <v>37450088</v>
      </c>
      <c r="F58" s="21"/>
      <c r="G58" s="39">
        <f t="shared" si="2"/>
        <v>339130429.03464752</v>
      </c>
    </row>
    <row r="59" spans="1:8" s="17" customFormat="1" ht="21.75" customHeight="1" x14ac:dyDescent="0.25">
      <c r="A59" s="18"/>
      <c r="B59" s="24"/>
      <c r="C59" s="18"/>
      <c r="D59" s="20" t="s">
        <v>860</v>
      </c>
      <c r="E59" s="21">
        <v>37058</v>
      </c>
      <c r="F59" s="21"/>
      <c r="G59" s="56">
        <f>+G58+E59-F59</f>
        <v>339167487.03464752</v>
      </c>
    </row>
    <row r="60" spans="1:8" s="17" customFormat="1" ht="21.75" customHeight="1" x14ac:dyDescent="0.2">
      <c r="A60" s="18"/>
      <c r="B60" s="24"/>
      <c r="C60" s="18"/>
      <c r="D60" s="20" t="s">
        <v>863</v>
      </c>
      <c r="E60" s="21"/>
      <c r="F60" s="21">
        <f>298026000-3782900</f>
        <v>294243100</v>
      </c>
      <c r="G60" s="39">
        <f t="shared" si="2"/>
        <v>44924387.034647524</v>
      </c>
    </row>
    <row r="61" spans="1:8" s="17" customFormat="1" ht="21.75" customHeight="1" x14ac:dyDescent="0.2">
      <c r="A61" s="18"/>
      <c r="B61" s="24"/>
      <c r="C61" s="18"/>
      <c r="D61" s="20" t="s">
        <v>21</v>
      </c>
      <c r="E61" s="21"/>
      <c r="F61" s="21">
        <v>62500</v>
      </c>
      <c r="G61" s="39">
        <f t="shared" si="2"/>
        <v>44861887.034647524</v>
      </c>
      <c r="H61" s="34"/>
    </row>
    <row r="62" spans="1:8" s="17" customFormat="1" ht="21.75" customHeight="1" x14ac:dyDescent="0.2">
      <c r="A62" s="18"/>
      <c r="B62" s="24"/>
      <c r="C62" s="18"/>
      <c r="D62" s="20" t="s">
        <v>919</v>
      </c>
      <c r="E62" s="21">
        <v>2000000</v>
      </c>
      <c r="F62" s="21"/>
      <c r="G62" s="39">
        <f t="shared" si="2"/>
        <v>46861887.034647524</v>
      </c>
      <c r="H62" s="34"/>
    </row>
    <row r="63" spans="1:8" s="17" customFormat="1" ht="21.75" customHeight="1" x14ac:dyDescent="0.2">
      <c r="A63" s="18"/>
      <c r="B63" s="24"/>
      <c r="C63" s="18"/>
      <c r="D63" s="20" t="s">
        <v>864</v>
      </c>
      <c r="E63" s="21"/>
      <c r="F63" s="21">
        <v>782400</v>
      </c>
      <c r="G63" s="39">
        <f t="shared" si="2"/>
        <v>46079487.034647524</v>
      </c>
      <c r="H63" s="34"/>
    </row>
    <row r="64" spans="1:8" s="17" customFormat="1" ht="21.75" customHeight="1" x14ac:dyDescent="0.2">
      <c r="A64" s="18"/>
      <c r="B64" s="24"/>
      <c r="C64" s="18"/>
      <c r="D64" s="20" t="s">
        <v>865</v>
      </c>
      <c r="E64" s="21"/>
      <c r="F64" s="21">
        <v>1080800</v>
      </c>
      <c r="G64" s="39">
        <f t="shared" si="2"/>
        <v>44998687.034647524</v>
      </c>
      <c r="H64" s="33"/>
    </row>
    <row r="65" spans="1:8" s="17" customFormat="1" ht="21.75" customHeight="1" x14ac:dyDescent="0.2">
      <c r="A65" s="18"/>
      <c r="B65" s="24"/>
      <c r="C65" s="18"/>
      <c r="D65" s="20" t="s">
        <v>866</v>
      </c>
      <c r="E65" s="21"/>
      <c r="F65" s="21">
        <v>841900</v>
      </c>
      <c r="G65" s="39">
        <f t="shared" si="2"/>
        <v>44156787.034647524</v>
      </c>
    </row>
    <row r="66" spans="1:8" s="17" customFormat="1" ht="21.75" customHeight="1" x14ac:dyDescent="0.2">
      <c r="A66" s="18"/>
      <c r="B66" s="24"/>
      <c r="C66" s="18"/>
      <c r="D66" s="20" t="s">
        <v>867</v>
      </c>
      <c r="E66" s="21"/>
      <c r="F66" s="21">
        <v>782500</v>
      </c>
      <c r="G66" s="39">
        <f t="shared" si="2"/>
        <v>43374287.034647524</v>
      </c>
    </row>
    <row r="67" spans="1:8" s="17" customFormat="1" ht="21.75" customHeight="1" x14ac:dyDescent="0.2">
      <c r="A67" s="18"/>
      <c r="B67" s="24"/>
      <c r="C67" s="18"/>
      <c r="D67" s="20" t="s">
        <v>868</v>
      </c>
      <c r="E67" s="21"/>
      <c r="F67" s="21">
        <v>295300</v>
      </c>
      <c r="G67" s="39">
        <f t="shared" si="2"/>
        <v>43078987.034647524</v>
      </c>
    </row>
    <row r="68" spans="1:8" s="17" customFormat="1" ht="21.75" customHeight="1" x14ac:dyDescent="0.2">
      <c r="A68" s="18"/>
      <c r="B68" s="24"/>
      <c r="C68" s="18"/>
      <c r="D68" s="20" t="s">
        <v>878</v>
      </c>
      <c r="E68" s="21">
        <v>841800</v>
      </c>
      <c r="F68" s="21"/>
      <c r="G68" s="39">
        <f t="shared" si="2"/>
        <v>43920787.034647524</v>
      </c>
    </row>
    <row r="69" spans="1:8" s="17" customFormat="1" ht="21.75" customHeight="1" x14ac:dyDescent="0.2">
      <c r="A69" s="18"/>
      <c r="B69" s="24"/>
      <c r="C69" s="18"/>
      <c r="D69" s="20" t="s">
        <v>879</v>
      </c>
      <c r="E69" s="21">
        <v>251000</v>
      </c>
      <c r="F69" s="21"/>
      <c r="G69" s="39">
        <f t="shared" si="2"/>
        <v>44171787.034647524</v>
      </c>
    </row>
    <row r="70" spans="1:8" s="17" customFormat="1" ht="21.75" customHeight="1" x14ac:dyDescent="0.2">
      <c r="A70" s="18"/>
      <c r="B70" s="24"/>
      <c r="C70" s="18"/>
      <c r="D70" s="20" t="s">
        <v>880</v>
      </c>
      <c r="E70" s="21">
        <v>343800</v>
      </c>
      <c r="F70" s="21"/>
      <c r="G70" s="39">
        <f t="shared" si="2"/>
        <v>44515587.034647524</v>
      </c>
    </row>
    <row r="71" spans="1:8" s="17" customFormat="1" ht="21.75" customHeight="1" x14ac:dyDescent="0.2">
      <c r="A71" s="18"/>
      <c r="B71" s="24"/>
      <c r="C71" s="18"/>
      <c r="D71" s="20" t="s">
        <v>880</v>
      </c>
      <c r="E71" s="21">
        <v>240100</v>
      </c>
      <c r="F71" s="21"/>
      <c r="G71" s="39">
        <f t="shared" si="2"/>
        <v>44755687.034647524</v>
      </c>
    </row>
    <row r="72" spans="1:8" s="17" customFormat="1" ht="21.75" customHeight="1" x14ac:dyDescent="0.2">
      <c r="A72" s="18"/>
      <c r="B72" s="24"/>
      <c r="C72" s="18"/>
      <c r="D72" s="20" t="s">
        <v>869</v>
      </c>
      <c r="E72" s="21">
        <v>1000000</v>
      </c>
      <c r="F72" s="21"/>
      <c r="G72" s="39">
        <f t="shared" si="2"/>
        <v>45755687.034647524</v>
      </c>
    </row>
    <row r="73" spans="1:8" s="17" customFormat="1" ht="21.75" customHeight="1" x14ac:dyDescent="0.25">
      <c r="A73" s="18"/>
      <c r="B73" s="24"/>
      <c r="C73" s="18"/>
      <c r="D73" s="20" t="s">
        <v>938</v>
      </c>
      <c r="E73" s="21">
        <v>500000</v>
      </c>
      <c r="F73" s="21"/>
      <c r="G73" s="56">
        <f t="shared" si="2"/>
        <v>46255687.034647524</v>
      </c>
    </row>
    <row r="74" spans="1:8" s="17" customFormat="1" ht="21.75" customHeight="1" x14ac:dyDescent="0.2">
      <c r="A74" s="18"/>
      <c r="B74" s="19"/>
      <c r="C74" s="18"/>
      <c r="D74" s="20" t="s">
        <v>872</v>
      </c>
      <c r="E74" s="21">
        <v>175975332</v>
      </c>
      <c r="F74" s="21"/>
      <c r="G74" s="39">
        <f t="shared" si="2"/>
        <v>222231019.03464752</v>
      </c>
    </row>
    <row r="75" spans="1:8" s="17" customFormat="1" ht="21.75" customHeight="1" x14ac:dyDescent="0.2">
      <c r="A75" s="18"/>
      <c r="B75" s="24"/>
      <c r="C75" s="18"/>
      <c r="D75" s="20" t="s">
        <v>873</v>
      </c>
      <c r="E75" s="21">
        <v>13080000</v>
      </c>
      <c r="F75" s="21"/>
      <c r="G75" s="39">
        <f t="shared" si="2"/>
        <v>235311019.03464752</v>
      </c>
      <c r="H75" s="17">
        <v>235311019.03</v>
      </c>
    </row>
    <row r="76" spans="1:8" s="17" customFormat="1" ht="21.75" customHeight="1" x14ac:dyDescent="0.2">
      <c r="A76" s="18"/>
      <c r="B76" s="19" t="s">
        <v>870</v>
      </c>
      <c r="C76" s="18"/>
      <c r="D76" s="20" t="s">
        <v>141</v>
      </c>
      <c r="E76" s="21"/>
      <c r="F76" s="21">
        <v>15194488</v>
      </c>
      <c r="G76" s="39">
        <f t="shared" si="2"/>
        <v>220116531.03464752</v>
      </c>
      <c r="H76" s="86">
        <f>+H75-G75</f>
        <v>-4.6475231647491455E-3</v>
      </c>
    </row>
    <row r="77" spans="1:8" s="17" customFormat="1" ht="21.75" customHeight="1" x14ac:dyDescent="0.2">
      <c r="A77" s="18"/>
      <c r="B77" s="24"/>
      <c r="C77" s="18"/>
      <c r="D77" s="20" t="s">
        <v>874</v>
      </c>
      <c r="E77" s="21"/>
      <c r="F77" s="21">
        <v>29915519</v>
      </c>
      <c r="G77" s="39">
        <f t="shared" si="2"/>
        <v>190201012.03464752</v>
      </c>
    </row>
    <row r="78" spans="1:8" s="17" customFormat="1" ht="21.75" customHeight="1" x14ac:dyDescent="0.2">
      <c r="A78" s="18"/>
      <c r="B78" s="24"/>
      <c r="C78" s="18"/>
      <c r="D78" s="20" t="s">
        <v>875</v>
      </c>
      <c r="E78" s="21"/>
      <c r="F78" s="21">
        <v>654800</v>
      </c>
      <c r="G78" s="39">
        <f t="shared" si="2"/>
        <v>189546212.03464752</v>
      </c>
    </row>
    <row r="79" spans="1:8" s="17" customFormat="1" ht="21.75" customHeight="1" x14ac:dyDescent="0.2">
      <c r="A79" s="18"/>
      <c r="B79" s="24"/>
      <c r="C79" s="18"/>
      <c r="D79" s="20" t="s">
        <v>871</v>
      </c>
      <c r="E79" s="21"/>
      <c r="F79" s="21">
        <v>45765000</v>
      </c>
      <c r="G79" s="39">
        <f t="shared" si="2"/>
        <v>143781212.03464752</v>
      </c>
    </row>
    <row r="80" spans="1:8" s="17" customFormat="1" ht="21.75" customHeight="1" x14ac:dyDescent="0.2">
      <c r="A80" s="18"/>
      <c r="B80" s="24"/>
      <c r="C80" s="18"/>
      <c r="D80" s="20" t="s">
        <v>21</v>
      </c>
      <c r="E80" s="21"/>
      <c r="F80" s="21">
        <v>12500</v>
      </c>
      <c r="G80" s="39">
        <f t="shared" si="0"/>
        <v>143768712.03464752</v>
      </c>
    </row>
    <row r="81" spans="1:8" s="17" customFormat="1" ht="21.75" customHeight="1" x14ac:dyDescent="0.2">
      <c r="A81" s="18"/>
      <c r="B81" s="24"/>
      <c r="C81" s="18"/>
      <c r="D81" s="20" t="s">
        <v>877</v>
      </c>
      <c r="E81" s="21"/>
      <c r="F81" s="21">
        <v>5892500</v>
      </c>
      <c r="G81" s="39">
        <f t="shared" ref="G81:G139" si="3">+G80+E81-F81</f>
        <v>137876212.03464752</v>
      </c>
    </row>
    <row r="82" spans="1:8" s="17" customFormat="1" ht="21.75" customHeight="1" x14ac:dyDescent="0.2">
      <c r="A82" s="18"/>
      <c r="B82" s="24"/>
      <c r="C82" s="18"/>
      <c r="D82" s="20" t="s">
        <v>876</v>
      </c>
      <c r="E82" s="21"/>
      <c r="F82" s="21">
        <v>4099500</v>
      </c>
      <c r="G82" s="39">
        <f t="shared" si="3"/>
        <v>133776712.03464752</v>
      </c>
    </row>
    <row r="83" spans="1:8" s="17" customFormat="1" ht="21.75" customHeight="1" x14ac:dyDescent="0.2">
      <c r="A83" s="18"/>
      <c r="B83" s="24"/>
      <c r="C83" s="18"/>
      <c r="D83" s="85" t="s">
        <v>883</v>
      </c>
      <c r="E83" s="66"/>
      <c r="F83" s="21">
        <v>31200</v>
      </c>
      <c r="G83" s="39">
        <f t="shared" si="3"/>
        <v>133745512.03464752</v>
      </c>
    </row>
    <row r="84" spans="1:8" s="17" customFormat="1" ht="21.75" customHeight="1" x14ac:dyDescent="0.2">
      <c r="A84" s="18"/>
      <c r="B84" s="24"/>
      <c r="C84" s="18"/>
      <c r="D84" s="20" t="s">
        <v>884</v>
      </c>
      <c r="E84" s="21">
        <v>31200</v>
      </c>
      <c r="F84" s="21"/>
      <c r="G84" s="39">
        <f t="shared" si="3"/>
        <v>133776712.03464752</v>
      </c>
    </row>
    <row r="85" spans="1:8" s="17" customFormat="1" ht="21.75" customHeight="1" x14ac:dyDescent="0.2">
      <c r="A85" s="18"/>
      <c r="B85" s="24"/>
      <c r="C85" s="18"/>
      <c r="D85" s="85" t="s">
        <v>885</v>
      </c>
      <c r="E85" s="66"/>
      <c r="F85" s="21">
        <v>75700</v>
      </c>
      <c r="G85" s="39">
        <f t="shared" si="3"/>
        <v>133701012.03464752</v>
      </c>
    </row>
    <row r="86" spans="1:8" s="17" customFormat="1" ht="21.75" customHeight="1" x14ac:dyDescent="0.2">
      <c r="A86" s="18"/>
      <c r="B86" s="24"/>
      <c r="C86" s="24"/>
      <c r="D86" s="20" t="s">
        <v>886</v>
      </c>
      <c r="E86" s="66">
        <v>75700</v>
      </c>
      <c r="F86" s="21"/>
      <c r="G86" s="39">
        <f t="shared" si="3"/>
        <v>133776712.03464752</v>
      </c>
    </row>
    <row r="87" spans="1:8" s="17" customFormat="1" ht="21.75" customHeight="1" x14ac:dyDescent="0.2">
      <c r="A87" s="18"/>
      <c r="B87" s="24"/>
      <c r="C87" s="24"/>
      <c r="D87" s="85" t="s">
        <v>887</v>
      </c>
      <c r="E87" s="66"/>
      <c r="F87" s="21">
        <v>27100</v>
      </c>
      <c r="G87" s="39">
        <f t="shared" si="3"/>
        <v>133749612.03464752</v>
      </c>
    </row>
    <row r="88" spans="1:8" s="17" customFormat="1" ht="21.75" customHeight="1" x14ac:dyDescent="0.2">
      <c r="A88" s="18"/>
      <c r="B88" s="19"/>
      <c r="C88" s="18"/>
      <c r="D88" s="85" t="s">
        <v>888</v>
      </c>
      <c r="E88" s="66">
        <v>27100</v>
      </c>
      <c r="F88" s="21"/>
      <c r="G88" s="39">
        <f t="shared" si="3"/>
        <v>133776712.03464752</v>
      </c>
      <c r="H88" s="17" t="s">
        <v>12</v>
      </c>
    </row>
    <row r="89" spans="1:8" s="17" customFormat="1" ht="21.75" customHeight="1" x14ac:dyDescent="0.2">
      <c r="A89" s="18"/>
      <c r="B89" s="19" t="s">
        <v>890</v>
      </c>
      <c r="C89" s="18"/>
      <c r="D89" s="20" t="s">
        <v>891</v>
      </c>
      <c r="E89" s="21"/>
      <c r="F89" s="21">
        <v>3304500</v>
      </c>
      <c r="G89" s="39">
        <f t="shared" si="3"/>
        <v>130472212.03464752</v>
      </c>
    </row>
    <row r="90" spans="1:8" s="17" customFormat="1" ht="21.75" customHeight="1" x14ac:dyDescent="0.2">
      <c r="A90" s="18"/>
      <c r="B90" s="24"/>
      <c r="C90" s="18"/>
      <c r="D90" s="20" t="s">
        <v>892</v>
      </c>
      <c r="E90" s="21"/>
      <c r="F90" s="21">
        <v>2592000</v>
      </c>
      <c r="G90" s="39">
        <f t="shared" si="3"/>
        <v>127880212.03464752</v>
      </c>
    </row>
    <row r="91" spans="1:8" s="17" customFormat="1" ht="21.75" customHeight="1" x14ac:dyDescent="0.25">
      <c r="A91" s="18"/>
      <c r="B91" s="19"/>
      <c r="C91" s="18"/>
      <c r="D91" s="20" t="s">
        <v>893</v>
      </c>
      <c r="E91" s="21"/>
      <c r="F91" s="21">
        <v>17145000</v>
      </c>
      <c r="G91" s="56">
        <f t="shared" si="3"/>
        <v>110735212.03464752</v>
      </c>
    </row>
    <row r="92" spans="1:8" s="17" customFormat="1" ht="21.75" customHeight="1" x14ac:dyDescent="0.2">
      <c r="A92" s="18"/>
      <c r="B92" s="24"/>
      <c r="C92" s="18"/>
      <c r="D92" s="20" t="s">
        <v>895</v>
      </c>
      <c r="E92" s="21"/>
      <c r="F92" s="21">
        <v>29014221</v>
      </c>
      <c r="G92" s="39">
        <f t="shared" si="3"/>
        <v>81720991.034647524</v>
      </c>
    </row>
    <row r="93" spans="1:8" s="17" customFormat="1" ht="21.75" customHeight="1" x14ac:dyDescent="0.2">
      <c r="A93" s="18"/>
      <c r="B93" s="24"/>
      <c r="C93" s="24"/>
      <c r="D93" s="20" t="s">
        <v>896</v>
      </c>
      <c r="E93" s="21">
        <v>100000000</v>
      </c>
      <c r="F93" s="21"/>
      <c r="G93" s="39">
        <f t="shared" si="3"/>
        <v>181720991.03464752</v>
      </c>
    </row>
    <row r="94" spans="1:8" s="17" customFormat="1" ht="21.75" customHeight="1" x14ac:dyDescent="0.2">
      <c r="A94" s="18"/>
      <c r="B94" s="24"/>
      <c r="C94" s="18"/>
      <c r="D94" s="23" t="s">
        <v>897</v>
      </c>
      <c r="E94" s="21">
        <v>10966425</v>
      </c>
      <c r="F94" s="21"/>
      <c r="G94" s="39">
        <f t="shared" si="3"/>
        <v>192687416.03464752</v>
      </c>
    </row>
    <row r="95" spans="1:8" s="17" customFormat="1" ht="21.75" customHeight="1" x14ac:dyDescent="0.2">
      <c r="A95" s="18"/>
      <c r="B95" s="19" t="s">
        <v>894</v>
      </c>
      <c r="C95" s="18"/>
      <c r="D95" s="20" t="s">
        <v>898</v>
      </c>
      <c r="E95" s="21"/>
      <c r="F95" s="21">
        <v>3500000</v>
      </c>
      <c r="G95" s="39">
        <f t="shared" si="3"/>
        <v>189187416.03464752</v>
      </c>
    </row>
    <row r="96" spans="1:8" s="17" customFormat="1" ht="21.75" customHeight="1" x14ac:dyDescent="0.2">
      <c r="A96" s="18"/>
      <c r="B96" s="24"/>
      <c r="C96" s="18"/>
      <c r="D96" s="20" t="s">
        <v>615</v>
      </c>
      <c r="E96" s="21"/>
      <c r="F96" s="21">
        <v>10170800</v>
      </c>
      <c r="G96" s="39">
        <f t="shared" si="3"/>
        <v>179016616.03464752</v>
      </c>
    </row>
    <row r="97" spans="1:7" s="17" customFormat="1" ht="21.75" customHeight="1" x14ac:dyDescent="0.2">
      <c r="A97" s="18"/>
      <c r="B97" s="24"/>
      <c r="C97" s="18"/>
      <c r="D97" s="20" t="s">
        <v>21</v>
      </c>
      <c r="E97" s="21"/>
      <c r="F97" s="21">
        <v>2900</v>
      </c>
      <c r="G97" s="39">
        <f t="shared" si="3"/>
        <v>179013716.03464752</v>
      </c>
    </row>
    <row r="98" spans="1:7" s="17" customFormat="1" ht="21.75" customHeight="1" x14ac:dyDescent="0.2">
      <c r="A98" s="18"/>
      <c r="B98" s="24"/>
      <c r="C98" s="18"/>
      <c r="D98" s="20" t="s">
        <v>899</v>
      </c>
      <c r="E98" s="21"/>
      <c r="F98" s="21">
        <v>10225000</v>
      </c>
      <c r="G98" s="39">
        <f t="shared" si="3"/>
        <v>168788716.03464752</v>
      </c>
    </row>
    <row r="99" spans="1:7" s="17" customFormat="1" ht="21.75" customHeight="1" x14ac:dyDescent="0.2">
      <c r="A99" s="18"/>
      <c r="B99" s="19" t="s">
        <v>900</v>
      </c>
      <c r="C99" s="18"/>
      <c r="D99" s="20" t="s">
        <v>901</v>
      </c>
      <c r="E99" s="21"/>
      <c r="F99" s="21">
        <v>49400</v>
      </c>
      <c r="G99" s="39">
        <f t="shared" si="3"/>
        <v>168739316.03464752</v>
      </c>
    </row>
    <row r="100" spans="1:7" s="17" customFormat="1" ht="21.75" customHeight="1" x14ac:dyDescent="0.2">
      <c r="A100" s="18"/>
      <c r="B100" s="24"/>
      <c r="C100" s="18"/>
      <c r="D100" s="20" t="s">
        <v>902</v>
      </c>
      <c r="E100" s="21"/>
      <c r="F100" s="21">
        <v>400000</v>
      </c>
      <c r="G100" s="39">
        <f t="shared" si="3"/>
        <v>168339316.03464752</v>
      </c>
    </row>
    <row r="101" spans="1:7" s="17" customFormat="1" ht="21.75" customHeight="1" x14ac:dyDescent="0.2">
      <c r="A101" s="18"/>
      <c r="B101" s="19"/>
      <c r="C101" s="18"/>
      <c r="D101" s="20" t="s">
        <v>903</v>
      </c>
      <c r="E101" s="21"/>
      <c r="F101" s="21">
        <v>700000</v>
      </c>
      <c r="G101" s="39">
        <f t="shared" si="3"/>
        <v>167639316.03464752</v>
      </c>
    </row>
    <row r="102" spans="1:7" s="17" customFormat="1" ht="21.75" customHeight="1" x14ac:dyDescent="0.2">
      <c r="A102" s="18"/>
      <c r="B102" s="19"/>
      <c r="C102" s="18"/>
      <c r="D102" s="20" t="s">
        <v>904</v>
      </c>
      <c r="E102" s="21"/>
      <c r="F102" s="21">
        <v>6625000</v>
      </c>
      <c r="G102" s="39">
        <f t="shared" si="3"/>
        <v>161014316.03464752</v>
      </c>
    </row>
    <row r="103" spans="1:7" s="17" customFormat="1" ht="21.75" customHeight="1" x14ac:dyDescent="0.2">
      <c r="A103" s="18"/>
      <c r="B103" s="24"/>
      <c r="C103" s="35"/>
      <c r="D103" s="20" t="s">
        <v>21</v>
      </c>
      <c r="E103" s="21"/>
      <c r="F103" s="21">
        <v>2500</v>
      </c>
      <c r="G103" s="39">
        <f t="shared" si="3"/>
        <v>161011816.03464752</v>
      </c>
    </row>
    <row r="104" spans="1:7" s="17" customFormat="1" ht="21.75" customHeight="1" x14ac:dyDescent="0.2">
      <c r="A104" s="18"/>
      <c r="B104" s="24"/>
      <c r="C104" s="18"/>
      <c r="D104" s="20" t="s">
        <v>905</v>
      </c>
      <c r="E104" s="21"/>
      <c r="F104" s="21">
        <v>2204000</v>
      </c>
      <c r="G104" s="39">
        <f t="shared" si="3"/>
        <v>158807816.03464752</v>
      </c>
    </row>
    <row r="105" spans="1:7" s="17" customFormat="1" ht="21.75" customHeight="1" x14ac:dyDescent="0.2">
      <c r="A105" s="18"/>
      <c r="B105" s="24"/>
      <c r="C105" s="36"/>
      <c r="D105" s="20" t="s">
        <v>916</v>
      </c>
      <c r="E105" s="21"/>
      <c r="F105" s="21">
        <v>15540292</v>
      </c>
      <c r="G105" s="39">
        <f t="shared" si="3"/>
        <v>143267524.03464752</v>
      </c>
    </row>
    <row r="106" spans="1:7" s="17" customFormat="1" ht="21.75" customHeight="1" x14ac:dyDescent="0.2">
      <c r="A106" s="18"/>
      <c r="B106" s="24"/>
      <c r="C106" s="36"/>
      <c r="D106" s="20" t="s">
        <v>906</v>
      </c>
      <c r="E106" s="21"/>
      <c r="F106" s="21">
        <v>5800000</v>
      </c>
      <c r="G106" s="62">
        <f t="shared" si="3"/>
        <v>137467524.03464752</v>
      </c>
    </row>
    <row r="107" spans="1:7" s="17" customFormat="1" ht="21.75" customHeight="1" x14ac:dyDescent="0.2">
      <c r="A107" s="18"/>
      <c r="B107" s="24"/>
      <c r="C107" s="36"/>
      <c r="D107" s="20" t="s">
        <v>915</v>
      </c>
      <c r="E107" s="21">
        <v>4275200</v>
      </c>
      <c r="F107" s="21">
        <v>6000000</v>
      </c>
      <c r="G107" s="39">
        <f t="shared" si="3"/>
        <v>135742724.03464752</v>
      </c>
    </row>
    <row r="108" spans="1:7" s="17" customFormat="1" ht="21.75" customHeight="1" x14ac:dyDescent="0.2">
      <c r="A108" s="18"/>
      <c r="B108" s="24"/>
      <c r="C108" s="36"/>
      <c r="D108" s="20" t="s">
        <v>917</v>
      </c>
      <c r="E108" s="21"/>
      <c r="F108" s="21">
        <v>3000000</v>
      </c>
      <c r="G108" s="39">
        <f t="shared" si="3"/>
        <v>132742724.03464752</v>
      </c>
    </row>
    <row r="109" spans="1:7" s="17" customFormat="1" ht="21.75" customHeight="1" x14ac:dyDescent="0.2">
      <c r="A109" s="18"/>
      <c r="B109" s="24"/>
      <c r="C109" s="36"/>
      <c r="D109" s="20" t="s">
        <v>21</v>
      </c>
      <c r="E109" s="21"/>
      <c r="F109" s="21">
        <v>2500</v>
      </c>
      <c r="G109" s="39">
        <f t="shared" si="3"/>
        <v>132740224.03464752</v>
      </c>
    </row>
    <row r="110" spans="1:7" s="17" customFormat="1" ht="21.75" customHeight="1" x14ac:dyDescent="0.2">
      <c r="A110" s="18"/>
      <c r="B110" s="24"/>
      <c r="C110" s="36"/>
      <c r="D110" s="20" t="s">
        <v>115</v>
      </c>
      <c r="E110" s="21"/>
      <c r="F110" s="21">
        <v>300000</v>
      </c>
      <c r="G110" s="39">
        <f t="shared" si="3"/>
        <v>132440224.03464752</v>
      </c>
    </row>
    <row r="111" spans="1:7" s="17" customFormat="1" ht="21.75" customHeight="1" x14ac:dyDescent="0.2">
      <c r="A111" s="18"/>
      <c r="B111" s="24"/>
      <c r="C111" s="36"/>
      <c r="D111" s="20" t="s">
        <v>158</v>
      </c>
      <c r="E111" s="21"/>
      <c r="F111" s="21">
        <v>500000</v>
      </c>
      <c r="G111" s="39">
        <f t="shared" si="3"/>
        <v>131940224.03464752</v>
      </c>
    </row>
    <row r="112" spans="1:7" s="17" customFormat="1" ht="21.75" customHeight="1" x14ac:dyDescent="0.2">
      <c r="A112" s="18"/>
      <c r="B112" s="24"/>
      <c r="C112" s="36"/>
      <c r="D112" s="20" t="s">
        <v>21</v>
      </c>
      <c r="E112" s="21"/>
      <c r="F112" s="21">
        <v>2500</v>
      </c>
      <c r="G112" s="39">
        <f t="shared" si="3"/>
        <v>131937724.03464752</v>
      </c>
    </row>
    <row r="113" spans="1:7" s="17" customFormat="1" ht="21.75" customHeight="1" x14ac:dyDescent="0.2">
      <c r="A113" s="18"/>
      <c r="B113" s="24"/>
      <c r="C113" s="36"/>
      <c r="D113" s="20" t="s">
        <v>907</v>
      </c>
      <c r="E113" s="21"/>
      <c r="F113" s="21">
        <v>600000</v>
      </c>
      <c r="G113" s="39">
        <f t="shared" si="3"/>
        <v>131337724.03464752</v>
      </c>
    </row>
    <row r="114" spans="1:7" s="17" customFormat="1" ht="21.75" customHeight="1" x14ac:dyDescent="0.25">
      <c r="A114" s="18"/>
      <c r="B114" s="24"/>
      <c r="C114" s="36"/>
      <c r="D114" s="20" t="s">
        <v>908</v>
      </c>
      <c r="E114" s="21"/>
      <c r="F114" s="21">
        <v>700000</v>
      </c>
      <c r="G114" s="56">
        <f t="shared" si="3"/>
        <v>130637724.03464752</v>
      </c>
    </row>
    <row r="115" spans="1:7" s="17" customFormat="1" ht="21.75" customHeight="1" x14ac:dyDescent="0.2">
      <c r="A115" s="18"/>
      <c r="B115" s="24"/>
      <c r="C115" s="36"/>
      <c r="D115" s="20" t="s">
        <v>909</v>
      </c>
      <c r="E115" s="21"/>
      <c r="F115" s="21">
        <v>1000000</v>
      </c>
      <c r="G115" s="39">
        <f t="shared" si="3"/>
        <v>129637724.03464752</v>
      </c>
    </row>
    <row r="116" spans="1:7" s="17" customFormat="1" ht="21.75" customHeight="1" x14ac:dyDescent="0.2">
      <c r="A116" s="18"/>
      <c r="B116" s="24"/>
      <c r="C116" s="36"/>
      <c r="D116" s="20" t="s">
        <v>910</v>
      </c>
      <c r="E116" s="21"/>
      <c r="F116" s="21">
        <v>1000000</v>
      </c>
      <c r="G116" s="39">
        <f t="shared" si="3"/>
        <v>128637724.03464752</v>
      </c>
    </row>
    <row r="117" spans="1:7" s="17" customFormat="1" ht="21.75" customHeight="1" x14ac:dyDescent="0.2">
      <c r="A117" s="18"/>
      <c r="B117" s="24"/>
      <c r="C117" s="36"/>
      <c r="D117" s="20" t="s">
        <v>911</v>
      </c>
      <c r="E117" s="21"/>
      <c r="F117" s="21">
        <v>2000000</v>
      </c>
      <c r="G117" s="39">
        <f t="shared" si="3"/>
        <v>126637724.03464752</v>
      </c>
    </row>
    <row r="118" spans="1:7" s="17" customFormat="1" ht="21.75" customHeight="1" x14ac:dyDescent="0.2">
      <c r="A118" s="18"/>
      <c r="B118" s="24"/>
      <c r="C118" s="36"/>
      <c r="D118" s="20" t="s">
        <v>912</v>
      </c>
      <c r="E118" s="21"/>
      <c r="F118" s="21">
        <v>650000</v>
      </c>
      <c r="G118" s="39">
        <f t="shared" si="3"/>
        <v>125987724.03464752</v>
      </c>
    </row>
    <row r="119" spans="1:7" s="17" customFormat="1" ht="21.75" customHeight="1" x14ac:dyDescent="0.2">
      <c r="A119" s="18"/>
      <c r="B119" s="24"/>
      <c r="C119" s="36"/>
      <c r="D119" s="20" t="s">
        <v>913</v>
      </c>
      <c r="E119" s="21"/>
      <c r="F119" s="21">
        <v>500000</v>
      </c>
      <c r="G119" s="39">
        <f t="shared" si="3"/>
        <v>125487724.03464752</v>
      </c>
    </row>
    <row r="120" spans="1:7" ht="21.75" customHeight="1" x14ac:dyDescent="0.2">
      <c r="A120" s="7"/>
      <c r="B120" s="24"/>
      <c r="C120" s="10"/>
      <c r="D120" s="20" t="s">
        <v>914</v>
      </c>
      <c r="E120" s="21"/>
      <c r="F120" s="21">
        <v>700000</v>
      </c>
      <c r="G120" s="39">
        <f t="shared" si="3"/>
        <v>124787724.03464752</v>
      </c>
    </row>
    <row r="121" spans="1:7" ht="21.75" customHeight="1" x14ac:dyDescent="0.2">
      <c r="A121" s="7"/>
      <c r="B121" s="24"/>
      <c r="C121" s="10"/>
      <c r="D121" s="20" t="s">
        <v>159</v>
      </c>
      <c r="E121" s="21"/>
      <c r="F121" s="21">
        <v>500000</v>
      </c>
      <c r="G121" s="39">
        <f t="shared" si="3"/>
        <v>124287724.03464752</v>
      </c>
    </row>
    <row r="122" spans="1:7" ht="21.75" customHeight="1" x14ac:dyDescent="0.2">
      <c r="A122" s="7"/>
      <c r="B122" s="19" t="s">
        <v>939</v>
      </c>
      <c r="C122" s="10"/>
      <c r="D122" s="20" t="s">
        <v>920</v>
      </c>
      <c r="E122" s="21"/>
      <c r="F122" s="21">
        <v>525994</v>
      </c>
      <c r="G122" s="39">
        <f t="shared" si="3"/>
        <v>123761730.03464752</v>
      </c>
    </row>
    <row r="123" spans="1:7" ht="21.75" customHeight="1" x14ac:dyDescent="0.2">
      <c r="A123" s="7"/>
      <c r="B123" s="19" t="s">
        <v>940</v>
      </c>
      <c r="C123" s="10"/>
      <c r="D123" s="23" t="s">
        <v>921</v>
      </c>
      <c r="E123" s="21"/>
      <c r="F123" s="21">
        <v>2500000</v>
      </c>
      <c r="G123" s="39">
        <f t="shared" si="3"/>
        <v>121261730.03464752</v>
      </c>
    </row>
    <row r="124" spans="1:7" ht="21.75" customHeight="1" x14ac:dyDescent="0.2">
      <c r="A124" s="7"/>
      <c r="B124" s="24"/>
      <c r="C124" s="36"/>
      <c r="D124" s="20" t="s">
        <v>922</v>
      </c>
      <c r="E124" s="21"/>
      <c r="F124" s="21">
        <v>500000</v>
      </c>
      <c r="G124" s="39">
        <f t="shared" si="3"/>
        <v>120761730.03464752</v>
      </c>
    </row>
    <row r="125" spans="1:7" ht="21.75" customHeight="1" x14ac:dyDescent="0.2">
      <c r="A125" s="7"/>
      <c r="B125" s="19" t="s">
        <v>941</v>
      </c>
      <c r="C125" s="35"/>
      <c r="D125" s="20" t="s">
        <v>923</v>
      </c>
      <c r="E125" s="21">
        <v>5541100</v>
      </c>
      <c r="F125" s="21"/>
      <c r="G125" s="39">
        <f t="shared" si="3"/>
        <v>126302830.03464752</v>
      </c>
    </row>
    <row r="126" spans="1:7" ht="21.75" customHeight="1" x14ac:dyDescent="0.2">
      <c r="A126" s="7"/>
      <c r="B126" s="24"/>
      <c r="C126" s="35"/>
      <c r="D126" s="20" t="s">
        <v>924</v>
      </c>
      <c r="E126" s="21">
        <v>14306600</v>
      </c>
      <c r="F126" s="21"/>
      <c r="G126" s="39">
        <f t="shared" si="3"/>
        <v>140609430.03464752</v>
      </c>
    </row>
    <row r="127" spans="1:7" ht="21.75" customHeight="1" x14ac:dyDescent="0.2">
      <c r="A127" s="7"/>
      <c r="B127" s="19"/>
      <c r="C127" s="35"/>
      <c r="D127" s="20" t="s">
        <v>925</v>
      </c>
      <c r="E127" s="21">
        <v>15986445</v>
      </c>
      <c r="F127" s="21"/>
      <c r="G127" s="39">
        <f t="shared" si="3"/>
        <v>156595875.03464752</v>
      </c>
    </row>
    <row r="128" spans="1:7" ht="21.75" customHeight="1" x14ac:dyDescent="0.2">
      <c r="A128" s="7"/>
      <c r="B128" s="24"/>
      <c r="C128" s="35"/>
      <c r="D128" s="20" t="s">
        <v>926</v>
      </c>
      <c r="E128" s="21">
        <v>175975334</v>
      </c>
      <c r="F128" s="21"/>
      <c r="G128" s="62">
        <f t="shared" si="3"/>
        <v>332571209.03464752</v>
      </c>
    </row>
    <row r="129" spans="1:7" ht="21.75" customHeight="1" x14ac:dyDescent="0.2">
      <c r="A129" s="7"/>
      <c r="B129" s="24"/>
      <c r="C129" s="35"/>
      <c r="D129" s="20" t="s">
        <v>927</v>
      </c>
      <c r="E129" s="21">
        <v>48507291</v>
      </c>
      <c r="F129" s="21"/>
      <c r="G129" s="62">
        <f t="shared" si="3"/>
        <v>381078500.03464752</v>
      </c>
    </row>
    <row r="130" spans="1:7" ht="21.75" customHeight="1" x14ac:dyDescent="0.2">
      <c r="A130" s="7"/>
      <c r="B130" s="24"/>
      <c r="C130" s="35"/>
      <c r="D130" s="20" t="s">
        <v>928</v>
      </c>
      <c r="E130" s="21">
        <v>5319069</v>
      </c>
      <c r="F130" s="21"/>
      <c r="G130" s="62">
        <f t="shared" si="3"/>
        <v>386397569.03464752</v>
      </c>
    </row>
    <row r="131" spans="1:7" ht="21.75" customHeight="1" x14ac:dyDescent="0.2">
      <c r="A131" s="7"/>
      <c r="B131" s="24"/>
      <c r="C131" s="35"/>
      <c r="D131" s="20" t="s">
        <v>930</v>
      </c>
      <c r="E131" s="21">
        <v>7750000</v>
      </c>
      <c r="F131" s="21"/>
      <c r="G131" s="62">
        <f t="shared" si="3"/>
        <v>394147569.03464752</v>
      </c>
    </row>
    <row r="132" spans="1:7" ht="21.75" customHeight="1" x14ac:dyDescent="0.2">
      <c r="A132" s="7"/>
      <c r="B132" s="24"/>
      <c r="C132" s="35"/>
      <c r="D132" s="20" t="s">
        <v>637</v>
      </c>
      <c r="E132" s="21">
        <v>10376090</v>
      </c>
      <c r="F132" s="21"/>
      <c r="G132" s="62">
        <f t="shared" si="3"/>
        <v>404523659.03464752</v>
      </c>
    </row>
    <row r="133" spans="1:7" ht="21.75" customHeight="1" x14ac:dyDescent="0.2">
      <c r="A133" s="7"/>
      <c r="B133" s="19" t="s">
        <v>942</v>
      </c>
      <c r="C133" s="35"/>
      <c r="D133" s="20" t="s">
        <v>929</v>
      </c>
      <c r="E133" s="21">
        <v>1000000</v>
      </c>
      <c r="F133" s="39"/>
      <c r="G133" s="62">
        <f t="shared" si="3"/>
        <v>405523659.03464752</v>
      </c>
    </row>
    <row r="134" spans="1:7" ht="21.75" customHeight="1" x14ac:dyDescent="0.25">
      <c r="A134" s="7"/>
      <c r="B134" s="19" t="s">
        <v>943</v>
      </c>
      <c r="C134" s="36"/>
      <c r="D134" s="20" t="s">
        <v>931</v>
      </c>
      <c r="E134" s="21">
        <v>9342271</v>
      </c>
      <c r="F134" s="21"/>
      <c r="G134" s="56">
        <f t="shared" si="3"/>
        <v>414865930.03464752</v>
      </c>
    </row>
    <row r="135" spans="1:7" ht="21.75" customHeight="1" x14ac:dyDescent="0.2">
      <c r="A135" s="7"/>
      <c r="B135" s="24"/>
      <c r="C135" s="36"/>
      <c r="D135" s="20" t="s">
        <v>932</v>
      </c>
      <c r="E135" s="21">
        <v>13485259</v>
      </c>
      <c r="F135" s="21"/>
      <c r="G135" s="62">
        <f t="shared" si="3"/>
        <v>428351189.03464752</v>
      </c>
    </row>
    <row r="136" spans="1:7" ht="21.75" customHeight="1" x14ac:dyDescent="0.2">
      <c r="A136" s="7"/>
      <c r="B136" s="24"/>
      <c r="C136" s="36"/>
      <c r="D136" s="20" t="s">
        <v>937</v>
      </c>
      <c r="E136" s="21"/>
      <c r="F136" s="21">
        <v>4166667</v>
      </c>
      <c r="G136" s="62">
        <f t="shared" si="3"/>
        <v>424184522.03464752</v>
      </c>
    </row>
    <row r="137" spans="1:7" ht="21.75" customHeight="1" x14ac:dyDescent="0.2">
      <c r="A137" s="7"/>
      <c r="B137" s="24"/>
      <c r="C137" s="36"/>
      <c r="D137" s="20" t="s">
        <v>936</v>
      </c>
      <c r="E137" s="21"/>
      <c r="F137" s="21">
        <v>52651389</v>
      </c>
      <c r="G137" s="62">
        <f t="shared" si="3"/>
        <v>371533133.03464752</v>
      </c>
    </row>
    <row r="138" spans="1:7" ht="21.75" customHeight="1" x14ac:dyDescent="0.2">
      <c r="A138" s="7"/>
      <c r="B138" s="24"/>
      <c r="C138" s="36"/>
      <c r="D138" s="20" t="s">
        <v>21</v>
      </c>
      <c r="E138" s="21"/>
      <c r="F138" s="21">
        <v>2500</v>
      </c>
      <c r="G138" s="62">
        <f t="shared" si="3"/>
        <v>371530633.03464752</v>
      </c>
    </row>
    <row r="139" spans="1:7" ht="21.75" customHeight="1" x14ac:dyDescent="0.2">
      <c r="A139" s="7"/>
      <c r="B139" s="24"/>
      <c r="C139" s="36"/>
      <c r="D139" s="20" t="s">
        <v>935</v>
      </c>
      <c r="E139" s="21"/>
      <c r="F139" s="21">
        <v>4583333</v>
      </c>
      <c r="G139" s="62">
        <f t="shared" si="3"/>
        <v>366947300.03464752</v>
      </c>
    </row>
    <row r="140" spans="1:7" ht="21.75" customHeight="1" x14ac:dyDescent="0.2">
      <c r="A140" s="7"/>
      <c r="B140" s="24"/>
      <c r="C140" s="36"/>
      <c r="D140" s="20" t="s">
        <v>21</v>
      </c>
      <c r="E140" s="21"/>
      <c r="F140" s="21">
        <v>2500</v>
      </c>
      <c r="G140" s="62">
        <f>+G139+E140-F140</f>
        <v>366944800.03464752</v>
      </c>
    </row>
    <row r="141" spans="1:7" ht="21.75" customHeight="1" x14ac:dyDescent="0.2">
      <c r="A141" s="7"/>
      <c r="B141" s="19" t="s">
        <v>944</v>
      </c>
      <c r="C141" s="36"/>
      <c r="D141" s="20" t="s">
        <v>934</v>
      </c>
      <c r="E141" s="21"/>
      <c r="F141" s="21">
        <v>8119000</v>
      </c>
      <c r="G141" s="62">
        <f t="shared" ref="G141:G207" si="4">+G140+E141-F141</f>
        <v>358825800.03464752</v>
      </c>
    </row>
    <row r="142" spans="1:7" ht="21.75" customHeight="1" x14ac:dyDescent="0.2">
      <c r="A142" s="7"/>
      <c r="B142" s="24"/>
      <c r="C142" s="36"/>
      <c r="D142" s="20" t="s">
        <v>933</v>
      </c>
      <c r="E142" s="21"/>
      <c r="F142" s="21">
        <v>10850000</v>
      </c>
      <c r="G142" s="62">
        <f t="shared" si="4"/>
        <v>347975800.03464752</v>
      </c>
    </row>
    <row r="143" spans="1:7" ht="21.75" customHeight="1" x14ac:dyDescent="0.2">
      <c r="A143" s="7"/>
      <c r="B143" s="24"/>
      <c r="C143" s="36"/>
      <c r="D143" s="20" t="s">
        <v>21</v>
      </c>
      <c r="E143" s="21"/>
      <c r="F143" s="21">
        <v>2500</v>
      </c>
      <c r="G143" s="62">
        <f t="shared" si="4"/>
        <v>347973300.03464752</v>
      </c>
    </row>
    <row r="144" spans="1:7" ht="21.75" customHeight="1" x14ac:dyDescent="0.2">
      <c r="A144" s="7"/>
      <c r="B144" s="19" t="s">
        <v>945</v>
      </c>
      <c r="C144" s="24"/>
      <c r="D144" s="20" t="s">
        <v>255</v>
      </c>
      <c r="E144" s="39"/>
      <c r="F144" s="21">
        <v>500000</v>
      </c>
      <c r="G144" s="62">
        <f t="shared" si="4"/>
        <v>347473300.03464752</v>
      </c>
    </row>
    <row r="145" spans="1:8" ht="21.75" customHeight="1" x14ac:dyDescent="0.2">
      <c r="A145" s="7"/>
      <c r="B145" s="19" t="s">
        <v>946</v>
      </c>
      <c r="C145" s="35"/>
      <c r="D145" s="23" t="s">
        <v>947</v>
      </c>
      <c r="E145" s="21"/>
      <c r="F145" s="21">
        <v>700000</v>
      </c>
      <c r="G145" s="62">
        <f t="shared" si="4"/>
        <v>346773300.03464752</v>
      </c>
    </row>
    <row r="146" spans="1:8" ht="21.75" customHeight="1" x14ac:dyDescent="0.2">
      <c r="A146" s="7"/>
      <c r="B146" s="19"/>
      <c r="C146" s="35"/>
      <c r="D146" s="20" t="s">
        <v>948</v>
      </c>
      <c r="E146" s="21"/>
      <c r="F146" s="39">
        <v>1100000</v>
      </c>
      <c r="G146" s="62">
        <f t="shared" si="4"/>
        <v>345673300.03464752</v>
      </c>
    </row>
    <row r="147" spans="1:8" ht="21.75" customHeight="1" x14ac:dyDescent="0.2">
      <c r="A147" s="7"/>
      <c r="B147" s="24"/>
      <c r="C147" s="35"/>
      <c r="D147" s="20" t="s">
        <v>21</v>
      </c>
      <c r="E147" s="21"/>
      <c r="F147" s="21">
        <v>2500</v>
      </c>
      <c r="G147" s="62">
        <f t="shared" si="4"/>
        <v>345670800.03464752</v>
      </c>
    </row>
    <row r="148" spans="1:8" ht="21.75" customHeight="1" x14ac:dyDescent="0.2">
      <c r="A148" s="7"/>
      <c r="B148" s="24"/>
      <c r="C148" s="18"/>
      <c r="D148" s="20" t="s">
        <v>949</v>
      </c>
      <c r="E148" s="21"/>
      <c r="F148" s="21">
        <v>17183615</v>
      </c>
      <c r="G148" s="62">
        <f t="shared" si="4"/>
        <v>328487185.03464752</v>
      </c>
    </row>
    <row r="149" spans="1:8" ht="21.75" customHeight="1" x14ac:dyDescent="0.2">
      <c r="A149" s="7"/>
      <c r="B149" s="19" t="s">
        <v>951</v>
      </c>
      <c r="C149" s="18"/>
      <c r="D149" s="20" t="s">
        <v>638</v>
      </c>
      <c r="E149" s="21">
        <v>300000</v>
      </c>
      <c r="F149" s="26"/>
      <c r="G149" s="62">
        <f t="shared" si="4"/>
        <v>328787185.03464752</v>
      </c>
      <c r="H149" s="46"/>
    </row>
    <row r="150" spans="1:8" ht="21.75" customHeight="1" x14ac:dyDescent="0.2">
      <c r="A150" s="7"/>
      <c r="B150" s="19"/>
      <c r="C150" s="18"/>
      <c r="D150" s="20" t="s">
        <v>30</v>
      </c>
      <c r="E150" s="21">
        <v>50000</v>
      </c>
      <c r="F150" s="21"/>
      <c r="G150" s="62">
        <f t="shared" si="4"/>
        <v>328837185.03464752</v>
      </c>
      <c r="H150" s="46"/>
    </row>
    <row r="151" spans="1:8" ht="21.75" customHeight="1" x14ac:dyDescent="0.2">
      <c r="A151" s="7"/>
      <c r="B151" s="19"/>
      <c r="C151" s="36"/>
      <c r="D151" s="20" t="s">
        <v>29</v>
      </c>
      <c r="E151" s="21">
        <v>200000</v>
      </c>
      <c r="F151" s="21"/>
      <c r="G151" s="62">
        <f t="shared" si="4"/>
        <v>329037185.03464752</v>
      </c>
    </row>
    <row r="152" spans="1:8" ht="21.75" customHeight="1" x14ac:dyDescent="0.2">
      <c r="A152" s="7"/>
      <c r="B152" s="19"/>
      <c r="C152" s="36"/>
      <c r="D152" s="20" t="s">
        <v>950</v>
      </c>
      <c r="E152" s="21">
        <v>100000</v>
      </c>
      <c r="F152" s="26"/>
      <c r="G152" s="62">
        <f t="shared" si="4"/>
        <v>329137185.03464752</v>
      </c>
    </row>
    <row r="153" spans="1:8" ht="21.75" customHeight="1" x14ac:dyDescent="0.2">
      <c r="A153" s="7"/>
      <c r="B153" s="19"/>
      <c r="C153" s="36"/>
      <c r="D153" s="20" t="s">
        <v>99</v>
      </c>
      <c r="E153" s="21">
        <v>50000</v>
      </c>
      <c r="F153" s="21"/>
      <c r="G153" s="62">
        <f t="shared" si="4"/>
        <v>329187185.03464752</v>
      </c>
    </row>
    <row r="154" spans="1:8" ht="21.75" customHeight="1" x14ac:dyDescent="0.2">
      <c r="A154" s="7"/>
      <c r="B154" s="19"/>
      <c r="C154" s="36"/>
      <c r="D154" s="20" t="s">
        <v>822</v>
      </c>
      <c r="E154" s="21">
        <v>215000</v>
      </c>
      <c r="F154" s="21"/>
      <c r="G154" s="62">
        <f t="shared" si="4"/>
        <v>329402185.03464752</v>
      </c>
    </row>
    <row r="155" spans="1:8" ht="21.75" customHeight="1" x14ac:dyDescent="0.2">
      <c r="A155" s="7"/>
      <c r="B155" s="19"/>
      <c r="C155" s="36"/>
      <c r="D155" s="20" t="s">
        <v>952</v>
      </c>
      <c r="E155" s="21">
        <v>48507291</v>
      </c>
      <c r="F155" s="21"/>
      <c r="G155" s="62">
        <f t="shared" si="4"/>
        <v>377909476.03464752</v>
      </c>
    </row>
    <row r="156" spans="1:8" ht="21.75" customHeight="1" x14ac:dyDescent="0.2">
      <c r="A156" s="7"/>
      <c r="B156" s="19"/>
      <c r="C156" s="36"/>
      <c r="D156" s="20" t="s">
        <v>953</v>
      </c>
      <c r="E156" s="21">
        <v>13764338</v>
      </c>
      <c r="F156" s="21"/>
      <c r="G156" s="62">
        <f t="shared" si="4"/>
        <v>391673814.03464752</v>
      </c>
    </row>
    <row r="157" spans="1:8" ht="21.75" customHeight="1" x14ac:dyDescent="0.25">
      <c r="A157" s="7"/>
      <c r="B157" s="19"/>
      <c r="C157" s="35"/>
      <c r="D157" s="20" t="s">
        <v>954</v>
      </c>
      <c r="E157" s="21">
        <v>3934900</v>
      </c>
      <c r="F157" s="21"/>
      <c r="G157" s="56">
        <f t="shared" si="4"/>
        <v>395608714.03464752</v>
      </c>
    </row>
    <row r="158" spans="1:8" ht="21.75" customHeight="1" x14ac:dyDescent="0.2">
      <c r="A158" s="7"/>
      <c r="B158" s="19"/>
      <c r="C158" s="35"/>
      <c r="D158" s="23" t="s">
        <v>955</v>
      </c>
      <c r="E158" s="21">
        <v>10785833</v>
      </c>
      <c r="F158" s="21"/>
      <c r="G158" s="62">
        <f t="shared" si="4"/>
        <v>406394547.03464752</v>
      </c>
    </row>
    <row r="159" spans="1:8" ht="21.75" customHeight="1" x14ac:dyDescent="0.2">
      <c r="A159" s="7"/>
      <c r="B159" s="19"/>
      <c r="C159" s="35"/>
      <c r="D159" s="20" t="s">
        <v>417</v>
      </c>
      <c r="E159" s="21">
        <v>0</v>
      </c>
      <c r="F159" s="21"/>
      <c r="G159" s="62">
        <f t="shared" si="4"/>
        <v>406394547.03464752</v>
      </c>
    </row>
    <row r="160" spans="1:8" s="12" customFormat="1" ht="21.75" customHeight="1" x14ac:dyDescent="0.2">
      <c r="A160" s="7"/>
      <c r="B160" s="19"/>
      <c r="C160" s="35"/>
      <c r="D160" s="20" t="s">
        <v>414</v>
      </c>
      <c r="E160" s="21">
        <v>0</v>
      </c>
      <c r="F160" s="21"/>
      <c r="G160" s="62">
        <f t="shared" si="4"/>
        <v>406394547.03464752</v>
      </c>
    </row>
    <row r="161" spans="1:7" s="12" customFormat="1" ht="21.75" customHeight="1" x14ac:dyDescent="0.2">
      <c r="A161" s="7"/>
      <c r="B161" s="19"/>
      <c r="C161" s="35"/>
      <c r="D161" s="20" t="s">
        <v>415</v>
      </c>
      <c r="E161" s="21">
        <v>0</v>
      </c>
      <c r="F161" s="21"/>
      <c r="G161" s="62">
        <f t="shared" si="4"/>
        <v>406394547.03464752</v>
      </c>
    </row>
    <row r="162" spans="1:7" s="12" customFormat="1" ht="21.75" customHeight="1" x14ac:dyDescent="0.2">
      <c r="A162" s="42"/>
      <c r="B162" s="19"/>
      <c r="C162" s="35"/>
      <c r="D162" s="20" t="s">
        <v>416</v>
      </c>
      <c r="E162" s="21">
        <v>0</v>
      </c>
      <c r="F162" s="21"/>
      <c r="G162" s="62">
        <f t="shared" si="4"/>
        <v>406394547.03464752</v>
      </c>
    </row>
    <row r="163" spans="1:7" s="12" customFormat="1" ht="21.75" customHeight="1" x14ac:dyDescent="0.2">
      <c r="A163" s="42"/>
      <c r="B163" s="19"/>
      <c r="C163" s="35"/>
      <c r="D163" s="23" t="s">
        <v>956</v>
      </c>
      <c r="E163" s="21">
        <v>25159612</v>
      </c>
      <c r="F163" s="21"/>
      <c r="G163" s="62">
        <f t="shared" si="4"/>
        <v>431554159.03464752</v>
      </c>
    </row>
    <row r="164" spans="1:7" s="12" customFormat="1" ht="21.75" customHeight="1" x14ac:dyDescent="0.2">
      <c r="A164" s="42"/>
      <c r="B164" s="19"/>
      <c r="C164" s="35"/>
      <c r="D164" s="20" t="s">
        <v>419</v>
      </c>
      <c r="E164" s="21"/>
      <c r="F164" s="21"/>
      <c r="G164" s="62">
        <f t="shared" si="4"/>
        <v>431554159.03464752</v>
      </c>
    </row>
    <row r="165" spans="1:7" s="12" customFormat="1" ht="21.75" customHeight="1" x14ac:dyDescent="0.2">
      <c r="A165" s="42"/>
      <c r="B165" s="19"/>
      <c r="C165" s="35"/>
      <c r="D165" s="20" t="s">
        <v>200</v>
      </c>
      <c r="E165" s="21"/>
      <c r="F165" s="21"/>
      <c r="G165" s="62">
        <f t="shared" si="4"/>
        <v>431554159.03464752</v>
      </c>
    </row>
    <row r="166" spans="1:7" s="12" customFormat="1" ht="21.75" customHeight="1" x14ac:dyDescent="0.2">
      <c r="A166" s="42"/>
      <c r="B166" s="19"/>
      <c r="C166" s="35"/>
      <c r="D166" s="20" t="s">
        <v>201</v>
      </c>
      <c r="E166" s="21"/>
      <c r="F166" s="39"/>
      <c r="G166" s="62">
        <f t="shared" si="4"/>
        <v>431554159.03464752</v>
      </c>
    </row>
    <row r="167" spans="1:7" s="12" customFormat="1" ht="21.75" customHeight="1" x14ac:dyDescent="0.2">
      <c r="A167" s="42"/>
      <c r="B167" s="19"/>
      <c r="C167" s="35"/>
      <c r="D167" s="20" t="s">
        <v>514</v>
      </c>
      <c r="E167" s="21"/>
      <c r="F167" s="21"/>
      <c r="G167" s="62">
        <f t="shared" si="4"/>
        <v>431554159.03464752</v>
      </c>
    </row>
    <row r="168" spans="1:7" s="12" customFormat="1" ht="21.75" customHeight="1" x14ac:dyDescent="0.2">
      <c r="A168" s="42"/>
      <c r="B168" s="19"/>
      <c r="C168" s="35"/>
      <c r="D168" s="20" t="s">
        <v>202</v>
      </c>
      <c r="E168" s="21"/>
      <c r="F168" s="21"/>
      <c r="G168" s="62">
        <f t="shared" si="4"/>
        <v>431554159.03464752</v>
      </c>
    </row>
    <row r="169" spans="1:7" s="12" customFormat="1" ht="21.75" customHeight="1" x14ac:dyDescent="0.2">
      <c r="A169" s="42"/>
      <c r="B169" s="19"/>
      <c r="C169" s="35"/>
      <c r="D169" s="20" t="s">
        <v>203</v>
      </c>
      <c r="E169" s="21"/>
      <c r="F169" s="21"/>
      <c r="G169" s="62">
        <f t="shared" si="4"/>
        <v>431554159.03464752</v>
      </c>
    </row>
    <row r="170" spans="1:7" s="12" customFormat="1" ht="21.75" customHeight="1" x14ac:dyDescent="0.2">
      <c r="A170" s="42"/>
      <c r="B170" s="19"/>
      <c r="C170" s="35"/>
      <c r="D170" s="20" t="s">
        <v>204</v>
      </c>
      <c r="E170" s="21"/>
      <c r="F170" s="21"/>
      <c r="G170" s="62">
        <f t="shared" si="4"/>
        <v>431554159.03464752</v>
      </c>
    </row>
    <row r="171" spans="1:7" s="12" customFormat="1" ht="21.75" customHeight="1" x14ac:dyDescent="0.2">
      <c r="A171" s="42"/>
      <c r="B171" s="19"/>
      <c r="C171" s="35"/>
      <c r="D171" s="20" t="s">
        <v>205</v>
      </c>
      <c r="E171" s="21"/>
      <c r="F171" s="21"/>
      <c r="G171" s="62">
        <f t="shared" si="4"/>
        <v>431554159.03464752</v>
      </c>
    </row>
    <row r="172" spans="1:7" s="12" customFormat="1" ht="21.75" customHeight="1" x14ac:dyDescent="0.2">
      <c r="A172" s="42"/>
      <c r="B172" s="19"/>
      <c r="C172" s="35"/>
      <c r="D172" s="20" t="s">
        <v>420</v>
      </c>
      <c r="E172" s="21"/>
      <c r="F172" s="21"/>
      <c r="G172" s="62">
        <f t="shared" si="4"/>
        <v>431554159.03464752</v>
      </c>
    </row>
    <row r="173" spans="1:7" s="12" customFormat="1" ht="21.75" customHeight="1" x14ac:dyDescent="0.2">
      <c r="A173" s="42"/>
      <c r="B173" s="19"/>
      <c r="C173" s="35"/>
      <c r="D173" s="23" t="s">
        <v>957</v>
      </c>
      <c r="E173" s="21">
        <v>0</v>
      </c>
      <c r="F173" s="81">
        <v>99404969.280000001</v>
      </c>
      <c r="G173" s="62">
        <f t="shared" si="4"/>
        <v>332149189.75464749</v>
      </c>
    </row>
    <row r="174" spans="1:7" s="12" customFormat="1" ht="21.75" customHeight="1" x14ac:dyDescent="0.2">
      <c r="A174" s="42"/>
      <c r="B174" s="19"/>
      <c r="C174" s="35"/>
      <c r="D174" s="20" t="s">
        <v>41</v>
      </c>
      <c r="E174" s="39">
        <v>9508469.2799999993</v>
      </c>
      <c r="F174" s="21"/>
      <c r="G174" s="62">
        <f t="shared" si="4"/>
        <v>341657659.03464746</v>
      </c>
    </row>
    <row r="175" spans="1:7" s="12" customFormat="1" ht="21.75" customHeight="1" x14ac:dyDescent="0.2">
      <c r="A175" s="42"/>
      <c r="B175" s="19"/>
      <c r="C175" s="35"/>
      <c r="D175" s="20" t="s">
        <v>42</v>
      </c>
      <c r="E175" s="21">
        <v>5499560</v>
      </c>
      <c r="F175" s="21"/>
      <c r="G175" s="62">
        <f t="shared" si="4"/>
        <v>347157219.03464746</v>
      </c>
    </row>
    <row r="176" spans="1:7" s="12" customFormat="1" ht="21.75" customHeight="1" x14ac:dyDescent="0.2">
      <c r="A176" s="42"/>
      <c r="B176" s="19"/>
      <c r="C176" s="35"/>
      <c r="D176" s="20" t="s">
        <v>962</v>
      </c>
      <c r="E176" s="21">
        <v>50000</v>
      </c>
      <c r="F176" s="21"/>
      <c r="G176" s="62">
        <f t="shared" si="4"/>
        <v>347207219.03464746</v>
      </c>
    </row>
    <row r="177" spans="1:7" s="12" customFormat="1" ht="21.75" customHeight="1" x14ac:dyDescent="0.2">
      <c r="A177" s="42"/>
      <c r="B177" s="19"/>
      <c r="C177" s="35"/>
      <c r="D177" s="20" t="s">
        <v>43</v>
      </c>
      <c r="E177" s="21">
        <v>1700000</v>
      </c>
      <c r="F177" s="21"/>
      <c r="G177" s="62">
        <f t="shared" si="4"/>
        <v>348907219.03464746</v>
      </c>
    </row>
    <row r="178" spans="1:7" s="12" customFormat="1" ht="21.75" customHeight="1" x14ac:dyDescent="0.2">
      <c r="A178" s="42"/>
      <c r="B178" s="19"/>
      <c r="C178" s="35"/>
      <c r="D178" s="20" t="s">
        <v>44</v>
      </c>
      <c r="E178" s="21">
        <v>1750000</v>
      </c>
      <c r="F178" s="21"/>
      <c r="G178" s="62">
        <f t="shared" si="4"/>
        <v>350657219.03464746</v>
      </c>
    </row>
    <row r="179" spans="1:7" s="12" customFormat="1" ht="21.75" customHeight="1" x14ac:dyDescent="0.2">
      <c r="A179" s="42"/>
      <c r="B179" s="19"/>
      <c r="C179" s="35"/>
      <c r="D179" s="20" t="s">
        <v>59</v>
      </c>
      <c r="E179" s="21">
        <v>4350000</v>
      </c>
      <c r="F179" s="21"/>
      <c r="G179" s="62">
        <f t="shared" si="4"/>
        <v>355007219.03464746</v>
      </c>
    </row>
    <row r="180" spans="1:7" s="12" customFormat="1" ht="21.75" customHeight="1" x14ac:dyDescent="0.2">
      <c r="A180" s="42"/>
      <c r="B180" s="19"/>
      <c r="C180" s="35"/>
      <c r="D180" s="20" t="s">
        <v>514</v>
      </c>
      <c r="E180" s="21">
        <v>620000</v>
      </c>
      <c r="F180" s="21"/>
      <c r="G180" s="62">
        <f t="shared" si="4"/>
        <v>355627219.03464746</v>
      </c>
    </row>
    <row r="181" spans="1:7" ht="21.75" customHeight="1" x14ac:dyDescent="0.2">
      <c r="A181" s="42"/>
      <c r="B181" s="19"/>
      <c r="C181" s="35"/>
      <c r="D181" s="20" t="s">
        <v>58</v>
      </c>
      <c r="E181" s="21">
        <v>600000</v>
      </c>
      <c r="F181" s="21"/>
      <c r="G181" s="62">
        <f t="shared" si="4"/>
        <v>356227219.03464746</v>
      </c>
    </row>
    <row r="182" spans="1:7" ht="21.75" customHeight="1" x14ac:dyDescent="0.2">
      <c r="A182" s="42"/>
      <c r="B182" s="19"/>
      <c r="C182" s="35"/>
      <c r="D182" s="20" t="s">
        <v>515</v>
      </c>
      <c r="E182" s="21">
        <v>125000</v>
      </c>
      <c r="F182" s="21"/>
      <c r="G182" s="62">
        <f t="shared" si="4"/>
        <v>356352219.03464746</v>
      </c>
    </row>
    <row r="183" spans="1:7" ht="21.75" customHeight="1" x14ac:dyDescent="0.2">
      <c r="A183" s="42"/>
      <c r="B183" s="19"/>
      <c r="C183" s="35"/>
      <c r="D183" s="20" t="s">
        <v>51</v>
      </c>
      <c r="E183" s="21">
        <v>5750000</v>
      </c>
      <c r="F183" s="21"/>
      <c r="G183" s="62">
        <f t="shared" si="4"/>
        <v>362102219.03464746</v>
      </c>
    </row>
    <row r="184" spans="1:7" ht="21.75" customHeight="1" x14ac:dyDescent="0.2">
      <c r="A184" s="42"/>
      <c r="B184" s="19"/>
      <c r="C184" s="35"/>
      <c r="D184" s="20" t="s">
        <v>45</v>
      </c>
      <c r="E184" s="21">
        <v>65000</v>
      </c>
      <c r="F184" s="21"/>
      <c r="G184" s="62">
        <f t="shared" si="4"/>
        <v>362167219.03464746</v>
      </c>
    </row>
    <row r="185" spans="1:7" ht="21.75" customHeight="1" x14ac:dyDescent="0.2">
      <c r="A185" s="42"/>
      <c r="B185" s="19"/>
      <c r="C185" s="35"/>
      <c r="D185" s="20" t="s">
        <v>577</v>
      </c>
      <c r="E185" s="21">
        <v>200000</v>
      </c>
      <c r="F185" s="21"/>
      <c r="G185" s="62">
        <f t="shared" si="4"/>
        <v>362367219.03464746</v>
      </c>
    </row>
    <row r="186" spans="1:7" ht="21.75" customHeight="1" x14ac:dyDescent="0.2">
      <c r="A186" s="42"/>
      <c r="B186" s="19"/>
      <c r="C186" s="35"/>
      <c r="D186" s="23" t="s">
        <v>958</v>
      </c>
      <c r="E186" s="21">
        <v>0</v>
      </c>
      <c r="F186" s="81">
        <v>19680239.84</v>
      </c>
      <c r="G186" s="62">
        <f t="shared" si="4"/>
        <v>342686979.19464749</v>
      </c>
    </row>
    <row r="187" spans="1:7" ht="21.75" customHeight="1" x14ac:dyDescent="0.2">
      <c r="A187" s="42"/>
      <c r="B187" s="19"/>
      <c r="C187" s="35"/>
      <c r="D187" s="20" t="s">
        <v>46</v>
      </c>
      <c r="E187" s="39">
        <v>1895339.84</v>
      </c>
      <c r="F187" s="21"/>
      <c r="G187" s="62">
        <f t="shared" si="4"/>
        <v>344582319.03464746</v>
      </c>
    </row>
    <row r="188" spans="1:7" ht="21.75" customHeight="1" x14ac:dyDescent="0.2">
      <c r="A188" s="42"/>
      <c r="B188" s="19"/>
      <c r="C188" s="35"/>
      <c r="D188" s="20" t="s">
        <v>47</v>
      </c>
      <c r="E188" s="21">
        <v>1099912</v>
      </c>
      <c r="F188" s="21"/>
      <c r="G188" s="62">
        <f t="shared" si="4"/>
        <v>345682231.03464746</v>
      </c>
    </row>
    <row r="189" spans="1:7" ht="21.75" customHeight="1" x14ac:dyDescent="0.2">
      <c r="A189" s="42"/>
      <c r="B189" s="19"/>
      <c r="C189" s="35"/>
      <c r="D189" s="20" t="s">
        <v>48</v>
      </c>
      <c r="E189" s="21">
        <v>200000</v>
      </c>
      <c r="F189" s="21"/>
      <c r="G189" s="62">
        <f t="shared" si="4"/>
        <v>345882231.03464746</v>
      </c>
    </row>
    <row r="190" spans="1:7" ht="21.75" customHeight="1" x14ac:dyDescent="0.2">
      <c r="A190" s="42"/>
      <c r="B190" s="19"/>
      <c r="C190" s="35"/>
      <c r="D190" s="20" t="s">
        <v>81</v>
      </c>
      <c r="E190" s="21">
        <v>250000</v>
      </c>
      <c r="F190" s="21"/>
      <c r="G190" s="62">
        <f t="shared" si="4"/>
        <v>346132231.03464746</v>
      </c>
    </row>
    <row r="191" spans="1:7" ht="21.75" customHeight="1" x14ac:dyDescent="0.2">
      <c r="A191" s="42"/>
      <c r="B191" s="19"/>
      <c r="C191" s="35"/>
      <c r="D191" s="20" t="s">
        <v>514</v>
      </c>
      <c r="E191" s="21">
        <v>25000</v>
      </c>
      <c r="F191" s="21"/>
      <c r="G191" s="62">
        <f>+G190+E191-F191</f>
        <v>346157231.03464746</v>
      </c>
    </row>
    <row r="192" spans="1:7" ht="21.75" customHeight="1" x14ac:dyDescent="0.2">
      <c r="A192" s="42"/>
      <c r="B192" s="19"/>
      <c r="C192" s="35"/>
      <c r="D192" s="20" t="s">
        <v>50</v>
      </c>
      <c r="E192" s="21">
        <v>780000</v>
      </c>
      <c r="F192" s="21"/>
      <c r="G192" s="62">
        <f t="shared" ref="G192:G196" si="5">+G191+E192-F192</f>
        <v>346937231.03464746</v>
      </c>
    </row>
    <row r="193" spans="1:7" ht="21.75" customHeight="1" x14ac:dyDescent="0.2">
      <c r="A193" s="42"/>
      <c r="B193" s="19"/>
      <c r="C193" s="35"/>
      <c r="D193" s="20" t="s">
        <v>972</v>
      </c>
      <c r="E193" s="21">
        <v>250000</v>
      </c>
      <c r="F193" s="21"/>
      <c r="G193" s="62">
        <f t="shared" si="5"/>
        <v>347187231.03464746</v>
      </c>
    </row>
    <row r="194" spans="1:7" ht="21.75" customHeight="1" x14ac:dyDescent="0.2">
      <c r="A194" s="42"/>
      <c r="B194" s="19"/>
      <c r="C194" s="35"/>
      <c r="D194" s="20" t="s">
        <v>515</v>
      </c>
      <c r="E194" s="21">
        <v>25000</v>
      </c>
      <c r="F194" s="21"/>
      <c r="G194" s="62">
        <f t="shared" si="5"/>
        <v>347212231.03464746</v>
      </c>
    </row>
    <row r="195" spans="1:7" ht="21.75" customHeight="1" x14ac:dyDescent="0.2">
      <c r="A195" s="42"/>
      <c r="B195" s="19"/>
      <c r="C195" s="35"/>
      <c r="D195" s="23" t="s">
        <v>959</v>
      </c>
      <c r="E195" s="21">
        <v>0</v>
      </c>
      <c r="F195" s="21">
        <v>29929359.760000002</v>
      </c>
      <c r="G195" s="62">
        <f t="shared" si="5"/>
        <v>317282871.27464747</v>
      </c>
    </row>
    <row r="196" spans="1:7" ht="21.75" customHeight="1" x14ac:dyDescent="0.2">
      <c r="A196" s="42"/>
      <c r="B196" s="19"/>
      <c r="C196" s="35"/>
      <c r="D196" s="20" t="s">
        <v>55</v>
      </c>
      <c r="E196" s="39">
        <v>2843009.76</v>
      </c>
      <c r="F196" s="21"/>
      <c r="G196" s="62">
        <f t="shared" si="5"/>
        <v>320125881.03464746</v>
      </c>
    </row>
    <row r="197" spans="1:7" ht="21.75" customHeight="1" x14ac:dyDescent="0.2">
      <c r="A197" s="42"/>
      <c r="B197" s="19"/>
      <c r="C197" s="35"/>
      <c r="D197" s="20" t="s">
        <v>54</v>
      </c>
      <c r="E197" s="21">
        <v>1649868</v>
      </c>
      <c r="F197" s="21"/>
      <c r="G197" s="62">
        <f t="shared" si="4"/>
        <v>321775749.03464746</v>
      </c>
    </row>
    <row r="198" spans="1:7" ht="21.75" customHeight="1" x14ac:dyDescent="0.2">
      <c r="A198" s="42"/>
      <c r="B198" s="19"/>
      <c r="C198" s="35"/>
      <c r="D198" s="20" t="s">
        <v>963</v>
      </c>
      <c r="E198" s="21">
        <v>50000</v>
      </c>
      <c r="F198" s="21"/>
      <c r="G198" s="62">
        <f t="shared" si="4"/>
        <v>321825749.03464746</v>
      </c>
    </row>
    <row r="199" spans="1:7" ht="21.75" customHeight="1" x14ac:dyDescent="0.2">
      <c r="A199" s="42"/>
      <c r="B199" s="19"/>
      <c r="C199" s="35"/>
      <c r="D199" s="20" t="s">
        <v>53</v>
      </c>
      <c r="E199" s="21">
        <v>350000</v>
      </c>
      <c r="F199" s="21"/>
      <c r="G199" s="62">
        <f t="shared" si="4"/>
        <v>322175749.03464746</v>
      </c>
    </row>
    <row r="200" spans="1:7" ht="21.75" customHeight="1" x14ac:dyDescent="0.2">
      <c r="A200" s="42"/>
      <c r="B200" s="19"/>
      <c r="C200" s="35"/>
      <c r="D200" s="20" t="s">
        <v>56</v>
      </c>
      <c r="E200" s="21">
        <v>100000</v>
      </c>
      <c r="F200" s="21"/>
      <c r="G200" s="62">
        <f t="shared" si="4"/>
        <v>322275749.03464746</v>
      </c>
    </row>
    <row r="201" spans="1:7" ht="21.75" customHeight="1" x14ac:dyDescent="0.2">
      <c r="A201" s="42"/>
      <c r="B201" s="19"/>
      <c r="C201" s="35"/>
      <c r="D201" s="20" t="s">
        <v>57</v>
      </c>
      <c r="E201" s="21">
        <v>300000</v>
      </c>
      <c r="F201" s="21"/>
      <c r="G201" s="62">
        <f t="shared" si="4"/>
        <v>322575749.03464746</v>
      </c>
    </row>
    <row r="202" spans="1:7" ht="21.75" customHeight="1" x14ac:dyDescent="0.2">
      <c r="A202" s="42"/>
      <c r="B202" s="19"/>
      <c r="C202" s="35"/>
      <c r="D202" s="20" t="s">
        <v>514</v>
      </c>
      <c r="E202" s="21">
        <v>30000</v>
      </c>
      <c r="F202" s="21"/>
      <c r="G202" s="62">
        <f t="shared" si="4"/>
        <v>322605749.03464746</v>
      </c>
    </row>
    <row r="203" spans="1:7" ht="21.75" customHeight="1" x14ac:dyDescent="0.2">
      <c r="A203" s="42"/>
      <c r="B203" s="19"/>
      <c r="C203" s="35"/>
      <c r="D203" s="20" t="s">
        <v>216</v>
      </c>
      <c r="E203" s="21">
        <v>200000</v>
      </c>
      <c r="F203" s="21"/>
      <c r="G203" s="62">
        <f t="shared" si="4"/>
        <v>322805749.03464746</v>
      </c>
    </row>
    <row r="204" spans="1:7" ht="21.75" customHeight="1" x14ac:dyDescent="0.2">
      <c r="A204" s="42"/>
      <c r="B204" s="19"/>
      <c r="C204" s="35"/>
      <c r="D204" s="20" t="s">
        <v>515</v>
      </c>
      <c r="E204" s="21">
        <v>25000</v>
      </c>
      <c r="F204" s="21"/>
      <c r="G204" s="62">
        <f t="shared" si="4"/>
        <v>322830749.03464746</v>
      </c>
    </row>
    <row r="205" spans="1:7" ht="21.75" customHeight="1" x14ac:dyDescent="0.2">
      <c r="A205" s="42"/>
      <c r="B205" s="19"/>
      <c r="C205" s="35"/>
      <c r="D205" s="20" t="s">
        <v>52</v>
      </c>
      <c r="E205" s="21">
        <v>520000</v>
      </c>
      <c r="F205" s="21"/>
      <c r="G205" s="62">
        <f t="shared" si="4"/>
        <v>323350749.03464746</v>
      </c>
    </row>
    <row r="206" spans="1:7" ht="21.75" customHeight="1" x14ac:dyDescent="0.2">
      <c r="A206" s="42"/>
      <c r="B206" s="19"/>
      <c r="C206" s="35"/>
      <c r="D206" s="23" t="s">
        <v>960</v>
      </c>
      <c r="E206" s="21">
        <v>0</v>
      </c>
      <c r="F206" s="39">
        <v>20066239.84</v>
      </c>
      <c r="G206" s="62">
        <f t="shared" si="4"/>
        <v>303284509.19464749</v>
      </c>
    </row>
    <row r="207" spans="1:7" ht="21.75" customHeight="1" x14ac:dyDescent="0.2">
      <c r="A207" s="42"/>
      <c r="B207" s="19"/>
      <c r="C207" s="35"/>
      <c r="D207" s="20" t="s">
        <v>60</v>
      </c>
      <c r="E207" s="39">
        <v>1895339.84</v>
      </c>
      <c r="F207" s="21">
        <v>0</v>
      </c>
      <c r="G207" s="62">
        <f t="shared" si="4"/>
        <v>305179849.03464746</v>
      </c>
    </row>
    <row r="208" spans="1:7" ht="21.75" customHeight="1" x14ac:dyDescent="0.2">
      <c r="A208" s="42"/>
      <c r="B208" s="19"/>
      <c r="C208" s="35"/>
      <c r="D208" s="20" t="s">
        <v>61</v>
      </c>
      <c r="E208" s="21">
        <v>1099912</v>
      </c>
      <c r="F208" s="21">
        <v>0</v>
      </c>
      <c r="G208" s="62">
        <f t="shared" ref="G208:G279" si="6">+G207+E208-F208</f>
        <v>306279761.03464746</v>
      </c>
    </row>
    <row r="209" spans="1:7" ht="21.75" customHeight="1" x14ac:dyDescent="0.2">
      <c r="A209" s="42"/>
      <c r="B209" s="19"/>
      <c r="C209" s="35"/>
      <c r="D209" s="20" t="s">
        <v>62</v>
      </c>
      <c r="E209" s="21">
        <v>200000</v>
      </c>
      <c r="F209" s="39">
        <v>0</v>
      </c>
      <c r="G209" s="62">
        <f t="shared" si="6"/>
        <v>306479761.03464746</v>
      </c>
    </row>
    <row r="210" spans="1:7" ht="21.75" customHeight="1" x14ac:dyDescent="0.2">
      <c r="A210" s="42"/>
      <c r="B210" s="19"/>
      <c r="C210" s="35"/>
      <c r="D210" s="20" t="s">
        <v>63</v>
      </c>
      <c r="E210" s="21">
        <v>250000</v>
      </c>
      <c r="F210" s="21">
        <v>0</v>
      </c>
      <c r="G210" s="62">
        <f t="shared" si="6"/>
        <v>306729761.03464746</v>
      </c>
    </row>
    <row r="211" spans="1:7" ht="21.75" customHeight="1" x14ac:dyDescent="0.2">
      <c r="A211" s="42"/>
      <c r="B211" s="19"/>
      <c r="C211" s="35"/>
      <c r="D211" s="20" t="s">
        <v>514</v>
      </c>
      <c r="E211" s="21">
        <v>25000</v>
      </c>
      <c r="F211" s="21"/>
      <c r="G211" s="62">
        <f t="shared" si="6"/>
        <v>306754761.03464746</v>
      </c>
    </row>
    <row r="212" spans="1:7" ht="21.75" customHeight="1" x14ac:dyDescent="0.2">
      <c r="A212" s="42"/>
      <c r="B212" s="19"/>
      <c r="C212" s="35"/>
      <c r="D212" s="23" t="s">
        <v>961</v>
      </c>
      <c r="E212" s="21">
        <v>0</v>
      </c>
      <c r="F212" s="21">
        <v>16696547</v>
      </c>
      <c r="G212" s="62">
        <f t="shared" si="6"/>
        <v>290058214.03464746</v>
      </c>
    </row>
    <row r="213" spans="1:7" ht="21.75" customHeight="1" x14ac:dyDescent="0.2">
      <c r="A213" s="42"/>
      <c r="B213" s="19"/>
      <c r="C213" s="35"/>
      <c r="D213" s="20" t="s">
        <v>31</v>
      </c>
      <c r="E213" s="21">
        <v>0</v>
      </c>
      <c r="F213" s="21">
        <v>10748501</v>
      </c>
      <c r="G213" s="62">
        <f t="shared" si="6"/>
        <v>279309713.03464746</v>
      </c>
    </row>
    <row r="214" spans="1:7" ht="21.75" customHeight="1" x14ac:dyDescent="0.2">
      <c r="A214" s="42"/>
      <c r="B214" s="19"/>
      <c r="C214" s="35"/>
      <c r="D214" s="20" t="s">
        <v>32</v>
      </c>
      <c r="E214" s="21">
        <v>0</v>
      </c>
      <c r="F214" s="21">
        <v>11496953</v>
      </c>
      <c r="G214" s="62">
        <f t="shared" si="6"/>
        <v>267812760.03464746</v>
      </c>
    </row>
    <row r="215" spans="1:7" ht="21.75" customHeight="1" x14ac:dyDescent="0.2">
      <c r="A215" s="42"/>
      <c r="B215" s="19"/>
      <c r="C215" s="35"/>
      <c r="D215" s="20" t="s">
        <v>33</v>
      </c>
      <c r="E215" s="21">
        <v>3353805</v>
      </c>
      <c r="F215" s="21">
        <v>0</v>
      </c>
      <c r="G215" s="62">
        <f t="shared" si="6"/>
        <v>271166565.03464746</v>
      </c>
    </row>
    <row r="216" spans="1:7" ht="21.75" customHeight="1" x14ac:dyDescent="0.2">
      <c r="A216" s="42"/>
      <c r="B216" s="19"/>
      <c r="C216" s="35"/>
      <c r="D216" s="20" t="s">
        <v>34</v>
      </c>
      <c r="E216" s="21">
        <v>1924846</v>
      </c>
      <c r="F216" s="21">
        <v>0</v>
      </c>
      <c r="G216" s="62">
        <f t="shared" si="6"/>
        <v>273091411.03464746</v>
      </c>
    </row>
    <row r="217" spans="1:7" ht="21.75" customHeight="1" x14ac:dyDescent="0.2">
      <c r="A217" s="42"/>
      <c r="B217" s="19"/>
      <c r="C217" s="35"/>
      <c r="D217" s="20" t="s">
        <v>35</v>
      </c>
      <c r="E217" s="21">
        <v>850000</v>
      </c>
      <c r="F217" s="21">
        <v>0</v>
      </c>
      <c r="G217" s="62">
        <f t="shared" si="6"/>
        <v>273941411.03464746</v>
      </c>
    </row>
    <row r="218" spans="1:7" ht="21.75" customHeight="1" x14ac:dyDescent="0.2">
      <c r="A218" s="42"/>
      <c r="B218" s="19"/>
      <c r="C218" s="35"/>
      <c r="D218" s="20" t="s">
        <v>36</v>
      </c>
      <c r="E218" s="21">
        <v>200000</v>
      </c>
      <c r="F218" s="21">
        <v>0</v>
      </c>
      <c r="G218" s="62">
        <f t="shared" si="6"/>
        <v>274141411.03464746</v>
      </c>
    </row>
    <row r="219" spans="1:7" ht="21.75" customHeight="1" x14ac:dyDescent="0.2">
      <c r="A219" s="42"/>
      <c r="B219" s="19"/>
      <c r="C219" s="35"/>
      <c r="D219" s="20" t="s">
        <v>37</v>
      </c>
      <c r="E219" s="21">
        <v>6550000</v>
      </c>
      <c r="F219" s="21">
        <v>0</v>
      </c>
      <c r="G219" s="62">
        <f t="shared" si="6"/>
        <v>280691411.03464746</v>
      </c>
    </row>
    <row r="220" spans="1:7" ht="21.75" customHeight="1" x14ac:dyDescent="0.2">
      <c r="A220" s="42"/>
      <c r="B220" s="19"/>
      <c r="C220" s="35"/>
      <c r="D220" s="20" t="s">
        <v>514</v>
      </c>
      <c r="E220" s="21">
        <v>952500</v>
      </c>
      <c r="F220" s="21"/>
      <c r="G220" s="62">
        <f t="shared" si="6"/>
        <v>281643911.03464746</v>
      </c>
    </row>
    <row r="221" spans="1:7" ht="21.75" customHeight="1" x14ac:dyDescent="0.2">
      <c r="A221" s="42"/>
      <c r="B221" s="19"/>
      <c r="C221" s="35"/>
      <c r="D221" s="20" t="s">
        <v>38</v>
      </c>
      <c r="E221" s="21">
        <v>1800000</v>
      </c>
      <c r="F221" s="21"/>
      <c r="G221" s="62">
        <f t="shared" si="6"/>
        <v>283443911.03464746</v>
      </c>
    </row>
    <row r="222" spans="1:7" ht="21.75" customHeight="1" x14ac:dyDescent="0.2">
      <c r="A222" s="42"/>
      <c r="B222" s="19"/>
      <c r="C222" s="35"/>
      <c r="D222" s="20" t="s">
        <v>515</v>
      </c>
      <c r="E222" s="21">
        <v>265000</v>
      </c>
      <c r="F222" s="21"/>
      <c r="G222" s="62">
        <f t="shared" si="6"/>
        <v>283708911.03464746</v>
      </c>
    </row>
    <row r="223" spans="1:7" ht="21.75" customHeight="1" x14ac:dyDescent="0.2">
      <c r="A223" s="42"/>
      <c r="B223" s="19"/>
      <c r="C223" s="35"/>
      <c r="D223" s="20" t="s">
        <v>967</v>
      </c>
      <c r="E223" s="21">
        <v>780000</v>
      </c>
      <c r="F223" s="21"/>
      <c r="G223" s="62">
        <f t="shared" si="6"/>
        <v>284488911.03464746</v>
      </c>
    </row>
    <row r="224" spans="1:7" ht="21.75" customHeight="1" x14ac:dyDescent="0.2">
      <c r="A224" s="42"/>
      <c r="B224" s="19"/>
      <c r="C224" s="35"/>
      <c r="D224" s="20" t="s">
        <v>64</v>
      </c>
      <c r="E224" s="21"/>
      <c r="F224" s="26">
        <v>3075000</v>
      </c>
      <c r="G224" s="62">
        <f t="shared" si="6"/>
        <v>281413911.03464746</v>
      </c>
    </row>
    <row r="225" spans="1:8" ht="21.75" customHeight="1" x14ac:dyDescent="0.2">
      <c r="A225" s="42"/>
      <c r="B225" s="19"/>
      <c r="C225" s="35"/>
      <c r="D225" s="20" t="s">
        <v>65</v>
      </c>
      <c r="E225" s="21"/>
      <c r="F225" s="21">
        <v>2280000</v>
      </c>
      <c r="G225" s="62">
        <f t="shared" si="6"/>
        <v>279133911.03464746</v>
      </c>
    </row>
    <row r="226" spans="1:8" ht="21.75" customHeight="1" x14ac:dyDescent="0.2">
      <c r="A226" s="42"/>
      <c r="B226" s="19"/>
      <c r="C226" s="35"/>
      <c r="D226" s="20" t="s">
        <v>66</v>
      </c>
      <c r="E226" s="21"/>
      <c r="F226" s="21">
        <v>1560000</v>
      </c>
      <c r="G226" s="62">
        <f t="shared" si="6"/>
        <v>277573911.03464746</v>
      </c>
    </row>
    <row r="227" spans="1:8" ht="21.75" customHeight="1" x14ac:dyDescent="0.2">
      <c r="A227" s="42"/>
      <c r="B227" s="19"/>
      <c r="C227" s="35"/>
      <c r="D227" s="20" t="s">
        <v>67</v>
      </c>
      <c r="E227" s="21"/>
      <c r="F227" s="26">
        <v>4080000</v>
      </c>
      <c r="G227" s="62">
        <f t="shared" si="6"/>
        <v>273493911.03464746</v>
      </c>
    </row>
    <row r="228" spans="1:8" ht="21.75" customHeight="1" x14ac:dyDescent="0.2">
      <c r="A228" s="42"/>
      <c r="B228" s="19"/>
      <c r="C228" s="35"/>
      <c r="D228" s="20" t="s">
        <v>964</v>
      </c>
      <c r="E228" s="21"/>
      <c r="F228" s="21">
        <v>2666738</v>
      </c>
      <c r="G228" s="62">
        <f t="shared" si="6"/>
        <v>270827173.03464746</v>
      </c>
    </row>
    <row r="229" spans="1:8" ht="21.75" customHeight="1" x14ac:dyDescent="0.2">
      <c r="A229" s="42"/>
      <c r="B229" s="19"/>
      <c r="C229" s="35"/>
      <c r="D229" s="20" t="s">
        <v>965</v>
      </c>
      <c r="E229" s="21"/>
      <c r="F229" s="21">
        <v>2666738</v>
      </c>
      <c r="G229" s="62">
        <f t="shared" si="6"/>
        <v>268160435.03464746</v>
      </c>
    </row>
    <row r="230" spans="1:8" ht="21.75" customHeight="1" x14ac:dyDescent="0.2">
      <c r="A230" s="42"/>
      <c r="B230" s="19"/>
      <c r="C230" s="35"/>
      <c r="D230" s="20" t="s">
        <v>966</v>
      </c>
      <c r="E230" s="21">
        <v>274978</v>
      </c>
      <c r="F230" s="21"/>
      <c r="G230" s="62">
        <f t="shared" si="6"/>
        <v>268435413.03464746</v>
      </c>
    </row>
    <row r="231" spans="1:8" ht="21.75" customHeight="1" x14ac:dyDescent="0.2">
      <c r="A231" s="42"/>
      <c r="B231" s="19"/>
      <c r="C231" s="35"/>
      <c r="D231" s="20" t="s">
        <v>953</v>
      </c>
      <c r="E231" s="21">
        <v>9142500</v>
      </c>
      <c r="F231" s="21"/>
      <c r="G231" s="62">
        <f t="shared" si="6"/>
        <v>277577913.03464746</v>
      </c>
    </row>
    <row r="232" spans="1:8" ht="21.75" customHeight="1" x14ac:dyDescent="0.2">
      <c r="A232" s="42"/>
      <c r="B232" s="19"/>
      <c r="C232" s="35"/>
      <c r="D232" s="20" t="s">
        <v>968</v>
      </c>
      <c r="E232" s="21">
        <v>161863362</v>
      </c>
      <c r="F232" s="21"/>
      <c r="G232" s="62">
        <f t="shared" si="6"/>
        <v>439441275.03464746</v>
      </c>
    </row>
    <row r="233" spans="1:8" ht="21.75" customHeight="1" x14ac:dyDescent="0.2">
      <c r="A233" s="42"/>
      <c r="B233" s="19"/>
      <c r="C233" s="35"/>
      <c r="D233" s="20" t="s">
        <v>969</v>
      </c>
      <c r="E233" s="21">
        <v>161863363</v>
      </c>
      <c r="F233" s="21"/>
      <c r="G233" s="62">
        <f t="shared" si="6"/>
        <v>601304638.03464746</v>
      </c>
    </row>
    <row r="234" spans="1:8" ht="21.75" customHeight="1" x14ac:dyDescent="0.2">
      <c r="A234" s="42"/>
      <c r="B234" s="19"/>
      <c r="C234" s="35"/>
      <c r="D234" s="20" t="s">
        <v>970</v>
      </c>
      <c r="E234" s="21">
        <v>5319069</v>
      </c>
      <c r="F234" s="21"/>
      <c r="G234" s="62">
        <f t="shared" si="6"/>
        <v>606623707.03464746</v>
      </c>
      <c r="H234" s="51"/>
    </row>
    <row r="235" spans="1:8" ht="21.75" customHeight="1" x14ac:dyDescent="0.2">
      <c r="A235" s="42"/>
      <c r="B235" s="19"/>
      <c r="C235" s="35"/>
      <c r="D235" s="20" t="s">
        <v>971</v>
      </c>
      <c r="E235" s="54"/>
      <c r="F235" s="21">
        <v>1000000</v>
      </c>
      <c r="G235" s="62">
        <f t="shared" si="6"/>
        <v>605623707.03464746</v>
      </c>
      <c r="H235" s="88">
        <f>+G235-605623707.03</f>
        <v>4.6474933624267578E-3</v>
      </c>
    </row>
    <row r="236" spans="1:8" ht="21.75" customHeight="1" x14ac:dyDescent="0.2">
      <c r="A236" s="42"/>
      <c r="B236" s="19"/>
      <c r="C236" s="35"/>
      <c r="D236" s="20" t="s">
        <v>973</v>
      </c>
      <c r="E236" s="21">
        <v>100000</v>
      </c>
      <c r="F236" s="21"/>
      <c r="G236" s="62">
        <f t="shared" si="6"/>
        <v>605723707.03464746</v>
      </c>
    </row>
    <row r="237" spans="1:8" ht="21.75" customHeight="1" x14ac:dyDescent="0.2">
      <c r="A237" s="42"/>
      <c r="B237" s="19"/>
      <c r="C237" s="35"/>
      <c r="D237" s="20" t="s">
        <v>974</v>
      </c>
      <c r="E237" s="21">
        <v>2300000</v>
      </c>
      <c r="F237" s="21"/>
      <c r="G237" s="62">
        <f t="shared" si="6"/>
        <v>608023707.03464746</v>
      </c>
    </row>
    <row r="238" spans="1:8" ht="21.75" customHeight="1" x14ac:dyDescent="0.2">
      <c r="A238" s="42"/>
      <c r="B238" s="19"/>
      <c r="C238" s="35"/>
      <c r="D238" s="23" t="s">
        <v>637</v>
      </c>
      <c r="E238" s="25">
        <v>21096875</v>
      </c>
      <c r="F238" s="21"/>
      <c r="G238" s="62">
        <f t="shared" si="6"/>
        <v>629120582.03464746</v>
      </c>
    </row>
    <row r="239" spans="1:8" ht="21.75" customHeight="1" x14ac:dyDescent="0.2">
      <c r="A239" s="42"/>
      <c r="B239" s="19"/>
      <c r="C239" s="35"/>
      <c r="D239" s="20" t="s">
        <v>977</v>
      </c>
      <c r="E239" s="21">
        <v>41962275</v>
      </c>
      <c r="F239" s="21"/>
      <c r="G239" s="62">
        <f t="shared" si="6"/>
        <v>671082857.03464746</v>
      </c>
    </row>
    <row r="240" spans="1:8" ht="21.75" customHeight="1" x14ac:dyDescent="0.2">
      <c r="A240" s="42"/>
      <c r="B240" s="19"/>
      <c r="C240" s="35"/>
      <c r="D240" s="20" t="s">
        <v>978</v>
      </c>
      <c r="E240" s="21">
        <v>41962275</v>
      </c>
      <c r="F240" s="21"/>
      <c r="G240" s="62">
        <f t="shared" si="6"/>
        <v>713045132.03464746</v>
      </c>
    </row>
    <row r="241" spans="1:7" ht="21.75" customHeight="1" x14ac:dyDescent="0.2">
      <c r="A241" s="42"/>
      <c r="B241" s="19"/>
      <c r="C241" s="35"/>
      <c r="D241" s="20" t="s">
        <v>979</v>
      </c>
      <c r="E241" s="21">
        <v>41962275</v>
      </c>
      <c r="F241" s="21"/>
      <c r="G241" s="62">
        <f t="shared" si="6"/>
        <v>755007407.03464746</v>
      </c>
    </row>
    <row r="242" spans="1:7" ht="21.75" customHeight="1" x14ac:dyDescent="0.2">
      <c r="A242" s="42"/>
      <c r="B242" s="19" t="s">
        <v>976</v>
      </c>
      <c r="C242" s="35"/>
      <c r="D242" s="20" t="s">
        <v>975</v>
      </c>
      <c r="E242" s="21"/>
      <c r="F242" s="21">
        <v>1200000</v>
      </c>
      <c r="G242" s="62">
        <f t="shared" si="6"/>
        <v>753807407.03464746</v>
      </c>
    </row>
    <row r="243" spans="1:7" ht="21.75" customHeight="1" x14ac:dyDescent="0.2">
      <c r="A243" s="42"/>
      <c r="B243" s="19"/>
      <c r="C243" s="35"/>
      <c r="D243" s="20" t="s">
        <v>21</v>
      </c>
      <c r="E243" s="21"/>
      <c r="F243" s="21">
        <v>2500</v>
      </c>
      <c r="G243" s="62">
        <f t="shared" si="6"/>
        <v>753804907.03464746</v>
      </c>
    </row>
    <row r="244" spans="1:7" ht="21.75" customHeight="1" x14ac:dyDescent="0.2">
      <c r="A244" s="42"/>
      <c r="B244" s="19"/>
      <c r="C244" s="35"/>
      <c r="D244" s="20" t="s">
        <v>980</v>
      </c>
      <c r="E244" s="21">
        <v>41962275</v>
      </c>
      <c r="F244" s="21"/>
      <c r="G244" s="62">
        <f t="shared" si="6"/>
        <v>795767182.03464746</v>
      </c>
    </row>
    <row r="245" spans="1:7" ht="21.75" customHeight="1" x14ac:dyDescent="0.2">
      <c r="A245" s="42"/>
      <c r="B245" s="19"/>
      <c r="C245" s="35"/>
      <c r="D245" s="20" t="s">
        <v>981</v>
      </c>
      <c r="E245" s="21">
        <v>41962275</v>
      </c>
      <c r="F245" s="21"/>
      <c r="G245" s="62">
        <f t="shared" si="6"/>
        <v>837729457.03464746</v>
      </c>
    </row>
    <row r="246" spans="1:7" ht="21.75" customHeight="1" x14ac:dyDescent="0.2">
      <c r="A246" s="42"/>
      <c r="B246" s="19"/>
      <c r="C246" s="35"/>
      <c r="D246" s="20" t="s">
        <v>982</v>
      </c>
      <c r="E246" s="21">
        <v>44680507</v>
      </c>
      <c r="F246" s="21"/>
      <c r="G246" s="62">
        <f t="shared" si="6"/>
        <v>882409964.03464746</v>
      </c>
    </row>
    <row r="247" spans="1:7" ht="21.75" customHeight="1" x14ac:dyDescent="0.2">
      <c r="A247" s="42"/>
      <c r="B247" s="19"/>
      <c r="C247" s="35"/>
      <c r="D247" s="20" t="s">
        <v>983</v>
      </c>
      <c r="E247" s="21">
        <v>44680507</v>
      </c>
      <c r="F247" s="21"/>
      <c r="G247" s="62">
        <f t="shared" si="6"/>
        <v>927090471.03464746</v>
      </c>
    </row>
    <row r="248" spans="1:7" ht="21.75" customHeight="1" x14ac:dyDescent="0.2">
      <c r="A248" s="42"/>
      <c r="B248" s="19"/>
      <c r="C248" s="35"/>
      <c r="D248" s="20" t="s">
        <v>984</v>
      </c>
      <c r="E248" s="21"/>
      <c r="F248" s="21">
        <v>740000</v>
      </c>
      <c r="G248" s="62">
        <f t="shared" si="6"/>
        <v>926350471.03464746</v>
      </c>
    </row>
    <row r="249" spans="1:7" ht="21.75" customHeight="1" x14ac:dyDescent="0.2">
      <c r="A249" s="42"/>
      <c r="B249" s="19"/>
      <c r="C249" s="35"/>
      <c r="D249" s="23" t="s">
        <v>985</v>
      </c>
      <c r="E249" s="21"/>
      <c r="F249" s="21"/>
      <c r="G249" s="62">
        <f t="shared" si="6"/>
        <v>926350471.03464746</v>
      </c>
    </row>
    <row r="250" spans="1:7" ht="21.75" customHeight="1" x14ac:dyDescent="0.2">
      <c r="A250" s="42"/>
      <c r="B250" s="19"/>
      <c r="C250" s="35"/>
      <c r="D250" s="20" t="s">
        <v>70</v>
      </c>
      <c r="E250" s="21">
        <v>1050000</v>
      </c>
      <c r="F250" s="21"/>
      <c r="G250" s="62">
        <f t="shared" si="6"/>
        <v>927400471.03464746</v>
      </c>
    </row>
    <row r="251" spans="1:7" ht="21.75" customHeight="1" x14ac:dyDescent="0.2">
      <c r="A251" s="42"/>
      <c r="B251" s="19"/>
      <c r="C251" s="35"/>
      <c r="D251" s="20" t="s">
        <v>71</v>
      </c>
      <c r="E251" s="21">
        <v>450000</v>
      </c>
      <c r="F251" s="21"/>
      <c r="G251" s="62">
        <f t="shared" si="6"/>
        <v>927850471.03464746</v>
      </c>
    </row>
    <row r="252" spans="1:7" ht="21.75" customHeight="1" x14ac:dyDescent="0.2">
      <c r="A252" s="42"/>
      <c r="B252" s="19"/>
      <c r="C252" s="35"/>
      <c r="D252" s="20" t="s">
        <v>72</v>
      </c>
      <c r="E252" s="21">
        <v>3000000</v>
      </c>
      <c r="F252" s="21"/>
      <c r="G252" s="62">
        <f t="shared" si="6"/>
        <v>930850471.03464746</v>
      </c>
    </row>
    <row r="253" spans="1:7" ht="21.75" customHeight="1" x14ac:dyDescent="0.2">
      <c r="A253" s="42"/>
      <c r="B253" s="19"/>
      <c r="C253" s="35"/>
      <c r="D253" s="20" t="s">
        <v>510</v>
      </c>
      <c r="E253" s="21">
        <v>380000</v>
      </c>
      <c r="F253" s="21"/>
      <c r="G253" s="62">
        <f t="shared" si="6"/>
        <v>931230471.03464746</v>
      </c>
    </row>
    <row r="254" spans="1:7" ht="21.75" customHeight="1" x14ac:dyDescent="0.2">
      <c r="A254" s="42"/>
      <c r="B254" s="19"/>
      <c r="C254" s="35"/>
      <c r="D254" s="20" t="s">
        <v>84</v>
      </c>
      <c r="E254" s="21">
        <v>240000</v>
      </c>
      <c r="F254" s="21"/>
      <c r="G254" s="62">
        <f t="shared" si="6"/>
        <v>931470471.03464746</v>
      </c>
    </row>
    <row r="255" spans="1:7" ht="21.75" customHeight="1" x14ac:dyDescent="0.2">
      <c r="A255" s="42"/>
      <c r="B255" s="19"/>
      <c r="C255" s="35"/>
      <c r="D255" s="20" t="s">
        <v>511</v>
      </c>
      <c r="E255" s="21">
        <v>28800</v>
      </c>
      <c r="F255" s="21"/>
      <c r="G255" s="62">
        <f t="shared" si="6"/>
        <v>931499271.03464746</v>
      </c>
    </row>
    <row r="256" spans="1:7" ht="21.75" customHeight="1" x14ac:dyDescent="0.2">
      <c r="A256" s="42"/>
      <c r="B256" s="19"/>
      <c r="C256" s="35"/>
      <c r="D256" s="20" t="s">
        <v>73</v>
      </c>
      <c r="E256" s="21">
        <v>778000</v>
      </c>
      <c r="F256" s="21"/>
      <c r="G256" s="62">
        <f t="shared" si="6"/>
        <v>932277271.03464746</v>
      </c>
    </row>
    <row r="257" spans="1:8" ht="21.75" customHeight="1" x14ac:dyDescent="0.2">
      <c r="A257" s="42"/>
      <c r="B257" s="19"/>
      <c r="C257" s="35"/>
      <c r="D257" s="20" t="s">
        <v>74</v>
      </c>
      <c r="E257" s="21">
        <v>1242000</v>
      </c>
      <c r="F257" s="21"/>
      <c r="G257" s="62">
        <f t="shared" si="6"/>
        <v>933519271.03464746</v>
      </c>
    </row>
    <row r="258" spans="1:8" ht="21.75" customHeight="1" x14ac:dyDescent="0.2">
      <c r="A258" s="42"/>
      <c r="B258" s="19"/>
      <c r="C258" s="35"/>
      <c r="D258" s="23" t="s">
        <v>637</v>
      </c>
      <c r="E258" s="21">
        <v>10966425</v>
      </c>
      <c r="F258" s="21"/>
      <c r="G258" s="62">
        <f t="shared" si="6"/>
        <v>944485696.03464746</v>
      </c>
    </row>
    <row r="259" spans="1:8" ht="21.75" customHeight="1" x14ac:dyDescent="0.25">
      <c r="A259" s="42"/>
      <c r="B259" s="19"/>
      <c r="C259" s="35"/>
      <c r="D259" s="23" t="s">
        <v>637</v>
      </c>
      <c r="E259" s="21">
        <v>9062000</v>
      </c>
      <c r="F259" s="21"/>
      <c r="G259" s="56">
        <f t="shared" si="6"/>
        <v>953547696.03464746</v>
      </c>
    </row>
    <row r="260" spans="1:8" ht="21.75" customHeight="1" x14ac:dyDescent="0.2">
      <c r="A260" s="42"/>
      <c r="B260" s="19"/>
      <c r="C260" s="35"/>
      <c r="D260" s="23" t="s">
        <v>637</v>
      </c>
      <c r="E260" s="21">
        <v>9044270</v>
      </c>
      <c r="F260" s="21"/>
      <c r="G260" s="62">
        <f t="shared" si="6"/>
        <v>962591966.03464746</v>
      </c>
    </row>
    <row r="261" spans="1:8" ht="21.75" customHeight="1" x14ac:dyDescent="0.2">
      <c r="A261" s="42"/>
      <c r="B261" s="19"/>
      <c r="C261" s="35"/>
      <c r="D261" s="20" t="s">
        <v>986</v>
      </c>
      <c r="E261" s="21"/>
      <c r="F261" s="21">
        <v>10000000</v>
      </c>
      <c r="G261" s="62">
        <f t="shared" si="6"/>
        <v>952591966.03464746</v>
      </c>
    </row>
    <row r="262" spans="1:8" ht="21.75" customHeight="1" x14ac:dyDescent="0.2">
      <c r="A262" s="42"/>
      <c r="B262" s="19"/>
      <c r="C262" s="35"/>
      <c r="D262" s="20" t="s">
        <v>987</v>
      </c>
      <c r="E262" s="21"/>
      <c r="F262" s="21">
        <f>5000000+16500000</f>
        <v>21500000</v>
      </c>
      <c r="G262" s="62">
        <f t="shared" si="6"/>
        <v>931091966.03464746</v>
      </c>
    </row>
    <row r="263" spans="1:8" ht="21.75" customHeight="1" x14ac:dyDescent="0.2">
      <c r="A263" s="42"/>
      <c r="B263" s="19"/>
      <c r="C263" s="35"/>
      <c r="D263" s="20" t="s">
        <v>988</v>
      </c>
      <c r="E263" s="21"/>
      <c r="F263" s="21">
        <f>33175833-7270333+24000000</f>
        <v>49905500</v>
      </c>
      <c r="G263" s="62">
        <f t="shared" si="6"/>
        <v>881186466.03464746</v>
      </c>
    </row>
    <row r="264" spans="1:8" ht="21.75" customHeight="1" x14ac:dyDescent="0.2">
      <c r="A264" s="42"/>
      <c r="B264" s="19"/>
      <c r="C264" s="35"/>
      <c r="D264" s="20" t="s">
        <v>989</v>
      </c>
      <c r="E264" s="21"/>
      <c r="F264" s="21">
        <v>14500000</v>
      </c>
      <c r="G264" s="62">
        <f t="shared" si="6"/>
        <v>866686466.03464746</v>
      </c>
    </row>
    <row r="265" spans="1:8" ht="21.75" customHeight="1" x14ac:dyDescent="0.2">
      <c r="A265" s="42"/>
      <c r="B265" s="19"/>
      <c r="C265" s="35"/>
      <c r="D265" s="20" t="s">
        <v>21</v>
      </c>
      <c r="E265" s="21"/>
      <c r="F265" s="21">
        <v>5000</v>
      </c>
      <c r="G265" s="62">
        <f t="shared" si="6"/>
        <v>866681466.03464746</v>
      </c>
    </row>
    <row r="266" spans="1:8" ht="21.75" customHeight="1" x14ac:dyDescent="0.2">
      <c r="A266" s="42"/>
      <c r="B266" s="19"/>
      <c r="C266" s="35"/>
      <c r="D266" s="20" t="s">
        <v>991</v>
      </c>
      <c r="E266" s="21"/>
      <c r="F266" s="21">
        <v>66500000</v>
      </c>
      <c r="G266" s="62">
        <f t="shared" si="6"/>
        <v>800181466.03464746</v>
      </c>
      <c r="H266" s="88"/>
    </row>
    <row r="267" spans="1:8" ht="21.75" customHeight="1" x14ac:dyDescent="0.2">
      <c r="A267" s="42"/>
      <c r="B267" s="19"/>
      <c r="C267" s="35"/>
      <c r="D267" s="20" t="s">
        <v>990</v>
      </c>
      <c r="E267" s="21"/>
      <c r="F267" s="21">
        <v>3900000</v>
      </c>
      <c r="G267" s="62">
        <f t="shared" si="6"/>
        <v>796281466.03464746</v>
      </c>
    </row>
    <row r="268" spans="1:8" ht="21.75" customHeight="1" x14ac:dyDescent="0.2">
      <c r="A268" s="42"/>
      <c r="B268" s="19" t="s">
        <v>993</v>
      </c>
      <c r="C268" s="35"/>
      <c r="D268" s="23" t="s">
        <v>992</v>
      </c>
      <c r="E268" s="25">
        <v>24288000</v>
      </c>
      <c r="F268" s="21"/>
      <c r="G268" s="62">
        <f t="shared" si="6"/>
        <v>820569466.03464746</v>
      </c>
    </row>
    <row r="269" spans="1:8" ht="21.75" customHeight="1" x14ac:dyDescent="0.2">
      <c r="A269" s="42"/>
      <c r="B269" s="19"/>
      <c r="C269" s="35"/>
      <c r="D269" s="20" t="s">
        <v>413</v>
      </c>
      <c r="E269" s="21">
        <v>0</v>
      </c>
      <c r="F269" s="21"/>
      <c r="G269" s="62">
        <f t="shared" si="6"/>
        <v>820569466.03464746</v>
      </c>
    </row>
    <row r="270" spans="1:8" ht="21.75" customHeight="1" x14ac:dyDescent="0.2">
      <c r="A270" s="42"/>
      <c r="B270" s="19"/>
      <c r="C270" s="35"/>
      <c r="D270" s="20" t="s">
        <v>236</v>
      </c>
      <c r="E270" s="21">
        <v>0</v>
      </c>
      <c r="F270" s="21"/>
      <c r="G270" s="62">
        <f t="shared" si="6"/>
        <v>820569466.03464746</v>
      </c>
    </row>
    <row r="271" spans="1:8" ht="21.75" customHeight="1" x14ac:dyDescent="0.2">
      <c r="A271" s="42"/>
      <c r="B271" s="19"/>
      <c r="C271" s="35"/>
      <c r="D271" s="20" t="s">
        <v>237</v>
      </c>
      <c r="E271" s="54">
        <v>0</v>
      </c>
      <c r="F271" s="21"/>
      <c r="G271" s="62">
        <f t="shared" si="6"/>
        <v>820569466.03464746</v>
      </c>
    </row>
    <row r="272" spans="1:8" ht="21.75" customHeight="1" x14ac:dyDescent="0.2">
      <c r="A272" s="42"/>
      <c r="B272" s="19"/>
      <c r="C272" s="35"/>
      <c r="D272" s="20" t="s">
        <v>23</v>
      </c>
      <c r="E272" s="21">
        <v>0</v>
      </c>
      <c r="F272" s="21"/>
      <c r="G272" s="62">
        <f t="shared" si="6"/>
        <v>820569466.03464746</v>
      </c>
    </row>
    <row r="273" spans="1:7" ht="21.75" customHeight="1" x14ac:dyDescent="0.2">
      <c r="A273" s="42"/>
      <c r="B273" s="19"/>
      <c r="C273" s="35"/>
      <c r="D273" s="20" t="s">
        <v>514</v>
      </c>
      <c r="E273" s="21">
        <v>0</v>
      </c>
      <c r="F273" s="21"/>
      <c r="G273" s="62">
        <f t="shared" si="6"/>
        <v>820569466.03464746</v>
      </c>
    </row>
    <row r="274" spans="1:7" ht="21.75" customHeight="1" x14ac:dyDescent="0.2">
      <c r="A274" s="42"/>
      <c r="B274" s="19"/>
      <c r="C274" s="35"/>
      <c r="D274" s="20" t="s">
        <v>24</v>
      </c>
      <c r="E274" s="21">
        <v>0</v>
      </c>
      <c r="F274" s="21"/>
      <c r="G274" s="62">
        <f t="shared" si="6"/>
        <v>820569466.03464746</v>
      </c>
    </row>
    <row r="275" spans="1:7" ht="23.25" customHeight="1" x14ac:dyDescent="0.2">
      <c r="A275" s="42"/>
      <c r="B275" s="19"/>
      <c r="C275" s="35"/>
      <c r="D275" s="20" t="s">
        <v>515</v>
      </c>
      <c r="E275" s="21">
        <v>0</v>
      </c>
      <c r="F275" s="21"/>
      <c r="G275" s="62">
        <f t="shared" si="6"/>
        <v>820569466.03464746</v>
      </c>
    </row>
    <row r="276" spans="1:7" ht="23.25" customHeight="1" x14ac:dyDescent="0.2">
      <c r="A276" s="42"/>
      <c r="B276" s="19"/>
      <c r="C276" s="35"/>
      <c r="D276" s="20" t="s">
        <v>26</v>
      </c>
      <c r="E276" s="21">
        <v>0</v>
      </c>
      <c r="F276" s="21"/>
      <c r="G276" s="62">
        <f t="shared" si="6"/>
        <v>820569466.03464746</v>
      </c>
    </row>
    <row r="277" spans="1:7" ht="21.75" customHeight="1" x14ac:dyDescent="0.2">
      <c r="A277" s="42"/>
      <c r="B277" s="19"/>
      <c r="C277" s="35"/>
      <c r="D277" s="20" t="s">
        <v>27</v>
      </c>
      <c r="E277" s="21">
        <v>0</v>
      </c>
      <c r="F277" s="21"/>
      <c r="G277" s="62">
        <f t="shared" si="6"/>
        <v>820569466.03464746</v>
      </c>
    </row>
    <row r="278" spans="1:7" ht="21.75" customHeight="1" x14ac:dyDescent="0.2">
      <c r="A278" s="42"/>
      <c r="B278" s="19"/>
      <c r="C278" s="35"/>
      <c r="D278" s="20" t="s">
        <v>584</v>
      </c>
      <c r="E278" s="21">
        <v>0</v>
      </c>
      <c r="F278" s="81"/>
      <c r="G278" s="62">
        <f t="shared" si="6"/>
        <v>820569466.03464746</v>
      </c>
    </row>
    <row r="279" spans="1:7" ht="21.75" customHeight="1" x14ac:dyDescent="0.2">
      <c r="A279" s="42"/>
      <c r="B279" s="19"/>
      <c r="C279" s="35"/>
      <c r="D279" s="20" t="s">
        <v>994</v>
      </c>
      <c r="E279" s="21"/>
      <c r="F279" s="21">
        <v>29014221</v>
      </c>
      <c r="G279" s="62">
        <f t="shared" si="6"/>
        <v>791555245.03464746</v>
      </c>
    </row>
    <row r="280" spans="1:7" ht="21.75" customHeight="1" x14ac:dyDescent="0.2">
      <c r="A280" s="42"/>
      <c r="B280" s="19"/>
      <c r="C280" s="35"/>
      <c r="D280" s="20" t="s">
        <v>995</v>
      </c>
      <c r="E280" s="21"/>
      <c r="F280" s="21">
        <v>9535055</v>
      </c>
      <c r="G280" s="62">
        <f t="shared" ref="G280:G338" si="7">+G279+E280-F280</f>
        <v>782020190.03464746</v>
      </c>
    </row>
    <row r="281" spans="1:7" ht="21.75" customHeight="1" x14ac:dyDescent="0.2">
      <c r="A281" s="42"/>
      <c r="B281" s="19"/>
      <c r="C281" s="35"/>
      <c r="D281" s="20" t="s">
        <v>996</v>
      </c>
      <c r="E281" s="21"/>
      <c r="F281" s="21">
        <v>41416140</v>
      </c>
      <c r="G281" s="62">
        <f t="shared" si="7"/>
        <v>740604050.03464746</v>
      </c>
    </row>
    <row r="282" spans="1:7" ht="21.75" customHeight="1" x14ac:dyDescent="0.2">
      <c r="A282" s="42"/>
      <c r="B282" s="19"/>
      <c r="C282" s="35"/>
      <c r="D282" s="20" t="s">
        <v>21</v>
      </c>
      <c r="E282" s="21"/>
      <c r="F282" s="21">
        <v>2500</v>
      </c>
      <c r="G282" s="62">
        <f t="shared" si="7"/>
        <v>740601550.03464746</v>
      </c>
    </row>
    <row r="283" spans="1:7" ht="21.75" customHeight="1" x14ac:dyDescent="0.2">
      <c r="A283" s="42"/>
      <c r="B283" s="19"/>
      <c r="C283" s="35"/>
      <c r="D283" s="20" t="s">
        <v>998</v>
      </c>
      <c r="E283" s="21"/>
      <c r="F283" s="21">
        <v>9535055</v>
      </c>
      <c r="G283" s="62">
        <f t="shared" si="7"/>
        <v>731066495.03464746</v>
      </c>
    </row>
    <row r="284" spans="1:7" ht="21.75" customHeight="1" x14ac:dyDescent="0.2">
      <c r="A284" s="42"/>
      <c r="B284" s="19"/>
      <c r="C284" s="35"/>
      <c r="D284" s="20" t="s">
        <v>997</v>
      </c>
      <c r="E284" s="21"/>
      <c r="F284" s="21">
        <v>7270333</v>
      </c>
      <c r="G284" s="62">
        <f t="shared" si="7"/>
        <v>723796162.03464746</v>
      </c>
    </row>
    <row r="285" spans="1:7" ht="21.75" customHeight="1" x14ac:dyDescent="0.2">
      <c r="A285" s="42"/>
      <c r="B285" s="19"/>
      <c r="C285" s="35"/>
      <c r="D285" s="20" t="s">
        <v>999</v>
      </c>
      <c r="E285" s="21"/>
      <c r="F285" s="21">
        <v>41416140</v>
      </c>
      <c r="G285" s="62">
        <f t="shared" si="7"/>
        <v>682380022.03464746</v>
      </c>
    </row>
    <row r="286" spans="1:7" ht="21.75" customHeight="1" x14ac:dyDescent="0.2">
      <c r="A286" s="42"/>
      <c r="B286" s="19"/>
      <c r="C286" s="35"/>
      <c r="D286" s="20" t="s">
        <v>21</v>
      </c>
      <c r="E286" s="21"/>
      <c r="F286" s="21">
        <v>2500</v>
      </c>
      <c r="G286" s="62">
        <f t="shared" si="7"/>
        <v>682377522.03464746</v>
      </c>
    </row>
    <row r="287" spans="1:7" ht="21.75" customHeight="1" x14ac:dyDescent="0.2">
      <c r="A287" s="42"/>
      <c r="B287" s="19"/>
      <c r="C287" s="35"/>
      <c r="D287" s="20" t="s">
        <v>1003</v>
      </c>
      <c r="E287" s="21"/>
      <c r="F287" s="81">
        <v>3500000</v>
      </c>
      <c r="G287" s="62">
        <f t="shared" si="7"/>
        <v>678877522.03464746</v>
      </c>
    </row>
    <row r="288" spans="1:7" ht="21.75" customHeight="1" x14ac:dyDescent="0.2">
      <c r="A288" s="42"/>
      <c r="B288" s="19"/>
      <c r="C288" s="35"/>
      <c r="D288" s="20" t="s">
        <v>21</v>
      </c>
      <c r="E288" s="21"/>
      <c r="F288" s="81">
        <v>2900</v>
      </c>
      <c r="G288" s="62">
        <f t="shared" si="7"/>
        <v>678874622.03464746</v>
      </c>
    </row>
    <row r="289" spans="1:8" ht="21.75" customHeight="1" x14ac:dyDescent="0.2">
      <c r="A289" s="42"/>
      <c r="B289" s="19"/>
      <c r="C289" s="35"/>
      <c r="D289" s="20" t="s">
        <v>1000</v>
      </c>
      <c r="E289" s="21"/>
      <c r="F289" s="81">
        <v>29750000</v>
      </c>
      <c r="G289" s="62">
        <f t="shared" si="7"/>
        <v>649124622.03464746</v>
      </c>
    </row>
    <row r="290" spans="1:8" ht="21.75" customHeight="1" x14ac:dyDescent="0.2">
      <c r="A290" s="42"/>
      <c r="B290" s="19"/>
      <c r="C290" s="35"/>
      <c r="D290" s="20" t="s">
        <v>1001</v>
      </c>
      <c r="E290" s="21"/>
      <c r="F290" s="81">
        <v>6000000</v>
      </c>
      <c r="G290" s="62">
        <f t="shared" si="7"/>
        <v>643124622.03464746</v>
      </c>
    </row>
    <row r="291" spans="1:8" ht="21.75" customHeight="1" x14ac:dyDescent="0.2">
      <c r="A291" s="42"/>
      <c r="B291" s="19"/>
      <c r="C291" s="35"/>
      <c r="D291" s="20" t="s">
        <v>1002</v>
      </c>
      <c r="E291" s="21"/>
      <c r="F291" s="81">
        <f>8750000-1200000</f>
        <v>7550000</v>
      </c>
      <c r="G291" s="62">
        <f t="shared" si="7"/>
        <v>635574622.03464746</v>
      </c>
    </row>
    <row r="292" spans="1:8" ht="21.75" customHeight="1" x14ac:dyDescent="0.2">
      <c r="A292" s="42"/>
      <c r="B292" s="19"/>
      <c r="C292" s="35"/>
      <c r="D292" s="20" t="s">
        <v>1004</v>
      </c>
      <c r="E292" s="21"/>
      <c r="F292" s="81">
        <v>6000000</v>
      </c>
      <c r="G292" s="62">
        <f t="shared" si="7"/>
        <v>629574622.03464746</v>
      </c>
    </row>
    <row r="293" spans="1:8" ht="21.75" customHeight="1" x14ac:dyDescent="0.2">
      <c r="A293" s="42"/>
      <c r="B293" s="19"/>
      <c r="C293" s="35"/>
      <c r="D293" s="20" t="s">
        <v>1005</v>
      </c>
      <c r="E293" s="21"/>
      <c r="F293" s="81">
        <v>12600000</v>
      </c>
      <c r="G293" s="62">
        <f t="shared" si="7"/>
        <v>616974622.03464746</v>
      </c>
    </row>
    <row r="294" spans="1:8" ht="21.75" customHeight="1" x14ac:dyDescent="0.2">
      <c r="A294" s="42"/>
      <c r="B294" s="19"/>
      <c r="C294" s="35"/>
      <c r="D294" s="20" t="s">
        <v>1006</v>
      </c>
      <c r="E294" s="21"/>
      <c r="F294" s="81">
        <v>5000000</v>
      </c>
      <c r="G294" s="62">
        <f t="shared" si="7"/>
        <v>611974622.03464746</v>
      </c>
    </row>
    <row r="295" spans="1:8" ht="21.75" customHeight="1" x14ac:dyDescent="0.2">
      <c r="A295" s="42"/>
      <c r="B295" s="19"/>
      <c r="C295" s="35"/>
      <c r="D295" s="20" t="s">
        <v>1007</v>
      </c>
      <c r="E295" s="21"/>
      <c r="F295" s="81">
        <v>1000000</v>
      </c>
      <c r="G295" s="62">
        <f t="shared" si="7"/>
        <v>610974622.03464746</v>
      </c>
    </row>
    <row r="296" spans="1:8" ht="21.75" customHeight="1" x14ac:dyDescent="0.2">
      <c r="A296" s="42"/>
      <c r="B296" s="19"/>
      <c r="C296" s="35"/>
      <c r="D296" s="20" t="s">
        <v>1008</v>
      </c>
      <c r="E296" s="21"/>
      <c r="F296" s="81">
        <v>1500000</v>
      </c>
      <c r="G296" s="62">
        <f t="shared" si="7"/>
        <v>609474622.03464746</v>
      </c>
    </row>
    <row r="297" spans="1:8" ht="21.75" customHeight="1" x14ac:dyDescent="0.2">
      <c r="A297" s="42"/>
      <c r="B297" s="19"/>
      <c r="C297" s="35"/>
      <c r="D297" s="20" t="s">
        <v>1009</v>
      </c>
      <c r="E297" s="21"/>
      <c r="F297" s="81">
        <v>1000000</v>
      </c>
      <c r="G297" s="62">
        <f t="shared" si="7"/>
        <v>608474622.03464746</v>
      </c>
    </row>
    <row r="298" spans="1:8" ht="21.75" customHeight="1" x14ac:dyDescent="0.2">
      <c r="A298" s="42"/>
      <c r="B298" s="19"/>
      <c r="C298" s="35"/>
      <c r="D298" s="20" t="s">
        <v>1010</v>
      </c>
      <c r="E298" s="21"/>
      <c r="F298" s="81">
        <v>2100000</v>
      </c>
      <c r="G298" s="62">
        <f t="shared" si="7"/>
        <v>606374622.03464746</v>
      </c>
    </row>
    <row r="299" spans="1:8" ht="21.75" customHeight="1" x14ac:dyDescent="0.2">
      <c r="A299" s="42"/>
      <c r="B299" s="19"/>
      <c r="C299" s="35"/>
      <c r="D299" s="20" t="s">
        <v>1011</v>
      </c>
      <c r="E299" s="21"/>
      <c r="F299" s="81">
        <v>2100000</v>
      </c>
      <c r="G299" s="62">
        <f t="shared" si="7"/>
        <v>604274622.03464746</v>
      </c>
      <c r="H299" s="88">
        <f>+G299-602754622.03</f>
        <v>1520000.0046474934</v>
      </c>
    </row>
    <row r="300" spans="1:8" ht="21.75" customHeight="1" x14ac:dyDescent="0.2">
      <c r="A300" s="42"/>
      <c r="B300" s="19"/>
      <c r="C300" s="35"/>
      <c r="D300" s="20" t="s">
        <v>1012</v>
      </c>
      <c r="E300" s="21"/>
      <c r="F300" s="81">
        <v>3050000</v>
      </c>
      <c r="G300" s="62">
        <f t="shared" si="7"/>
        <v>601224622.03464746</v>
      </c>
    </row>
    <row r="301" spans="1:8" ht="21.75" customHeight="1" x14ac:dyDescent="0.2">
      <c r="A301" s="42"/>
      <c r="B301" s="19"/>
      <c r="C301" s="35"/>
      <c r="D301" s="20" t="s">
        <v>1013</v>
      </c>
      <c r="E301" s="21">
        <v>1530000</v>
      </c>
      <c r="F301" s="81"/>
      <c r="G301" s="62">
        <f t="shared" si="7"/>
        <v>602754622.03464746</v>
      </c>
    </row>
    <row r="302" spans="1:8" ht="21.75" customHeight="1" x14ac:dyDescent="0.2">
      <c r="A302" s="42"/>
      <c r="B302" s="19"/>
      <c r="C302" s="35"/>
      <c r="D302" s="20" t="s">
        <v>1016</v>
      </c>
      <c r="E302" s="21">
        <v>16000000</v>
      </c>
      <c r="F302" s="81"/>
      <c r="G302" s="62">
        <f t="shared" si="7"/>
        <v>618754622.03464746</v>
      </c>
    </row>
    <row r="303" spans="1:8" ht="21.75" customHeight="1" x14ac:dyDescent="0.2">
      <c r="A303" s="42"/>
      <c r="B303" s="19" t="s">
        <v>1014</v>
      </c>
      <c r="C303" s="35"/>
      <c r="D303" s="20" t="s">
        <v>1015</v>
      </c>
      <c r="E303" s="21"/>
      <c r="F303" s="81">
        <v>20000000</v>
      </c>
      <c r="G303" s="62">
        <f t="shared" si="7"/>
        <v>598754622.03464746</v>
      </c>
    </row>
    <row r="304" spans="1:8" ht="21.75" customHeight="1" x14ac:dyDescent="0.2">
      <c r="A304" s="42"/>
      <c r="B304" s="19"/>
      <c r="C304" s="35"/>
      <c r="D304" s="20" t="s">
        <v>21</v>
      </c>
      <c r="E304" s="21"/>
      <c r="F304" s="81">
        <v>2500</v>
      </c>
      <c r="G304" s="62">
        <f t="shared" si="7"/>
        <v>598752122.03464746</v>
      </c>
    </row>
    <row r="305" spans="1:7" ht="21.75" customHeight="1" x14ac:dyDescent="0.2">
      <c r="A305" s="42"/>
      <c r="B305" s="19"/>
      <c r="C305" s="35"/>
      <c r="D305" s="20" t="s">
        <v>1017</v>
      </c>
      <c r="E305" s="21">
        <v>3225000</v>
      </c>
      <c r="F305" s="81">
        <v>15000000</v>
      </c>
      <c r="G305" s="62">
        <f t="shared" si="7"/>
        <v>586977122.03464746</v>
      </c>
    </row>
    <row r="306" spans="1:7" ht="21.75" customHeight="1" x14ac:dyDescent="0.2">
      <c r="A306" s="42"/>
      <c r="B306" s="19"/>
      <c r="C306" s="35"/>
      <c r="D306" s="20" t="s">
        <v>1018</v>
      </c>
      <c r="E306" s="21">
        <v>3690000</v>
      </c>
      <c r="F306" s="81"/>
      <c r="G306" s="62">
        <f t="shared" si="7"/>
        <v>590667122.03464746</v>
      </c>
    </row>
    <row r="307" spans="1:7" ht="21.75" customHeight="1" x14ac:dyDescent="0.2">
      <c r="A307" s="42"/>
      <c r="B307" s="19"/>
      <c r="C307" s="35"/>
      <c r="D307" s="20" t="s">
        <v>1019</v>
      </c>
      <c r="E307" s="21"/>
      <c r="F307" s="81">
        <v>2000000</v>
      </c>
      <c r="G307" s="62">
        <f t="shared" si="7"/>
        <v>588667122.03464746</v>
      </c>
    </row>
    <row r="308" spans="1:7" ht="21.75" customHeight="1" x14ac:dyDescent="0.2">
      <c r="A308" s="42"/>
      <c r="B308" s="19"/>
      <c r="C308" s="35"/>
      <c r="D308" s="20" t="s">
        <v>21</v>
      </c>
      <c r="E308" s="21"/>
      <c r="F308" s="81">
        <v>2500</v>
      </c>
      <c r="G308" s="62">
        <f t="shared" si="7"/>
        <v>588664622.03464746</v>
      </c>
    </row>
    <row r="309" spans="1:7" ht="21.75" customHeight="1" x14ac:dyDescent="0.2">
      <c r="A309" s="42"/>
      <c r="B309" s="19"/>
      <c r="C309" s="35"/>
      <c r="D309" s="20" t="s">
        <v>1020</v>
      </c>
      <c r="E309" s="21"/>
      <c r="F309" s="81">
        <v>4000000</v>
      </c>
      <c r="G309" s="62">
        <f t="shared" si="7"/>
        <v>584664622.03464746</v>
      </c>
    </row>
    <row r="310" spans="1:7" ht="21.75" customHeight="1" x14ac:dyDescent="0.2">
      <c r="A310" s="42"/>
      <c r="B310" s="19"/>
      <c r="C310" s="35"/>
      <c r="D310" s="20" t="s">
        <v>1021</v>
      </c>
      <c r="E310" s="21"/>
      <c r="F310" s="81">
        <v>2000000</v>
      </c>
      <c r="G310" s="62">
        <f t="shared" si="7"/>
        <v>582664622.03464746</v>
      </c>
    </row>
    <row r="311" spans="1:7" ht="21.75" customHeight="1" x14ac:dyDescent="0.2">
      <c r="A311" s="42"/>
      <c r="B311" s="19"/>
      <c r="C311" s="35"/>
      <c r="D311" s="20" t="s">
        <v>1022</v>
      </c>
      <c r="E311" s="21"/>
      <c r="F311" s="81">
        <v>5000000</v>
      </c>
      <c r="G311" s="62">
        <f t="shared" si="7"/>
        <v>577664622.03464746</v>
      </c>
    </row>
    <row r="312" spans="1:7" ht="21.75" customHeight="1" x14ac:dyDescent="0.2">
      <c r="A312" s="42"/>
      <c r="B312" s="19"/>
      <c r="C312" s="35"/>
      <c r="D312" s="20" t="s">
        <v>1023</v>
      </c>
      <c r="E312" s="21"/>
      <c r="F312" s="81">
        <v>5000000</v>
      </c>
      <c r="G312" s="62">
        <f t="shared" si="7"/>
        <v>572664622.03464746</v>
      </c>
    </row>
    <row r="313" spans="1:7" ht="21.75" customHeight="1" x14ac:dyDescent="0.2">
      <c r="A313" s="42"/>
      <c r="B313" s="19"/>
      <c r="C313" s="35"/>
      <c r="D313" s="20" t="s">
        <v>1024</v>
      </c>
      <c r="E313" s="21"/>
      <c r="F313" s="81">
        <v>8000000</v>
      </c>
      <c r="G313" s="62">
        <f t="shared" si="7"/>
        <v>564664622.03464746</v>
      </c>
    </row>
    <row r="314" spans="1:7" ht="21.75" customHeight="1" x14ac:dyDescent="0.2">
      <c r="A314" s="42"/>
      <c r="B314" s="19"/>
      <c r="C314" s="35"/>
      <c r="D314" s="20" t="s">
        <v>186</v>
      </c>
      <c r="E314" s="21"/>
      <c r="F314" s="81">
        <v>750000</v>
      </c>
      <c r="G314" s="62">
        <f t="shared" si="7"/>
        <v>563914622.03464746</v>
      </c>
    </row>
    <row r="315" spans="1:7" ht="21.75" customHeight="1" x14ac:dyDescent="0.2">
      <c r="A315" s="42"/>
      <c r="B315" s="19"/>
      <c r="C315" s="35"/>
      <c r="D315" s="20" t="s">
        <v>1025</v>
      </c>
      <c r="E315" s="21"/>
      <c r="F315" s="81">
        <v>8000000</v>
      </c>
      <c r="G315" s="62">
        <f t="shared" si="7"/>
        <v>555914622.03464746</v>
      </c>
    </row>
    <row r="316" spans="1:7" ht="21.75" customHeight="1" x14ac:dyDescent="0.2">
      <c r="A316" s="42"/>
      <c r="B316" s="19"/>
      <c r="C316" s="35"/>
      <c r="D316" s="20" t="s">
        <v>1029</v>
      </c>
      <c r="E316" s="21">
        <v>1530000</v>
      </c>
      <c r="F316" s="81">
        <v>4000000</v>
      </c>
      <c r="G316" s="62">
        <f t="shared" si="7"/>
        <v>553444622.03464746</v>
      </c>
    </row>
    <row r="317" spans="1:7" ht="21.75" customHeight="1" x14ac:dyDescent="0.2">
      <c r="A317" s="42"/>
      <c r="B317" s="19"/>
      <c r="C317" s="35"/>
      <c r="D317" s="20" t="s">
        <v>1028</v>
      </c>
      <c r="E317" s="21"/>
      <c r="F317" s="81">
        <v>7000000</v>
      </c>
      <c r="G317" s="62">
        <f t="shared" si="7"/>
        <v>546444622.03464746</v>
      </c>
    </row>
    <row r="318" spans="1:7" ht="21.75" customHeight="1" x14ac:dyDescent="0.2">
      <c r="A318" s="42"/>
      <c r="B318" s="19"/>
      <c r="C318" s="35"/>
      <c r="D318" s="20" t="s">
        <v>1027</v>
      </c>
      <c r="E318" s="21"/>
      <c r="F318" s="81">
        <v>8850000</v>
      </c>
      <c r="G318" s="62">
        <f t="shared" si="7"/>
        <v>537594622.03464746</v>
      </c>
    </row>
    <row r="319" spans="1:7" ht="21.75" customHeight="1" x14ac:dyDescent="0.25">
      <c r="A319" s="42"/>
      <c r="B319" s="19"/>
      <c r="C319" s="35"/>
      <c r="D319" s="20" t="s">
        <v>1026</v>
      </c>
      <c r="E319" s="21"/>
      <c r="F319" s="81">
        <v>1000000</v>
      </c>
      <c r="G319" s="56">
        <f t="shared" si="7"/>
        <v>536594622.03464746</v>
      </c>
    </row>
    <row r="320" spans="1:7" ht="21.75" customHeight="1" x14ac:dyDescent="0.2">
      <c r="A320" s="42"/>
      <c r="B320" s="19"/>
      <c r="C320" s="35"/>
      <c r="D320" s="20" t="s">
        <v>1035</v>
      </c>
      <c r="E320" s="21"/>
      <c r="F320" s="81">
        <v>18851000</v>
      </c>
      <c r="G320" s="62">
        <f t="shared" si="7"/>
        <v>517743622.03464746</v>
      </c>
    </row>
    <row r="321" spans="1:7" ht="21.75" customHeight="1" x14ac:dyDescent="0.2">
      <c r="A321" s="42"/>
      <c r="B321" s="19"/>
      <c r="C321" s="35"/>
      <c r="D321" s="20" t="s">
        <v>1036</v>
      </c>
      <c r="E321" s="21">
        <v>420000</v>
      </c>
      <c r="F321" s="81">
        <v>3000000</v>
      </c>
      <c r="G321" s="62">
        <f t="shared" si="7"/>
        <v>515163622.03464746</v>
      </c>
    </row>
    <row r="322" spans="1:7" ht="21.75" customHeight="1" x14ac:dyDescent="0.2">
      <c r="A322" s="42"/>
      <c r="B322" s="19"/>
      <c r="C322" s="35"/>
      <c r="D322" s="20" t="s">
        <v>1037</v>
      </c>
      <c r="E322" s="21">
        <v>1530000</v>
      </c>
      <c r="F322" s="81">
        <v>4000000</v>
      </c>
      <c r="G322" s="62">
        <f t="shared" si="7"/>
        <v>512693622.03464746</v>
      </c>
    </row>
    <row r="323" spans="1:7" ht="21.75" customHeight="1" x14ac:dyDescent="0.2">
      <c r="A323" s="42"/>
      <c r="B323" s="19"/>
      <c r="C323" s="35"/>
      <c r="D323" s="20" t="s">
        <v>1033</v>
      </c>
      <c r="E323" s="21"/>
      <c r="F323" s="81">
        <v>5000000</v>
      </c>
      <c r="G323" s="62">
        <f t="shared" si="7"/>
        <v>507693622.03464746</v>
      </c>
    </row>
    <row r="324" spans="1:7" ht="21.75" customHeight="1" x14ac:dyDescent="0.2">
      <c r="A324" s="42"/>
      <c r="B324" s="19"/>
      <c r="C324" s="35"/>
      <c r="D324" s="20" t="s">
        <v>1034</v>
      </c>
      <c r="E324" s="21"/>
      <c r="F324" s="81">
        <v>2000000</v>
      </c>
      <c r="G324" s="62">
        <f t="shared" si="7"/>
        <v>505693622.03464746</v>
      </c>
    </row>
    <row r="325" spans="1:7" ht="21.75" customHeight="1" x14ac:dyDescent="0.2">
      <c r="A325" s="42"/>
      <c r="B325" s="19"/>
      <c r="C325" s="35"/>
      <c r="D325" s="20" t="s">
        <v>1030</v>
      </c>
      <c r="E325" s="21"/>
      <c r="F325" s="81">
        <v>1400000</v>
      </c>
      <c r="G325" s="62">
        <f t="shared" si="7"/>
        <v>504293622.03464746</v>
      </c>
    </row>
    <row r="326" spans="1:7" ht="21.75" customHeight="1" x14ac:dyDescent="0.2">
      <c r="A326" s="42"/>
      <c r="B326" s="19"/>
      <c r="C326" s="35"/>
      <c r="D326" s="20" t="s">
        <v>1031</v>
      </c>
      <c r="E326" s="21"/>
      <c r="F326" s="81">
        <v>500000</v>
      </c>
      <c r="G326" s="62">
        <f t="shared" si="7"/>
        <v>503793622.03464746</v>
      </c>
    </row>
    <row r="327" spans="1:7" ht="21.75" customHeight="1" x14ac:dyDescent="0.2">
      <c r="A327" s="42"/>
      <c r="B327" s="19"/>
      <c r="C327" s="35"/>
      <c r="D327" s="20" t="s">
        <v>1038</v>
      </c>
      <c r="E327" s="21"/>
      <c r="F327" s="81">
        <v>100000000</v>
      </c>
      <c r="G327" s="62">
        <f t="shared" si="7"/>
        <v>403793622.03464746</v>
      </c>
    </row>
    <row r="328" spans="1:7" ht="21.75" customHeight="1" x14ac:dyDescent="0.2">
      <c r="A328" s="42"/>
      <c r="B328" s="19"/>
      <c r="C328" s="35"/>
      <c r="D328" s="20" t="s">
        <v>1032</v>
      </c>
      <c r="E328" s="21"/>
      <c r="F328" s="81">
        <v>400000</v>
      </c>
      <c r="G328" s="62">
        <f t="shared" si="7"/>
        <v>403393622.03464746</v>
      </c>
    </row>
    <row r="329" spans="1:7" ht="21.75" customHeight="1" x14ac:dyDescent="0.2">
      <c r="A329" s="42"/>
      <c r="B329" s="19"/>
      <c r="C329" s="35"/>
      <c r="D329" s="20" t="s">
        <v>1040</v>
      </c>
      <c r="E329" s="21"/>
      <c r="F329" s="81">
        <v>200000</v>
      </c>
      <c r="G329" s="62">
        <f t="shared" si="7"/>
        <v>403193622.03464746</v>
      </c>
    </row>
    <row r="330" spans="1:7" ht="21.75" customHeight="1" x14ac:dyDescent="0.2">
      <c r="A330" s="42"/>
      <c r="B330" s="19"/>
      <c r="C330" s="35"/>
      <c r="D330" s="20" t="s">
        <v>1041</v>
      </c>
      <c r="E330" s="21"/>
      <c r="F330" s="81">
        <v>9297500</v>
      </c>
      <c r="G330" s="62">
        <f t="shared" si="7"/>
        <v>393896122.03464746</v>
      </c>
    </row>
    <row r="331" spans="1:7" ht="21.75" customHeight="1" x14ac:dyDescent="0.2">
      <c r="A331" s="42"/>
      <c r="B331" s="19"/>
      <c r="C331" s="35"/>
      <c r="D331" s="20" t="s">
        <v>21</v>
      </c>
      <c r="E331" s="21"/>
      <c r="F331" s="81">
        <v>2500</v>
      </c>
      <c r="G331" s="62">
        <f t="shared" si="7"/>
        <v>393893622.03464746</v>
      </c>
    </row>
    <row r="332" spans="1:7" ht="21.75" customHeight="1" x14ac:dyDescent="0.2">
      <c r="A332" s="42"/>
      <c r="B332" s="19"/>
      <c r="C332" s="35"/>
      <c r="D332" s="20" t="s">
        <v>1042</v>
      </c>
      <c r="E332" s="21"/>
      <c r="F332" s="81">
        <v>7299110</v>
      </c>
      <c r="G332" s="62">
        <f t="shared" si="7"/>
        <v>386594512.03464746</v>
      </c>
    </row>
    <row r="333" spans="1:7" ht="21.75" customHeight="1" x14ac:dyDescent="0.2">
      <c r="A333" s="42"/>
      <c r="B333" s="19"/>
      <c r="C333" s="35"/>
      <c r="D333" s="20" t="s">
        <v>1044</v>
      </c>
      <c r="E333" s="21"/>
      <c r="F333" s="81">
        <v>2140522</v>
      </c>
      <c r="G333" s="62">
        <f t="shared" si="7"/>
        <v>384453990.03464746</v>
      </c>
    </row>
    <row r="334" spans="1:7" ht="21.75" customHeight="1" x14ac:dyDescent="0.2">
      <c r="A334" s="42"/>
      <c r="B334" s="19"/>
      <c r="C334" s="35"/>
      <c r="D334" s="20" t="s">
        <v>1043</v>
      </c>
      <c r="E334" s="21"/>
      <c r="F334" s="81">
        <v>17167500</v>
      </c>
      <c r="G334" s="62">
        <f t="shared" si="7"/>
        <v>367286490.03464746</v>
      </c>
    </row>
    <row r="335" spans="1:7" ht="21.75" customHeight="1" x14ac:dyDescent="0.2">
      <c r="A335" s="42"/>
      <c r="B335" s="19"/>
      <c r="C335" s="35"/>
      <c r="D335" s="20" t="s">
        <v>1039</v>
      </c>
      <c r="E335" s="21">
        <v>1000000</v>
      </c>
      <c r="F335" s="81"/>
      <c r="G335" s="62">
        <f t="shared" si="7"/>
        <v>368286490.03464746</v>
      </c>
    </row>
    <row r="336" spans="1:7" ht="21.75" customHeight="1" x14ac:dyDescent="0.2">
      <c r="A336" s="42"/>
      <c r="B336" s="19"/>
      <c r="C336" s="35"/>
      <c r="D336" s="20" t="s">
        <v>21</v>
      </c>
      <c r="E336" s="21"/>
      <c r="F336" s="81">
        <v>25000</v>
      </c>
      <c r="G336" s="62">
        <f t="shared" si="7"/>
        <v>368261490.03464746</v>
      </c>
    </row>
    <row r="337" spans="1:7" ht="21.75" customHeight="1" x14ac:dyDescent="0.2">
      <c r="A337" s="42"/>
      <c r="B337" s="19"/>
      <c r="C337" s="35"/>
      <c r="D337" s="20" t="s">
        <v>68</v>
      </c>
      <c r="E337" s="81">
        <v>91080.82</v>
      </c>
      <c r="F337" s="81"/>
      <c r="G337" s="62">
        <f t="shared" si="7"/>
        <v>368352570.85464746</v>
      </c>
    </row>
    <row r="338" spans="1:7" ht="21.75" customHeight="1" x14ac:dyDescent="0.2">
      <c r="A338" s="42"/>
      <c r="B338" s="19"/>
      <c r="C338" s="35"/>
      <c r="D338" s="20" t="s">
        <v>69</v>
      </c>
      <c r="E338" s="21"/>
      <c r="F338" s="21">
        <v>18216.16</v>
      </c>
      <c r="G338" s="62">
        <f t="shared" si="7"/>
        <v>368334354.69464743</v>
      </c>
    </row>
    <row r="339" spans="1:7" ht="21.75" customHeight="1" x14ac:dyDescent="0.2">
      <c r="A339" s="42"/>
      <c r="B339" s="24"/>
      <c r="C339" s="35"/>
      <c r="D339" s="20"/>
      <c r="E339" s="21"/>
      <c r="F339" s="21"/>
      <c r="G339" s="62"/>
    </row>
    <row r="340" spans="1:7" ht="21.75" customHeight="1" x14ac:dyDescent="0.2">
      <c r="A340" s="7"/>
      <c r="B340" s="24"/>
      <c r="C340" s="36"/>
      <c r="D340" s="20"/>
      <c r="E340" s="21"/>
      <c r="F340" s="21"/>
      <c r="G340" s="39"/>
    </row>
    <row r="341" spans="1:7" ht="14.25" x14ac:dyDescent="0.2">
      <c r="A341" s="7"/>
      <c r="B341" s="18"/>
      <c r="C341" s="18"/>
      <c r="D341" s="18"/>
      <c r="E341" s="18"/>
      <c r="F341" s="18"/>
      <c r="G341" s="18"/>
    </row>
    <row r="342" spans="1:7" customFormat="1" ht="24.75" customHeight="1" x14ac:dyDescent="0.25">
      <c r="A342" s="72"/>
      <c r="B342" s="37"/>
      <c r="C342" s="37"/>
      <c r="D342" s="41" t="s">
        <v>10</v>
      </c>
      <c r="E342" s="38">
        <f>SUM(E10:E340)</f>
        <v>1938127834.5399997</v>
      </c>
      <c r="F342" s="38">
        <f>SUM(F10:F340)</f>
        <v>1575640514.8800001</v>
      </c>
      <c r="G342" s="38">
        <f>+G338</f>
        <v>368334354.69464743</v>
      </c>
    </row>
    <row r="343" spans="1:7" ht="14.25" x14ac:dyDescent="0.2">
      <c r="B343" s="17"/>
      <c r="C343" s="17"/>
      <c r="D343" s="17"/>
      <c r="E343" s="17"/>
      <c r="F343" s="17"/>
      <c r="G343" s="17"/>
    </row>
    <row r="344" spans="1:7" ht="14.25" x14ac:dyDescent="0.2">
      <c r="D344" s="17"/>
      <c r="F344" s="89" t="s">
        <v>1045</v>
      </c>
      <c r="G344" s="89"/>
    </row>
    <row r="345" spans="1:7" x14ac:dyDescent="0.2">
      <c r="F345" s="90" t="s">
        <v>11</v>
      </c>
      <c r="G345" s="90"/>
    </row>
    <row r="348" spans="1:7" x14ac:dyDescent="0.2">
      <c r="E348" s="3" t="s">
        <v>82</v>
      </c>
      <c r="F348" s="50">
        <f>+G342</f>
        <v>368334354.69464743</v>
      </c>
    </row>
    <row r="349" spans="1:7" x14ac:dyDescent="0.2">
      <c r="E349" s="3" t="s">
        <v>83</v>
      </c>
      <c r="F349" s="51">
        <v>0</v>
      </c>
    </row>
  </sheetData>
  <mergeCells count="8">
    <mergeCell ref="F344:G344"/>
    <mergeCell ref="F345:G345"/>
    <mergeCell ref="A7:A8"/>
    <mergeCell ref="B7:B8"/>
    <mergeCell ref="D7:D8"/>
    <mergeCell ref="E7:E8"/>
    <mergeCell ref="F7:F8"/>
    <mergeCell ref="G7:G8"/>
  </mergeCells>
  <phoneticPr fontId="12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E715-C677-4597-B077-5316B0948F16}">
  <dimension ref="D9:F19"/>
  <sheetViews>
    <sheetView workbookViewId="0">
      <selection activeCell="G10" sqref="G10"/>
    </sheetView>
  </sheetViews>
  <sheetFormatPr defaultRowHeight="15" x14ac:dyDescent="0.25"/>
  <cols>
    <col min="4" max="4" width="11.5703125" customWidth="1"/>
    <col min="5" max="5" width="15" customWidth="1"/>
  </cols>
  <sheetData>
    <row r="9" spans="4:6" x14ac:dyDescent="0.25">
      <c r="D9" s="17"/>
      <c r="E9" s="87"/>
      <c r="F9" s="17"/>
    </row>
    <row r="10" spans="4:6" x14ac:dyDescent="0.25">
      <c r="D10" s="17"/>
      <c r="E10" s="87"/>
      <c r="F10" s="17"/>
    </row>
    <row r="11" spans="4:6" x14ac:dyDescent="0.25">
      <c r="D11" s="17"/>
      <c r="E11" s="87"/>
      <c r="F11" s="17"/>
    </row>
    <row r="12" spans="4:6" x14ac:dyDescent="0.25">
      <c r="D12" s="17"/>
      <c r="E12" s="87"/>
      <c r="F12" s="17"/>
    </row>
    <row r="13" spans="4:6" x14ac:dyDescent="0.25">
      <c r="D13" s="17"/>
      <c r="E13" s="87"/>
      <c r="F13" s="17"/>
    </row>
    <row r="14" spans="4:6" x14ac:dyDescent="0.25">
      <c r="D14" s="17"/>
      <c r="E14" s="87"/>
      <c r="F14" s="17"/>
    </row>
    <row r="15" spans="4:6" x14ac:dyDescent="0.25">
      <c r="D15" s="17"/>
      <c r="E15" s="87"/>
      <c r="F15" s="17"/>
    </row>
    <row r="16" spans="4:6" x14ac:dyDescent="0.25">
      <c r="D16" s="17"/>
      <c r="E16" s="87"/>
      <c r="F16" s="17"/>
    </row>
    <row r="17" spans="4:6" x14ac:dyDescent="0.25">
      <c r="D17" s="17"/>
      <c r="E17" s="87"/>
      <c r="F17" s="17"/>
    </row>
    <row r="18" spans="4:6" x14ac:dyDescent="0.25">
      <c r="D18" s="17"/>
      <c r="E18" s="87"/>
      <c r="F18" s="17"/>
    </row>
    <row r="19" spans="4:6" x14ac:dyDescent="0.25">
      <c r="D19" s="17"/>
      <c r="E19" s="87"/>
      <c r="F19" s="1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01, JAN 2026</vt:lpstr>
      <vt:lpstr>02, FEB 2026</vt:lpstr>
      <vt:lpstr>03, MAR 26</vt:lpstr>
      <vt:lpstr>04, APRIL 26</vt:lpstr>
      <vt:lpstr>05,MEI 26</vt:lpstr>
      <vt:lpstr>06, JUNI 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</dc:creator>
  <cp:lastModifiedBy>kopka</cp:lastModifiedBy>
  <cp:lastPrinted>2026-06-03T04:50:27Z</cp:lastPrinted>
  <dcterms:created xsi:type="dcterms:W3CDTF">2015-12-11T08:07:22Z</dcterms:created>
  <dcterms:modified xsi:type="dcterms:W3CDTF">2026-07-01T10:07:42Z</dcterms:modified>
</cp:coreProperties>
</file>