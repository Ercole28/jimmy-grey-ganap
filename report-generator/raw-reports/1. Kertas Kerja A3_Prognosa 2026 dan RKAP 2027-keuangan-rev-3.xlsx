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MMY GREEI GANAP\Documents\RKM 2027\"/>
    </mc:Choice>
  </mc:AlternateContent>
  <xr:revisionPtr revIDLastSave="0" documentId="13_ncr:1_{2C50982A-48F9-4B2D-AF53-0279AF7F7903}" xr6:coauthVersionLast="45" xr6:coauthVersionMax="45" xr10:uidLastSave="{00000000-0000-0000-0000-000000000000}"/>
  <bookViews>
    <workbookView xWindow="-108" yWindow="-108" windowWidth="23256" windowHeight="12456" activeTab="1" xr2:uid="{32EC9AF2-9018-4150-A3EF-270A3187859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4" i="2" l="1"/>
  <c r="F55" i="2" s="1"/>
  <c r="F53" i="2"/>
  <c r="D54" i="2"/>
  <c r="D55" i="2" s="1"/>
  <c r="C53" i="2" s="1"/>
  <c r="D53" i="2"/>
  <c r="C48" i="2"/>
  <c r="C47" i="2"/>
  <c r="F49" i="2"/>
  <c r="F48" i="2"/>
  <c r="F47" i="2"/>
  <c r="D48" i="2"/>
  <c r="D47" i="2"/>
  <c r="F35" i="2"/>
  <c r="F34" i="2"/>
  <c r="F33" i="2"/>
  <c r="D35" i="2"/>
  <c r="D34" i="2"/>
  <c r="D33" i="2"/>
  <c r="F28" i="2"/>
  <c r="F27" i="2"/>
  <c r="F26" i="2"/>
  <c r="C19" i="2"/>
  <c r="D28" i="2"/>
  <c r="D27" i="2"/>
  <c r="D26" i="2"/>
  <c r="E54" i="2" l="1"/>
  <c r="C54" i="2"/>
  <c r="C55" i="2" s="1"/>
  <c r="E53" i="2"/>
  <c r="E55" i="2" s="1"/>
  <c r="E26" i="2"/>
  <c r="F36" i="2"/>
  <c r="E33" i="2" s="1"/>
  <c r="E34" i="2"/>
  <c r="D29" i="2"/>
  <c r="D36" i="2"/>
  <c r="C33" i="2" s="1"/>
  <c r="F29" i="2"/>
  <c r="AI58" i="1"/>
  <c r="AH58" i="1"/>
  <c r="E35" i="2" l="1"/>
  <c r="E36" i="2" s="1"/>
  <c r="C35" i="2"/>
  <c r="C34" i="2"/>
  <c r="C36" i="2" s="1"/>
  <c r="E28" i="2"/>
  <c r="E27" i="2"/>
  <c r="E29" i="2" s="1"/>
  <c r="C28" i="2"/>
  <c r="C27" i="2"/>
  <c r="C26" i="2"/>
  <c r="F22" i="2"/>
  <c r="F21" i="2"/>
  <c r="F42" i="2" s="1"/>
  <c r="F20" i="2"/>
  <c r="F41" i="2" s="1"/>
  <c r="F19" i="2"/>
  <c r="F40" i="2" s="1"/>
  <c r="D21" i="2"/>
  <c r="D42" i="2" s="1"/>
  <c r="D20" i="2"/>
  <c r="D41" i="2" s="1"/>
  <c r="D19" i="2"/>
  <c r="D40" i="2" s="1"/>
  <c r="E21" i="2"/>
  <c r="E22" i="2" s="1"/>
  <c r="E20" i="2"/>
  <c r="E19" i="2"/>
  <c r="C21" i="2"/>
  <c r="C20" i="2"/>
  <c r="C22" i="2" s="1"/>
  <c r="D43" i="2" l="1"/>
  <c r="C40" i="2" s="1"/>
  <c r="C43" i="2" s="1"/>
  <c r="C41" i="2"/>
  <c r="C42" i="2"/>
  <c r="F43" i="2"/>
  <c r="E40" i="2" s="1"/>
  <c r="C29" i="2"/>
  <c r="D22" i="2"/>
  <c r="AF12" i="1"/>
  <c r="E6" i="2"/>
  <c r="E7" i="2"/>
  <c r="E8" i="2"/>
  <c r="E5" i="2"/>
  <c r="D5" i="2"/>
  <c r="B6" i="2"/>
  <c r="B7" i="2"/>
  <c r="B5" i="2"/>
  <c r="G6" i="2"/>
  <c r="G5" i="2"/>
  <c r="F6" i="2"/>
  <c r="F7" i="2"/>
  <c r="F5" i="2"/>
  <c r="D6" i="2"/>
  <c r="D7" i="2"/>
  <c r="C6" i="2"/>
  <c r="L6" i="2" s="1"/>
  <c r="C7" i="2"/>
  <c r="C5" i="2"/>
  <c r="AG9" i="1"/>
  <c r="AI9" i="1"/>
  <c r="S47" i="1"/>
  <c r="J20" i="1"/>
  <c r="E47" i="2" l="1"/>
  <c r="E41" i="2"/>
  <c r="E43" i="2" s="1"/>
  <c r="E42" i="2"/>
  <c r="D49" i="2"/>
  <c r="H5" i="2"/>
  <c r="K6" i="2"/>
  <c r="D8" i="2"/>
  <c r="K7" i="2"/>
  <c r="K5" i="2"/>
  <c r="F8" i="2"/>
  <c r="C8" i="2"/>
  <c r="J6" i="2"/>
  <c r="J5" i="2"/>
  <c r="L7" i="2"/>
  <c r="L5" i="2"/>
  <c r="H6" i="2"/>
  <c r="I6" i="2"/>
  <c r="I5" i="2"/>
  <c r="E48" i="2" l="1"/>
  <c r="E49" i="2" s="1"/>
  <c r="C49" i="2"/>
  <c r="L8" i="2"/>
  <c r="F15" i="2" s="1"/>
  <c r="K8" i="2"/>
  <c r="F14" i="2" s="1"/>
  <c r="AF47" i="1"/>
  <c r="I20" i="1"/>
  <c r="I22" i="1"/>
  <c r="I21" i="1"/>
  <c r="S10" i="1"/>
  <c r="S12" i="1" s="1"/>
  <c r="J22" i="1"/>
  <c r="J21" i="1"/>
  <c r="K20" i="1"/>
  <c r="K21" i="1"/>
  <c r="AE61" i="1"/>
  <c r="AD61" i="1"/>
  <c r="AC61" i="1"/>
  <c r="AB61" i="1"/>
  <c r="AA61" i="1"/>
  <c r="Z61" i="1"/>
  <c r="Y61" i="1"/>
  <c r="X61" i="1"/>
  <c r="W61" i="1"/>
  <c r="V61" i="1"/>
  <c r="U61" i="1"/>
  <c r="T61" i="1"/>
  <c r="AE50" i="1"/>
  <c r="AD50" i="1"/>
  <c r="AC50" i="1"/>
  <c r="AB50" i="1"/>
  <c r="AA50" i="1"/>
  <c r="Z50" i="1"/>
  <c r="Y50" i="1"/>
  <c r="X50" i="1"/>
  <c r="W50" i="1"/>
  <c r="U50" i="1"/>
  <c r="T50" i="1"/>
  <c r="R61" i="1"/>
  <c r="Q61" i="1"/>
  <c r="P61" i="1"/>
  <c r="O61" i="1"/>
  <c r="N61" i="1"/>
  <c r="M61" i="1"/>
  <c r="L61" i="1"/>
  <c r="K61" i="1"/>
  <c r="R23" i="1"/>
  <c r="Q23" i="1"/>
  <c r="P23" i="1"/>
  <c r="O23" i="1"/>
  <c r="N23" i="1"/>
  <c r="M23" i="1"/>
  <c r="L23" i="1"/>
  <c r="K23" i="1"/>
  <c r="R50" i="1"/>
  <c r="Q50" i="1"/>
  <c r="P50" i="1"/>
  <c r="O50" i="1"/>
  <c r="N50" i="1"/>
  <c r="M50" i="1"/>
  <c r="L50" i="1"/>
  <c r="K50" i="1"/>
  <c r="J50" i="1"/>
  <c r="J34" i="1"/>
  <c r="J38" i="1"/>
  <c r="I34" i="1"/>
  <c r="S31" i="1"/>
  <c r="K22" i="1"/>
  <c r="S9" i="1"/>
  <c r="S20" i="1" l="1"/>
  <c r="J23" i="1"/>
  <c r="U21" i="1"/>
  <c r="W21" i="1"/>
  <c r="X21" i="1"/>
  <c r="Y21" i="1"/>
  <c r="Z21" i="1"/>
  <c r="AA21" i="1"/>
  <c r="AB21" i="1"/>
  <c r="AC21" i="1"/>
  <c r="AD21" i="1"/>
  <c r="AE21" i="1"/>
  <c r="U20" i="1"/>
  <c r="W20" i="1"/>
  <c r="X20" i="1"/>
  <c r="Y20" i="1"/>
  <c r="Z20" i="1"/>
  <c r="AA20" i="1"/>
  <c r="AB20" i="1"/>
  <c r="AC20" i="1"/>
  <c r="AD20" i="1"/>
  <c r="AE20" i="1"/>
  <c r="T20" i="1"/>
  <c r="T21" i="1"/>
  <c r="L21" i="1"/>
  <c r="M21" i="1"/>
  <c r="N21" i="1"/>
  <c r="O21" i="1"/>
  <c r="P21" i="1"/>
  <c r="Q21" i="1"/>
  <c r="R21" i="1"/>
  <c r="L20" i="1"/>
  <c r="M20" i="1"/>
  <c r="N20" i="1"/>
  <c r="O20" i="1"/>
  <c r="P20" i="1"/>
  <c r="Q20" i="1"/>
  <c r="R20" i="1"/>
  <c r="S21" i="1"/>
  <c r="V50" i="1"/>
  <c r="V21" i="1"/>
  <c r="V22" i="1"/>
  <c r="AF59" i="1"/>
  <c r="AF58" i="1"/>
  <c r="S58" i="1"/>
  <c r="J61" i="1"/>
  <c r="I61" i="1"/>
  <c r="H61" i="1"/>
  <c r="G61" i="1"/>
  <c r="F61" i="1"/>
  <c r="E61" i="1"/>
  <c r="D61" i="1"/>
  <c r="AF60" i="1"/>
  <c r="S60" i="1"/>
  <c r="S59" i="1"/>
  <c r="AH59" i="1" s="1"/>
  <c r="AE22" i="1"/>
  <c r="AD22" i="1"/>
  <c r="AC22" i="1"/>
  <c r="AB22" i="1"/>
  <c r="AA22" i="1"/>
  <c r="Z22" i="1"/>
  <c r="Y22" i="1"/>
  <c r="X22" i="1"/>
  <c r="W22" i="1"/>
  <c r="U22" i="1"/>
  <c r="T22" i="1"/>
  <c r="S11" i="1"/>
  <c r="L22" i="1"/>
  <c r="M22" i="1"/>
  <c r="N22" i="1"/>
  <c r="O22" i="1"/>
  <c r="P22" i="1"/>
  <c r="Q22" i="1"/>
  <c r="R22" i="1"/>
  <c r="S49" i="1"/>
  <c r="S48" i="1"/>
  <c r="V20" i="1" l="1"/>
  <c r="AG58" i="1"/>
  <c r="S61" i="1"/>
  <c r="AH61" i="1" s="1"/>
  <c r="AF61" i="1"/>
  <c r="AI59" i="1"/>
  <c r="AG59" i="1"/>
  <c r="AF49" i="1"/>
  <c r="S22" i="1"/>
  <c r="S23" i="1" s="1"/>
  <c r="AG61" i="1" l="1"/>
  <c r="AI61" i="1"/>
  <c r="S50" i="1" l="1"/>
  <c r="I50" i="1"/>
  <c r="H50" i="1"/>
  <c r="G50" i="1"/>
  <c r="F50" i="1"/>
  <c r="E50" i="1"/>
  <c r="D50" i="1"/>
  <c r="AH49" i="1"/>
  <c r="AG49" i="1"/>
  <c r="AI49" i="1"/>
  <c r="AH48" i="1"/>
  <c r="AG48" i="1"/>
  <c r="AF48" i="1"/>
  <c r="AH47" i="1"/>
  <c r="AG47" i="1"/>
  <c r="AI47" i="1"/>
  <c r="AH23" i="1"/>
  <c r="I23" i="1"/>
  <c r="H23" i="1"/>
  <c r="G23" i="1"/>
  <c r="F23" i="1"/>
  <c r="E23" i="1"/>
  <c r="D23" i="1"/>
  <c r="AH22" i="1"/>
  <c r="AG22" i="1"/>
  <c r="AF22" i="1"/>
  <c r="AI22" i="1" s="1"/>
  <c r="AH21" i="1"/>
  <c r="AG21" i="1"/>
  <c r="AF21" i="1"/>
  <c r="AH20" i="1"/>
  <c r="AG20" i="1"/>
  <c r="AF20" i="1"/>
  <c r="AI20" i="1" s="1"/>
  <c r="T34" i="1"/>
  <c r="U34" i="1"/>
  <c r="V34" i="1"/>
  <c r="W34" i="1"/>
  <c r="X34" i="1"/>
  <c r="Y34" i="1"/>
  <c r="Z34" i="1"/>
  <c r="AA34" i="1"/>
  <c r="AB34" i="1"/>
  <c r="AC34" i="1"/>
  <c r="AD34" i="1"/>
  <c r="AE34" i="1"/>
  <c r="L38" i="1"/>
  <c r="M38" i="1"/>
  <c r="N38" i="1"/>
  <c r="O38" i="1"/>
  <c r="P38" i="1"/>
  <c r="Q38" i="1"/>
  <c r="R38" i="1"/>
  <c r="T38" i="1"/>
  <c r="U38" i="1"/>
  <c r="V38" i="1"/>
  <c r="W38" i="1"/>
  <c r="X38" i="1"/>
  <c r="Y38" i="1"/>
  <c r="Z38" i="1"/>
  <c r="AA38" i="1"/>
  <c r="AB38" i="1"/>
  <c r="AC38" i="1"/>
  <c r="AD38" i="1"/>
  <c r="AE38" i="1"/>
  <c r="K38" i="1"/>
  <c r="I38" i="1"/>
  <c r="AF32" i="1"/>
  <c r="AF33" i="1"/>
  <c r="AF35" i="1"/>
  <c r="AF36" i="1"/>
  <c r="AF37" i="1"/>
  <c r="AF39" i="1"/>
  <c r="R34" i="1"/>
  <c r="Q34" i="1"/>
  <c r="P34" i="1"/>
  <c r="O34" i="1"/>
  <c r="N34" i="1"/>
  <c r="M34" i="1"/>
  <c r="L34" i="1"/>
  <c r="K34" i="1"/>
  <c r="S32" i="1"/>
  <c r="S33" i="1"/>
  <c r="AH33" i="1" s="1"/>
  <c r="S35" i="1"/>
  <c r="AG35" i="1" s="1"/>
  <c r="S36" i="1"/>
  <c r="AH36" i="1" s="1"/>
  <c r="S37" i="1"/>
  <c r="S39" i="1"/>
  <c r="AH39" i="1" s="1"/>
  <c r="AH31" i="1"/>
  <c r="H34" i="1"/>
  <c r="G34" i="1"/>
  <c r="F34" i="1"/>
  <c r="E34" i="1"/>
  <c r="D34" i="1"/>
  <c r="AF10" i="1"/>
  <c r="AF11" i="1"/>
  <c r="AH9" i="1"/>
  <c r="AG10" i="1"/>
  <c r="AH10" i="1"/>
  <c r="AG11" i="1"/>
  <c r="AH11" i="1"/>
  <c r="AI48" i="1" l="1"/>
  <c r="AF50" i="1"/>
  <c r="AI50" i="1" s="1"/>
  <c r="G7" i="2"/>
  <c r="AI39" i="1"/>
  <c r="AH32" i="1"/>
  <c r="S34" i="1"/>
  <c r="AI35" i="1"/>
  <c r="AH35" i="1"/>
  <c r="AG36" i="1"/>
  <c r="AG50" i="1"/>
  <c r="AG32" i="1"/>
  <c r="S38" i="1"/>
  <c r="AF23" i="1"/>
  <c r="AI23" i="1" s="1"/>
  <c r="AH50" i="1"/>
  <c r="AG23" i="1"/>
  <c r="AI21" i="1"/>
  <c r="AI36" i="1"/>
  <c r="AG37" i="1"/>
  <c r="AI33" i="1"/>
  <c r="AH37" i="1"/>
  <c r="AI37" i="1"/>
  <c r="AF38" i="1"/>
  <c r="AI32" i="1"/>
  <c r="AG39" i="1"/>
  <c r="AG33" i="1"/>
  <c r="AG31" i="1"/>
  <c r="AI10" i="1"/>
  <c r="AF9" i="1"/>
  <c r="AI11" i="1"/>
  <c r="G8" i="2" l="1"/>
  <c r="H7" i="2"/>
  <c r="J7" i="2"/>
  <c r="I7" i="2"/>
  <c r="I8" i="2" l="1"/>
  <c r="F12" i="2" s="1"/>
  <c r="H8" i="2"/>
  <c r="F11" i="2" s="1"/>
  <c r="J8" i="2"/>
  <c r="F13" i="2" s="1"/>
  <c r="H12" i="1"/>
  <c r="I12" i="1"/>
  <c r="R12" i="1"/>
  <c r="E12" i="1"/>
  <c r="F12" i="1"/>
  <c r="G12" i="1"/>
  <c r="D12" i="1"/>
  <c r="AH12" i="1" l="1"/>
  <c r="AG12" i="1"/>
  <c r="AI12" i="1"/>
  <c r="AF31" i="1"/>
  <c r="AI31" i="1" l="1"/>
  <c r="AF34" i="1"/>
</calcChain>
</file>

<file path=xl/sharedStrings.xml><?xml version="1.0" encoding="utf-8"?>
<sst xmlns="http://schemas.openxmlformats.org/spreadsheetml/2006/main" count="382" uniqueCount="92">
  <si>
    <t>Pendapatan Pemanduan</t>
  </si>
  <si>
    <t>Pendapatan Penundaan</t>
  </si>
  <si>
    <t>Pendapatan Penambatan</t>
  </si>
  <si>
    <t>Tahun 2023</t>
  </si>
  <si>
    <t>Tahun 2024</t>
  </si>
  <si>
    <t>Tahun 2025</t>
  </si>
  <si>
    <t>RKAP 2026</t>
  </si>
  <si>
    <t>(Audited)</t>
  </si>
  <si>
    <t>(Unaudited)</t>
  </si>
  <si>
    <t>1 Tahun</t>
  </si>
  <si>
    <t>[a]</t>
  </si>
  <si>
    <t>[b]</t>
  </si>
  <si>
    <t>[c]</t>
  </si>
  <si>
    <t>[d]</t>
  </si>
  <si>
    <t>Uraian</t>
  </si>
  <si>
    <t>PENDAPATAN USAHA</t>
  </si>
  <si>
    <t>Pendapatan Labuh</t>
  </si>
  <si>
    <t>PELAYANAN KAPAL</t>
  </si>
  <si>
    <t xml:space="preserve">RKAP </t>
  </si>
  <si>
    <t xml:space="preserve"> REALISASI </t>
  </si>
  <si>
    <t>Prognosa</t>
  </si>
  <si>
    <t xml:space="preserve">RKAP 2027 </t>
  </si>
  <si>
    <t>Perbandingan</t>
  </si>
  <si>
    <t xml:space="preserve">s.d. Maret 2026 </t>
  </si>
  <si>
    <t xml:space="preserve"> s.d. Maret 2026 </t>
  </si>
  <si>
    <t>Tahun 2026</t>
  </si>
  <si>
    <t>[f]</t>
  </si>
  <si>
    <t>[h]</t>
  </si>
  <si>
    <t>[l]</t>
  </si>
  <si>
    <t>[r]</t>
  </si>
  <si>
    <t>[w] = l/c</t>
  </si>
  <si>
    <t>[x] = l/d</t>
  </si>
  <si>
    <t>[y] = r/l</t>
  </si>
  <si>
    <t>APRIL</t>
  </si>
  <si>
    <t>MAI</t>
  </si>
  <si>
    <t>JUN</t>
  </si>
  <si>
    <t>JULI</t>
  </si>
  <si>
    <t>AUG</t>
  </si>
  <si>
    <t>SEPT</t>
  </si>
  <si>
    <t>OCT</t>
  </si>
  <si>
    <t>NOV</t>
  </si>
  <si>
    <t>DEC</t>
  </si>
  <si>
    <t>RKAP 2027</t>
  </si>
  <si>
    <t>PROGNOSA 2026</t>
  </si>
  <si>
    <t>JAN</t>
  </si>
  <si>
    <t>FEB</t>
  </si>
  <si>
    <t>MRT</t>
  </si>
  <si>
    <t>MEI</t>
  </si>
  <si>
    <t>Dermaga - General Cargo</t>
  </si>
  <si>
    <t>Pengusahaan Gudang</t>
  </si>
  <si>
    <t>4030101000</t>
  </si>
  <si>
    <t>4030102000</t>
  </si>
  <si>
    <t>4030103000</t>
  </si>
  <si>
    <t>Pengusahaan Lapangan</t>
  </si>
  <si>
    <t>Timbangan disewakan</t>
  </si>
  <si>
    <t xml:space="preserve">PENDAPATAN IKPP </t>
  </si>
  <si>
    <t>PENDAPATAN KONSOLIDASI</t>
  </si>
  <si>
    <t>PENDAPATAN CIWANDAN</t>
  </si>
  <si>
    <t>PENDAPATAN BOJONEGARA</t>
  </si>
  <si>
    <t>PENDAPATAN TUKS</t>
  </si>
  <si>
    <t>APR</t>
  </si>
  <si>
    <t>REALISASI 2025</t>
  </si>
  <si>
    <t>6=4/3</t>
  </si>
  <si>
    <t>PERBANDINGAN RKAP 2027</t>
  </si>
  <si>
    <t>PERBANDINGAN PROGNOSA</t>
  </si>
  <si>
    <t>1. Perbandingan antara RKAP 2027 dan Prognosa 2026</t>
  </si>
  <si>
    <t>Jumlah</t>
  </si>
  <si>
    <t>Note :</t>
  </si>
  <si>
    <t>2. Perbandingan antara RKAP 2027 dan RKAP 2026</t>
  </si>
  <si>
    <t>3. Perbandingan antara RKAP 2027 dan Realisasi 2025</t>
  </si>
  <si>
    <t>4. Perbandingan antara Prognosa 2026 dan RKAP 2026</t>
  </si>
  <si>
    <t>5. Perbandingan antara Prognosa 2026 dan Realisasi 2025</t>
  </si>
  <si>
    <t>7=4/2</t>
  </si>
  <si>
    <t>8=4/1</t>
  </si>
  <si>
    <t>9=3/2</t>
  </si>
  <si>
    <t>10=3/1</t>
  </si>
  <si>
    <t>REALISASI S.D MRT-26</t>
  </si>
  <si>
    <t>Cabang</t>
  </si>
  <si>
    <t>IKPP</t>
  </si>
  <si>
    <t>%</t>
  </si>
  <si>
    <t>(Rp)</t>
  </si>
  <si>
    <t>Prognosa 2026</t>
  </si>
  <si>
    <t>Breakdown Pendapatan Tambat</t>
  </si>
  <si>
    <t>Bojonegara</t>
  </si>
  <si>
    <t>Breakdown Pendapatan Penundaan</t>
  </si>
  <si>
    <t>Total Pendapatan Derum</t>
  </si>
  <si>
    <t>Pemanduan</t>
  </si>
  <si>
    <t>Penundaan</t>
  </si>
  <si>
    <t>Pendapatan TUKS</t>
  </si>
  <si>
    <t>TUKAS</t>
  </si>
  <si>
    <t>DERUM</t>
  </si>
  <si>
    <t>Pendapatan Konsolidasi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</si>
</sst>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0.0%"/>
  </numFmts>
  <fonts count="1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Pragmatica Light"/>
      <family val="2"/>
    </font>
    <font>
      <b/>
      <sz val="9"/>
      <color rgb="FFFFFFFF"/>
      <name val="Pragmatica Light"/>
      <family val="2"/>
    </font>
    <font>
      <b/>
      <sz val="10"/>
      <color rgb="FFFF0000"/>
      <name val="Pragmatica Light"/>
      <family val="2"/>
    </font>
    <font>
      <b/>
      <sz val="10"/>
      <color rgb="FFFFFFFF"/>
      <name val="Pragmatica Light"/>
      <family val="2"/>
    </font>
    <font>
      <sz val="11"/>
      <color rgb="FFFF0000"/>
      <name val="Pragmatica Light"/>
      <family val="2"/>
    </font>
    <font>
      <b/>
      <sz val="11"/>
      <color rgb="FFFF0000"/>
      <name val="Pragmatica Light"/>
      <family val="2"/>
    </font>
    <font>
      <b/>
      <sz val="11"/>
      <color rgb="FF000000"/>
      <name val="Pragmatica Light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rgb="FFFF0000"/>
      <name val="Arial"/>
      <family val="2"/>
    </font>
    <font>
      <b/>
      <sz val="11"/>
      <color rgb="FF000000"/>
      <name val="Pragmatica Light"/>
    </font>
    <font>
      <b/>
      <sz val="11"/>
      <name val="Pragmatica Light"/>
      <family val="2"/>
    </font>
  </fonts>
  <fills count="16">
    <fill>
      <patternFill patternType="none"/>
    </fill>
    <fill>
      <patternFill patternType="gray125"/>
    </fill>
    <fill>
      <patternFill patternType="solid">
        <fgColor rgb="FFFFF2CC"/>
        <bgColor rgb="FF000000"/>
      </patternFill>
    </fill>
    <fill>
      <patternFill patternType="solid">
        <fgColor rgb="FF002060"/>
        <bgColor rgb="FF000000"/>
      </patternFill>
    </fill>
    <fill>
      <patternFill patternType="solid">
        <fgColor rgb="FF001F6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8497B0"/>
        <bgColor rgb="FF000000"/>
      </patternFill>
    </fill>
    <fill>
      <patternFill patternType="solid">
        <fgColor rgb="FF525252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1" tint="0.34998626667073579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A6A6A6"/>
      </left>
      <right style="thin">
        <color rgb="FFA6A6A6"/>
      </right>
      <top style="thin">
        <color indexed="64"/>
      </top>
      <bottom/>
      <diagonal/>
    </border>
    <border>
      <left style="thin">
        <color rgb="FFA6A6A6"/>
      </left>
      <right/>
      <top style="thin">
        <color indexed="64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A6A6A6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indexed="64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indexed="64"/>
      </left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/>
      <right/>
      <top style="thin">
        <color indexed="64"/>
      </top>
      <bottom style="thin">
        <color rgb="FFA6A6A6"/>
      </bottom>
      <diagonal/>
    </border>
    <border>
      <left/>
      <right style="thin">
        <color rgb="FFA6A6A6"/>
      </right>
      <top style="thin">
        <color indexed="64"/>
      </top>
      <bottom style="thin">
        <color rgb="FFA6A6A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2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2" fillId="2" borderId="1" xfId="0" applyFont="1" applyFill="1" applyBorder="1" applyAlignment="1">
      <alignment vertical="center"/>
    </xf>
    <xf numFmtId="3" fontId="0" fillId="0" borderId="0" xfId="0" applyNumberFormat="1"/>
    <xf numFmtId="3" fontId="2" fillId="0" borderId="2" xfId="0" applyNumberFormat="1" applyFont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3" fillId="3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vertical="center"/>
    </xf>
    <xf numFmtId="3" fontId="8" fillId="6" borderId="2" xfId="0" applyNumberFormat="1" applyFont="1" applyFill="1" applyBorder="1" applyAlignment="1">
      <alignment vertical="center"/>
    </xf>
    <xf numFmtId="0" fontId="3" fillId="8" borderId="4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center" vertical="center"/>
    </xf>
    <xf numFmtId="164" fontId="0" fillId="0" borderId="0" xfId="1" applyNumberFormat="1" applyFont="1"/>
    <xf numFmtId="43" fontId="0" fillId="0" borderId="0" xfId="0" applyNumberFormat="1"/>
    <xf numFmtId="164" fontId="2" fillId="0" borderId="2" xfId="1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 wrapText="1"/>
    </xf>
    <xf numFmtId="16" fontId="3" fillId="7" borderId="6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9" borderId="5" xfId="0" applyFont="1" applyFill="1" applyBorder="1" applyAlignment="1">
      <alignment horizontal="center" vertical="center"/>
    </xf>
    <xf numFmtId="16" fontId="3" fillId="10" borderId="6" xfId="0" applyNumberFormat="1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/>
    </xf>
    <xf numFmtId="43" fontId="2" fillId="0" borderId="1" xfId="1" applyFont="1" applyBorder="1" applyAlignment="1">
      <alignment vertical="center"/>
    </xf>
    <xf numFmtId="0" fontId="13" fillId="11" borderId="0" xfId="2" applyFont="1" applyFill="1" applyAlignment="1">
      <alignment vertical="center"/>
    </xf>
    <xf numFmtId="0" fontId="4" fillId="4" borderId="18" xfId="0" applyFont="1" applyFill="1" applyBorder="1" applyAlignment="1">
      <alignment horizontal="center" vertical="center"/>
    </xf>
    <xf numFmtId="0" fontId="5" fillId="4" borderId="19" xfId="0" applyFont="1" applyFill="1" applyBorder="1" applyAlignment="1">
      <alignment vertical="center"/>
    </xf>
    <xf numFmtId="0" fontId="6" fillId="0" borderId="17" xfId="0" applyFont="1" applyBorder="1" applyAlignment="1">
      <alignment horizontal="center" vertical="center"/>
    </xf>
    <xf numFmtId="0" fontId="2" fillId="2" borderId="17" xfId="0" applyFont="1" applyFill="1" applyBorder="1" applyAlignment="1">
      <alignment vertical="center"/>
    </xf>
    <xf numFmtId="0" fontId="0" fillId="0" borderId="17" xfId="0" applyBorder="1"/>
    <xf numFmtId="3" fontId="2" fillId="0" borderId="17" xfId="0" applyNumberFormat="1" applyFont="1" applyBorder="1" applyAlignment="1">
      <alignment vertical="center"/>
    </xf>
    <xf numFmtId="164" fontId="2" fillId="0" borderId="17" xfId="1" applyNumberFormat="1" applyFont="1" applyBorder="1" applyAlignment="1">
      <alignment vertical="center"/>
    </xf>
    <xf numFmtId="43" fontId="2" fillId="0" borderId="17" xfId="0" applyNumberFormat="1" applyFont="1" applyBorder="1" applyAlignment="1">
      <alignment vertical="center"/>
    </xf>
    <xf numFmtId="43" fontId="2" fillId="0" borderId="17" xfId="1" applyFont="1" applyBorder="1" applyAlignment="1">
      <alignment vertical="center"/>
    </xf>
    <xf numFmtId="0" fontId="15" fillId="6" borderId="17" xfId="0" applyFont="1" applyFill="1" applyBorder="1" applyAlignment="1">
      <alignment horizontal="center" vertical="center"/>
    </xf>
    <xf numFmtId="0" fontId="14" fillId="12" borderId="17" xfId="0" applyFont="1" applyFill="1" applyBorder="1" applyAlignment="1">
      <alignment vertical="center"/>
    </xf>
    <xf numFmtId="3" fontId="8" fillId="6" borderId="17" xfId="0" applyNumberFormat="1" applyFont="1" applyFill="1" applyBorder="1" applyAlignment="1">
      <alignment vertical="center"/>
    </xf>
    <xf numFmtId="164" fontId="14" fillId="13" borderId="17" xfId="1" applyNumberFormat="1" applyFont="1" applyFill="1" applyBorder="1" applyAlignment="1">
      <alignment vertical="center"/>
    </xf>
    <xf numFmtId="0" fontId="13" fillId="11" borderId="17" xfId="2" applyFont="1" applyFill="1" applyBorder="1" applyAlignment="1">
      <alignment vertical="center"/>
    </xf>
    <xf numFmtId="0" fontId="9" fillId="13" borderId="17" xfId="0" applyFont="1" applyFill="1" applyBorder="1" applyAlignment="1">
      <alignment vertical="center"/>
    </xf>
    <xf numFmtId="0" fontId="2" fillId="12" borderId="17" xfId="0" applyFont="1" applyFill="1" applyBorder="1" applyAlignment="1">
      <alignment vertical="center"/>
    </xf>
    <xf numFmtId="0" fontId="0" fillId="13" borderId="17" xfId="0" applyFill="1" applyBorder="1"/>
    <xf numFmtId="3" fontId="2" fillId="13" borderId="17" xfId="0" applyNumberFormat="1" applyFont="1" applyFill="1" applyBorder="1" applyAlignment="1">
      <alignment vertical="center"/>
    </xf>
    <xf numFmtId="164" fontId="2" fillId="13" borderId="17" xfId="1" applyNumberFormat="1" applyFont="1" applyFill="1" applyBorder="1" applyAlignment="1">
      <alignment vertical="center"/>
    </xf>
    <xf numFmtId="43" fontId="2" fillId="13" borderId="17" xfId="0" applyNumberFormat="1" applyFont="1" applyFill="1" applyBorder="1" applyAlignment="1">
      <alignment vertical="center"/>
    </xf>
    <xf numFmtId="43" fontId="2" fillId="13" borderId="17" xfId="1" applyFont="1" applyFill="1" applyBorder="1" applyAlignment="1">
      <alignment vertical="center"/>
    </xf>
    <xf numFmtId="43" fontId="2" fillId="13" borderId="1" xfId="0" applyNumberFormat="1" applyFont="1" applyFill="1" applyBorder="1" applyAlignment="1">
      <alignment vertical="center"/>
    </xf>
    <xf numFmtId="43" fontId="2" fillId="13" borderId="1" xfId="1" applyFont="1" applyFill="1" applyBorder="1" applyAlignment="1">
      <alignment vertical="center"/>
    </xf>
    <xf numFmtId="3" fontId="8" fillId="6" borderId="20" xfId="0" applyNumberFormat="1" applyFont="1" applyFill="1" applyBorder="1" applyAlignment="1">
      <alignment vertical="center"/>
    </xf>
    <xf numFmtId="165" fontId="2" fillId="0" borderId="17" xfId="1" applyNumberFormat="1" applyFont="1" applyBorder="1" applyAlignment="1">
      <alignment vertical="center"/>
    </xf>
    <xf numFmtId="0" fontId="2" fillId="2" borderId="21" xfId="0" applyFont="1" applyFill="1" applyBorder="1" applyAlignment="1">
      <alignment vertical="center"/>
    </xf>
    <xf numFmtId="164" fontId="10" fillId="0" borderId="0" xfId="0" applyNumberFormat="1" applyFont="1"/>
    <xf numFmtId="43" fontId="0" fillId="0" borderId="0" xfId="1" applyFont="1"/>
    <xf numFmtId="0" fontId="10" fillId="0" borderId="0" xfId="0" applyFont="1"/>
    <xf numFmtId="3" fontId="0" fillId="0" borderId="17" xfId="0" applyNumberFormat="1" applyBorder="1"/>
    <xf numFmtId="164" fontId="0" fillId="0" borderId="17" xfId="1" applyNumberFormat="1" applyFont="1" applyBorder="1"/>
    <xf numFmtId="43" fontId="0" fillId="0" borderId="17" xfId="0" applyNumberFormat="1" applyBorder="1"/>
    <xf numFmtId="0" fontId="10" fillId="0" borderId="17" xfId="0" applyFont="1" applyBorder="1"/>
    <xf numFmtId="3" fontId="10" fillId="0" borderId="17" xfId="0" applyNumberFormat="1" applyFont="1" applyBorder="1"/>
    <xf numFmtId="43" fontId="10" fillId="0" borderId="17" xfId="0" applyNumberFormat="1" applyFont="1" applyBorder="1"/>
    <xf numFmtId="0" fontId="0" fillId="0" borderId="0" xfId="0" applyAlignment="1">
      <alignment horizontal="left"/>
    </xf>
    <xf numFmtId="166" fontId="0" fillId="0" borderId="0" xfId="3" applyNumberFormat="1" applyFont="1" applyAlignment="1">
      <alignment horizontal="center"/>
    </xf>
    <xf numFmtId="43" fontId="2" fillId="0" borderId="17" xfId="1" applyNumberFormat="1" applyFont="1" applyBorder="1" applyAlignment="1">
      <alignment vertical="center"/>
    </xf>
    <xf numFmtId="10" fontId="0" fillId="0" borderId="17" xfId="3" applyNumberFormat="1" applyFont="1" applyBorder="1" applyAlignment="1">
      <alignment horizontal="center"/>
    </xf>
    <xf numFmtId="164" fontId="0" fillId="0" borderId="17" xfId="1" applyNumberFormat="1" applyFont="1" applyBorder="1" applyAlignment="1">
      <alignment horizontal="center"/>
    </xf>
    <xf numFmtId="0" fontId="10" fillId="14" borderId="17" xfId="0" applyFont="1" applyFill="1" applyBorder="1" applyAlignment="1">
      <alignment horizontal="center"/>
    </xf>
    <xf numFmtId="0" fontId="10" fillId="0" borderId="17" xfId="0" applyFont="1" applyBorder="1" applyAlignment="1">
      <alignment horizontal="left"/>
    </xf>
    <xf numFmtId="0" fontId="10" fillId="0" borderId="17" xfId="0" applyFont="1" applyFill="1" applyBorder="1" applyAlignment="1">
      <alignment horizontal="left"/>
    </xf>
    <xf numFmtId="9" fontId="10" fillId="0" borderId="17" xfId="3" applyFont="1" applyBorder="1" applyAlignment="1">
      <alignment horizontal="center"/>
    </xf>
    <xf numFmtId="164" fontId="10" fillId="0" borderId="17" xfId="0" applyNumberFormat="1" applyFont="1" applyBorder="1"/>
    <xf numFmtId="0" fontId="10" fillId="15" borderId="17" xfId="0" applyFont="1" applyFill="1" applyBorder="1" applyAlignment="1">
      <alignment horizontal="center"/>
    </xf>
    <xf numFmtId="0" fontId="10" fillId="15" borderId="24" xfId="0" applyFont="1" applyFill="1" applyBorder="1" applyAlignment="1">
      <alignment horizontal="center"/>
    </xf>
    <xf numFmtId="0" fontId="10" fillId="15" borderId="17" xfId="0" applyFont="1" applyFill="1" applyBorder="1" applyAlignment="1">
      <alignment horizontal="center"/>
    </xf>
    <xf numFmtId="0" fontId="10" fillId="14" borderId="17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0" fontId="3" fillId="7" borderId="15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center"/>
    </xf>
    <xf numFmtId="0" fontId="0" fillId="0" borderId="0" xfId="0" applyAlignment="1">
      <alignment horizontal="left"/>
    </xf>
    <xf numFmtId="0" fontId="10" fillId="15" borderId="22" xfId="0" applyFont="1" applyFill="1" applyBorder="1" applyAlignment="1">
      <alignment horizontal="center" vertical="center"/>
    </xf>
    <xf numFmtId="0" fontId="10" fillId="15" borderId="23" xfId="0" applyFont="1" applyFill="1" applyBorder="1" applyAlignment="1">
      <alignment horizontal="center" vertical="center"/>
    </xf>
    <xf numFmtId="0" fontId="10" fillId="15" borderId="17" xfId="0" applyFont="1" applyFill="1" applyBorder="1" applyAlignment="1">
      <alignment horizontal="center"/>
    </xf>
    <xf numFmtId="0" fontId="10" fillId="14" borderId="17" xfId="0" applyFont="1" applyFill="1" applyBorder="1" applyAlignment="1">
      <alignment horizontal="center"/>
    </xf>
    <xf numFmtId="0" fontId="10" fillId="15" borderId="17" xfId="0" applyFont="1" applyFill="1" applyBorder="1" applyAlignment="1">
      <alignment horizontal="center" wrapText="1"/>
    </xf>
    <xf numFmtId="0" fontId="10" fillId="14" borderId="25" xfId="0" applyFont="1" applyFill="1" applyBorder="1" applyAlignment="1">
      <alignment horizontal="center"/>
    </xf>
    <xf numFmtId="0" fontId="10" fillId="14" borderId="26" xfId="0" applyFont="1" applyFill="1" applyBorder="1" applyAlignment="1">
      <alignment horizontal="center"/>
    </xf>
    <xf numFmtId="0" fontId="10" fillId="15" borderId="25" xfId="0" applyFont="1" applyFill="1" applyBorder="1" applyAlignment="1">
      <alignment horizontal="center"/>
    </xf>
    <xf numFmtId="0" fontId="10" fillId="15" borderId="26" xfId="0" applyFont="1" applyFill="1" applyBorder="1" applyAlignment="1">
      <alignment horizontal="center"/>
    </xf>
    <xf numFmtId="0" fontId="10" fillId="15" borderId="22" xfId="0" applyFont="1" applyFill="1" applyBorder="1" applyAlignment="1">
      <alignment horizontal="center" wrapText="1"/>
    </xf>
    <xf numFmtId="0" fontId="10" fillId="15" borderId="23" xfId="0" applyFont="1" applyFill="1" applyBorder="1" applyAlignment="1">
      <alignment horizontal="center" wrapText="1"/>
    </xf>
    <xf numFmtId="0" fontId="10" fillId="15" borderId="17" xfId="0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B038A2D9-B7C2-4674-B12B-8815EE3688D6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2E02-2519-460D-BF02-437B7CBC70CA}">
  <dimension ref="B3:AM66"/>
  <sheetViews>
    <sheetView topLeftCell="S31" zoomScale="74" zoomScaleNormal="100" workbookViewId="0">
      <selection activeCell="Q28" sqref="Q28"/>
    </sheetView>
  </sheetViews>
  <sheetFormatPr defaultRowHeight="14.4"/>
  <cols>
    <col min="2" max="2" width="12.6640625" bestFit="1" customWidth="1"/>
    <col min="3" max="3" width="25.33203125" bestFit="1" customWidth="1"/>
    <col min="4" max="4" width="16.21875" bestFit="1" customWidth="1"/>
    <col min="5" max="7" width="17.33203125" bestFit="1" customWidth="1"/>
    <col min="8" max="8" width="16.21875" bestFit="1" customWidth="1"/>
    <col min="9" max="9" width="18.88671875" bestFit="1" customWidth="1"/>
    <col min="10" max="18" width="17.6640625" bestFit="1" customWidth="1"/>
    <col min="19" max="19" width="19" bestFit="1" customWidth="1"/>
    <col min="20" max="31" width="17.77734375" customWidth="1"/>
    <col min="32" max="32" width="19" bestFit="1" customWidth="1"/>
    <col min="37" max="37" width="17.88671875" bestFit="1" customWidth="1"/>
    <col min="39" max="39" width="10" customWidth="1"/>
    <col min="40" max="40" width="43.21875" customWidth="1"/>
  </cols>
  <sheetData>
    <row r="3" spans="2:39">
      <c r="R3" s="26"/>
      <c r="S3" s="19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</row>
    <row r="4" spans="2:39">
      <c r="B4" s="97" t="s">
        <v>56</v>
      </c>
      <c r="C4" s="97"/>
      <c r="I4" s="61"/>
    </row>
    <row r="5" spans="2:39">
      <c r="B5" s="83" t="s">
        <v>14</v>
      </c>
      <c r="C5" s="84"/>
      <c r="D5" s="4" t="s">
        <v>3</v>
      </c>
      <c r="E5" s="4" t="s">
        <v>4</v>
      </c>
      <c r="F5" s="4" t="s">
        <v>5</v>
      </c>
      <c r="G5" s="5" t="s">
        <v>6</v>
      </c>
      <c r="H5" s="5" t="s">
        <v>18</v>
      </c>
      <c r="I5" s="5" t="s">
        <v>19</v>
      </c>
      <c r="J5" s="91" t="s">
        <v>43</v>
      </c>
      <c r="K5" s="92"/>
      <c r="L5" s="92"/>
      <c r="M5" s="92"/>
      <c r="N5" s="92"/>
      <c r="O5" s="92"/>
      <c r="P5" s="92"/>
      <c r="Q5" s="92"/>
      <c r="R5" s="93"/>
      <c r="S5" s="16" t="s">
        <v>20</v>
      </c>
      <c r="T5" s="30"/>
      <c r="U5" s="30"/>
      <c r="V5" s="30"/>
      <c r="W5" s="94" t="s">
        <v>42</v>
      </c>
      <c r="X5" s="95"/>
      <c r="Y5" s="95"/>
      <c r="Z5" s="95"/>
      <c r="AA5" s="95"/>
      <c r="AB5" s="95"/>
      <c r="AC5" s="95"/>
      <c r="AD5" s="95"/>
      <c r="AE5" s="96"/>
      <c r="AF5" s="16" t="s">
        <v>21</v>
      </c>
      <c r="AG5" s="89" t="s">
        <v>22</v>
      </c>
      <c r="AH5" s="90"/>
      <c r="AI5" s="90"/>
      <c r="AK5" s="61"/>
    </row>
    <row r="6" spans="2:39">
      <c r="B6" s="85"/>
      <c r="C6" s="86"/>
      <c r="D6" s="6" t="s">
        <v>7</v>
      </c>
      <c r="E6" s="6" t="s">
        <v>7</v>
      </c>
      <c r="F6" s="6" t="s">
        <v>8</v>
      </c>
      <c r="G6" s="7" t="s">
        <v>9</v>
      </c>
      <c r="H6" s="7" t="s">
        <v>23</v>
      </c>
      <c r="I6" s="7" t="s">
        <v>24</v>
      </c>
      <c r="J6" s="25" t="s">
        <v>33</v>
      </c>
      <c r="K6" s="25" t="s">
        <v>34</v>
      </c>
      <c r="L6" s="25" t="s">
        <v>35</v>
      </c>
      <c r="M6" s="25" t="s">
        <v>36</v>
      </c>
      <c r="N6" s="25" t="s">
        <v>37</v>
      </c>
      <c r="O6" s="25" t="s">
        <v>38</v>
      </c>
      <c r="P6" s="25" t="s">
        <v>39</v>
      </c>
      <c r="Q6" s="25" t="s">
        <v>40</v>
      </c>
      <c r="R6" s="25" t="s">
        <v>41</v>
      </c>
      <c r="S6" s="17" t="s">
        <v>25</v>
      </c>
      <c r="T6" s="31" t="s">
        <v>44</v>
      </c>
      <c r="U6" s="31" t="s">
        <v>45</v>
      </c>
      <c r="V6" s="31" t="s">
        <v>46</v>
      </c>
      <c r="W6" s="28" t="s">
        <v>33</v>
      </c>
      <c r="X6" s="28" t="s">
        <v>47</v>
      </c>
      <c r="Y6" s="28" t="s">
        <v>35</v>
      </c>
      <c r="Z6" s="28" t="s">
        <v>36</v>
      </c>
      <c r="AA6" s="28" t="s">
        <v>37</v>
      </c>
      <c r="AB6" s="28" t="s">
        <v>38</v>
      </c>
      <c r="AC6" s="28" t="s">
        <v>39</v>
      </c>
      <c r="AD6" s="28" t="s">
        <v>40</v>
      </c>
      <c r="AE6" s="28" t="s">
        <v>41</v>
      </c>
      <c r="AF6" s="17" t="s">
        <v>9</v>
      </c>
      <c r="AG6" s="7"/>
      <c r="AH6" s="7"/>
      <c r="AI6" s="7"/>
      <c r="AK6" s="20"/>
    </row>
    <row r="7" spans="2:39">
      <c r="B7" s="87"/>
      <c r="C7" s="88"/>
      <c r="D7" s="6" t="s">
        <v>10</v>
      </c>
      <c r="E7" s="6" t="s">
        <v>11</v>
      </c>
      <c r="F7" s="6" t="s">
        <v>12</v>
      </c>
      <c r="G7" s="6" t="s">
        <v>13</v>
      </c>
      <c r="H7" s="6" t="s">
        <v>26</v>
      </c>
      <c r="I7" s="6" t="s">
        <v>27</v>
      </c>
      <c r="J7" s="27"/>
      <c r="K7" s="27"/>
      <c r="L7" s="27"/>
      <c r="M7" s="27"/>
      <c r="N7" s="27"/>
      <c r="O7" s="27"/>
      <c r="P7" s="27"/>
      <c r="Q7" s="27"/>
      <c r="R7" s="27"/>
      <c r="S7" s="18" t="s">
        <v>28</v>
      </c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18" t="s">
        <v>29</v>
      </c>
      <c r="AG7" s="6" t="s">
        <v>30</v>
      </c>
      <c r="AH7" s="6" t="s">
        <v>31</v>
      </c>
      <c r="AI7" s="6" t="s">
        <v>32</v>
      </c>
    </row>
    <row r="8" spans="2:39">
      <c r="B8" s="8"/>
      <c r="C8" s="9" t="s">
        <v>15</v>
      </c>
      <c r="D8" s="10"/>
      <c r="E8" s="10"/>
      <c r="F8" s="10"/>
      <c r="G8" s="10"/>
    </row>
    <row r="9" spans="2:39">
      <c r="B9" s="12">
        <v>4010200000</v>
      </c>
      <c r="C9" s="1" t="s">
        <v>0</v>
      </c>
      <c r="D9" s="3">
        <v>3827230611</v>
      </c>
      <c r="E9" s="3">
        <v>5775542903</v>
      </c>
      <c r="F9" s="3">
        <v>5041541657</v>
      </c>
      <c r="G9" s="3">
        <v>5064214344</v>
      </c>
      <c r="H9" s="3">
        <v>1353153240</v>
      </c>
      <c r="I9" s="3">
        <v>1747843289</v>
      </c>
      <c r="J9" s="21">
        <v>517085124</v>
      </c>
      <c r="K9" s="21">
        <v>517085124</v>
      </c>
      <c r="L9" s="21">
        <v>516185124</v>
      </c>
      <c r="M9" s="21">
        <v>519085124</v>
      </c>
      <c r="N9" s="21">
        <v>518085124</v>
      </c>
      <c r="O9" s="21">
        <v>515085124</v>
      </c>
      <c r="P9" s="21">
        <v>527085124</v>
      </c>
      <c r="Q9" s="21">
        <v>525185124</v>
      </c>
      <c r="R9" s="21">
        <v>506085124</v>
      </c>
      <c r="S9" s="21">
        <f>SUM(I9:R9)</f>
        <v>6408809405</v>
      </c>
      <c r="T9" s="21">
        <v>589251184.83980978</v>
      </c>
      <c r="U9" s="21">
        <v>572088528.97068882</v>
      </c>
      <c r="V9" s="21">
        <v>286044264.48534441</v>
      </c>
      <c r="W9" s="21">
        <v>572088528.97068882</v>
      </c>
      <c r="X9" s="21">
        <v>572088528.97068882</v>
      </c>
      <c r="Y9" s="21">
        <v>572088528.97068882</v>
      </c>
      <c r="Z9" s="21">
        <v>572088528.97068882</v>
      </c>
      <c r="AA9" s="21">
        <v>572088528.97068882</v>
      </c>
      <c r="AB9" s="21">
        <v>572088528.97068882</v>
      </c>
      <c r="AC9" s="21">
        <v>572088528.97068882</v>
      </c>
      <c r="AD9" s="21">
        <v>572088528.97068882</v>
      </c>
      <c r="AE9" s="21">
        <v>572088528.97068882</v>
      </c>
      <c r="AF9" s="22">
        <f>SUM(T9:AE9)</f>
        <v>6596180739.0320425</v>
      </c>
      <c r="AG9" s="23">
        <f>S9/F9</f>
        <v>1.2712003274041379</v>
      </c>
      <c r="AH9" s="23">
        <f>S9/G9</f>
        <v>1.2655091134902405</v>
      </c>
      <c r="AI9" s="32">
        <f>AF9/S9</f>
        <v>1.0292365277528552</v>
      </c>
      <c r="AK9" s="19"/>
      <c r="AM9" s="20"/>
    </row>
    <row r="10" spans="2:39">
      <c r="B10" s="12">
        <v>4010300000</v>
      </c>
      <c r="C10" s="1" t="s">
        <v>1</v>
      </c>
      <c r="D10" s="3">
        <v>23959764403</v>
      </c>
      <c r="E10" s="3">
        <v>41905655605</v>
      </c>
      <c r="F10" s="3">
        <v>38777589997</v>
      </c>
      <c r="G10" s="3">
        <v>45802086031</v>
      </c>
      <c r="H10" s="3">
        <v>10940590218</v>
      </c>
      <c r="I10" s="3">
        <v>13027152416</v>
      </c>
      <c r="J10" s="21">
        <v>3859934358</v>
      </c>
      <c r="K10" s="21">
        <v>3839934358</v>
      </c>
      <c r="L10" s="21">
        <v>3839934358</v>
      </c>
      <c r="M10" s="21">
        <v>3899934358</v>
      </c>
      <c r="N10" s="21">
        <v>3899934358</v>
      </c>
      <c r="O10" s="21">
        <v>3829934358</v>
      </c>
      <c r="P10" s="21">
        <v>3869934358</v>
      </c>
      <c r="Q10" s="21">
        <v>3859834358</v>
      </c>
      <c r="R10" s="21">
        <v>3839934358</v>
      </c>
      <c r="S10" s="21">
        <f>SUM(I10:R10)</f>
        <v>47766461638</v>
      </c>
      <c r="T10" s="21">
        <v>4263931731.8947563</v>
      </c>
      <c r="U10" s="21">
        <v>4263931731.8947563</v>
      </c>
      <c r="V10" s="21">
        <v>2131965865.9473782</v>
      </c>
      <c r="W10" s="21">
        <v>4263931731.8947563</v>
      </c>
      <c r="X10" s="21">
        <v>4263931731.8947563</v>
      </c>
      <c r="Y10" s="21">
        <v>4263931731.8947563</v>
      </c>
      <c r="Z10" s="21">
        <v>4263931731.8947563</v>
      </c>
      <c r="AA10" s="21">
        <v>4263931731.8947563</v>
      </c>
      <c r="AB10" s="21">
        <v>4263931731.8947563</v>
      </c>
      <c r="AC10" s="21">
        <v>4263931731.8947563</v>
      </c>
      <c r="AD10" s="21">
        <v>4263931731.8947563</v>
      </c>
      <c r="AE10" s="21">
        <v>4263931731.8947563</v>
      </c>
      <c r="AF10" s="22">
        <f t="shared" ref="AF10:AF11" si="0">SUM(T10:AE10)</f>
        <v>49035214916.789703</v>
      </c>
      <c r="AG10" s="23">
        <f>S10/F10</f>
        <v>1.231805835321262</v>
      </c>
      <c r="AH10" s="23">
        <f>S10/G10</f>
        <v>1.0428883436809071</v>
      </c>
      <c r="AI10" s="32">
        <f>AF10/S10</f>
        <v>1.026561592282154</v>
      </c>
      <c r="AK10" s="19"/>
      <c r="AM10" s="20"/>
    </row>
    <row r="11" spans="2:39">
      <c r="B11" s="12">
        <v>4010400000</v>
      </c>
      <c r="C11" s="1" t="s">
        <v>2</v>
      </c>
      <c r="D11" s="3">
        <v>27302323050</v>
      </c>
      <c r="E11" s="3">
        <v>48026526364</v>
      </c>
      <c r="F11" s="3">
        <v>51229046721</v>
      </c>
      <c r="G11" s="3">
        <v>48074254664</v>
      </c>
      <c r="H11" s="3">
        <v>16887380133</v>
      </c>
      <c r="I11" s="3">
        <v>20352721620</v>
      </c>
      <c r="J11" s="21">
        <v>6205453777</v>
      </c>
      <c r="K11" s="21">
        <v>6005453777</v>
      </c>
      <c r="L11" s="21">
        <v>6005453777</v>
      </c>
      <c r="M11" s="21">
        <v>6005453777</v>
      </c>
      <c r="N11" s="21">
        <v>6005453777</v>
      </c>
      <c r="O11" s="21">
        <v>6005463777</v>
      </c>
      <c r="P11" s="21">
        <v>6018853777</v>
      </c>
      <c r="Q11" s="21">
        <v>6015453777</v>
      </c>
      <c r="R11" s="21">
        <v>6006853777</v>
      </c>
      <c r="S11" s="21">
        <f t="shared" ref="S11" si="1">SUM(I11:R11)</f>
        <v>74626615613</v>
      </c>
      <c r="T11" s="21">
        <v>6995005260.9106665</v>
      </c>
      <c r="U11" s="21">
        <v>6995005260.9106665</v>
      </c>
      <c r="V11" s="21">
        <v>3664169297.1220002</v>
      </c>
      <c r="W11" s="21">
        <v>6995005260.9106665</v>
      </c>
      <c r="X11" s="21">
        <v>6995005260.9106665</v>
      </c>
      <c r="Y11" s="21">
        <v>6995005260.9106665</v>
      </c>
      <c r="Z11" s="21">
        <v>6995005260.9106665</v>
      </c>
      <c r="AA11" s="21">
        <v>6995005260.9106665</v>
      </c>
      <c r="AB11" s="21">
        <v>6995005260.9106665</v>
      </c>
      <c r="AC11" s="21">
        <v>6995005260.9106665</v>
      </c>
      <c r="AD11" s="21">
        <v>6995005260.9106665</v>
      </c>
      <c r="AE11" s="21">
        <v>6995005260.9106665</v>
      </c>
      <c r="AF11" s="22">
        <f t="shared" si="0"/>
        <v>80609227167.139328</v>
      </c>
      <c r="AG11" s="23">
        <f>S11/F11</f>
        <v>1.4567246589503446</v>
      </c>
      <c r="AH11" s="23">
        <f>S11/G11</f>
        <v>1.5523197631368275</v>
      </c>
      <c r="AI11" s="32">
        <f>AF11/S11</f>
        <v>1.0801672634487949</v>
      </c>
      <c r="AK11" s="19"/>
      <c r="AM11" s="20"/>
    </row>
    <row r="12" spans="2:39">
      <c r="B12" s="13">
        <v>4010000000</v>
      </c>
      <c r="C12" s="14" t="s">
        <v>17</v>
      </c>
      <c r="D12" s="15">
        <f t="shared" ref="D12:I12" si="2">SUM(D9:D11)</f>
        <v>55089318064</v>
      </c>
      <c r="E12" s="15">
        <f t="shared" si="2"/>
        <v>95707724872</v>
      </c>
      <c r="F12" s="15">
        <f t="shared" si="2"/>
        <v>95048178375</v>
      </c>
      <c r="G12" s="15">
        <f t="shared" si="2"/>
        <v>98940555039</v>
      </c>
      <c r="H12" s="15">
        <f t="shared" si="2"/>
        <v>29181123591</v>
      </c>
      <c r="I12" s="15">
        <f t="shared" si="2"/>
        <v>35127717325</v>
      </c>
      <c r="J12" s="15"/>
      <c r="K12" s="15"/>
      <c r="L12" s="15"/>
      <c r="M12" s="15"/>
      <c r="N12" s="15"/>
      <c r="O12" s="15"/>
      <c r="P12" s="15"/>
      <c r="Q12" s="15"/>
      <c r="R12" s="15">
        <f>SUM(R9:R11)</f>
        <v>10352873259</v>
      </c>
      <c r="S12" s="15">
        <f>SUM(S9:S11)</f>
        <v>128801886656</v>
      </c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>
        <f>SUM(AF9:AF11)</f>
        <v>136240622822.96107</v>
      </c>
      <c r="AG12" s="55">
        <f>S12/F12</f>
        <v>1.3551220955316914</v>
      </c>
      <c r="AH12" s="55">
        <f>S12/G12</f>
        <v>1.3018108358622951</v>
      </c>
      <c r="AI12" s="56">
        <f>AF12/S12</f>
        <v>1.0577533168192499</v>
      </c>
    </row>
    <row r="13" spans="2:39">
      <c r="S13" s="20"/>
      <c r="AF13" s="19"/>
      <c r="AK13" s="19"/>
    </row>
    <row r="14" spans="2:39">
      <c r="B14" s="97" t="s">
        <v>57</v>
      </c>
      <c r="C14" s="97"/>
      <c r="AK14" s="20"/>
    </row>
    <row r="15" spans="2:39">
      <c r="B15" s="83" t="s">
        <v>14</v>
      </c>
      <c r="C15" s="84"/>
      <c r="D15" s="4" t="s">
        <v>3</v>
      </c>
      <c r="E15" s="4" t="s">
        <v>4</v>
      </c>
      <c r="F15" s="4" t="s">
        <v>5</v>
      </c>
      <c r="G15" s="24" t="s">
        <v>6</v>
      </c>
      <c r="H15" s="24" t="s">
        <v>18</v>
      </c>
      <c r="I15" s="24" t="s">
        <v>19</v>
      </c>
      <c r="J15" s="91" t="s">
        <v>43</v>
      </c>
      <c r="K15" s="92"/>
      <c r="L15" s="92"/>
      <c r="M15" s="92"/>
      <c r="N15" s="92"/>
      <c r="O15" s="92"/>
      <c r="P15" s="92"/>
      <c r="Q15" s="92"/>
      <c r="R15" s="93"/>
      <c r="S15" s="16" t="s">
        <v>20</v>
      </c>
      <c r="T15" s="30"/>
      <c r="U15" s="30"/>
      <c r="V15" s="30"/>
      <c r="W15" s="94" t="s">
        <v>42</v>
      </c>
      <c r="X15" s="95"/>
      <c r="Y15" s="95"/>
      <c r="Z15" s="95"/>
      <c r="AA15" s="95"/>
      <c r="AB15" s="95"/>
      <c r="AC15" s="95"/>
      <c r="AD15" s="95"/>
      <c r="AE15" s="96"/>
      <c r="AF15" s="16" t="s">
        <v>21</v>
      </c>
      <c r="AG15" s="89" t="s">
        <v>22</v>
      </c>
      <c r="AH15" s="90"/>
      <c r="AI15" s="90"/>
      <c r="AK15" s="20"/>
    </row>
    <row r="16" spans="2:39">
      <c r="B16" s="85"/>
      <c r="C16" s="86"/>
      <c r="D16" s="6" t="s">
        <v>7</v>
      </c>
      <c r="E16" s="6" t="s">
        <v>7</v>
      </c>
      <c r="F16" s="6" t="s">
        <v>8</v>
      </c>
      <c r="G16" s="7" t="s">
        <v>9</v>
      </c>
      <c r="H16" s="7" t="s">
        <v>23</v>
      </c>
      <c r="I16" s="7" t="s">
        <v>24</v>
      </c>
      <c r="J16" s="25" t="s">
        <v>33</v>
      </c>
      <c r="K16" s="25" t="s">
        <v>34</v>
      </c>
      <c r="L16" s="25" t="s">
        <v>35</v>
      </c>
      <c r="M16" s="25" t="s">
        <v>36</v>
      </c>
      <c r="N16" s="25" t="s">
        <v>37</v>
      </c>
      <c r="O16" s="25" t="s">
        <v>38</v>
      </c>
      <c r="P16" s="25" t="s">
        <v>39</v>
      </c>
      <c r="Q16" s="25" t="s">
        <v>40</v>
      </c>
      <c r="R16" s="25" t="s">
        <v>41</v>
      </c>
      <c r="S16" s="17" t="s">
        <v>25</v>
      </c>
      <c r="T16" s="31" t="s">
        <v>44</v>
      </c>
      <c r="U16" s="31" t="s">
        <v>45</v>
      </c>
      <c r="V16" s="31" t="s">
        <v>46</v>
      </c>
      <c r="W16" s="28" t="s">
        <v>33</v>
      </c>
      <c r="X16" s="28" t="s">
        <v>47</v>
      </c>
      <c r="Y16" s="28" t="s">
        <v>35</v>
      </c>
      <c r="Z16" s="28" t="s">
        <v>36</v>
      </c>
      <c r="AA16" s="28" t="s">
        <v>37</v>
      </c>
      <c r="AB16" s="28" t="s">
        <v>38</v>
      </c>
      <c r="AC16" s="28" t="s">
        <v>39</v>
      </c>
      <c r="AD16" s="28" t="s">
        <v>40</v>
      </c>
      <c r="AE16" s="28" t="s">
        <v>41</v>
      </c>
      <c r="AF16" s="17" t="s">
        <v>9</v>
      </c>
      <c r="AG16" s="7"/>
      <c r="AH16" s="7"/>
      <c r="AI16" s="7"/>
    </row>
    <row r="17" spans="2:35">
      <c r="B17" s="87"/>
      <c r="C17" s="88"/>
      <c r="D17" s="6" t="s">
        <v>10</v>
      </c>
      <c r="E17" s="6" t="s">
        <v>11</v>
      </c>
      <c r="F17" s="6" t="s">
        <v>12</v>
      </c>
      <c r="G17" s="6" t="s">
        <v>13</v>
      </c>
      <c r="H17" s="6" t="s">
        <v>26</v>
      </c>
      <c r="I17" s="6" t="s">
        <v>27</v>
      </c>
      <c r="J17" s="27"/>
      <c r="K17" s="27"/>
      <c r="L17" s="27"/>
      <c r="M17" s="27"/>
      <c r="N17" s="27"/>
      <c r="O17" s="27"/>
      <c r="P17" s="27"/>
      <c r="Q17" s="27"/>
      <c r="R17" s="27"/>
      <c r="S17" s="18" t="s">
        <v>28</v>
      </c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18" t="s">
        <v>29</v>
      </c>
      <c r="AG17" s="6" t="s">
        <v>30</v>
      </c>
      <c r="AH17" s="6" t="s">
        <v>31</v>
      </c>
      <c r="AI17" s="6" t="s">
        <v>32</v>
      </c>
    </row>
    <row r="18" spans="2:35">
      <c r="B18" s="8"/>
      <c r="C18" s="9" t="s">
        <v>15</v>
      </c>
      <c r="D18" s="10"/>
      <c r="E18" s="10"/>
      <c r="F18" s="10"/>
      <c r="G18" s="10"/>
    </row>
    <row r="19" spans="2:35">
      <c r="B19" s="12">
        <v>4010100000</v>
      </c>
      <c r="C19" s="1" t="s">
        <v>16</v>
      </c>
      <c r="D19" s="11"/>
      <c r="E19" s="11"/>
      <c r="F19" s="11"/>
      <c r="G19" s="11"/>
    </row>
    <row r="20" spans="2:35">
      <c r="B20" s="12">
        <v>4010200000</v>
      </c>
      <c r="C20" s="1" t="s">
        <v>0</v>
      </c>
      <c r="D20" s="3"/>
      <c r="E20" s="3"/>
      <c r="F20" s="3"/>
      <c r="G20" s="3"/>
      <c r="H20" s="3"/>
      <c r="I20" s="21">
        <f>I9-(I31+I47)</f>
        <v>958599434.75</v>
      </c>
      <c r="J20" s="21">
        <f>J9-(J31+J47)</f>
        <v>254003839.25</v>
      </c>
      <c r="K20" s="21">
        <f>K9-(K31+K47)</f>
        <v>255487688.5</v>
      </c>
      <c r="L20" s="21">
        <f t="shared" ref="L20:R20" si="3">L9-(L31+L47)</f>
        <v>252116658.5</v>
      </c>
      <c r="M20" s="21">
        <f t="shared" si="3"/>
        <v>255016658.5</v>
      </c>
      <c r="N20" s="21">
        <f t="shared" si="3"/>
        <v>254016658.5</v>
      </c>
      <c r="O20" s="21">
        <f t="shared" si="3"/>
        <v>251016658.5</v>
      </c>
      <c r="P20" s="21">
        <f t="shared" si="3"/>
        <v>263016658.5</v>
      </c>
      <c r="Q20" s="21">
        <f t="shared" si="3"/>
        <v>261116658.5</v>
      </c>
      <c r="R20" s="21">
        <f t="shared" si="3"/>
        <v>242016658.5</v>
      </c>
      <c r="S20" s="21">
        <f>SUM(I20:R20)</f>
        <v>3246407572</v>
      </c>
      <c r="T20" s="21">
        <f>T9-(T31+T47)</f>
        <v>316917412.27480978</v>
      </c>
      <c r="U20" s="21">
        <f t="shared" ref="U20:AE20" si="4">U9-(U31+U47)</f>
        <v>296926057.20568883</v>
      </c>
      <c r="V20" s="21">
        <f t="shared" si="4"/>
        <v>17770541.192844391</v>
      </c>
      <c r="W20" s="21">
        <f t="shared" si="4"/>
        <v>301982926.60568881</v>
      </c>
      <c r="X20" s="21">
        <f t="shared" si="4"/>
        <v>300649038.30485547</v>
      </c>
      <c r="Y20" s="21">
        <f t="shared" si="4"/>
        <v>300649038.30485547</v>
      </c>
      <c r="Z20" s="21">
        <f t="shared" si="4"/>
        <v>300549038.30485547</v>
      </c>
      <c r="AA20" s="21">
        <f t="shared" si="4"/>
        <v>300649038.30485547</v>
      </c>
      <c r="AB20" s="21">
        <f t="shared" si="4"/>
        <v>300649038.30485547</v>
      </c>
      <c r="AC20" s="21">
        <f t="shared" si="4"/>
        <v>299754756.40568882</v>
      </c>
      <c r="AD20" s="21">
        <f t="shared" si="4"/>
        <v>300649038.30485547</v>
      </c>
      <c r="AE20" s="21">
        <f t="shared" si="4"/>
        <v>300797362.20568883</v>
      </c>
      <c r="AF20" s="22">
        <f>SUM(T20:AE20)</f>
        <v>3337943285.7195415</v>
      </c>
      <c r="AG20" s="23" t="e">
        <f>S20/F20</f>
        <v>#DIV/0!</v>
      </c>
      <c r="AH20" s="23" t="e">
        <f>S20/G20</f>
        <v>#DIV/0!</v>
      </c>
      <c r="AI20" s="32">
        <f>AF20/S20</f>
        <v>1.0281960017925751</v>
      </c>
    </row>
    <row r="21" spans="2:35">
      <c r="B21" s="12">
        <v>4010300000</v>
      </c>
      <c r="C21" s="1" t="s">
        <v>1</v>
      </c>
      <c r="D21" s="3"/>
      <c r="E21" s="3"/>
      <c r="F21" s="3"/>
      <c r="G21" s="3"/>
      <c r="H21" s="3"/>
      <c r="I21" s="21">
        <f t="shared" ref="I21" si="5">I10-(I32+I48)</f>
        <v>7433625843.5</v>
      </c>
      <c r="J21" s="21">
        <f t="shared" ref="J21:J22" si="6">J10-(J32+J48)</f>
        <v>1995425500.5</v>
      </c>
      <c r="K21" s="21">
        <f>K10-(K32+K48)</f>
        <v>1972451874.8499999</v>
      </c>
      <c r="L21" s="21">
        <f t="shared" ref="L21:R21" si="7">L10-(L32+L48)</f>
        <v>1946943533.6500001</v>
      </c>
      <c r="M21" s="21">
        <f t="shared" si="7"/>
        <v>2006943533.6500001</v>
      </c>
      <c r="N21" s="21">
        <f t="shared" si="7"/>
        <v>2006943533.6500001</v>
      </c>
      <c r="O21" s="21">
        <f t="shared" si="7"/>
        <v>1936943533.6500001</v>
      </c>
      <c r="P21" s="21">
        <f t="shared" si="7"/>
        <v>1976943533.6500001</v>
      </c>
      <c r="Q21" s="21">
        <f t="shared" si="7"/>
        <v>1966843533.6500001</v>
      </c>
      <c r="R21" s="21">
        <f t="shared" si="7"/>
        <v>1946943533.6500001</v>
      </c>
      <c r="S21" s="21">
        <f>SUM(I21:R21)</f>
        <v>25190007954.400005</v>
      </c>
      <c r="T21" s="21">
        <f>T10-(T32+T48)</f>
        <v>2337681529.6222563</v>
      </c>
      <c r="U21" s="21">
        <f t="shared" ref="U21:AE21" si="8">U10-(U32+U48)</f>
        <v>2297944564.1222563</v>
      </c>
      <c r="V21" s="21">
        <f t="shared" si="8"/>
        <v>216521742.72237802</v>
      </c>
      <c r="W21" s="21">
        <f t="shared" si="8"/>
        <v>2340329864.1222563</v>
      </c>
      <c r="X21" s="21">
        <f t="shared" si="8"/>
        <v>2326119457.3857565</v>
      </c>
      <c r="Y21" s="21">
        <f t="shared" si="8"/>
        <v>2318359457.3857565</v>
      </c>
      <c r="Z21" s="21">
        <f t="shared" si="8"/>
        <v>2317319457.3857565</v>
      </c>
      <c r="AA21" s="21">
        <f t="shared" si="8"/>
        <v>2326019457.3857565</v>
      </c>
      <c r="AB21" s="21">
        <f t="shared" si="8"/>
        <v>2326119457.3857565</v>
      </c>
      <c r="AC21" s="21">
        <f t="shared" si="8"/>
        <v>2317681529.6222563</v>
      </c>
      <c r="AD21" s="21">
        <f t="shared" si="8"/>
        <v>2319119457.3857565</v>
      </c>
      <c r="AE21" s="21">
        <f t="shared" si="8"/>
        <v>2328533995.1222563</v>
      </c>
      <c r="AF21" s="22">
        <f t="shared" ref="AF21:AF22" si="9">SUM(T21:AE21)</f>
        <v>25771749969.648205</v>
      </c>
      <c r="AG21" s="23" t="e">
        <f>S21/F21</f>
        <v>#DIV/0!</v>
      </c>
      <c r="AH21" s="23" t="e">
        <f>S21/G21</f>
        <v>#DIV/0!</v>
      </c>
      <c r="AI21" s="32">
        <f>AF21/S21</f>
        <v>1.0230941576636774</v>
      </c>
    </row>
    <row r="22" spans="2:35">
      <c r="B22" s="12">
        <v>4010400000</v>
      </c>
      <c r="C22" s="1" t="s">
        <v>2</v>
      </c>
      <c r="D22" s="3"/>
      <c r="E22" s="3"/>
      <c r="F22" s="3"/>
      <c r="G22" s="3"/>
      <c r="H22" s="3"/>
      <c r="I22" s="21">
        <f t="shared" ref="I22" si="10">I11-(I33+I49)</f>
        <v>12223794011.25</v>
      </c>
      <c r="J22" s="21">
        <f t="shared" si="6"/>
        <v>3495811240.75</v>
      </c>
      <c r="K22" s="21">
        <f>K11-(K33+K49)</f>
        <v>3303091476.5</v>
      </c>
      <c r="L22" s="21">
        <f t="shared" ref="L22:R22" si="11">L11-(L33+L49)</f>
        <v>3302191026.5</v>
      </c>
      <c r="M22" s="21">
        <f t="shared" si="11"/>
        <v>3302191026.5</v>
      </c>
      <c r="N22" s="21">
        <f t="shared" si="11"/>
        <v>3302191026.5</v>
      </c>
      <c r="O22" s="21">
        <f t="shared" si="11"/>
        <v>3302201026.5</v>
      </c>
      <c r="P22" s="21">
        <f t="shared" si="11"/>
        <v>3315591026.5</v>
      </c>
      <c r="Q22" s="21">
        <f t="shared" si="11"/>
        <v>3312191026.5</v>
      </c>
      <c r="R22" s="21">
        <f t="shared" si="11"/>
        <v>3303591026.5</v>
      </c>
      <c r="S22" s="21">
        <f t="shared" ref="S22" si="12">SUM(I22:R22)</f>
        <v>42162843914</v>
      </c>
      <c r="T22" s="21">
        <f>T11-(T33+T49)</f>
        <v>4107710835.9956665</v>
      </c>
      <c r="U22" s="21">
        <f t="shared" ref="U22:AE22" si="13">U11-(U33+U49)</f>
        <v>4101834967.3956666</v>
      </c>
      <c r="V22" s="21">
        <f t="shared" si="13"/>
        <v>778237484.78450012</v>
      </c>
      <c r="W22" s="21">
        <f t="shared" si="13"/>
        <v>4108717422.8456664</v>
      </c>
      <c r="X22" s="21">
        <f t="shared" si="13"/>
        <v>4109531523.4131665</v>
      </c>
      <c r="Y22" s="21">
        <f t="shared" si="13"/>
        <v>4109531523.4131665</v>
      </c>
      <c r="Z22" s="21">
        <f t="shared" si="13"/>
        <v>4108531523.4131665</v>
      </c>
      <c r="AA22" s="21">
        <f t="shared" si="13"/>
        <v>4108531523.4131665</v>
      </c>
      <c r="AB22" s="21">
        <f t="shared" si="13"/>
        <v>4109531523.4131665</v>
      </c>
      <c r="AC22" s="21">
        <f t="shared" si="13"/>
        <v>4108710835.9956665</v>
      </c>
      <c r="AD22" s="21">
        <f t="shared" si="13"/>
        <v>4108531523.4131665</v>
      </c>
      <c r="AE22" s="21">
        <f t="shared" si="13"/>
        <v>4110117479.3956666</v>
      </c>
      <c r="AF22" s="22">
        <f t="shared" si="9"/>
        <v>45969518166.89183</v>
      </c>
      <c r="AG22" s="23" t="e">
        <f>S22/F22</f>
        <v>#DIV/0!</v>
      </c>
      <c r="AH22" s="23" t="e">
        <f>S22/G22</f>
        <v>#DIV/0!</v>
      </c>
      <c r="AI22" s="32">
        <f>AF22/S22</f>
        <v>1.0902850448289576</v>
      </c>
    </row>
    <row r="23" spans="2:35">
      <c r="B23" s="13">
        <v>4010000000</v>
      </c>
      <c r="C23" s="14" t="s">
        <v>17</v>
      </c>
      <c r="D23" s="15">
        <f t="shared" ref="D23:I23" si="14">SUM(D19:D22)</f>
        <v>0</v>
      </c>
      <c r="E23" s="15">
        <f t="shared" si="14"/>
        <v>0</v>
      </c>
      <c r="F23" s="15">
        <f t="shared" si="14"/>
        <v>0</v>
      </c>
      <c r="G23" s="15">
        <f t="shared" si="14"/>
        <v>0</v>
      </c>
      <c r="H23" s="15">
        <f t="shared" si="14"/>
        <v>0</v>
      </c>
      <c r="I23" s="15">
        <f t="shared" si="14"/>
        <v>20616019289.5</v>
      </c>
      <c r="J23" s="15">
        <f>SUM(J19:J22)</f>
        <v>5745240580.5</v>
      </c>
      <c r="K23" s="15">
        <f t="shared" ref="K23:R23" si="15">SUM(K19:K22)</f>
        <v>5531031039.8500004</v>
      </c>
      <c r="L23" s="15">
        <f t="shared" si="15"/>
        <v>5501251218.6499996</v>
      </c>
      <c r="M23" s="15">
        <f t="shared" si="15"/>
        <v>5564151218.6499996</v>
      </c>
      <c r="N23" s="15">
        <f t="shared" si="15"/>
        <v>5563151218.6499996</v>
      </c>
      <c r="O23" s="15">
        <f t="shared" si="15"/>
        <v>5490161218.6499996</v>
      </c>
      <c r="P23" s="15">
        <f t="shared" si="15"/>
        <v>5555551218.6499996</v>
      </c>
      <c r="Q23" s="15">
        <f t="shared" si="15"/>
        <v>5540151218.6499996</v>
      </c>
      <c r="R23" s="15">
        <f t="shared" si="15"/>
        <v>5492551218.6499996</v>
      </c>
      <c r="S23" s="15">
        <f>SUM(S19:S22)</f>
        <v>70599259440.400009</v>
      </c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>
        <f>SUM(AF19:AF22)</f>
        <v>75079211422.259583</v>
      </c>
      <c r="AG23" s="55" t="e">
        <f>S23/F23</f>
        <v>#DIV/0!</v>
      </c>
      <c r="AH23" s="55" t="e">
        <f>S23/G23</f>
        <v>#DIV/0!</v>
      </c>
      <c r="AI23" s="56">
        <f>AF23/S23</f>
        <v>1.0634560761312455</v>
      </c>
    </row>
    <row r="24" spans="2:35">
      <c r="H24" s="20"/>
      <c r="I24" s="2"/>
      <c r="J24" s="19"/>
      <c r="K24" s="19"/>
      <c r="L24" s="19"/>
      <c r="M24" s="19"/>
      <c r="N24" s="19"/>
      <c r="O24" s="19"/>
      <c r="P24" s="19"/>
      <c r="Q24" s="19"/>
      <c r="R24" s="26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</row>
    <row r="25" spans="2:35">
      <c r="H25" s="20"/>
      <c r="I25" s="2"/>
      <c r="J25" s="19"/>
      <c r="K25" s="19"/>
      <c r="L25" s="19"/>
      <c r="M25" s="19"/>
      <c r="N25" s="19"/>
      <c r="O25" s="19"/>
      <c r="P25" s="19"/>
      <c r="Q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</row>
    <row r="26" spans="2:35">
      <c r="B26" s="97" t="s">
        <v>55</v>
      </c>
      <c r="C26" s="97"/>
      <c r="H26" s="20"/>
      <c r="I26" s="2"/>
      <c r="J26" s="61"/>
      <c r="K26" s="19"/>
      <c r="L26" s="19"/>
      <c r="M26" s="19"/>
      <c r="N26" s="19"/>
      <c r="O26" s="19"/>
      <c r="P26" s="19"/>
      <c r="Q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 spans="2:35" ht="14.4" customHeight="1">
      <c r="B27" s="83" t="s">
        <v>14</v>
      </c>
      <c r="C27" s="84"/>
      <c r="D27" s="4" t="s">
        <v>3</v>
      </c>
      <c r="E27" s="4" t="s">
        <v>4</v>
      </c>
      <c r="F27" s="4" t="s">
        <v>5</v>
      </c>
      <c r="G27" s="24" t="s">
        <v>6</v>
      </c>
      <c r="H27" s="24" t="s">
        <v>18</v>
      </c>
      <c r="I27" s="24" t="s">
        <v>19</v>
      </c>
      <c r="J27" s="91" t="s">
        <v>43</v>
      </c>
      <c r="K27" s="92"/>
      <c r="L27" s="92"/>
      <c r="M27" s="92"/>
      <c r="N27" s="92"/>
      <c r="O27" s="92"/>
      <c r="P27" s="92"/>
      <c r="Q27" s="92"/>
      <c r="R27" s="93"/>
      <c r="S27" s="16" t="s">
        <v>20</v>
      </c>
      <c r="T27" s="30"/>
      <c r="U27" s="30"/>
      <c r="V27" s="30"/>
      <c r="W27" s="94" t="s">
        <v>42</v>
      </c>
      <c r="X27" s="95"/>
      <c r="Y27" s="95"/>
      <c r="Z27" s="95"/>
      <c r="AA27" s="95"/>
      <c r="AB27" s="95"/>
      <c r="AC27" s="95"/>
      <c r="AD27" s="95"/>
      <c r="AE27" s="96"/>
      <c r="AF27" s="16" t="s">
        <v>21</v>
      </c>
      <c r="AG27" s="89" t="s">
        <v>22</v>
      </c>
      <c r="AH27" s="90"/>
      <c r="AI27" s="90"/>
    </row>
    <row r="28" spans="2:35">
      <c r="B28" s="85"/>
      <c r="C28" s="86"/>
      <c r="D28" s="6" t="s">
        <v>7</v>
      </c>
      <c r="E28" s="6" t="s">
        <v>7</v>
      </c>
      <c r="F28" s="6" t="s">
        <v>8</v>
      </c>
      <c r="G28" s="7" t="s">
        <v>9</v>
      </c>
      <c r="H28" s="7" t="s">
        <v>23</v>
      </c>
      <c r="I28" s="7" t="s">
        <v>24</v>
      </c>
      <c r="J28" s="25" t="s">
        <v>60</v>
      </c>
      <c r="K28" s="25" t="s">
        <v>34</v>
      </c>
      <c r="L28" s="25" t="s">
        <v>35</v>
      </c>
      <c r="M28" s="25" t="s">
        <v>36</v>
      </c>
      <c r="N28" s="25" t="s">
        <v>37</v>
      </c>
      <c r="O28" s="25" t="s">
        <v>38</v>
      </c>
      <c r="P28" s="25" t="s">
        <v>39</v>
      </c>
      <c r="Q28" s="25" t="s">
        <v>40</v>
      </c>
      <c r="R28" s="25" t="s">
        <v>41</v>
      </c>
      <c r="S28" s="17" t="s">
        <v>25</v>
      </c>
      <c r="T28" s="31" t="s">
        <v>44</v>
      </c>
      <c r="U28" s="31" t="s">
        <v>45</v>
      </c>
      <c r="V28" s="31" t="s">
        <v>46</v>
      </c>
      <c r="W28" s="28" t="s">
        <v>33</v>
      </c>
      <c r="X28" s="28" t="s">
        <v>47</v>
      </c>
      <c r="Y28" s="28" t="s">
        <v>35</v>
      </c>
      <c r="Z28" s="28" t="s">
        <v>36</v>
      </c>
      <c r="AA28" s="28" t="s">
        <v>37</v>
      </c>
      <c r="AB28" s="28" t="s">
        <v>38</v>
      </c>
      <c r="AC28" s="28" t="s">
        <v>39</v>
      </c>
      <c r="AD28" s="28" t="s">
        <v>40</v>
      </c>
      <c r="AE28" s="28" t="s">
        <v>41</v>
      </c>
      <c r="AF28" s="17" t="s">
        <v>9</v>
      </c>
      <c r="AG28" s="7"/>
      <c r="AH28" s="7"/>
      <c r="AI28" s="7"/>
    </row>
    <row r="29" spans="2:35">
      <c r="B29" s="87"/>
      <c r="C29" s="88"/>
      <c r="D29" s="6" t="s">
        <v>10</v>
      </c>
      <c r="E29" s="6" t="s">
        <v>11</v>
      </c>
      <c r="F29" s="6" t="s">
        <v>12</v>
      </c>
      <c r="G29" s="6" t="s">
        <v>13</v>
      </c>
      <c r="H29" s="6" t="s">
        <v>26</v>
      </c>
      <c r="I29" s="6" t="s">
        <v>27</v>
      </c>
      <c r="J29" s="27"/>
      <c r="K29" s="27"/>
      <c r="L29" s="27"/>
      <c r="M29" s="27"/>
      <c r="N29" s="27"/>
      <c r="O29" s="27"/>
      <c r="P29" s="27"/>
      <c r="Q29" s="27"/>
      <c r="R29" s="27"/>
      <c r="S29" s="18" t="s">
        <v>28</v>
      </c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18" t="s">
        <v>29</v>
      </c>
      <c r="AG29" s="6" t="s">
        <v>30</v>
      </c>
      <c r="AH29" s="6" t="s">
        <v>31</v>
      </c>
      <c r="AI29" s="6" t="s">
        <v>32</v>
      </c>
    </row>
    <row r="30" spans="2:35">
      <c r="B30" s="34"/>
      <c r="C30" s="35" t="s">
        <v>15</v>
      </c>
      <c r="D30" s="10"/>
      <c r="E30" s="10"/>
      <c r="F30" s="10"/>
      <c r="G30" s="10"/>
    </row>
    <row r="31" spans="2:35">
      <c r="B31" s="36">
        <v>4010200000</v>
      </c>
      <c r="C31" s="37" t="s">
        <v>0</v>
      </c>
      <c r="D31" s="39"/>
      <c r="E31" s="39"/>
      <c r="F31" s="39"/>
      <c r="G31" s="39"/>
      <c r="H31" s="39"/>
      <c r="I31" s="39">
        <v>769966126.5</v>
      </c>
      <c r="J31" s="40">
        <v>256655375.5</v>
      </c>
      <c r="K31" s="40">
        <v>256655375.5</v>
      </c>
      <c r="L31" s="40">
        <v>256655375.5</v>
      </c>
      <c r="M31" s="40">
        <v>256655375.5</v>
      </c>
      <c r="N31" s="40">
        <v>256655375.5</v>
      </c>
      <c r="O31" s="40">
        <v>256655375.5</v>
      </c>
      <c r="P31" s="40">
        <v>256655375.5</v>
      </c>
      <c r="Q31" s="40">
        <v>256655375.5</v>
      </c>
      <c r="R31" s="40">
        <v>256655375.5</v>
      </c>
      <c r="S31" s="40">
        <f>SUM(I31:R31)</f>
        <v>3079864506</v>
      </c>
      <c r="T31" s="40">
        <v>264355036.76500002</v>
      </c>
      <c r="U31" s="40">
        <v>264355036.76500002</v>
      </c>
      <c r="V31" s="40">
        <v>264355036.76500002</v>
      </c>
      <c r="W31" s="40">
        <v>264355036.76500002</v>
      </c>
      <c r="X31" s="40">
        <v>264355036.76500002</v>
      </c>
      <c r="Y31" s="40">
        <v>264355036.76500002</v>
      </c>
      <c r="Z31" s="40">
        <v>264355036.76500002</v>
      </c>
      <c r="AA31" s="40">
        <v>264355036.76500002</v>
      </c>
      <c r="AB31" s="40">
        <v>264355036.76500002</v>
      </c>
      <c r="AC31" s="40">
        <v>264355036.76500002</v>
      </c>
      <c r="AD31" s="40">
        <v>264355036.76500002</v>
      </c>
      <c r="AE31" s="40">
        <v>264355036.76500002</v>
      </c>
      <c r="AF31" s="40">
        <f>SUM(T31:AE31)</f>
        <v>3172260441.1799998</v>
      </c>
      <c r="AG31" s="41" t="e">
        <f>S31/F31</f>
        <v>#DIV/0!</v>
      </c>
      <c r="AH31" s="41" t="e">
        <f>S31/G31</f>
        <v>#DIV/0!</v>
      </c>
      <c r="AI31" s="42">
        <f>AF31/S31</f>
        <v>1.03</v>
      </c>
    </row>
    <row r="32" spans="2:35">
      <c r="B32" s="36">
        <v>4010300000</v>
      </c>
      <c r="C32" s="37" t="s">
        <v>1</v>
      </c>
      <c r="D32" s="39"/>
      <c r="E32" s="39"/>
      <c r="F32" s="39"/>
      <c r="G32" s="39"/>
      <c r="H32" s="39"/>
      <c r="I32" s="39">
        <v>5449397402.25</v>
      </c>
      <c r="J32" s="40">
        <v>1816465800.75</v>
      </c>
      <c r="K32" s="40">
        <v>1816465800.75</v>
      </c>
      <c r="L32" s="40">
        <v>1816465800.75</v>
      </c>
      <c r="M32" s="40">
        <v>1816465800.75</v>
      </c>
      <c r="N32" s="40">
        <v>1816465800.75</v>
      </c>
      <c r="O32" s="40">
        <v>1816465800.75</v>
      </c>
      <c r="P32" s="40">
        <v>1816465800.75</v>
      </c>
      <c r="Q32" s="40">
        <v>1816465800.75</v>
      </c>
      <c r="R32" s="40">
        <v>1816465800.75</v>
      </c>
      <c r="S32" s="40">
        <f t="shared" ref="S32:S39" si="16">SUM(I32:R32)</f>
        <v>21797589609</v>
      </c>
      <c r="T32" s="40">
        <v>1870959774.7725</v>
      </c>
      <c r="U32" s="40">
        <v>1870959774.7725</v>
      </c>
      <c r="V32" s="40">
        <v>1870959774.7725</v>
      </c>
      <c r="W32" s="40">
        <v>1870959774.7725</v>
      </c>
      <c r="X32" s="40">
        <v>1870959774.7725</v>
      </c>
      <c r="Y32" s="40">
        <v>1870959774.7725</v>
      </c>
      <c r="Z32" s="40">
        <v>1870959774.7725</v>
      </c>
      <c r="AA32" s="40">
        <v>1870959774.7725</v>
      </c>
      <c r="AB32" s="40">
        <v>1870959774.7725</v>
      </c>
      <c r="AC32" s="40">
        <v>1870959774.7725</v>
      </c>
      <c r="AD32" s="40">
        <v>1870959774.7725</v>
      </c>
      <c r="AE32" s="40">
        <v>1870959774.7725</v>
      </c>
      <c r="AF32" s="40">
        <f t="shared" ref="AF32:AF39" si="17">SUM(T32:AE32)</f>
        <v>22451517297.269993</v>
      </c>
      <c r="AG32" s="41" t="e">
        <f>S32/F32</f>
        <v>#DIV/0!</v>
      </c>
      <c r="AH32" s="41" t="e">
        <f>S32/G32</f>
        <v>#DIV/0!</v>
      </c>
      <c r="AI32" s="42">
        <f>AF32/S32</f>
        <v>1.0299999999999996</v>
      </c>
    </row>
    <row r="33" spans="2:35">
      <c r="B33" s="36">
        <v>4010400000</v>
      </c>
      <c r="C33" s="37" t="s">
        <v>2</v>
      </c>
      <c r="D33" s="39"/>
      <c r="E33" s="39"/>
      <c r="F33" s="39"/>
      <c r="G33" s="39"/>
      <c r="H33" s="39"/>
      <c r="I33" s="39">
        <v>8101684201.5</v>
      </c>
      <c r="J33" s="40">
        <v>2700561400.5</v>
      </c>
      <c r="K33" s="40">
        <v>2700561400.5</v>
      </c>
      <c r="L33" s="40">
        <v>2700561400.5</v>
      </c>
      <c r="M33" s="40">
        <v>2700561400.5</v>
      </c>
      <c r="N33" s="40">
        <v>2700561400.5</v>
      </c>
      <c r="O33" s="40">
        <v>2700561400.5</v>
      </c>
      <c r="P33" s="40">
        <v>2700561400.5</v>
      </c>
      <c r="Q33" s="40">
        <v>2700561400.5</v>
      </c>
      <c r="R33" s="40">
        <v>2700561400.5</v>
      </c>
      <c r="S33" s="40">
        <f t="shared" si="16"/>
        <v>32406736806</v>
      </c>
      <c r="T33" s="40">
        <v>2881578242.5149999</v>
      </c>
      <c r="U33" s="40">
        <v>2881578242.5149999</v>
      </c>
      <c r="V33" s="40">
        <v>2881578242.5149999</v>
      </c>
      <c r="W33" s="40">
        <v>2881578242.5149999</v>
      </c>
      <c r="X33" s="40">
        <v>2881578242.5149999</v>
      </c>
      <c r="Y33" s="40">
        <v>2881578242.5149999</v>
      </c>
      <c r="Z33" s="40">
        <v>2881578242.5149999</v>
      </c>
      <c r="AA33" s="40">
        <v>2881578242.5149999</v>
      </c>
      <c r="AB33" s="40">
        <v>2881578242.5149999</v>
      </c>
      <c r="AC33" s="40">
        <v>2881578242.5149999</v>
      </c>
      <c r="AD33" s="40">
        <v>2881578242.5149999</v>
      </c>
      <c r="AE33" s="40">
        <v>2881578242.5149999</v>
      </c>
      <c r="AF33" s="40">
        <f t="shared" si="17"/>
        <v>34578938910.18</v>
      </c>
      <c r="AG33" s="41" t="e">
        <f>S33/F33</f>
        <v>#DIV/0!</v>
      </c>
      <c r="AH33" s="41" t="e">
        <f>S33/G33</f>
        <v>#DIV/0!</v>
      </c>
      <c r="AI33" s="42">
        <f>AF33/S33</f>
        <v>1.0670293376708582</v>
      </c>
    </row>
    <row r="34" spans="2:35">
      <c r="B34" s="43">
        <v>4010000000</v>
      </c>
      <c r="C34" s="44" t="s">
        <v>17</v>
      </c>
      <c r="D34" s="45">
        <f t="shared" ref="D34:H34" si="18">SUM(D31:D33)</f>
        <v>0</v>
      </c>
      <c r="E34" s="45">
        <f t="shared" si="18"/>
        <v>0</v>
      </c>
      <c r="F34" s="45">
        <f t="shared" si="18"/>
        <v>0</v>
      </c>
      <c r="G34" s="45">
        <f t="shared" si="18"/>
        <v>0</v>
      </c>
      <c r="H34" s="45">
        <f t="shared" si="18"/>
        <v>0</v>
      </c>
      <c r="I34" s="45">
        <f>SUM(I31:I33)</f>
        <v>14321047730.25</v>
      </c>
      <c r="J34" s="46">
        <f t="shared" ref="J34:R34" si="19">SUM(J31:J33)</f>
        <v>4773682576.75</v>
      </c>
      <c r="K34" s="46">
        <f t="shared" si="19"/>
        <v>4773682576.75</v>
      </c>
      <c r="L34" s="46">
        <f t="shared" si="19"/>
        <v>4773682576.75</v>
      </c>
      <c r="M34" s="46">
        <f t="shared" si="19"/>
        <v>4773682576.75</v>
      </c>
      <c r="N34" s="46">
        <f t="shared" si="19"/>
        <v>4773682576.75</v>
      </c>
      <c r="O34" s="46">
        <f t="shared" si="19"/>
        <v>4773682576.75</v>
      </c>
      <c r="P34" s="46">
        <f t="shared" si="19"/>
        <v>4773682576.75</v>
      </c>
      <c r="Q34" s="46">
        <f t="shared" si="19"/>
        <v>4773682576.75</v>
      </c>
      <c r="R34" s="46">
        <f t="shared" si="19"/>
        <v>4773682576.75</v>
      </c>
      <c r="S34" s="46">
        <f>SUM(S31:S33)</f>
        <v>57284190921</v>
      </c>
      <c r="T34" s="46">
        <f t="shared" ref="T34:AE34" si="20">SUM(T31:T33)</f>
        <v>5016893054.0524998</v>
      </c>
      <c r="U34" s="46">
        <f t="shared" si="20"/>
        <v>5016893054.0524998</v>
      </c>
      <c r="V34" s="46">
        <f t="shared" si="20"/>
        <v>5016893054.0524998</v>
      </c>
      <c r="W34" s="46">
        <f t="shared" si="20"/>
        <v>5016893054.0524998</v>
      </c>
      <c r="X34" s="46">
        <f t="shared" si="20"/>
        <v>5016893054.0524998</v>
      </c>
      <c r="Y34" s="46">
        <f t="shared" si="20"/>
        <v>5016893054.0524998</v>
      </c>
      <c r="Z34" s="46">
        <f t="shared" si="20"/>
        <v>5016893054.0524998</v>
      </c>
      <c r="AA34" s="46">
        <f t="shared" si="20"/>
        <v>5016893054.0524998</v>
      </c>
      <c r="AB34" s="46">
        <f t="shared" si="20"/>
        <v>5016893054.0524998</v>
      </c>
      <c r="AC34" s="46">
        <f t="shared" si="20"/>
        <v>5016893054.0524998</v>
      </c>
      <c r="AD34" s="46">
        <f t="shared" si="20"/>
        <v>5016893054.0524998</v>
      </c>
      <c r="AE34" s="46">
        <f t="shared" si="20"/>
        <v>5016893054.0524998</v>
      </c>
      <c r="AF34" s="46">
        <f>SUM(AF31:AF33)</f>
        <v>60202716648.62999</v>
      </c>
      <c r="AG34" s="53"/>
      <c r="AH34" s="53"/>
      <c r="AI34" s="54"/>
    </row>
    <row r="35" spans="2:35">
      <c r="B35" s="47" t="s">
        <v>50</v>
      </c>
      <c r="C35" s="37" t="s">
        <v>48</v>
      </c>
      <c r="D35" s="38"/>
      <c r="E35" s="38"/>
      <c r="F35" s="38"/>
      <c r="G35" s="38"/>
      <c r="H35" s="38"/>
      <c r="I35" s="39">
        <v>2281850689.5</v>
      </c>
      <c r="J35" s="40">
        <v>760616896.5</v>
      </c>
      <c r="K35" s="40">
        <v>760616896.5</v>
      </c>
      <c r="L35" s="40">
        <v>760616896.5</v>
      </c>
      <c r="M35" s="40">
        <v>760616896.5</v>
      </c>
      <c r="N35" s="40">
        <v>760616896.5</v>
      </c>
      <c r="O35" s="40">
        <v>760616896.5</v>
      </c>
      <c r="P35" s="40">
        <v>760616896.5</v>
      </c>
      <c r="Q35" s="40">
        <v>760616896.5</v>
      </c>
      <c r="R35" s="40">
        <v>760616896.5</v>
      </c>
      <c r="S35" s="40">
        <f t="shared" si="16"/>
        <v>9127402758</v>
      </c>
      <c r="T35" s="40">
        <v>783435403.39499998</v>
      </c>
      <c r="U35" s="40">
        <v>783435403.39499998</v>
      </c>
      <c r="V35" s="40">
        <v>783435403.39499998</v>
      </c>
      <c r="W35" s="40">
        <v>783435403.39499998</v>
      </c>
      <c r="X35" s="40">
        <v>783435403.39499998</v>
      </c>
      <c r="Y35" s="40">
        <v>783435403.39499998</v>
      </c>
      <c r="Z35" s="40">
        <v>783435403.39499998</v>
      </c>
      <c r="AA35" s="40">
        <v>783435403.39499998</v>
      </c>
      <c r="AB35" s="40">
        <v>783435403.39499998</v>
      </c>
      <c r="AC35" s="40">
        <v>783435403.39499998</v>
      </c>
      <c r="AD35" s="40">
        <v>783435403.39499998</v>
      </c>
      <c r="AE35" s="40">
        <v>783435403.39499998</v>
      </c>
      <c r="AF35" s="40">
        <f t="shared" si="17"/>
        <v>9401224840.7400017</v>
      </c>
      <c r="AG35" s="41" t="e">
        <f t="shared" ref="AG35:AG39" si="21">S35/F35</f>
        <v>#DIV/0!</v>
      </c>
      <c r="AH35" s="41" t="e">
        <f t="shared" ref="AH35:AH39" si="22">S35/G35</f>
        <v>#DIV/0!</v>
      </c>
      <c r="AI35" s="42">
        <f t="shared" ref="AI35:AI39" si="23">AF35/S35</f>
        <v>1.0300000000000002</v>
      </c>
    </row>
    <row r="36" spans="2:35">
      <c r="B36" s="47" t="s">
        <v>51</v>
      </c>
      <c r="C36" s="37" t="s">
        <v>49</v>
      </c>
      <c r="D36" s="38"/>
      <c r="E36" s="38"/>
      <c r="F36" s="38"/>
      <c r="G36" s="38"/>
      <c r="H36" s="38"/>
      <c r="I36" s="40">
        <v>25496625</v>
      </c>
      <c r="J36" s="40">
        <v>8498875</v>
      </c>
      <c r="K36" s="40">
        <v>8498875</v>
      </c>
      <c r="L36" s="40">
        <v>8498875</v>
      </c>
      <c r="M36" s="40">
        <v>8498875</v>
      </c>
      <c r="N36" s="40">
        <v>8498875</v>
      </c>
      <c r="O36" s="40">
        <v>8498875</v>
      </c>
      <c r="P36" s="40">
        <v>8498875</v>
      </c>
      <c r="Q36" s="40">
        <v>8498875</v>
      </c>
      <c r="R36" s="40">
        <v>8498875</v>
      </c>
      <c r="S36" s="40">
        <f t="shared" si="16"/>
        <v>101986500</v>
      </c>
      <c r="T36" s="40">
        <v>8753841.25</v>
      </c>
      <c r="U36" s="40">
        <v>8753841.25</v>
      </c>
      <c r="V36" s="40">
        <v>8753841.25</v>
      </c>
      <c r="W36" s="40">
        <v>8753841.25</v>
      </c>
      <c r="X36" s="40">
        <v>8753841.25</v>
      </c>
      <c r="Y36" s="40">
        <v>8753841.25</v>
      </c>
      <c r="Z36" s="40">
        <v>8753841.25</v>
      </c>
      <c r="AA36" s="40">
        <v>8753841.25</v>
      </c>
      <c r="AB36" s="40">
        <v>8753841.25</v>
      </c>
      <c r="AC36" s="40">
        <v>8753841.25</v>
      </c>
      <c r="AD36" s="40">
        <v>8753841.25</v>
      </c>
      <c r="AE36" s="40">
        <v>8753841.25</v>
      </c>
      <c r="AF36" s="40">
        <f t="shared" si="17"/>
        <v>105046095</v>
      </c>
      <c r="AG36" s="41" t="e">
        <f t="shared" si="21"/>
        <v>#DIV/0!</v>
      </c>
      <c r="AH36" s="41" t="e">
        <f t="shared" si="22"/>
        <v>#DIV/0!</v>
      </c>
      <c r="AI36" s="42">
        <f t="shared" si="23"/>
        <v>1.03</v>
      </c>
    </row>
    <row r="37" spans="2:35">
      <c r="B37" s="47" t="s">
        <v>52</v>
      </c>
      <c r="C37" s="37" t="s">
        <v>53</v>
      </c>
      <c r="D37" s="38"/>
      <c r="E37" s="38"/>
      <c r="F37" s="38"/>
      <c r="G37" s="38"/>
      <c r="H37" s="38"/>
      <c r="I37" s="40">
        <v>143043750</v>
      </c>
      <c r="J37" s="40">
        <v>47681250</v>
      </c>
      <c r="K37" s="40">
        <v>47681250</v>
      </c>
      <c r="L37" s="40">
        <v>47681250</v>
      </c>
      <c r="M37" s="40">
        <v>47681250</v>
      </c>
      <c r="N37" s="40">
        <v>47681250</v>
      </c>
      <c r="O37" s="40">
        <v>47681250</v>
      </c>
      <c r="P37" s="40">
        <v>47681250</v>
      </c>
      <c r="Q37" s="40">
        <v>47681250</v>
      </c>
      <c r="R37" s="40">
        <v>47681250</v>
      </c>
      <c r="S37" s="40">
        <f t="shared" si="16"/>
        <v>572175000</v>
      </c>
      <c r="T37" s="40">
        <v>49111687.5</v>
      </c>
      <c r="U37" s="40">
        <v>49111687.5</v>
      </c>
      <c r="V37" s="40">
        <v>49111687.5</v>
      </c>
      <c r="W37" s="40">
        <v>49111687.5</v>
      </c>
      <c r="X37" s="40">
        <v>49111687.5</v>
      </c>
      <c r="Y37" s="40">
        <v>49111687.5</v>
      </c>
      <c r="Z37" s="40">
        <v>49111687.5</v>
      </c>
      <c r="AA37" s="40">
        <v>49111687.5</v>
      </c>
      <c r="AB37" s="40">
        <v>49111687.5</v>
      </c>
      <c r="AC37" s="40">
        <v>49111687.5</v>
      </c>
      <c r="AD37" s="40">
        <v>49111687.5</v>
      </c>
      <c r="AE37" s="40">
        <v>49111687.5</v>
      </c>
      <c r="AF37" s="40">
        <f t="shared" si="17"/>
        <v>589340250</v>
      </c>
      <c r="AG37" s="41" t="e">
        <f t="shared" si="21"/>
        <v>#DIV/0!</v>
      </c>
      <c r="AH37" s="41" t="e">
        <f t="shared" si="22"/>
        <v>#DIV/0!</v>
      </c>
      <c r="AI37" s="42">
        <f t="shared" si="23"/>
        <v>1.03</v>
      </c>
    </row>
    <row r="38" spans="2:35">
      <c r="B38" s="48"/>
      <c r="C38" s="49"/>
      <c r="D38" s="50"/>
      <c r="E38" s="50"/>
      <c r="F38" s="50"/>
      <c r="G38" s="50"/>
      <c r="H38" s="50"/>
      <c r="I38" s="51">
        <f>SUM(I35:I37)</f>
        <v>2450391064.5</v>
      </c>
      <c r="J38" s="52">
        <f>SUM(J35:J37)</f>
        <v>816797021.5</v>
      </c>
      <c r="K38" s="52">
        <f>SUM(K35:K37)</f>
        <v>816797021.5</v>
      </c>
      <c r="L38" s="52">
        <f t="shared" ref="L38:AE38" si="24">SUM(L35:L37)</f>
        <v>816797021.5</v>
      </c>
      <c r="M38" s="52">
        <f t="shared" si="24"/>
        <v>816797021.5</v>
      </c>
      <c r="N38" s="52">
        <f t="shared" si="24"/>
        <v>816797021.5</v>
      </c>
      <c r="O38" s="52">
        <f t="shared" si="24"/>
        <v>816797021.5</v>
      </c>
      <c r="P38" s="52">
        <f t="shared" si="24"/>
        <v>816797021.5</v>
      </c>
      <c r="Q38" s="52">
        <f t="shared" si="24"/>
        <v>816797021.5</v>
      </c>
      <c r="R38" s="52">
        <f t="shared" si="24"/>
        <v>816797021.5</v>
      </c>
      <c r="S38" s="52">
        <f t="shared" si="24"/>
        <v>9801564258</v>
      </c>
      <c r="T38" s="46">
        <f t="shared" si="24"/>
        <v>841300932.14499998</v>
      </c>
      <c r="U38" s="46">
        <f t="shared" si="24"/>
        <v>841300932.14499998</v>
      </c>
      <c r="V38" s="46">
        <f t="shared" si="24"/>
        <v>841300932.14499998</v>
      </c>
      <c r="W38" s="46">
        <f t="shared" si="24"/>
        <v>841300932.14499998</v>
      </c>
      <c r="X38" s="46">
        <f t="shared" si="24"/>
        <v>841300932.14499998</v>
      </c>
      <c r="Y38" s="46">
        <f t="shared" si="24"/>
        <v>841300932.14499998</v>
      </c>
      <c r="Z38" s="46">
        <f t="shared" si="24"/>
        <v>841300932.14499998</v>
      </c>
      <c r="AA38" s="46">
        <f t="shared" si="24"/>
        <v>841300932.14499998</v>
      </c>
      <c r="AB38" s="46">
        <f t="shared" si="24"/>
        <v>841300932.14499998</v>
      </c>
      <c r="AC38" s="46">
        <f t="shared" si="24"/>
        <v>841300932.14499998</v>
      </c>
      <c r="AD38" s="46">
        <f t="shared" si="24"/>
        <v>841300932.14499998</v>
      </c>
      <c r="AE38" s="46">
        <f t="shared" si="24"/>
        <v>841300932.14499998</v>
      </c>
      <c r="AF38" s="46">
        <f>SUM(AF35:AF37)</f>
        <v>10095611185.740002</v>
      </c>
      <c r="AG38" s="53"/>
      <c r="AH38" s="53"/>
      <c r="AI38" s="54"/>
    </row>
    <row r="39" spans="2:35">
      <c r="B39" s="33">
        <v>4060301000</v>
      </c>
      <c r="C39" s="37" t="s">
        <v>54</v>
      </c>
      <c r="D39" s="38"/>
      <c r="E39" s="38"/>
      <c r="F39" s="38"/>
      <c r="G39" s="38"/>
      <c r="H39" s="38"/>
      <c r="I39" s="40">
        <v>2849169750</v>
      </c>
      <c r="J39" s="40">
        <v>949723250</v>
      </c>
      <c r="K39" s="40">
        <v>949723250</v>
      </c>
      <c r="L39" s="40">
        <v>949723250</v>
      </c>
      <c r="M39" s="40">
        <v>949723250</v>
      </c>
      <c r="N39" s="40">
        <v>949723250</v>
      </c>
      <c r="O39" s="40">
        <v>949723250</v>
      </c>
      <c r="P39" s="40">
        <v>949723250</v>
      </c>
      <c r="Q39" s="40">
        <v>949723250</v>
      </c>
      <c r="R39" s="40">
        <v>949723250</v>
      </c>
      <c r="S39" s="40">
        <f t="shared" si="16"/>
        <v>11396679000</v>
      </c>
      <c r="T39" s="40">
        <v>978214947.5</v>
      </c>
      <c r="U39" s="40">
        <v>978214947.5</v>
      </c>
      <c r="V39" s="40">
        <v>978214947.5</v>
      </c>
      <c r="W39" s="40">
        <v>978214947.5</v>
      </c>
      <c r="X39" s="40">
        <v>978214947.5</v>
      </c>
      <c r="Y39" s="40">
        <v>978214947.5</v>
      </c>
      <c r="Z39" s="40">
        <v>978214947.5</v>
      </c>
      <c r="AA39" s="40">
        <v>978214947.5</v>
      </c>
      <c r="AB39" s="40">
        <v>978214947.5</v>
      </c>
      <c r="AC39" s="40">
        <v>978214947.5</v>
      </c>
      <c r="AD39" s="40">
        <v>978214947.5</v>
      </c>
      <c r="AE39" s="40">
        <v>978214947.5</v>
      </c>
      <c r="AF39" s="40">
        <f t="shared" si="17"/>
        <v>11738579370</v>
      </c>
      <c r="AG39" s="41" t="e">
        <f t="shared" si="21"/>
        <v>#DIV/0!</v>
      </c>
      <c r="AH39" s="41" t="e">
        <f t="shared" si="22"/>
        <v>#DIV/0!</v>
      </c>
      <c r="AI39" s="42">
        <f t="shared" si="23"/>
        <v>1.03</v>
      </c>
    </row>
    <row r="41" spans="2:35">
      <c r="I41" s="2"/>
      <c r="J41" s="19"/>
    </row>
    <row r="42" spans="2:35">
      <c r="B42" s="97" t="s">
        <v>58</v>
      </c>
      <c r="C42" s="97"/>
    </row>
    <row r="43" spans="2:35">
      <c r="B43" s="83" t="s">
        <v>14</v>
      </c>
      <c r="C43" s="84"/>
      <c r="D43" s="4" t="s">
        <v>3</v>
      </c>
      <c r="E43" s="4" t="s">
        <v>4</v>
      </c>
      <c r="F43" s="4" t="s">
        <v>5</v>
      </c>
      <c r="G43" s="24" t="s">
        <v>6</v>
      </c>
      <c r="H43" s="24" t="s">
        <v>18</v>
      </c>
      <c r="I43" s="24" t="s">
        <v>19</v>
      </c>
      <c r="J43" s="91" t="s">
        <v>43</v>
      </c>
      <c r="K43" s="92"/>
      <c r="L43" s="92"/>
      <c r="M43" s="92"/>
      <c r="N43" s="92"/>
      <c r="O43" s="92"/>
      <c r="P43" s="92"/>
      <c r="Q43" s="92"/>
      <c r="R43" s="93"/>
      <c r="S43" s="16" t="s">
        <v>20</v>
      </c>
      <c r="T43" s="30"/>
      <c r="U43" s="30"/>
      <c r="V43" s="30"/>
      <c r="W43" s="94" t="s">
        <v>42</v>
      </c>
      <c r="X43" s="95"/>
      <c r="Y43" s="95"/>
      <c r="Z43" s="95"/>
      <c r="AA43" s="95"/>
      <c r="AB43" s="95"/>
      <c r="AC43" s="95"/>
      <c r="AD43" s="95"/>
      <c r="AE43" s="96"/>
      <c r="AF43" s="16" t="s">
        <v>21</v>
      </c>
      <c r="AG43" s="89" t="s">
        <v>22</v>
      </c>
      <c r="AH43" s="90"/>
      <c r="AI43" s="90"/>
    </row>
    <row r="44" spans="2:35">
      <c r="B44" s="85"/>
      <c r="C44" s="86"/>
      <c r="D44" s="6" t="s">
        <v>7</v>
      </c>
      <c r="E44" s="6" t="s">
        <v>7</v>
      </c>
      <c r="F44" s="6" t="s">
        <v>8</v>
      </c>
      <c r="G44" s="7" t="s">
        <v>9</v>
      </c>
      <c r="H44" s="7" t="s">
        <v>23</v>
      </c>
      <c r="I44" s="7" t="s">
        <v>24</v>
      </c>
      <c r="J44" s="25" t="s">
        <v>33</v>
      </c>
      <c r="K44" s="25" t="s">
        <v>34</v>
      </c>
      <c r="L44" s="25" t="s">
        <v>35</v>
      </c>
      <c r="M44" s="25" t="s">
        <v>36</v>
      </c>
      <c r="N44" s="25" t="s">
        <v>37</v>
      </c>
      <c r="O44" s="25" t="s">
        <v>38</v>
      </c>
      <c r="P44" s="25" t="s">
        <v>39</v>
      </c>
      <c r="Q44" s="25" t="s">
        <v>40</v>
      </c>
      <c r="R44" s="25" t="s">
        <v>41</v>
      </c>
      <c r="S44" s="17" t="s">
        <v>25</v>
      </c>
      <c r="T44" s="31" t="s">
        <v>44</v>
      </c>
      <c r="U44" s="31" t="s">
        <v>45</v>
      </c>
      <c r="V44" s="31" t="s">
        <v>46</v>
      </c>
      <c r="W44" s="28" t="s">
        <v>33</v>
      </c>
      <c r="X44" s="28" t="s">
        <v>47</v>
      </c>
      <c r="Y44" s="28" t="s">
        <v>35</v>
      </c>
      <c r="Z44" s="28" t="s">
        <v>36</v>
      </c>
      <c r="AA44" s="28" t="s">
        <v>37</v>
      </c>
      <c r="AB44" s="28" t="s">
        <v>38</v>
      </c>
      <c r="AC44" s="28" t="s">
        <v>39</v>
      </c>
      <c r="AD44" s="28" t="s">
        <v>40</v>
      </c>
      <c r="AE44" s="28" t="s">
        <v>41</v>
      </c>
      <c r="AF44" s="17" t="s">
        <v>9</v>
      </c>
      <c r="AG44" s="7"/>
      <c r="AH44" s="7"/>
      <c r="AI44" s="7"/>
    </row>
    <row r="45" spans="2:35">
      <c r="B45" s="87"/>
      <c r="C45" s="88"/>
      <c r="D45" s="6" t="s">
        <v>10</v>
      </c>
      <c r="E45" s="6" t="s">
        <v>11</v>
      </c>
      <c r="F45" s="6" t="s">
        <v>12</v>
      </c>
      <c r="G45" s="6" t="s">
        <v>13</v>
      </c>
      <c r="H45" s="6" t="s">
        <v>26</v>
      </c>
      <c r="I45" s="6" t="s">
        <v>27</v>
      </c>
      <c r="J45" s="27"/>
      <c r="K45" s="27"/>
      <c r="L45" s="27"/>
      <c r="M45" s="27"/>
      <c r="N45" s="27"/>
      <c r="O45" s="27"/>
      <c r="P45" s="27"/>
      <c r="Q45" s="27"/>
      <c r="R45" s="27"/>
      <c r="S45" s="18" t="s">
        <v>28</v>
      </c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18" t="s">
        <v>29</v>
      </c>
      <c r="AG45" s="6" t="s">
        <v>30</v>
      </c>
      <c r="AH45" s="6" t="s">
        <v>31</v>
      </c>
      <c r="AI45" s="6" t="s">
        <v>32</v>
      </c>
    </row>
    <row r="46" spans="2:35">
      <c r="B46" s="8"/>
      <c r="C46" s="9" t="s">
        <v>15</v>
      </c>
      <c r="D46" s="10"/>
      <c r="E46" s="10"/>
      <c r="F46" s="10"/>
      <c r="G46" s="10"/>
    </row>
    <row r="47" spans="2:35">
      <c r="B47" s="12">
        <v>4010200000</v>
      </c>
      <c r="C47" s="59" t="s">
        <v>0</v>
      </c>
      <c r="D47" s="39"/>
      <c r="E47" s="39"/>
      <c r="F47" s="39"/>
      <c r="G47" s="39"/>
      <c r="H47" s="39"/>
      <c r="I47" s="40">
        <v>19277727.75</v>
      </c>
      <c r="J47" s="40">
        <v>6425909.25</v>
      </c>
      <c r="K47" s="40">
        <v>4942060</v>
      </c>
      <c r="L47" s="40">
        <v>7413090</v>
      </c>
      <c r="M47" s="40">
        <v>7413090</v>
      </c>
      <c r="N47" s="40">
        <v>7413090</v>
      </c>
      <c r="O47" s="40">
        <v>7413090</v>
      </c>
      <c r="P47" s="40">
        <v>7413090</v>
      </c>
      <c r="Q47" s="40">
        <v>7413090</v>
      </c>
      <c r="R47" s="40">
        <v>7413090</v>
      </c>
      <c r="S47" s="40">
        <f>SUM(I47:R47)</f>
        <v>82537327</v>
      </c>
      <c r="T47" s="40">
        <v>7978735.8000000007</v>
      </c>
      <c r="U47" s="40">
        <v>10807435</v>
      </c>
      <c r="V47" s="40">
        <v>3918686.5274999999</v>
      </c>
      <c r="W47" s="40">
        <v>5750565.5999999996</v>
      </c>
      <c r="X47" s="40">
        <v>7084453.9008333329</v>
      </c>
      <c r="Y47" s="40">
        <v>7084453.9008333329</v>
      </c>
      <c r="Z47" s="40">
        <v>7184453.9008333301</v>
      </c>
      <c r="AA47" s="40">
        <v>7084453.9008333329</v>
      </c>
      <c r="AB47" s="40">
        <v>7084453.9008333329</v>
      </c>
      <c r="AC47" s="40">
        <v>7978735.8000000007</v>
      </c>
      <c r="AD47" s="40">
        <v>7084453.9008333329</v>
      </c>
      <c r="AE47" s="40">
        <v>6936130</v>
      </c>
      <c r="AF47" s="40">
        <f>SUM(T47:AE47)</f>
        <v>85977012.132499993</v>
      </c>
      <c r="AG47" s="40" t="e">
        <f>S47/F47</f>
        <v>#DIV/0!</v>
      </c>
      <c r="AH47" s="40" t="e">
        <f>S47/G47</f>
        <v>#DIV/0!</v>
      </c>
      <c r="AI47" s="71">
        <f>AF47/S47</f>
        <v>1.0416742976483839</v>
      </c>
    </row>
    <row r="48" spans="2:35">
      <c r="B48" s="12">
        <v>4010300000</v>
      </c>
      <c r="C48" s="59" t="s">
        <v>1</v>
      </c>
      <c r="D48" s="39"/>
      <c r="E48" s="39"/>
      <c r="F48" s="39"/>
      <c r="G48" s="39"/>
      <c r="H48" s="39"/>
      <c r="I48" s="40">
        <v>144129170.25</v>
      </c>
      <c r="J48" s="40">
        <v>48043056.75</v>
      </c>
      <c r="K48" s="40">
        <v>51016682.399999999</v>
      </c>
      <c r="L48" s="40">
        <v>76525023.599999994</v>
      </c>
      <c r="M48" s="40">
        <v>76525023.599999994</v>
      </c>
      <c r="N48" s="40">
        <v>76525023.599999994</v>
      </c>
      <c r="O48" s="40">
        <v>76525023.599999994</v>
      </c>
      <c r="P48" s="40">
        <v>76525023.599999994</v>
      </c>
      <c r="Q48" s="40">
        <v>76525023.599999994</v>
      </c>
      <c r="R48" s="40">
        <v>76525023.599999994</v>
      </c>
      <c r="S48" s="40">
        <f t="shared" ref="S48" si="25">SUM(I48:R48)</f>
        <v>778864074.60000014</v>
      </c>
      <c r="T48" s="40">
        <v>55290427.5</v>
      </c>
      <c r="U48" s="40">
        <v>95027393</v>
      </c>
      <c r="V48" s="40">
        <v>44484348.452500001</v>
      </c>
      <c r="W48" s="40">
        <v>52642093</v>
      </c>
      <c r="X48" s="40">
        <v>66852499.736500017</v>
      </c>
      <c r="Y48" s="40">
        <v>74612499.736499995</v>
      </c>
      <c r="Z48" s="40">
        <v>75652499.736499995</v>
      </c>
      <c r="AA48" s="40">
        <v>66952499.736500002</v>
      </c>
      <c r="AB48" s="40">
        <v>66852499.736500017</v>
      </c>
      <c r="AC48" s="40">
        <v>75290427.5</v>
      </c>
      <c r="AD48" s="40">
        <v>73852499.736499995</v>
      </c>
      <c r="AE48" s="40">
        <v>64437962</v>
      </c>
      <c r="AF48" s="40">
        <f t="shared" ref="AF48" si="26">SUM(T48:AE48)</f>
        <v>811947649.87150013</v>
      </c>
      <c r="AG48" s="40" t="e">
        <f>S48/F48</f>
        <v>#DIV/0!</v>
      </c>
      <c r="AH48" s="40" t="e">
        <f>S48/G48</f>
        <v>#DIV/0!</v>
      </c>
      <c r="AI48" s="71">
        <f>AF48/S48</f>
        <v>1.0424766995300054</v>
      </c>
    </row>
    <row r="49" spans="2:37">
      <c r="B49" s="12">
        <v>4010400000</v>
      </c>
      <c r="C49" s="59" t="s">
        <v>2</v>
      </c>
      <c r="D49" s="39"/>
      <c r="E49" s="39"/>
      <c r="F49" s="39"/>
      <c r="G49" s="39"/>
      <c r="H49" s="39"/>
      <c r="I49" s="40">
        <v>27243407.25</v>
      </c>
      <c r="J49" s="40">
        <v>9081135.75</v>
      </c>
      <c r="K49" s="40">
        <v>1800900</v>
      </c>
      <c r="L49" s="40">
        <v>2701350</v>
      </c>
      <c r="M49" s="40">
        <v>2701350</v>
      </c>
      <c r="N49" s="40">
        <v>2701350</v>
      </c>
      <c r="O49" s="40">
        <v>2701350</v>
      </c>
      <c r="P49" s="40">
        <v>2701350</v>
      </c>
      <c r="Q49" s="40">
        <v>2701350</v>
      </c>
      <c r="R49" s="40">
        <v>2701350</v>
      </c>
      <c r="S49" s="40">
        <f>SUM(I49:R49)</f>
        <v>57034893</v>
      </c>
      <c r="T49" s="40">
        <v>5716182.4000000004</v>
      </c>
      <c r="U49" s="40">
        <v>11592051</v>
      </c>
      <c r="V49" s="40">
        <v>4353569.8224999998</v>
      </c>
      <c r="W49" s="40">
        <v>4709595.55</v>
      </c>
      <c r="X49" s="40">
        <v>3895494.9824999999</v>
      </c>
      <c r="Y49" s="40">
        <v>3895494.9824999999</v>
      </c>
      <c r="Z49" s="40">
        <v>4895494.9824999999</v>
      </c>
      <c r="AA49" s="40">
        <v>4895494.9824999999</v>
      </c>
      <c r="AB49" s="40">
        <v>3895494.9824999999</v>
      </c>
      <c r="AC49" s="40">
        <v>4716182.4000000004</v>
      </c>
      <c r="AD49" s="40">
        <v>4895494.9824999999</v>
      </c>
      <c r="AE49" s="40">
        <v>3309539</v>
      </c>
      <c r="AF49" s="40">
        <f>SUM(T49:AE49)</f>
        <v>60770090.067500003</v>
      </c>
      <c r="AG49" s="40" t="e">
        <f>S49/F49</f>
        <v>#DIV/0!</v>
      </c>
      <c r="AH49" s="40" t="e">
        <f>S49/G49</f>
        <v>#DIV/0!</v>
      </c>
      <c r="AI49" s="71">
        <f>AF49/S49</f>
        <v>1.0654896830875094</v>
      </c>
      <c r="AK49" s="20"/>
    </row>
    <row r="50" spans="2:37">
      <c r="B50" s="13">
        <v>4010000000</v>
      </c>
      <c r="C50" s="14" t="s">
        <v>17</v>
      </c>
      <c r="D50" s="57">
        <f t="shared" ref="D50:I50" si="27">SUM(D47:D49)</f>
        <v>0</v>
      </c>
      <c r="E50" s="57">
        <f t="shared" si="27"/>
        <v>0</v>
      </c>
      <c r="F50" s="57">
        <f t="shared" si="27"/>
        <v>0</v>
      </c>
      <c r="G50" s="57">
        <f t="shared" si="27"/>
        <v>0</v>
      </c>
      <c r="H50" s="57">
        <f t="shared" si="27"/>
        <v>0</v>
      </c>
      <c r="I50" s="15">
        <f t="shared" si="27"/>
        <v>190650305.25</v>
      </c>
      <c r="J50" s="57">
        <f>SUM(J47:J49)</f>
        <v>63550101.75</v>
      </c>
      <c r="K50" s="57">
        <f t="shared" ref="K50:R50" si="28">SUM(K47:K49)</f>
        <v>57759642.399999999</v>
      </c>
      <c r="L50" s="57">
        <f t="shared" si="28"/>
        <v>86639463.599999994</v>
      </c>
      <c r="M50" s="57">
        <f t="shared" si="28"/>
        <v>86639463.599999994</v>
      </c>
      <c r="N50" s="57">
        <f t="shared" si="28"/>
        <v>86639463.599999994</v>
      </c>
      <c r="O50" s="57">
        <f t="shared" si="28"/>
        <v>86639463.599999994</v>
      </c>
      <c r="P50" s="57">
        <f t="shared" si="28"/>
        <v>86639463.599999994</v>
      </c>
      <c r="Q50" s="57">
        <f t="shared" si="28"/>
        <v>86639463.599999994</v>
      </c>
      <c r="R50" s="57">
        <f t="shared" si="28"/>
        <v>86639463.599999994</v>
      </c>
      <c r="S50" s="57">
        <f>SUM(S47:S49)</f>
        <v>918436294.60000014</v>
      </c>
      <c r="T50" s="57">
        <f t="shared" ref="T50:AE50" si="29">SUM(T47:T49)</f>
        <v>68985345.700000003</v>
      </c>
      <c r="U50" s="57">
        <f t="shared" si="29"/>
        <v>117426879</v>
      </c>
      <c r="V50" s="57">
        <f t="shared" si="29"/>
        <v>52756604.802500002</v>
      </c>
      <c r="W50" s="57">
        <f t="shared" si="29"/>
        <v>63102254.149999999</v>
      </c>
      <c r="X50" s="57">
        <f t="shared" si="29"/>
        <v>77832448.61983335</v>
      </c>
      <c r="Y50" s="57">
        <f t="shared" si="29"/>
        <v>85592448.619833335</v>
      </c>
      <c r="Z50" s="57">
        <f t="shared" si="29"/>
        <v>87732448.61983332</v>
      </c>
      <c r="AA50" s="57">
        <f t="shared" si="29"/>
        <v>78932448.619833335</v>
      </c>
      <c r="AB50" s="57">
        <f t="shared" si="29"/>
        <v>77832448.61983335</v>
      </c>
      <c r="AC50" s="57">
        <f t="shared" si="29"/>
        <v>87985345.700000003</v>
      </c>
      <c r="AD50" s="57">
        <f t="shared" si="29"/>
        <v>85832448.619833335</v>
      </c>
      <c r="AE50" s="57">
        <f t="shared" si="29"/>
        <v>74683631</v>
      </c>
      <c r="AF50" s="15">
        <f>SUM(AF47:AF49)</f>
        <v>958694752.07150018</v>
      </c>
      <c r="AG50" s="55" t="e">
        <f>S50/F50</f>
        <v>#DIV/0!</v>
      </c>
      <c r="AH50" s="55" t="e">
        <f>S50/G50</f>
        <v>#DIV/0!</v>
      </c>
      <c r="AI50" s="56">
        <f>AF50/S50</f>
        <v>1.0438336961509491</v>
      </c>
    </row>
    <row r="51" spans="2:37">
      <c r="I51" s="20"/>
      <c r="J51" s="20"/>
    </row>
    <row r="52" spans="2:37">
      <c r="I52" s="20"/>
      <c r="J52" s="20"/>
    </row>
    <row r="53" spans="2:37">
      <c r="B53" s="97" t="s">
        <v>59</v>
      </c>
      <c r="C53" s="97"/>
      <c r="I53" s="20"/>
      <c r="J53" s="20"/>
    </row>
    <row r="54" spans="2:37">
      <c r="B54" s="83" t="s">
        <v>14</v>
      </c>
      <c r="C54" s="84"/>
      <c r="D54" s="4" t="s">
        <v>3</v>
      </c>
      <c r="E54" s="4" t="s">
        <v>4</v>
      </c>
      <c r="F54" s="4" t="s">
        <v>5</v>
      </c>
      <c r="G54" s="24" t="s">
        <v>6</v>
      </c>
      <c r="H54" s="24" t="s">
        <v>18</v>
      </c>
      <c r="I54" s="24" t="s">
        <v>19</v>
      </c>
      <c r="J54" s="91" t="s">
        <v>43</v>
      </c>
      <c r="K54" s="92"/>
      <c r="L54" s="92"/>
      <c r="M54" s="92"/>
      <c r="N54" s="92"/>
      <c r="O54" s="92"/>
      <c r="P54" s="92"/>
      <c r="Q54" s="92"/>
      <c r="R54" s="93"/>
      <c r="S54" s="16" t="s">
        <v>20</v>
      </c>
      <c r="T54" s="30"/>
      <c r="U54" s="30"/>
      <c r="V54" s="30"/>
      <c r="W54" s="94" t="s">
        <v>42</v>
      </c>
      <c r="X54" s="95"/>
      <c r="Y54" s="95"/>
      <c r="Z54" s="95"/>
      <c r="AA54" s="95"/>
      <c r="AB54" s="95"/>
      <c r="AC54" s="95"/>
      <c r="AD54" s="95"/>
      <c r="AE54" s="96"/>
      <c r="AF54" s="16" t="s">
        <v>21</v>
      </c>
      <c r="AG54" s="89" t="s">
        <v>22</v>
      </c>
      <c r="AH54" s="90"/>
      <c r="AI54" s="90"/>
    </row>
    <row r="55" spans="2:37">
      <c r="B55" s="85"/>
      <c r="C55" s="86"/>
      <c r="D55" s="6" t="s">
        <v>7</v>
      </c>
      <c r="E55" s="6" t="s">
        <v>7</v>
      </c>
      <c r="F55" s="6" t="s">
        <v>8</v>
      </c>
      <c r="G55" s="7" t="s">
        <v>9</v>
      </c>
      <c r="H55" s="7" t="s">
        <v>23</v>
      </c>
      <c r="I55" s="7" t="s">
        <v>24</v>
      </c>
      <c r="J55" s="25" t="s">
        <v>33</v>
      </c>
      <c r="K55" s="25" t="s">
        <v>34</v>
      </c>
      <c r="L55" s="25" t="s">
        <v>35</v>
      </c>
      <c r="M55" s="25" t="s">
        <v>36</v>
      </c>
      <c r="N55" s="25" t="s">
        <v>37</v>
      </c>
      <c r="O55" s="25" t="s">
        <v>38</v>
      </c>
      <c r="P55" s="25" t="s">
        <v>39</v>
      </c>
      <c r="Q55" s="25" t="s">
        <v>40</v>
      </c>
      <c r="R55" s="25" t="s">
        <v>41</v>
      </c>
      <c r="S55" s="17" t="s">
        <v>25</v>
      </c>
      <c r="T55" s="31" t="s">
        <v>44</v>
      </c>
      <c r="U55" s="31" t="s">
        <v>45</v>
      </c>
      <c r="V55" s="31" t="s">
        <v>46</v>
      </c>
      <c r="W55" s="28" t="s">
        <v>33</v>
      </c>
      <c r="X55" s="28" t="s">
        <v>47</v>
      </c>
      <c r="Y55" s="28" t="s">
        <v>35</v>
      </c>
      <c r="Z55" s="28" t="s">
        <v>36</v>
      </c>
      <c r="AA55" s="28" t="s">
        <v>37</v>
      </c>
      <c r="AB55" s="28" t="s">
        <v>38</v>
      </c>
      <c r="AC55" s="28" t="s">
        <v>39</v>
      </c>
      <c r="AD55" s="28" t="s">
        <v>40</v>
      </c>
      <c r="AE55" s="28" t="s">
        <v>41</v>
      </c>
      <c r="AF55" s="17" t="s">
        <v>9</v>
      </c>
      <c r="AG55" s="7"/>
      <c r="AH55" s="7"/>
      <c r="AI55" s="7"/>
    </row>
    <row r="56" spans="2:37">
      <c r="B56" s="87"/>
      <c r="C56" s="88"/>
      <c r="D56" s="6" t="s">
        <v>10</v>
      </c>
      <c r="E56" s="6" t="s">
        <v>11</v>
      </c>
      <c r="F56" s="6" t="s">
        <v>12</v>
      </c>
      <c r="G56" s="6" t="s">
        <v>13</v>
      </c>
      <c r="H56" s="6" t="s">
        <v>26</v>
      </c>
      <c r="I56" s="6" t="s">
        <v>27</v>
      </c>
      <c r="J56" s="27"/>
      <c r="K56" s="27"/>
      <c r="L56" s="27"/>
      <c r="M56" s="27"/>
      <c r="N56" s="27"/>
      <c r="O56" s="27"/>
      <c r="P56" s="27"/>
      <c r="Q56" s="27"/>
      <c r="R56" s="27"/>
      <c r="S56" s="18" t="s">
        <v>28</v>
      </c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18" t="s">
        <v>29</v>
      </c>
      <c r="AG56" s="6" t="s">
        <v>30</v>
      </c>
      <c r="AH56" s="6" t="s">
        <v>31</v>
      </c>
      <c r="AI56" s="6" t="s">
        <v>32</v>
      </c>
    </row>
    <row r="57" spans="2:37">
      <c r="B57" s="8"/>
      <c r="C57" s="9" t="s">
        <v>15</v>
      </c>
      <c r="D57" s="10"/>
      <c r="E57" s="10"/>
      <c r="F57" s="10"/>
      <c r="G57" s="10"/>
    </row>
    <row r="58" spans="2:37">
      <c r="B58" s="12">
        <v>4010200000</v>
      </c>
      <c r="C58" s="59" t="s">
        <v>0</v>
      </c>
      <c r="D58" s="39"/>
      <c r="E58" s="39">
        <v>32626837602</v>
      </c>
      <c r="F58" s="39">
        <v>33670995852</v>
      </c>
      <c r="G58" s="39">
        <v>37536524564.345741</v>
      </c>
      <c r="H58" s="39">
        <v>8319030361.779501</v>
      </c>
      <c r="I58" s="40">
        <v>8036464987</v>
      </c>
      <c r="J58" s="40">
        <v>2622408886</v>
      </c>
      <c r="K58" s="40">
        <v>2622408886</v>
      </c>
      <c r="L58" s="40">
        <v>2622408886</v>
      </c>
      <c r="M58" s="40">
        <v>2622408886</v>
      </c>
      <c r="N58" s="40">
        <v>2622408886</v>
      </c>
      <c r="O58" s="40">
        <v>2622408886</v>
      </c>
      <c r="P58" s="40">
        <v>2622408886</v>
      </c>
      <c r="Q58" s="40">
        <v>2622408886</v>
      </c>
      <c r="R58" s="40">
        <v>2622408886</v>
      </c>
      <c r="S58" s="40">
        <f>SUM(I58:R58)</f>
        <v>31638144961</v>
      </c>
      <c r="T58" s="40">
        <v>2701081152.5799999</v>
      </c>
      <c r="U58" s="40">
        <v>2701081152.5799999</v>
      </c>
      <c r="V58" s="40">
        <v>2701081152.5799999</v>
      </c>
      <c r="W58" s="40">
        <v>2701081152.5799999</v>
      </c>
      <c r="X58" s="40">
        <v>2701081152.5799999</v>
      </c>
      <c r="Y58" s="40">
        <v>2701081152.5799999</v>
      </c>
      <c r="Z58" s="40">
        <v>2701081152.5799999</v>
      </c>
      <c r="AA58" s="40">
        <v>2701081152.5799999</v>
      </c>
      <c r="AB58" s="40">
        <v>2701081152.5799999</v>
      </c>
      <c r="AC58" s="40">
        <v>2701081152.5799999</v>
      </c>
      <c r="AD58" s="40">
        <v>2701081152.5799999</v>
      </c>
      <c r="AE58" s="40">
        <v>2701081152.5799999</v>
      </c>
      <c r="AF58" s="40">
        <f>SUM(T58:AE58)</f>
        <v>32412973830.960007</v>
      </c>
      <c r="AG58" s="40">
        <f>S58/F58</f>
        <v>0.93962605383175046</v>
      </c>
      <c r="AH58" s="40">
        <f>S58/G58</f>
        <v>0.84286292692775433</v>
      </c>
      <c r="AI58" s="71">
        <f>AF58/S58</f>
        <v>1.0244903381950847</v>
      </c>
    </row>
    <row r="59" spans="2:37">
      <c r="B59" s="12">
        <v>4010300000</v>
      </c>
      <c r="C59" s="59" t="s">
        <v>1</v>
      </c>
      <c r="D59" s="39"/>
      <c r="E59" s="39">
        <v>186135847632</v>
      </c>
      <c r="F59" s="39">
        <v>191293606971</v>
      </c>
      <c r="G59" s="39">
        <v>209756578600.92529</v>
      </c>
      <c r="H59" s="39">
        <v>46816389506.858818</v>
      </c>
      <c r="I59" s="40">
        <v>43675223616</v>
      </c>
      <c r="J59" s="19">
        <v>14558407872</v>
      </c>
      <c r="K59" s="19">
        <v>14558407872</v>
      </c>
      <c r="L59" s="19">
        <v>14558407872</v>
      </c>
      <c r="M59" s="19">
        <v>14558407872</v>
      </c>
      <c r="N59" s="19">
        <v>14558407872</v>
      </c>
      <c r="O59" s="19">
        <v>14558407872</v>
      </c>
      <c r="P59" s="19">
        <v>14558407872</v>
      </c>
      <c r="Q59" s="19">
        <v>14558407872</v>
      </c>
      <c r="R59" s="19">
        <v>14558407872</v>
      </c>
      <c r="S59" s="40">
        <f t="shared" ref="S59" si="30">SUM(I59:R59)</f>
        <v>174700894464</v>
      </c>
      <c r="T59" s="19">
        <v>14922368068.799999</v>
      </c>
      <c r="U59" s="19">
        <v>14922368068.799999</v>
      </c>
      <c r="V59" s="19">
        <v>14922368068.799999</v>
      </c>
      <c r="W59" s="19">
        <v>14922368068.799999</v>
      </c>
      <c r="X59" s="19">
        <v>14922368068.799999</v>
      </c>
      <c r="Y59" s="19">
        <v>14922368068.799999</v>
      </c>
      <c r="Z59" s="19">
        <v>14922368068.799999</v>
      </c>
      <c r="AA59" s="19">
        <v>14922368068.799999</v>
      </c>
      <c r="AB59" s="19">
        <v>14922368068.799999</v>
      </c>
      <c r="AC59" s="19">
        <v>14922368068.799999</v>
      </c>
      <c r="AD59" s="19">
        <v>14922368068.799999</v>
      </c>
      <c r="AE59" s="19">
        <v>14922368068.799999</v>
      </c>
      <c r="AF59" s="40">
        <f>SUM(T59:AE59)</f>
        <v>179068416825.59998</v>
      </c>
      <c r="AG59" s="40">
        <f>S59/F59</f>
        <v>0.9132604964183908</v>
      </c>
      <c r="AH59" s="40">
        <f>S59/G59</f>
        <v>0.83287444727242199</v>
      </c>
      <c r="AI59" s="71">
        <f>AF59/S59</f>
        <v>1.0249999999999999</v>
      </c>
    </row>
    <row r="60" spans="2:37">
      <c r="B60" s="12">
        <v>4010400000</v>
      </c>
      <c r="C60" s="59" t="s">
        <v>2</v>
      </c>
      <c r="D60" s="39"/>
      <c r="E60" s="39"/>
      <c r="F60" s="39"/>
      <c r="G60" s="39"/>
      <c r="H60" s="39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>
        <f>SUM(I60:R60)</f>
        <v>0</v>
      </c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>
        <f>SUM(T60:AE60)</f>
        <v>0</v>
      </c>
      <c r="AG60" s="40"/>
      <c r="AH60" s="40"/>
      <c r="AI60" s="58"/>
    </row>
    <row r="61" spans="2:37">
      <c r="B61" s="13">
        <v>4010000000</v>
      </c>
      <c r="C61" s="14" t="s">
        <v>17</v>
      </c>
      <c r="D61" s="57">
        <f t="shared" ref="D61:J61" si="31">SUM(D58:D60)</f>
        <v>0</v>
      </c>
      <c r="E61" s="57">
        <f t="shared" si="31"/>
        <v>218762685234</v>
      </c>
      <c r="F61" s="57">
        <f t="shared" si="31"/>
        <v>224964602823</v>
      </c>
      <c r="G61" s="57">
        <f t="shared" si="31"/>
        <v>247293103165.27103</v>
      </c>
      <c r="H61" s="57">
        <f t="shared" si="31"/>
        <v>55135419868.638321</v>
      </c>
      <c r="I61" s="15">
        <f t="shared" si="31"/>
        <v>51711688603</v>
      </c>
      <c r="J61" s="57">
        <f t="shared" si="31"/>
        <v>17180816758</v>
      </c>
      <c r="K61" s="57">
        <f t="shared" ref="K61" si="32">SUM(K58:K60)</f>
        <v>17180816758</v>
      </c>
      <c r="L61" s="57">
        <f t="shared" ref="L61" si="33">SUM(L58:L60)</f>
        <v>17180816758</v>
      </c>
      <c r="M61" s="57">
        <f t="shared" ref="M61" si="34">SUM(M58:M60)</f>
        <v>17180816758</v>
      </c>
      <c r="N61" s="57">
        <f t="shared" ref="N61" si="35">SUM(N58:N60)</f>
        <v>17180816758</v>
      </c>
      <c r="O61" s="57">
        <f t="shared" ref="O61" si="36">SUM(O58:O60)</f>
        <v>17180816758</v>
      </c>
      <c r="P61" s="57">
        <f t="shared" ref="P61" si="37">SUM(P58:P60)</f>
        <v>17180816758</v>
      </c>
      <c r="Q61" s="57">
        <f t="shared" ref="Q61" si="38">SUM(Q58:Q60)</f>
        <v>17180816758</v>
      </c>
      <c r="R61" s="57">
        <f t="shared" ref="R61" si="39">SUM(R58:R60)</f>
        <v>17180816758</v>
      </c>
      <c r="S61" s="57">
        <f>SUM(S58:S60)</f>
        <v>206339039425</v>
      </c>
      <c r="T61" s="57">
        <f t="shared" ref="T61:AE61" si="40">SUM(T58:T60)</f>
        <v>17623449221.379997</v>
      </c>
      <c r="U61" s="57">
        <f t="shared" si="40"/>
        <v>17623449221.379997</v>
      </c>
      <c r="V61" s="57">
        <f t="shared" si="40"/>
        <v>17623449221.379997</v>
      </c>
      <c r="W61" s="57">
        <f t="shared" si="40"/>
        <v>17623449221.379997</v>
      </c>
      <c r="X61" s="57">
        <f t="shared" si="40"/>
        <v>17623449221.379997</v>
      </c>
      <c r="Y61" s="57">
        <f t="shared" si="40"/>
        <v>17623449221.379997</v>
      </c>
      <c r="Z61" s="57">
        <f t="shared" si="40"/>
        <v>17623449221.379997</v>
      </c>
      <c r="AA61" s="57">
        <f t="shared" si="40"/>
        <v>17623449221.379997</v>
      </c>
      <c r="AB61" s="57">
        <f t="shared" si="40"/>
        <v>17623449221.379997</v>
      </c>
      <c r="AC61" s="57">
        <f t="shared" si="40"/>
        <v>17623449221.379997</v>
      </c>
      <c r="AD61" s="57">
        <f t="shared" si="40"/>
        <v>17623449221.379997</v>
      </c>
      <c r="AE61" s="57">
        <f t="shared" si="40"/>
        <v>17623449221.379997</v>
      </c>
      <c r="AF61" s="15">
        <f>SUM(AF58:AF60)</f>
        <v>211481390656.56</v>
      </c>
      <c r="AG61" s="55">
        <f>S61/F61</f>
        <v>0.91720669312294245</v>
      </c>
      <c r="AH61" s="55">
        <f>S61/G61</f>
        <v>0.83439059473930988</v>
      </c>
      <c r="AI61" s="56">
        <f>AF61/S61</f>
        <v>1.0249218531107349</v>
      </c>
    </row>
    <row r="62" spans="2:37">
      <c r="I62" s="26"/>
      <c r="J62" s="26"/>
    </row>
    <row r="63" spans="2:37">
      <c r="I63" s="26"/>
      <c r="J63" s="26"/>
      <c r="Q63" s="20"/>
      <c r="S63" s="26"/>
      <c r="AF63" s="26"/>
    </row>
    <row r="64" spans="2:37">
      <c r="J64" s="26"/>
      <c r="Q64" s="20"/>
      <c r="S64" s="26"/>
      <c r="T64" s="19"/>
      <c r="AF64" s="26"/>
    </row>
    <row r="65" spans="9:32">
      <c r="I65" s="26"/>
      <c r="J65" s="26"/>
      <c r="Q65" s="20"/>
      <c r="S65" s="26"/>
      <c r="T65" s="19"/>
      <c r="AF65" s="26"/>
    </row>
    <row r="66" spans="9:32">
      <c r="AF66" s="60"/>
    </row>
  </sheetData>
  <mergeCells count="25">
    <mergeCell ref="B53:C53"/>
    <mergeCell ref="B54:C56"/>
    <mergeCell ref="J54:R54"/>
    <mergeCell ref="W54:AE54"/>
    <mergeCell ref="AG54:AI54"/>
    <mergeCell ref="B42:C42"/>
    <mergeCell ref="B43:C45"/>
    <mergeCell ref="J43:R43"/>
    <mergeCell ref="W43:AE43"/>
    <mergeCell ref="AG43:AI43"/>
    <mergeCell ref="B15:C17"/>
    <mergeCell ref="J15:R15"/>
    <mergeCell ref="W15:AE15"/>
    <mergeCell ref="AG15:AI15"/>
    <mergeCell ref="B14:C14"/>
    <mergeCell ref="B27:C29"/>
    <mergeCell ref="J27:R27"/>
    <mergeCell ref="W27:AE27"/>
    <mergeCell ref="AG27:AI27"/>
    <mergeCell ref="B26:C26"/>
    <mergeCell ref="B5:C7"/>
    <mergeCell ref="AG5:AI5"/>
    <mergeCell ref="J5:R5"/>
    <mergeCell ref="W5:AE5"/>
    <mergeCell ref="B4:C4"/>
  </mergeCells>
  <phoneticPr fontId="11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6BF6-B9DC-40A2-A6D0-AC63D7DC3CA6}">
  <dimension ref="B3:M55"/>
  <sheetViews>
    <sheetView tabSelected="1" topLeftCell="A26" workbookViewId="0">
      <selection activeCell="B38" sqref="B38:F55"/>
    </sheetView>
  </sheetViews>
  <sheetFormatPr defaultRowHeight="14.4"/>
  <cols>
    <col min="2" max="2" width="24.21875" customWidth="1"/>
    <col min="3" max="4" width="15.77734375" customWidth="1"/>
    <col min="5" max="5" width="20" bestFit="1" customWidth="1"/>
    <col min="6" max="7" width="15.77734375" customWidth="1"/>
    <col min="11" max="11" width="12.77734375" customWidth="1"/>
    <col min="12" max="12" width="13.88671875" customWidth="1"/>
    <col min="13" max="13" width="18.21875" bestFit="1" customWidth="1"/>
  </cols>
  <sheetData>
    <row r="3" spans="2:13">
      <c r="B3" s="99" t="s">
        <v>15</v>
      </c>
      <c r="C3" s="79" t="s">
        <v>61</v>
      </c>
      <c r="D3" s="79" t="s">
        <v>6</v>
      </c>
      <c r="E3" s="79" t="s">
        <v>76</v>
      </c>
      <c r="F3" s="79" t="s">
        <v>43</v>
      </c>
      <c r="G3" s="74" t="s">
        <v>42</v>
      </c>
      <c r="H3" s="101" t="s">
        <v>63</v>
      </c>
      <c r="I3" s="101"/>
      <c r="J3" s="101"/>
      <c r="K3" s="101" t="s">
        <v>64</v>
      </c>
      <c r="L3" s="101"/>
    </row>
    <row r="4" spans="2:13">
      <c r="B4" s="100"/>
      <c r="C4" s="79">
        <v>1</v>
      </c>
      <c r="D4" s="79">
        <v>2</v>
      </c>
      <c r="E4" s="79">
        <v>3</v>
      </c>
      <c r="F4" s="79">
        <v>4</v>
      </c>
      <c r="G4" s="74">
        <v>5</v>
      </c>
      <c r="H4" s="80" t="s">
        <v>62</v>
      </c>
      <c r="I4" s="80" t="s">
        <v>72</v>
      </c>
      <c r="J4" s="80" t="s">
        <v>73</v>
      </c>
      <c r="K4" s="79" t="s">
        <v>74</v>
      </c>
      <c r="L4" s="79" t="s">
        <v>75</v>
      </c>
    </row>
    <row r="5" spans="2:13">
      <c r="B5" s="66" t="str">
        <f>Sheet1!C9</f>
        <v>Pendapatan Pemanduan</v>
      </c>
      <c r="C5" s="63">
        <f>Sheet1!F9</f>
        <v>5041541657</v>
      </c>
      <c r="D5" s="63">
        <f>Sheet1!G9</f>
        <v>5064214344</v>
      </c>
      <c r="E5" s="63">
        <f>Sheet1!I9</f>
        <v>1747843289</v>
      </c>
      <c r="F5" s="64">
        <f>Sheet1!S9</f>
        <v>6408809405</v>
      </c>
      <c r="G5" s="64">
        <f>Sheet1!AF9</f>
        <v>6596180739.0320425</v>
      </c>
      <c r="H5" s="65">
        <f>G5/F5</f>
        <v>1.0292365277528552</v>
      </c>
      <c r="I5" s="65">
        <f>G5/D5</f>
        <v>1.3025082058082893</v>
      </c>
      <c r="J5" s="65">
        <f>G5/C5</f>
        <v>1.3083658110557277</v>
      </c>
      <c r="K5" s="65">
        <f>F5/D5</f>
        <v>1.2655091134902405</v>
      </c>
      <c r="L5" s="65">
        <f>F5/C5</f>
        <v>1.2712003274041379</v>
      </c>
    </row>
    <row r="6" spans="2:13">
      <c r="B6" s="66" t="str">
        <f>Sheet1!C10</f>
        <v>Pendapatan Penundaan</v>
      </c>
      <c r="C6" s="63">
        <f>Sheet1!F10</f>
        <v>38777589997</v>
      </c>
      <c r="D6" s="63">
        <f>Sheet1!G10</f>
        <v>45802086031</v>
      </c>
      <c r="E6" s="63">
        <f>Sheet1!I10</f>
        <v>13027152416</v>
      </c>
      <c r="F6" s="64">
        <f>Sheet1!S10</f>
        <v>47766461638</v>
      </c>
      <c r="G6" s="64">
        <f>Sheet1!AF10</f>
        <v>49035214916.789703</v>
      </c>
      <c r="H6" s="65">
        <f t="shared" ref="H6:H8" si="0">G6/F6</f>
        <v>1.026561592282154</v>
      </c>
      <c r="I6" s="65">
        <f t="shared" ref="I6:I8" si="1">G6/D6</f>
        <v>1.0705891186615701</v>
      </c>
      <c r="J6" s="65">
        <f t="shared" ref="J6:J8" si="2">G6/C6</f>
        <v>1.2645245596898436</v>
      </c>
      <c r="K6" s="65">
        <f t="shared" ref="K6:K8" si="3">F6/D6</f>
        <v>1.0428883436809071</v>
      </c>
      <c r="L6" s="65">
        <f t="shared" ref="L6:L8" si="4">F6/C6</f>
        <v>1.231805835321262</v>
      </c>
    </row>
    <row r="7" spans="2:13">
      <c r="B7" s="66" t="str">
        <f>Sheet1!C11</f>
        <v>Pendapatan Penambatan</v>
      </c>
      <c r="C7" s="63">
        <f>Sheet1!F11</f>
        <v>51229046721</v>
      </c>
      <c r="D7" s="63">
        <f>Sheet1!G11</f>
        <v>48074254664</v>
      </c>
      <c r="E7" s="63">
        <f>Sheet1!I11</f>
        <v>20352721620</v>
      </c>
      <c r="F7" s="64">
        <f>Sheet1!S11</f>
        <v>74626615613</v>
      </c>
      <c r="G7" s="64">
        <f>Sheet1!AF11</f>
        <v>80609227167.139328</v>
      </c>
      <c r="H7" s="65">
        <f t="shared" si="0"/>
        <v>1.0801672634487949</v>
      </c>
      <c r="I7" s="65">
        <f t="shared" si="1"/>
        <v>1.6767649905449884</v>
      </c>
      <c r="J7" s="65">
        <f t="shared" si="2"/>
        <v>1.573506288456773</v>
      </c>
      <c r="K7" s="65">
        <f t="shared" si="3"/>
        <v>1.5523197631368275</v>
      </c>
      <c r="L7" s="65">
        <f t="shared" si="4"/>
        <v>1.4567246589503446</v>
      </c>
    </row>
    <row r="8" spans="2:13">
      <c r="B8" s="66" t="s">
        <v>66</v>
      </c>
      <c r="C8" s="67">
        <f>SUM(C5:C7)</f>
        <v>95048178375</v>
      </c>
      <c r="D8" s="67">
        <f t="shared" ref="D8:G8" si="5">SUM(D5:D7)</f>
        <v>98940555039</v>
      </c>
      <c r="E8" s="67">
        <f>Sheet1!I12</f>
        <v>35127717325</v>
      </c>
      <c r="F8" s="67">
        <f t="shared" si="5"/>
        <v>128801886656</v>
      </c>
      <c r="G8" s="67">
        <f t="shared" si="5"/>
        <v>136240622822.96107</v>
      </c>
      <c r="H8" s="68">
        <f t="shared" si="0"/>
        <v>1.0577533168192499</v>
      </c>
      <c r="I8" s="68">
        <f t="shared" si="1"/>
        <v>1.3769947295045826</v>
      </c>
      <c r="J8" s="68">
        <f t="shared" si="2"/>
        <v>1.4333848912436991</v>
      </c>
      <c r="K8" s="68">
        <f t="shared" si="3"/>
        <v>1.3018108358622951</v>
      </c>
      <c r="L8" s="68">
        <f t="shared" si="4"/>
        <v>1.3551220955316914</v>
      </c>
      <c r="M8" s="19"/>
    </row>
    <row r="9" spans="2:13">
      <c r="M9" s="20"/>
    </row>
    <row r="10" spans="2:13">
      <c r="B10" s="62" t="s">
        <v>67</v>
      </c>
    </row>
    <row r="11" spans="2:13">
      <c r="B11" s="98" t="s">
        <v>65</v>
      </c>
      <c r="C11" s="98"/>
      <c r="D11" s="98"/>
      <c r="E11" s="69"/>
      <c r="F11" s="70">
        <f>H8</f>
        <v>1.0577533168192499</v>
      </c>
    </row>
    <row r="12" spans="2:13">
      <c r="B12" s="98" t="s">
        <v>68</v>
      </c>
      <c r="C12" s="98"/>
      <c r="D12" s="98"/>
      <c r="E12" s="69"/>
      <c r="F12" s="70">
        <f>I8</f>
        <v>1.3769947295045826</v>
      </c>
    </row>
    <row r="13" spans="2:13">
      <c r="B13" s="98" t="s">
        <v>69</v>
      </c>
      <c r="C13" s="98"/>
      <c r="D13" s="98"/>
      <c r="E13" s="69"/>
      <c r="F13" s="70">
        <f>J8</f>
        <v>1.4333848912436991</v>
      </c>
    </row>
    <row r="14" spans="2:13">
      <c r="B14" s="98" t="s">
        <v>70</v>
      </c>
      <c r="C14" s="98"/>
      <c r="D14" s="98"/>
      <c r="E14" s="69"/>
      <c r="F14" s="70">
        <f>K8</f>
        <v>1.3018108358622951</v>
      </c>
    </row>
    <row r="15" spans="2:13">
      <c r="B15" s="98" t="s">
        <v>71</v>
      </c>
      <c r="C15" s="98"/>
      <c r="D15" s="98"/>
      <c r="E15" s="69"/>
      <c r="F15" s="70">
        <f>L8</f>
        <v>1.3551220955316914</v>
      </c>
    </row>
    <row r="16" spans="2:13">
      <c r="C16" s="26"/>
    </row>
    <row r="17" spans="2:6">
      <c r="B17" s="103" t="s">
        <v>82</v>
      </c>
      <c r="C17" s="101" t="s">
        <v>81</v>
      </c>
      <c r="D17" s="101"/>
      <c r="E17" s="102" t="s">
        <v>42</v>
      </c>
      <c r="F17" s="102"/>
    </row>
    <row r="18" spans="2:6">
      <c r="B18" s="103"/>
      <c r="C18" s="79" t="s">
        <v>79</v>
      </c>
      <c r="D18" s="79" t="s">
        <v>80</v>
      </c>
      <c r="E18" s="74" t="s">
        <v>79</v>
      </c>
      <c r="F18" s="74" t="s">
        <v>80</v>
      </c>
    </row>
    <row r="19" spans="2:6">
      <c r="B19" s="75" t="s">
        <v>77</v>
      </c>
      <c r="C19" s="72">
        <f>Sheet1!S22/Sheet1!S11</f>
        <v>0.5649840015879698</v>
      </c>
      <c r="D19" s="73">
        <f>Sheet1!S22</f>
        <v>42162843914</v>
      </c>
      <c r="E19" s="72">
        <f>Sheet1!AF22/Sheet1!AF11</f>
        <v>0.5702761306912949</v>
      </c>
      <c r="F19" s="73">
        <f>Sheet1!AF22</f>
        <v>45969518166.89183</v>
      </c>
    </row>
    <row r="20" spans="2:6">
      <c r="B20" s="75" t="s">
        <v>78</v>
      </c>
      <c r="C20" s="72">
        <f>Sheet1!S33/Sheet1!S11</f>
        <v>0.43425172828492475</v>
      </c>
      <c r="D20" s="73">
        <f>Sheet1!S33</f>
        <v>32406736806</v>
      </c>
      <c r="E20" s="72">
        <f>Sheet1!AF33/Sheet1!AF11</f>
        <v>0.42896998427341632</v>
      </c>
      <c r="F20" s="73">
        <f>Sheet1!AF33</f>
        <v>34578938910.18</v>
      </c>
    </row>
    <row r="21" spans="2:6">
      <c r="B21" s="75" t="s">
        <v>83</v>
      </c>
      <c r="C21" s="72">
        <f>Sheet1!S49/Sheet1!S11</f>
        <v>7.6427012710548927E-4</v>
      </c>
      <c r="D21" s="73">
        <f>Sheet1!S49</f>
        <v>57034893</v>
      </c>
      <c r="E21" s="72">
        <f>Sheet1!AF49/Sheet1!AF11</f>
        <v>7.5388503528877856E-4</v>
      </c>
      <c r="F21" s="73">
        <f>Sheet1!AF49</f>
        <v>60770090.067500003</v>
      </c>
    </row>
    <row r="22" spans="2:6">
      <c r="B22" s="76" t="s">
        <v>66</v>
      </c>
      <c r="C22" s="77">
        <f>SUM(C19:C21)</f>
        <v>1</v>
      </c>
      <c r="D22" s="78">
        <f>SUM(D19:D21)</f>
        <v>74626615613</v>
      </c>
      <c r="E22" s="77">
        <f>SUM(E19:E21)</f>
        <v>0.99999999999999989</v>
      </c>
      <c r="F22" s="78">
        <f>SUM(F19:F21)</f>
        <v>80609227167.139343</v>
      </c>
    </row>
    <row r="24" spans="2:6">
      <c r="B24" s="108" t="s">
        <v>82</v>
      </c>
      <c r="C24" s="106" t="s">
        <v>81</v>
      </c>
      <c r="D24" s="107"/>
      <c r="E24" s="104" t="s">
        <v>42</v>
      </c>
      <c r="F24" s="105"/>
    </row>
    <row r="25" spans="2:6">
      <c r="B25" s="109"/>
      <c r="C25" s="81" t="s">
        <v>79</v>
      </c>
      <c r="D25" s="81" t="s">
        <v>80</v>
      </c>
      <c r="E25" s="82" t="s">
        <v>79</v>
      </c>
      <c r="F25" s="82" t="s">
        <v>80</v>
      </c>
    </row>
    <row r="26" spans="2:6">
      <c r="B26" s="75" t="s">
        <v>77</v>
      </c>
      <c r="C26" s="72">
        <f>D26/D29</f>
        <v>0.50655392707844149</v>
      </c>
      <c r="D26" s="73">
        <f>Sheet1!S20</f>
        <v>3246407572</v>
      </c>
      <c r="E26" s="72">
        <f>F26/F29</f>
        <v>0.50604181689074956</v>
      </c>
      <c r="F26" s="73">
        <f>Sheet1!AF20</f>
        <v>3337943285.7195415</v>
      </c>
    </row>
    <row r="27" spans="2:6">
      <c r="B27" s="75" t="s">
        <v>78</v>
      </c>
      <c r="C27" s="72">
        <f>D27/D29</f>
        <v>0.48056734275748053</v>
      </c>
      <c r="D27" s="73">
        <f>Sheet1!S31</f>
        <v>3079864506</v>
      </c>
      <c r="E27" s="72">
        <f>F27/F29</f>
        <v>0.48092382041755788</v>
      </c>
      <c r="F27" s="73">
        <f>Sheet1!AF31</f>
        <v>3172260441.1799998</v>
      </c>
    </row>
    <row r="28" spans="2:6">
      <c r="B28" s="75" t="s">
        <v>83</v>
      </c>
      <c r="C28" s="72">
        <f>D28/D29</f>
        <v>1.2878730164077956E-2</v>
      </c>
      <c r="D28" s="73">
        <f>Sheet1!S47</f>
        <v>82537327</v>
      </c>
      <c r="E28" s="72">
        <f>F28/F29</f>
        <v>1.3034362691692513E-2</v>
      </c>
      <c r="F28" s="73">
        <f>Sheet1!AF47</f>
        <v>85977012.132499993</v>
      </c>
    </row>
    <row r="29" spans="2:6">
      <c r="B29" s="76" t="s">
        <v>66</v>
      </c>
      <c r="C29" s="77">
        <f>SUM(C26:C28)</f>
        <v>0.99999999999999989</v>
      </c>
      <c r="D29" s="78">
        <f>SUM(D26:D28)</f>
        <v>6408809405</v>
      </c>
      <c r="E29" s="77">
        <f>SUM(E26:E28)</f>
        <v>1</v>
      </c>
      <c r="F29" s="78">
        <f>SUM(F26:F28)</f>
        <v>6596180739.0320415</v>
      </c>
    </row>
    <row r="31" spans="2:6">
      <c r="B31" s="103" t="s">
        <v>84</v>
      </c>
      <c r="C31" s="101" t="s">
        <v>81</v>
      </c>
      <c r="D31" s="101"/>
      <c r="E31" s="102" t="s">
        <v>42</v>
      </c>
      <c r="F31" s="102"/>
    </row>
    <row r="32" spans="2:6">
      <c r="B32" s="103"/>
      <c r="C32" s="81" t="s">
        <v>79</v>
      </c>
      <c r="D32" s="81" t="s">
        <v>80</v>
      </c>
      <c r="E32" s="82" t="s">
        <v>79</v>
      </c>
      <c r="F32" s="82" t="s">
        <v>80</v>
      </c>
    </row>
    <row r="33" spans="2:6">
      <c r="B33" s="75" t="s">
        <v>77</v>
      </c>
      <c r="C33" s="72">
        <f>D33/D36</f>
        <v>0.52735762898460981</v>
      </c>
      <c r="D33" s="73">
        <f>Sheet1!S21</f>
        <v>25190007954.400005</v>
      </c>
      <c r="E33" s="72">
        <f>F33/F36</f>
        <v>0.52557636411671849</v>
      </c>
      <c r="F33" s="73">
        <f>Sheet1!AF21</f>
        <v>25771749969.648205</v>
      </c>
    </row>
    <row r="34" spans="2:6">
      <c r="B34" s="75" t="s">
        <v>78</v>
      </c>
      <c r="C34" s="72">
        <f>D34/D36</f>
        <v>0.45633670281449529</v>
      </c>
      <c r="D34" s="73">
        <f>Sheet1!S32</f>
        <v>21797589609</v>
      </c>
      <c r="E34" s="72">
        <f>F34/F36</f>
        <v>0.45786517577967373</v>
      </c>
      <c r="F34" s="73">
        <f>Sheet1!AF32</f>
        <v>22451517297.269993</v>
      </c>
    </row>
    <row r="35" spans="2:6">
      <c r="B35" s="75" t="s">
        <v>83</v>
      </c>
      <c r="C35" s="72">
        <f>D35/D36</f>
        <v>1.6305668200894845E-2</v>
      </c>
      <c r="D35" s="73">
        <f>Sheet1!S48</f>
        <v>778864074.60000014</v>
      </c>
      <c r="E35" s="72">
        <f>F35/F36</f>
        <v>1.655846010360788E-2</v>
      </c>
      <c r="F35" s="73">
        <f>Sheet1!AF48</f>
        <v>811947649.87150013</v>
      </c>
    </row>
    <row r="36" spans="2:6">
      <c r="B36" s="76" t="s">
        <v>66</v>
      </c>
      <c r="C36" s="77">
        <f>SUM(C33:C35)</f>
        <v>1</v>
      </c>
      <c r="D36" s="78">
        <f>SUM(D33:D35)</f>
        <v>47766461638.000008</v>
      </c>
      <c r="E36" s="77">
        <f>SUM(E33:E35)</f>
        <v>1.0000000000000002</v>
      </c>
      <c r="F36" s="78">
        <f>SUM(F33:F35)</f>
        <v>49035214916.789696</v>
      </c>
    </row>
    <row r="38" spans="2:6">
      <c r="B38" s="110" t="s">
        <v>85</v>
      </c>
      <c r="C38" s="101" t="s">
        <v>81</v>
      </c>
      <c r="D38" s="101"/>
      <c r="E38" s="102" t="s">
        <v>42</v>
      </c>
      <c r="F38" s="102"/>
    </row>
    <row r="39" spans="2:6">
      <c r="B39" s="110"/>
      <c r="C39" s="81" t="s">
        <v>79</v>
      </c>
      <c r="D39" s="81" t="s">
        <v>80</v>
      </c>
      <c r="E39" s="82" t="s">
        <v>79</v>
      </c>
      <c r="F39" s="82" t="s">
        <v>80</v>
      </c>
    </row>
    <row r="40" spans="2:6">
      <c r="B40" s="75" t="s">
        <v>77</v>
      </c>
      <c r="C40" s="72">
        <f>D40/D43</f>
        <v>0.54812286739987182</v>
      </c>
      <c r="D40" s="73">
        <f>D19+D26+D33</f>
        <v>70599259440.400009</v>
      </c>
      <c r="E40" s="72">
        <f>F40/F43</f>
        <v>0.55107801085012542</v>
      </c>
      <c r="F40" s="73">
        <f>F19+F26+F33</f>
        <v>75079211422.259583</v>
      </c>
    </row>
    <row r="41" spans="2:6">
      <c r="B41" s="75" t="s">
        <v>78</v>
      </c>
      <c r="C41" s="72">
        <f>D41/D43</f>
        <v>0.44474652047599889</v>
      </c>
      <c r="D41" s="73">
        <f t="shared" ref="D41:F42" si="6">D20+D27+D34</f>
        <v>57284190921</v>
      </c>
      <c r="E41" s="72">
        <f>F41/F43</f>
        <v>0.44188521309727768</v>
      </c>
      <c r="F41" s="73">
        <f t="shared" si="6"/>
        <v>60202716648.62999</v>
      </c>
    </row>
    <row r="42" spans="2:6">
      <c r="B42" s="75" t="s">
        <v>83</v>
      </c>
      <c r="C42" s="72">
        <f>D42/D43</f>
        <v>7.130612124129289E-3</v>
      </c>
      <c r="D42" s="73">
        <f t="shared" si="6"/>
        <v>918436294.60000014</v>
      </c>
      <c r="E42" s="72">
        <f>F42/F43</f>
        <v>7.0367760525969067E-3</v>
      </c>
      <c r="F42" s="73">
        <f t="shared" si="6"/>
        <v>958694752.07150006</v>
      </c>
    </row>
    <row r="43" spans="2:6">
      <c r="B43" s="76" t="s">
        <v>66</v>
      </c>
      <c r="C43" s="77">
        <f>SUM(C40:C42)</f>
        <v>1</v>
      </c>
      <c r="D43" s="78">
        <f>SUM(D40:D42)</f>
        <v>128801886656.00002</v>
      </c>
      <c r="E43" s="77">
        <f>SUM(E40:E42)</f>
        <v>1</v>
      </c>
      <c r="F43" s="78">
        <f>SUM(F40:F42)</f>
        <v>136240622822.96107</v>
      </c>
    </row>
    <row r="45" spans="2:6">
      <c r="B45" s="110" t="s">
        <v>88</v>
      </c>
      <c r="C45" s="101" t="s">
        <v>81</v>
      </c>
      <c r="D45" s="101"/>
      <c r="E45" s="102" t="s">
        <v>42</v>
      </c>
      <c r="F45" s="102"/>
    </row>
    <row r="46" spans="2:6">
      <c r="B46" s="110"/>
      <c r="C46" s="81" t="s">
        <v>79</v>
      </c>
      <c r="D46" s="81" t="s">
        <v>80</v>
      </c>
      <c r="E46" s="82" t="s">
        <v>79</v>
      </c>
      <c r="F46" s="82" t="s">
        <v>80</v>
      </c>
    </row>
    <row r="47" spans="2:6">
      <c r="B47" s="75" t="s">
        <v>86</v>
      </c>
      <c r="C47" s="72">
        <f>D47/D49</f>
        <v>0.15333087257343667</v>
      </c>
      <c r="D47" s="73">
        <f>Sheet1!S58</f>
        <v>31638144961</v>
      </c>
      <c r="E47" s="72">
        <f>F47/F49</f>
        <v>0.15326631686282879</v>
      </c>
      <c r="F47" s="73">
        <f>Sheet1!AF58</f>
        <v>32412973830.960007</v>
      </c>
    </row>
    <row r="48" spans="2:6">
      <c r="B48" s="75" t="s">
        <v>87</v>
      </c>
      <c r="C48" s="72">
        <f>D48/D49</f>
        <v>0.84666912742656331</v>
      </c>
      <c r="D48" s="73">
        <f>Sheet1!S59</f>
        <v>174700894464</v>
      </c>
      <c r="E48" s="72">
        <f>F48/F49</f>
        <v>0.84673368313717112</v>
      </c>
      <c r="F48" s="73">
        <f>Sheet1!AF59</f>
        <v>179068416825.59998</v>
      </c>
    </row>
    <row r="49" spans="2:6">
      <c r="B49" s="76" t="s">
        <v>66</v>
      </c>
      <c r="C49" s="77">
        <f>SUM(C47:C48)</f>
        <v>1</v>
      </c>
      <c r="D49" s="78">
        <f>SUM(D47:D48)</f>
        <v>206339039425</v>
      </c>
      <c r="E49" s="77">
        <f>SUM(E47:E48)</f>
        <v>0.99999999999999989</v>
      </c>
      <c r="F49" s="78">
        <f>SUM(F47:F48)</f>
        <v>211481390656.56</v>
      </c>
    </row>
    <row r="51" spans="2:6">
      <c r="B51" s="110" t="s">
        <v>91</v>
      </c>
      <c r="C51" s="101" t="s">
        <v>81</v>
      </c>
      <c r="D51" s="101"/>
      <c r="E51" s="102" t="s">
        <v>42</v>
      </c>
      <c r="F51" s="102"/>
    </row>
    <row r="52" spans="2:6">
      <c r="B52" s="110"/>
      <c r="C52" s="81" t="s">
        <v>79</v>
      </c>
      <c r="D52" s="81" t="s">
        <v>80</v>
      </c>
      <c r="E52" s="82" t="s">
        <v>79</v>
      </c>
      <c r="F52" s="82" t="s">
        <v>80</v>
      </c>
    </row>
    <row r="53" spans="2:6">
      <c r="B53" s="75" t="s">
        <v>90</v>
      </c>
      <c r="C53" s="72">
        <f>D53/D55</f>
        <v>0.38432156932355666</v>
      </c>
      <c r="D53" s="73">
        <f>D43</f>
        <v>128801886656.00002</v>
      </c>
      <c r="E53" s="72">
        <f>F53/F55</f>
        <v>0.39180902428251041</v>
      </c>
      <c r="F53" s="73">
        <f>F43</f>
        <v>136240622822.96107</v>
      </c>
    </row>
    <row r="54" spans="2:6">
      <c r="B54" s="75" t="s">
        <v>89</v>
      </c>
      <c r="C54" s="72">
        <f>D54/D55</f>
        <v>0.61567843067644334</v>
      </c>
      <c r="D54" s="73">
        <f>D49</f>
        <v>206339039425</v>
      </c>
      <c r="E54" s="72">
        <f>F54/F55</f>
        <v>0.60819097571748959</v>
      </c>
      <c r="F54" s="73">
        <f>F49</f>
        <v>211481390656.56</v>
      </c>
    </row>
    <row r="55" spans="2:6">
      <c r="B55" s="76" t="s">
        <v>66</v>
      </c>
      <c r="C55" s="77">
        <f>SUM(C53:C54)</f>
        <v>1</v>
      </c>
      <c r="D55" s="78">
        <f>SUM(D53:D54)</f>
        <v>335140926081</v>
      </c>
      <c r="E55" s="77">
        <f>SUM(E53:E54)</f>
        <v>1</v>
      </c>
      <c r="F55" s="78">
        <f>SUM(F53:F54)</f>
        <v>347722013479.52106</v>
      </c>
    </row>
  </sheetData>
  <mergeCells count="26">
    <mergeCell ref="B51:B52"/>
    <mergeCell ref="C51:D51"/>
    <mergeCell ref="E51:F51"/>
    <mergeCell ref="B38:B39"/>
    <mergeCell ref="C38:D38"/>
    <mergeCell ref="E38:F38"/>
    <mergeCell ref="B45:B46"/>
    <mergeCell ref="C45:D45"/>
    <mergeCell ref="E45:F45"/>
    <mergeCell ref="B24:B25"/>
    <mergeCell ref="C24:D24"/>
    <mergeCell ref="E24:F24"/>
    <mergeCell ref="B31:B32"/>
    <mergeCell ref="C31:D31"/>
    <mergeCell ref="E31:F31"/>
    <mergeCell ref="C17:D17"/>
    <mergeCell ref="E17:F17"/>
    <mergeCell ref="B17:B18"/>
    <mergeCell ref="B14:D14"/>
    <mergeCell ref="B15:D15"/>
    <mergeCell ref="B13:D13"/>
    <mergeCell ref="B3:B4"/>
    <mergeCell ref="H3:J3"/>
    <mergeCell ref="K3:L3"/>
    <mergeCell ref="B11:D11"/>
    <mergeCell ref="B12:D12"/>
  </mergeCells>
  <phoneticPr fontId="11" type="noConversion"/>
  <pageMargins left="0.7" right="0.7" top="0.75" bottom="0.75" header="0.3" footer="0.3"/>
  <pageSetup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GREEI GANAP</dc:creator>
  <cp:lastModifiedBy>JIMMY GREEI GANAP</cp:lastModifiedBy>
  <dcterms:created xsi:type="dcterms:W3CDTF">2026-05-20T16:20:06Z</dcterms:created>
  <dcterms:modified xsi:type="dcterms:W3CDTF">2026-06-15T08:01:24Z</dcterms:modified>
</cp:coreProperties>
</file>