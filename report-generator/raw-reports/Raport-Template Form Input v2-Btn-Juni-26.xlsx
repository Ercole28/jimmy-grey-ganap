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ARUS" sheetId="2" r:id="rId5"/>
    <sheet state="visible" name="KINERJA" sheetId="3" r:id="rId6"/>
    <sheet state="visible" name="UTILISASI" sheetId="4" r:id="rId7"/>
    <sheet state="visible" name="PRODUKSI" sheetId="5" r:id="rId8"/>
  </sheets>
  <definedNames/>
  <calcPr/>
  <extLst>
    <ext uri="GoogleSheetsCustomDataVersion2">
      <go:sheetsCustomData xmlns:go="http://customooxmlschemas.google.com/" r:id="rId9" roundtripDataChecksum="LQ2Q76cyB0us+EKcxEbN4w5O8SbqYmGEsu6Q269RNVw="/>
    </ext>
  </extLst>
</workbook>
</file>

<file path=xl/sharedStrings.xml><?xml version="1.0" encoding="utf-8"?>
<sst xmlns="http://schemas.openxmlformats.org/spreadsheetml/2006/main" count="4017" uniqueCount="1556">
  <si>
    <t>NM_REGIONAL</t>
  </si>
  <si>
    <t>KD_REGIONAL</t>
  </si>
  <si>
    <t>REGCODE</t>
  </si>
  <si>
    <t>Regional.1</t>
  </si>
  <si>
    <t>KdRegP1</t>
  </si>
  <si>
    <t>Regional.2</t>
  </si>
  <si>
    <t>KdRegP2</t>
  </si>
  <si>
    <t>Regional.3</t>
  </si>
  <si>
    <t>KdRegP3</t>
  </si>
  <si>
    <t>Regional.4</t>
  </si>
  <si>
    <t>KdRegp4</t>
  </si>
  <si>
    <t>SPTP</t>
  </si>
  <si>
    <t>KdSPTP</t>
  </si>
  <si>
    <t>SPMT</t>
  </si>
  <si>
    <t>KdSPMT</t>
  </si>
  <si>
    <t>SPJM</t>
  </si>
  <si>
    <t>KdSPJM</t>
  </si>
  <si>
    <t>SPSL</t>
  </si>
  <si>
    <t>KdSPSL</t>
  </si>
  <si>
    <t>001</t>
  </si>
  <si>
    <t>RegP1</t>
  </si>
  <si>
    <t>Belawan</t>
  </si>
  <si>
    <t>Tanjung Priok</t>
  </si>
  <si>
    <t>Tanjung Perak</t>
  </si>
  <si>
    <t>Makassar</t>
  </si>
  <si>
    <t>TPK Nilam</t>
  </si>
  <si>
    <t>Dumai</t>
  </si>
  <si>
    <t>SPJM - Dumai</t>
  </si>
  <si>
    <t>PIL - Belawan</t>
  </si>
  <si>
    <t>002</t>
  </si>
  <si>
    <t>RegP2</t>
  </si>
  <si>
    <t>Prima Terminal Petikemas - Belawan</t>
  </si>
  <si>
    <t>IPC TPK TP1</t>
  </si>
  <si>
    <t>Jamrud - Tanjung Perak</t>
  </si>
  <si>
    <t>MNP - Makassar</t>
  </si>
  <si>
    <t>TPK Belawan</t>
  </si>
  <si>
    <t>SPJM - Batam (Kabil, Batu Ampar)</t>
  </si>
  <si>
    <t>PIL - Sei Mangkei</t>
  </si>
  <si>
    <t>003</t>
  </si>
  <si>
    <t>RegP3</t>
  </si>
  <si>
    <t>TPK - Belawan</t>
  </si>
  <si>
    <t>IPC TPK TP2</t>
  </si>
  <si>
    <t>Nilam Mirah - Tanjung Perak</t>
  </si>
  <si>
    <t>TPM - Makassar</t>
  </si>
  <si>
    <t>TPK Semarang</t>
  </si>
  <si>
    <t>Tanjung Intan</t>
  </si>
  <si>
    <t>SPJM - Sei Pakning</t>
  </si>
  <si>
    <t>PIL - Kuala Tanjung</t>
  </si>
  <si>
    <t>004</t>
  </si>
  <si>
    <t>RegP4</t>
  </si>
  <si>
    <t>JICT - Tanjung Priok</t>
  </si>
  <si>
    <t>Kalimas - Tanjung Perak</t>
  </si>
  <si>
    <t>Samarinda</t>
  </si>
  <si>
    <t>TPK Banjarmasin</t>
  </si>
  <si>
    <t>Bumiharjo</t>
  </si>
  <si>
    <t>SPJM - Belawan</t>
  </si>
  <si>
    <t>PIL - Dumai</t>
  </si>
  <si>
    <t>005</t>
  </si>
  <si>
    <t>Pekanbaru</t>
  </si>
  <si>
    <t>TPK Koja - Tanjung Priok</t>
  </si>
  <si>
    <t>TPS - Tanjung Perak</t>
  </si>
  <si>
    <t>Balikpapan</t>
  </si>
  <si>
    <t>TPK Makassar (TPK New Makassar T1)</t>
  </si>
  <si>
    <t>Bagendang</t>
  </si>
  <si>
    <t>SPJM - Tg. Balai Karimun</t>
  </si>
  <si>
    <t>PIL - Perawang</t>
  </si>
  <si>
    <t>006</t>
  </si>
  <si>
    <t>Malahayati</t>
  </si>
  <si>
    <t>NPCT1 - Tanjung Priok</t>
  </si>
  <si>
    <t>BJTI - Tanjung Perak</t>
  </si>
  <si>
    <t>TPK KKT - Balikpapan</t>
  </si>
  <si>
    <t>Makassar New Port</t>
  </si>
  <si>
    <t>Tanjung Wangi</t>
  </si>
  <si>
    <t>SPJM - Tanjung Pinang</t>
  </si>
  <si>
    <t>PIL - Tanjung Pinang</t>
  </si>
  <si>
    <t>007</t>
  </si>
  <si>
    <t>Tanjung Balai Karimun</t>
  </si>
  <si>
    <t>MTI (MAL) - Tanjung Priok</t>
  </si>
  <si>
    <t>TTL - Tanjung Perak</t>
  </si>
  <si>
    <t>Bitung</t>
  </si>
  <si>
    <t>TPK Bitung</t>
  </si>
  <si>
    <t>Trisakti</t>
  </si>
  <si>
    <t>SPJM - Lhokseumawe</t>
  </si>
  <si>
    <t>MTI - Jambi</t>
  </si>
  <si>
    <t>008</t>
  </si>
  <si>
    <t>Lhokseumawe</t>
  </si>
  <si>
    <t>PTP - Tanjung Priok</t>
  </si>
  <si>
    <t>Gresik</t>
  </si>
  <si>
    <t>TPK - Bitung</t>
  </si>
  <si>
    <t>Ambon</t>
  </si>
  <si>
    <t>Jamrud</t>
  </si>
  <si>
    <t>SPJM - Malahayati</t>
  </si>
  <si>
    <t>MTI - Palembang</t>
  </si>
  <si>
    <t>Batam</t>
  </si>
  <si>
    <t>IKT - Tanjung Priok</t>
  </si>
  <si>
    <t>Kalianget</t>
  </si>
  <si>
    <t>Kendari</t>
  </si>
  <si>
    <t>Mekar Putih</t>
  </si>
  <si>
    <t>SPJM - Kuala Tanjung</t>
  </si>
  <si>
    <t>MTI - Panjang</t>
  </si>
  <si>
    <t>Tanjung Pinang</t>
  </si>
  <si>
    <t>Panjang</t>
  </si>
  <si>
    <t>Tanjung Tembaga</t>
  </si>
  <si>
    <t>Sorong</t>
  </si>
  <si>
    <t>Pantoloan</t>
  </si>
  <si>
    <t>SPJM - Pekanbaru</t>
  </si>
  <si>
    <t>MTI - Tanjung Pandan</t>
  </si>
  <si>
    <t>Sibolga</t>
  </si>
  <si>
    <t>IPC TPK - Panjang</t>
  </si>
  <si>
    <t>Jayapura</t>
  </si>
  <si>
    <t>TPK Perawang</t>
  </si>
  <si>
    <t>SPJM - Tanjung Perak</t>
  </si>
  <si>
    <t>MTI - Natuna</t>
  </si>
  <si>
    <t>Gunung Sitoli</t>
  </si>
  <si>
    <t>IKT - Panjang</t>
  </si>
  <si>
    <t>Tanjung Emas</t>
  </si>
  <si>
    <t>Tarakan</t>
  </si>
  <si>
    <t>SPJM - Tanjung Wangi</t>
  </si>
  <si>
    <t>MTI - Pontianak</t>
  </si>
  <si>
    <t>Tembilahan</t>
  </si>
  <si>
    <t>Palembang</t>
  </si>
  <si>
    <t>TPKS - Tanjung Emas</t>
  </si>
  <si>
    <t>PTP - Banten</t>
  </si>
  <si>
    <t>SPJM - Tanjung Emas</t>
  </si>
  <si>
    <t>MTI - Jakarta</t>
  </si>
  <si>
    <t>Tanjung Balai Asahan</t>
  </si>
  <si>
    <t>IPC TPK - Palembang</t>
  </si>
  <si>
    <t>Tegal</t>
  </si>
  <si>
    <t>Ternate</t>
  </si>
  <si>
    <t>PTP - Bengkulu</t>
  </si>
  <si>
    <t>SPJM - Tanjung Intan</t>
  </si>
  <si>
    <t>MTI - Semarang</t>
  </si>
  <si>
    <t>Kuala Tanjung</t>
  </si>
  <si>
    <t>Teluk Bayur</t>
  </si>
  <si>
    <t>TPK Kupang</t>
  </si>
  <si>
    <t>PTP - Cirebon</t>
  </si>
  <si>
    <t>SPJM - Banjarmasin</t>
  </si>
  <si>
    <t>MTI - Surabaya</t>
  </si>
  <si>
    <t>Prima Multi Terminal - Kuala Tanjung</t>
  </si>
  <si>
    <t>IPC TPK - Teluk Bayur</t>
  </si>
  <si>
    <t>Bontang</t>
  </si>
  <si>
    <t>PT PTP</t>
  </si>
  <si>
    <t>PTP - Jambi</t>
  </si>
  <si>
    <t>SPJM - Kotabaru</t>
  </si>
  <si>
    <t>MTI - Bali</t>
  </si>
  <si>
    <t>Sei Pakning</t>
  </si>
  <si>
    <t>Pontianak</t>
  </si>
  <si>
    <t>TPKB - Trisakti</t>
  </si>
  <si>
    <t>Parepare</t>
  </si>
  <si>
    <t>IPC TPK - TP1</t>
  </si>
  <si>
    <t>PTP - Palembang</t>
  </si>
  <si>
    <t>SPJM - Batulicin</t>
  </si>
  <si>
    <t>MTI - Nunukan</t>
  </si>
  <si>
    <t>Kawasan Sambu</t>
  </si>
  <si>
    <t>IPC TPK - Pontianak</t>
  </si>
  <si>
    <t>Pulang Pisau</t>
  </si>
  <si>
    <t>Biak</t>
  </si>
  <si>
    <t>IPC TPK - TP2</t>
  </si>
  <si>
    <t>PTP - Pangkal Balam</t>
  </si>
  <si>
    <t>SPJM - Sampit</t>
  </si>
  <si>
    <t>MTI - Tarakan</t>
  </si>
  <si>
    <t>Kwsn Pgkln Susu</t>
  </si>
  <si>
    <t>Jambi</t>
  </si>
  <si>
    <t>Batulicin</t>
  </si>
  <si>
    <t>Merauke</t>
  </si>
  <si>
    <t>PTP - Panjang</t>
  </si>
  <si>
    <t>SPJM - Kumai</t>
  </si>
  <si>
    <t>MTI - Tanjung Redep</t>
  </si>
  <si>
    <t>Kawasan Bengkalis</t>
  </si>
  <si>
    <t>IPC TPK - Jambi</t>
  </si>
  <si>
    <t>Kotabaru</t>
  </si>
  <si>
    <t>Manokwari</t>
  </si>
  <si>
    <t>PTP - Tanjung Pandan</t>
  </si>
  <si>
    <t>SPJM - Mekar Putih</t>
  </si>
  <si>
    <t>MTI - Sangatta</t>
  </si>
  <si>
    <t>Kwsn Sei K Kijang</t>
  </si>
  <si>
    <t>Banten</t>
  </si>
  <si>
    <t>Nunukan</t>
  </si>
  <si>
    <t>PTP - Teluk Bayur</t>
  </si>
  <si>
    <t>SPJM - Benoa</t>
  </si>
  <si>
    <t>MTI - Bontang</t>
  </si>
  <si>
    <t>Kws Selat Panjang</t>
  </si>
  <si>
    <t>Cirebon</t>
  </si>
  <si>
    <t>Tanjung Redeb</t>
  </si>
  <si>
    <t>PTP - Pontianak</t>
  </si>
  <si>
    <t>SPJM - Lembar</t>
  </si>
  <si>
    <t>MTI - Samarinda</t>
  </si>
  <si>
    <t>Kwsn Kuala Enok</t>
  </si>
  <si>
    <t>Bengkulu</t>
  </si>
  <si>
    <t>Benoa</t>
  </si>
  <si>
    <t>Gorontalo</t>
  </si>
  <si>
    <t>PT TTL</t>
  </si>
  <si>
    <t>SPJM - Kupang</t>
  </si>
  <si>
    <t>MTI - Balikpapan</t>
  </si>
  <si>
    <t>Kaw. Kuala Cinaku</t>
  </si>
  <si>
    <t>Sunda Kelapa</t>
  </si>
  <si>
    <t>Celukan Bawang</t>
  </si>
  <si>
    <t>Fakfak</t>
  </si>
  <si>
    <t>PT TPS</t>
  </si>
  <si>
    <t>SPJM - Balikpapan (Lawi-Lawi)</t>
  </si>
  <si>
    <t>MTI - Tolitoli</t>
  </si>
  <si>
    <t>Pangkal Balam</t>
  </si>
  <si>
    <t>Lembar</t>
  </si>
  <si>
    <t>Tolitoli</t>
  </si>
  <si>
    <t>SPJM - Samarinda</t>
  </si>
  <si>
    <t>MTI - Gorontalo</t>
  </si>
  <si>
    <t>Tanjung Pandan</t>
  </si>
  <si>
    <t>Maumere</t>
  </si>
  <si>
    <t>Manado</t>
  </si>
  <si>
    <t>PT BJTI</t>
  </si>
  <si>
    <t>IKT - Pontianak</t>
  </si>
  <si>
    <t>SPJM - Bontang</t>
  </si>
  <si>
    <t>MTI - Bitung</t>
  </si>
  <si>
    <t>PN Panurjwan</t>
  </si>
  <si>
    <t>Bima</t>
  </si>
  <si>
    <t>Sangatta</t>
  </si>
  <si>
    <t>PT KKT</t>
  </si>
  <si>
    <t>IKT - Belawan</t>
  </si>
  <si>
    <t>SPJM - Bontang (Sangatta)</t>
  </si>
  <si>
    <t>MTI - Pantoloan</t>
  </si>
  <si>
    <t>Kaw. Term. Kijing</t>
  </si>
  <si>
    <t>Badas</t>
  </si>
  <si>
    <t>SBU Marine Luwuk Banggai</t>
  </si>
  <si>
    <t>TPK New Makassar (Tidak Digunakan)</t>
  </si>
  <si>
    <t>IKT - Makassar</t>
  </si>
  <si>
    <t>SPJM - Makassar</t>
  </si>
  <si>
    <t>MTI - Parepare</t>
  </si>
  <si>
    <t>Kaw. Muara Sabak</t>
  </si>
  <si>
    <t>Tenau</t>
  </si>
  <si>
    <t>SBU Marine Sangkulirang</t>
  </si>
  <si>
    <t>PT PMT</t>
  </si>
  <si>
    <t>Nilam - Mirah</t>
  </si>
  <si>
    <t>SPJM - Kendari (Baubau, Kolonodale dan Malowe)</t>
  </si>
  <si>
    <t>MTI - Kendari</t>
  </si>
  <si>
    <t>Ende</t>
  </si>
  <si>
    <t>SBU Marine Tanah Grogot</t>
  </si>
  <si>
    <t>TPK Bagendang</t>
  </si>
  <si>
    <t>SPJM - Tanjung Redeb</t>
  </si>
  <si>
    <t>MTI - Ternate</t>
  </si>
  <si>
    <t>Waingapu</t>
  </si>
  <si>
    <t>SBU Marine Bontang Indominco</t>
  </si>
  <si>
    <t>TPK Bumiharjo</t>
  </si>
  <si>
    <t>SPJM - Sorong (Amamapare)</t>
  </si>
  <si>
    <t>MTI - Ambon</t>
  </si>
  <si>
    <t>Kalabahi</t>
  </si>
  <si>
    <t>SBU Marine Tg Santan</t>
  </si>
  <si>
    <t>SPJM - Bitung</t>
  </si>
  <si>
    <t>MTI - Fak fak</t>
  </si>
  <si>
    <t>Labuan Bajo</t>
  </si>
  <si>
    <t>SBU Marine Lubuk Tutung</t>
  </si>
  <si>
    <t>SPJM - Pantoloan (Pasang Kayu, Belang-Belang)</t>
  </si>
  <si>
    <t>MTI - Sorong</t>
  </si>
  <si>
    <t>Sampit</t>
  </si>
  <si>
    <t>SBU Bula</t>
  </si>
  <si>
    <t>IPC TPK - Pangkal Balam</t>
  </si>
  <si>
    <t>SPJM - Parepare (Garongkong)</t>
  </si>
  <si>
    <t>MTI - Manokwari</t>
  </si>
  <si>
    <t>Kumai</t>
  </si>
  <si>
    <t>SBU Gunbuster Nickel Industry</t>
  </si>
  <si>
    <t>TPK Nabire</t>
  </si>
  <si>
    <t>SPJM - Manado (Amurang, Labuan Uki)</t>
  </si>
  <si>
    <t>MTI - Biak</t>
  </si>
  <si>
    <t>Internal Regional Kalimantan</t>
  </si>
  <si>
    <t>SBU Kobexindo Cement</t>
  </si>
  <si>
    <t>BMS</t>
  </si>
  <si>
    <t>Pare-pare</t>
  </si>
  <si>
    <t>SPJM - Tarakan (P. Bunyu, Tanah Kuning)</t>
  </si>
  <si>
    <t>MTI - Jayapura</t>
  </si>
  <si>
    <t>Internal Regional Jateng</t>
  </si>
  <si>
    <t>SBU Tilamuta</t>
  </si>
  <si>
    <t>IKT - Semayang</t>
  </si>
  <si>
    <t>SPJM - Ambon (Saumlaki, Tual, Tulehu)</t>
  </si>
  <si>
    <t>MTI - Merauke</t>
  </si>
  <si>
    <t>Internal Regional Bali Nusra</t>
  </si>
  <si>
    <t>PEL - Benoa</t>
  </si>
  <si>
    <t>SPJM - Ternate</t>
  </si>
  <si>
    <t>PPK - Belawan</t>
  </si>
  <si>
    <t>SPJM - Jayapura</t>
  </si>
  <si>
    <t>PPK - Kuala Tanjung</t>
  </si>
  <si>
    <t>Terminal Batang</t>
  </si>
  <si>
    <t>SPJM - Manokwari</t>
  </si>
  <si>
    <t>MMI - Jakarta</t>
  </si>
  <si>
    <t>Kawasan Satui</t>
  </si>
  <si>
    <t>SPJM - Biak</t>
  </si>
  <si>
    <t>API - Jakarta</t>
  </si>
  <si>
    <t>SPJM - SBU Marine Sangkulirang</t>
  </si>
  <si>
    <t>API - Jawa Timur</t>
  </si>
  <si>
    <t>Garongkong</t>
  </si>
  <si>
    <t>SPJM - SBU Marine Tanah Grogot</t>
  </si>
  <si>
    <t>PSL Semarang</t>
  </si>
  <si>
    <t>PTP Terminal Kijing</t>
  </si>
  <si>
    <t>SPJM - SBU Marine Bontang Indominco</t>
  </si>
  <si>
    <t>PSL Makassar</t>
  </si>
  <si>
    <t>Kalimas</t>
  </si>
  <si>
    <t>SPJM - SBU Marine Luwuk Banggai</t>
  </si>
  <si>
    <t>PSL Tanjung Priok</t>
  </si>
  <si>
    <t>Terminal Kalianget</t>
  </si>
  <si>
    <t xml:space="preserve">SPJM - SBU Marine Tg Santan </t>
  </si>
  <si>
    <t>PSL BJTI</t>
  </si>
  <si>
    <t>Terminal Tanjung Tembaga</t>
  </si>
  <si>
    <t>SPJM - SBU Marine Lubuk Tutung</t>
  </si>
  <si>
    <t>SPJM - Banten (TUKS Cemindo Gemilang)</t>
  </si>
  <si>
    <t>SPJM - Cirebon (TUKS Kanci)</t>
  </si>
  <si>
    <t>SPJM - Tanjung Priok (FSRU Nusantara Regas)</t>
  </si>
  <si>
    <t>SPJM - Patimban</t>
  </si>
  <si>
    <t>SPJM - Palembang (STS Ambang Luar Sungai Musi)</t>
  </si>
  <si>
    <t>SPJM - Tanjung Perak (Pelindo Marine Service)</t>
  </si>
  <si>
    <t>SPJM - Luwuk (Tangkiang)</t>
  </si>
  <si>
    <t>SPJM - Balikpapan (Tanah Grogot)</t>
  </si>
  <si>
    <t>SPJM - Bontang (Sangkulirang)</t>
  </si>
  <si>
    <t>SPJM - Nipah</t>
  </si>
  <si>
    <t>SPJM - Selat Malaka</t>
  </si>
  <si>
    <t>SPJM - Pangkalan Susu</t>
  </si>
  <si>
    <t>SPJM - Panjang (Teluk Semangka)</t>
  </si>
  <si>
    <t>SPJM - Cirebon (Indramayu/ Balongan)</t>
  </si>
  <si>
    <t>Version : 3.1</t>
  </si>
  <si>
    <t xml:space="preserve">TAHUN (YYYY) : </t>
  </si>
  <si>
    <t xml:space="preserve">REGIONAL : </t>
  </si>
  <si>
    <t xml:space="preserve">CABANG / TERMINAL : </t>
  </si>
  <si>
    <t>Kunjungan Kapal Berdasarkan Lokasi Sandar, Jenis Pelayaran dan Jenis Muatan Kapal</t>
  </si>
  <si>
    <t>Bulan</t>
  </si>
  <si>
    <t>No</t>
  </si>
  <si>
    <t>Uraian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</si>
  <si>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</si>
  <si>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</si>
  <si>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</si>
  <si>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</si>
  <si>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</si>
  <si>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</si>
  <si>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</si>
  <si>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</si>
  <si>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</si>
  <si>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</si>
  <si>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</si>
  <si>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</si>
  <si>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</si>
  <si>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</si>
  <si>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DERMAGA UMUM</t>
  </si>
  <si>
    <t>Pelayaran Luar Negeri</t>
  </si>
  <si>
    <t>Kapal</t>
  </si>
  <si>
    <t>A010101010000</t>
  </si>
  <si>
    <t>General Cargo</t>
  </si>
  <si>
    <t>Call</t>
  </si>
  <si>
    <t>GT</t>
  </si>
  <si>
    <t>A010101020000</t>
  </si>
  <si>
    <t>Curah Cair BBM</t>
  </si>
  <si>
    <t>A010101030000</t>
  </si>
  <si>
    <t>Gas</t>
  </si>
  <si>
    <t>A010101040000</t>
  </si>
  <si>
    <t>Curah Cair Non - BBM</t>
  </si>
  <si>
    <t>A010101050000</t>
  </si>
  <si>
    <t>Curah Kering</t>
  </si>
  <si>
    <t>A010101060000</t>
  </si>
  <si>
    <t>Petikemas</t>
  </si>
  <si>
    <t>A010101070000</t>
  </si>
  <si>
    <t>Ro - ro</t>
  </si>
  <si>
    <t>A010101080000</t>
  </si>
  <si>
    <t>Hewan</t>
  </si>
  <si>
    <t>A010101090000</t>
  </si>
  <si>
    <t>Cruise (Penumpang Wisata Asing)</t>
  </si>
  <si>
    <t>A010101100000</t>
  </si>
  <si>
    <t>Penumpang</t>
  </si>
  <si>
    <t>Tug Boat dan Tongkang</t>
  </si>
  <si>
    <t>A010102010000</t>
  </si>
  <si>
    <t>A010102020000</t>
  </si>
  <si>
    <t>A010102030000</t>
  </si>
  <si>
    <t>A010102040000</t>
  </si>
  <si>
    <t>A010102050000</t>
  </si>
  <si>
    <t>A010102060000</t>
  </si>
  <si>
    <t>A010102070000</t>
  </si>
  <si>
    <t>Tug Boat tanpa tongkang</t>
  </si>
  <si>
    <t>A010102080000</t>
  </si>
  <si>
    <t>Jumlah Tug Boat dan Tongkang</t>
  </si>
  <si>
    <t>(Jika data breakdown tidak tersedia)</t>
  </si>
  <si>
    <t>Pelayaran Dalam Negeri</t>
  </si>
  <si>
    <t>A010201010000</t>
  </si>
  <si>
    <t>A010201020000</t>
  </si>
  <si>
    <t>A010201030000</t>
  </si>
  <si>
    <t>A010201040000</t>
  </si>
  <si>
    <t>A010201050000</t>
  </si>
  <si>
    <t>A010201060000</t>
  </si>
  <si>
    <t>A010201070000</t>
  </si>
  <si>
    <t>A010201080000</t>
  </si>
  <si>
    <t>A010201090000</t>
  </si>
  <si>
    <t>A010202010000</t>
  </si>
  <si>
    <t>A010202020000</t>
  </si>
  <si>
    <t>A010202030000</t>
  </si>
  <si>
    <t>A010202040000</t>
  </si>
  <si>
    <t>A010202050000</t>
  </si>
  <si>
    <t>A010202060000</t>
  </si>
  <si>
    <t>A010202070000</t>
  </si>
  <si>
    <t>A010202080000</t>
  </si>
  <si>
    <t>A010300000000</t>
  </si>
  <si>
    <t>Pelayaran Perintis</t>
  </si>
  <si>
    <t>A010400000000</t>
  </si>
  <si>
    <t>Pelayaran Rakyat</t>
  </si>
  <si>
    <t>Pelayaran Lainnya</t>
  </si>
  <si>
    <t>A010501000000</t>
  </si>
  <si>
    <t>Kapal Negara</t>
  </si>
  <si>
    <t>A010502000000</t>
  </si>
  <si>
    <t>Kapal Survey</t>
  </si>
  <si>
    <t>A010503000000</t>
  </si>
  <si>
    <t>Kapal Utilitas / Suplai</t>
  </si>
  <si>
    <t>A010504000000</t>
  </si>
  <si>
    <t>Kapal Lainnya</t>
  </si>
  <si>
    <t>Jumlah kunjungan kapal di DERMAGA UMUM</t>
  </si>
  <si>
    <t>REDE TRANSPORT / LOADING POINT / DOLPHIN / PINGGIRAN</t>
  </si>
  <si>
    <t>A020101010000</t>
  </si>
  <si>
    <t>A020101020000</t>
  </si>
  <si>
    <t>A020101030000</t>
  </si>
  <si>
    <t>A020101040000</t>
  </si>
  <si>
    <t>A020101050000</t>
  </si>
  <si>
    <t>A020101060000</t>
  </si>
  <si>
    <t>A020101070000</t>
  </si>
  <si>
    <t>A020101080000</t>
  </si>
  <si>
    <t>Tug Boat dan atau Tongkang</t>
  </si>
  <si>
    <t>A020101090000</t>
  </si>
  <si>
    <t>A020201010000</t>
  </si>
  <si>
    <t>A020201020000</t>
  </si>
  <si>
    <t>A020201030000</t>
  </si>
  <si>
    <t>A020201040000</t>
  </si>
  <si>
    <t>A020201050000</t>
  </si>
  <si>
    <t>A020201060000</t>
  </si>
  <si>
    <t>A020201070000</t>
  </si>
  <si>
    <t>A020201080000</t>
  </si>
  <si>
    <t>A020201090000</t>
  </si>
  <si>
    <t>Jumlah kunjungan kapal di REDE TRANSPORT / LOADING POINT / DOLPHIN / PINGGIRAN</t>
  </si>
  <si>
    <t>TUKS / TERMINAL KHUSUS / UPP / BUP LAIN / PELABUHAN KHUSUS</t>
  </si>
  <si>
    <t>A030101010000</t>
  </si>
  <si>
    <t>A030101020000</t>
  </si>
  <si>
    <t>A030101030000</t>
  </si>
  <si>
    <t>A030101040000</t>
  </si>
  <si>
    <t>A030101050000</t>
  </si>
  <si>
    <t>A030101060000</t>
  </si>
  <si>
    <t>A030101070000</t>
  </si>
  <si>
    <t>A030101080000</t>
  </si>
  <si>
    <t>A030101090000</t>
  </si>
  <si>
    <t>A030201010000</t>
  </si>
  <si>
    <t>A030201020000</t>
  </si>
  <si>
    <t>A030201030000</t>
  </si>
  <si>
    <t>A030201040000</t>
  </si>
  <si>
    <t>A030201050000</t>
  </si>
  <si>
    <t>A030201060000</t>
  </si>
  <si>
    <t>A030201070000</t>
  </si>
  <si>
    <t>A030201080000</t>
  </si>
  <si>
    <t>A030201090000</t>
  </si>
  <si>
    <t>Jumlah kunjungan kapal di TUKS / TERMINAL KHUSUS / UPP / BUP LAIN / PELABUHAN KHUSUS</t>
  </si>
  <si>
    <t>LOADING POINT (DI LUAR DLKR)</t>
  </si>
  <si>
    <t>A050101010000</t>
  </si>
  <si>
    <t>A050101020000</t>
  </si>
  <si>
    <t>A050101030000</t>
  </si>
  <si>
    <t>A050101040000</t>
  </si>
  <si>
    <t>A050101050000</t>
  </si>
  <si>
    <t>A050101060000</t>
  </si>
  <si>
    <t>A050101070000</t>
  </si>
  <si>
    <t>A050101080000</t>
  </si>
  <si>
    <t>A050101090000</t>
  </si>
  <si>
    <t>A050201010000</t>
  </si>
  <si>
    <t>A050201020000</t>
  </si>
  <si>
    <t>A050201030000</t>
  </si>
  <si>
    <t>A050201040000</t>
  </si>
  <si>
    <t>A050201050000</t>
  </si>
  <si>
    <t>A050201060000</t>
  </si>
  <si>
    <t>A050201070000</t>
  </si>
  <si>
    <t>A050201080000</t>
  </si>
  <si>
    <t>A050201090000</t>
  </si>
  <si>
    <t>Jumlah kunjungan kapal di LOADING POINT (DI LUAR DLKR)</t>
  </si>
  <si>
    <t>Jumlah kunjungan kapal</t>
  </si>
  <si>
    <t>Arus Petikemas</t>
  </si>
  <si>
    <t>LUAR NEGERI</t>
  </si>
  <si>
    <t>Impor</t>
  </si>
  <si>
    <t>Full</t>
  </si>
  <si>
    <t>Dry</t>
  </si>
  <si>
    <t>B010101010100</t>
  </si>
  <si>
    <t>Box</t>
  </si>
  <si>
    <t>B010101010200</t>
  </si>
  <si>
    <t>B010101010300</t>
  </si>
  <si>
    <t>B010101010400</t>
  </si>
  <si>
    <t>20 OH / OW / OL</t>
  </si>
  <si>
    <t>B010101010500</t>
  </si>
  <si>
    <t>40 OH / OW / OL</t>
  </si>
  <si>
    <t>Reefer</t>
  </si>
  <si>
    <t>B010101020100</t>
  </si>
  <si>
    <t>B010101020200</t>
  </si>
  <si>
    <t>B010101020300</t>
  </si>
  <si>
    <t>Dangerous Good</t>
  </si>
  <si>
    <t>B010101030100</t>
  </si>
  <si>
    <t>B010101030200</t>
  </si>
  <si>
    <t>B010101030300</t>
  </si>
  <si>
    <t>B010101040000</t>
  </si>
  <si>
    <t>Uncontainerized</t>
  </si>
  <si>
    <t>Unit</t>
  </si>
  <si>
    <t>Empty</t>
  </si>
  <si>
    <t>B010102010100</t>
  </si>
  <si>
    <t>B010102010200</t>
  </si>
  <si>
    <t>B010102010300</t>
  </si>
  <si>
    <t>Ekspor</t>
  </si>
  <si>
    <t>B010201010100</t>
  </si>
  <si>
    <t>B010201010200</t>
  </si>
  <si>
    <t>B010201010300</t>
  </si>
  <si>
    <t>B010201010400</t>
  </si>
  <si>
    <t>B010201010500</t>
  </si>
  <si>
    <t>B010201020100</t>
  </si>
  <si>
    <t>B010201020200</t>
  </si>
  <si>
    <t>B010201020300</t>
  </si>
  <si>
    <t>B010201030100</t>
  </si>
  <si>
    <t>B010201030200</t>
  </si>
  <si>
    <t>B010201030300</t>
  </si>
  <si>
    <t>B010201040000</t>
  </si>
  <si>
    <t>B010202010100</t>
  </si>
  <si>
    <t>B010202010200</t>
  </si>
  <si>
    <t>B010202010300</t>
  </si>
  <si>
    <t>Transhipment</t>
  </si>
  <si>
    <t>B010301010100</t>
  </si>
  <si>
    <t>B010301010200</t>
  </si>
  <si>
    <t>B010301010300</t>
  </si>
  <si>
    <t>B010301010400</t>
  </si>
  <si>
    <t>B010301010500</t>
  </si>
  <si>
    <t>B010301020100</t>
  </si>
  <si>
    <t>B010301020200</t>
  </si>
  <si>
    <t>B010301020300</t>
  </si>
  <si>
    <t>B010301030100</t>
  </si>
  <si>
    <t>B010301030200</t>
  </si>
  <si>
    <t>B010301030300</t>
  </si>
  <si>
    <t>B010301040000</t>
  </si>
  <si>
    <t>B010302010100</t>
  </si>
  <si>
    <t>B010302010200</t>
  </si>
  <si>
    <t>B010302010300</t>
  </si>
  <si>
    <t>Jumlah Petikemas Luar Negeri</t>
  </si>
  <si>
    <t>Teus</t>
  </si>
  <si>
    <t>DALAM NEGERI</t>
  </si>
  <si>
    <t>Bongkar</t>
  </si>
  <si>
    <t>B020101010100</t>
  </si>
  <si>
    <t>B020101010200</t>
  </si>
  <si>
    <t>B020101010300</t>
  </si>
  <si>
    <t>B020101010400</t>
  </si>
  <si>
    <t>B020101010500</t>
  </si>
  <si>
    <t>B020101020100</t>
  </si>
  <si>
    <t>B020101020200</t>
  </si>
  <si>
    <t>B020101020300</t>
  </si>
  <si>
    <t>B020101030100</t>
  </si>
  <si>
    <t>B020101030200</t>
  </si>
  <si>
    <t>B020101030300</t>
  </si>
  <si>
    <t>B020101040000</t>
  </si>
  <si>
    <t>B020102010100</t>
  </si>
  <si>
    <t>B020102010200</t>
  </si>
  <si>
    <t>B020102010300</t>
  </si>
  <si>
    <t>Muat</t>
  </si>
  <si>
    <t>B020201010100</t>
  </si>
  <si>
    <t>B020201010200</t>
  </si>
  <si>
    <t>B020201010300</t>
  </si>
  <si>
    <t>B020201010400</t>
  </si>
  <si>
    <t>B020201010500</t>
  </si>
  <si>
    <t>B020201020100</t>
  </si>
  <si>
    <t>B020201020200</t>
  </si>
  <si>
    <t>B020201020300</t>
  </si>
  <si>
    <t>B020201030100</t>
  </si>
  <si>
    <t>B020201030200</t>
  </si>
  <si>
    <t>B020201030300</t>
  </si>
  <si>
    <t>B020201040000</t>
  </si>
  <si>
    <t>B020202010100</t>
  </si>
  <si>
    <t>B020202010200</t>
  </si>
  <si>
    <t>B020202010300</t>
  </si>
  <si>
    <t>B020301010100</t>
  </si>
  <si>
    <t>B020301010200</t>
  </si>
  <si>
    <t>B020301010300</t>
  </si>
  <si>
    <t>B020301010400</t>
  </si>
  <si>
    <t>B020301010500</t>
  </si>
  <si>
    <t>B020301020100</t>
  </si>
  <si>
    <t>B020301020200</t>
  </si>
  <si>
    <t>B020301020300</t>
  </si>
  <si>
    <t>B020301030100</t>
  </si>
  <si>
    <t>B020301030200</t>
  </si>
  <si>
    <t>B020301030300</t>
  </si>
  <si>
    <t>B020301040000</t>
  </si>
  <si>
    <t>B020302010100</t>
  </si>
  <si>
    <t>B020302010200</t>
  </si>
  <si>
    <t>B020302010300</t>
  </si>
  <si>
    <t>Jumlah Petikemas Dalam Negeri</t>
  </si>
  <si>
    <t>Jumlah Arus Petikemas</t>
  </si>
  <si>
    <t>Arus Barang Nonpetikemas (Dermaga Umum)</t>
  </si>
  <si>
    <t>D010101000000</t>
  </si>
  <si>
    <t>Ton</t>
  </si>
  <si>
    <t>M3</t>
  </si>
  <si>
    <t>D010102000000</t>
  </si>
  <si>
    <t>Bag Cargo</t>
  </si>
  <si>
    <t>D010103000000</t>
  </si>
  <si>
    <t>Curah Cair</t>
  </si>
  <si>
    <t>D010104000000</t>
  </si>
  <si>
    <t>D010105000000</t>
  </si>
  <si>
    <t>MMBTU</t>
  </si>
  <si>
    <t>D010106000000</t>
  </si>
  <si>
    <t>Kendaraan</t>
  </si>
  <si>
    <t>D010107000000</t>
  </si>
  <si>
    <t>Ekor</t>
  </si>
  <si>
    <t>D010201000000</t>
  </si>
  <si>
    <t>D010202000000</t>
  </si>
  <si>
    <t>D010203000000</t>
  </si>
  <si>
    <t>D010204000000</t>
  </si>
  <si>
    <t>D010205000000</t>
  </si>
  <si>
    <t>D010206000000</t>
  </si>
  <si>
    <t>D010207000000</t>
  </si>
  <si>
    <t>Jumlah Barang Luar Negeri</t>
  </si>
  <si>
    <t>D020101000000</t>
  </si>
  <si>
    <t>D020102000000</t>
  </si>
  <si>
    <t>D020103000000</t>
  </si>
  <si>
    <t>D020104000000</t>
  </si>
  <si>
    <t>D020105000000</t>
  </si>
  <si>
    <t>D020106000000</t>
  </si>
  <si>
    <t>D020107000000</t>
  </si>
  <si>
    <t>D020201000000</t>
  </si>
  <si>
    <t>D020202000000</t>
  </si>
  <si>
    <t>D020203000000</t>
  </si>
  <si>
    <t>D020204000000</t>
  </si>
  <si>
    <t>D020205000000</t>
  </si>
  <si>
    <t>D020206000000</t>
  </si>
  <si>
    <t>D020207000000</t>
  </si>
  <si>
    <t>Jumlah Barang Dalam Negeri</t>
  </si>
  <si>
    <t>Jumlah Barang Berdasarkan Kemasan</t>
  </si>
  <si>
    <t>Arus Barang Nonpetikemas (Non Dermaga Umum)</t>
  </si>
  <si>
    <t>F010101000000</t>
  </si>
  <si>
    <t>F010102000000</t>
  </si>
  <si>
    <t>F010103000000</t>
  </si>
  <si>
    <t>F010104000000</t>
  </si>
  <si>
    <t>F010105000000</t>
  </si>
  <si>
    <t>F010106000000</t>
  </si>
  <si>
    <t>F010107000000</t>
  </si>
  <si>
    <t>F010201000000</t>
  </si>
  <si>
    <t>F010202000000</t>
  </si>
  <si>
    <t>F010203000000</t>
  </si>
  <si>
    <t>F010204000000</t>
  </si>
  <si>
    <t>F010205000000</t>
  </si>
  <si>
    <t>F010206000000</t>
  </si>
  <si>
    <t>F010207000000</t>
  </si>
  <si>
    <t>F020101000000</t>
  </si>
  <si>
    <t>F020102000000</t>
  </si>
  <si>
    <t>F020103000000</t>
  </si>
  <si>
    <t>F020104000000</t>
  </si>
  <si>
    <t>F020105000000</t>
  </si>
  <si>
    <t>F020106000000</t>
  </si>
  <si>
    <t>F020107000000</t>
  </si>
  <si>
    <t>F020201000000</t>
  </si>
  <si>
    <t>F020202000000</t>
  </si>
  <si>
    <t>F020203000000</t>
  </si>
  <si>
    <t>F020204000000</t>
  </si>
  <si>
    <t>F020205000000</t>
  </si>
  <si>
    <t>F020206000000</t>
  </si>
  <si>
    <t>F020207000000</t>
  </si>
  <si>
    <t>Arus Penumpang</t>
  </si>
  <si>
    <t>E010100000000</t>
  </si>
  <si>
    <t>Embarkasi</t>
  </si>
  <si>
    <t>Orang</t>
  </si>
  <si>
    <t>E010200000000</t>
  </si>
  <si>
    <t>Debarkasi</t>
  </si>
  <si>
    <t>Jumlah arus penumpang luar negeri</t>
  </si>
  <si>
    <t>E020100000000</t>
  </si>
  <si>
    <t>E020200000000</t>
  </si>
  <si>
    <t>Jumlah penumpang dalam negeri</t>
  </si>
  <si>
    <t>Jumlah arus penumpang</t>
  </si>
  <si>
    <t>Kinerja Pelayanan Kapal</t>
  </si>
  <si>
    <t>E110100000000</t>
  </si>
  <si>
    <t>Waiting Time (WT) for Pilot</t>
  </si>
  <si>
    <t>Jam</t>
  </si>
  <si>
    <t>E110200000000</t>
  </si>
  <si>
    <t>Waiting for Berth</t>
  </si>
  <si>
    <t>E110300000000</t>
  </si>
  <si>
    <t>Postpone Time (PT)</t>
  </si>
  <si>
    <t>E110400000000</t>
  </si>
  <si>
    <t>Approach Time (AT)</t>
  </si>
  <si>
    <t>E110500000000</t>
  </si>
  <si>
    <t>Turn Round Time (TRT)</t>
  </si>
  <si>
    <t>E120100000000</t>
  </si>
  <si>
    <t>E120200000000</t>
  </si>
  <si>
    <t>E120300000000</t>
  </si>
  <si>
    <t>E120400000000</t>
  </si>
  <si>
    <t>E120500000000</t>
  </si>
  <si>
    <t>KONSOLIDASI</t>
  </si>
  <si>
    <t>E130100000000</t>
  </si>
  <si>
    <t>E130200000000</t>
  </si>
  <si>
    <t>E130300000000</t>
  </si>
  <si>
    <t>E130400000000</t>
  </si>
  <si>
    <t>E130500000000</t>
  </si>
  <si>
    <t>KINERJA PELAYANAN DI DUKS / TUKS</t>
  </si>
  <si>
    <t>E140100000000</t>
  </si>
  <si>
    <t>E140200000000</t>
  </si>
  <si>
    <t>E140300000000</t>
  </si>
  <si>
    <t>E140400000000</t>
  </si>
  <si>
    <t>E140500000000</t>
  </si>
  <si>
    <t>Kinerja Pelayanan Tambatan</t>
  </si>
  <si>
    <t>Terminal Petikemas</t>
  </si>
  <si>
    <t>F110101000000</t>
  </si>
  <si>
    <t>Berthing Time (BT)</t>
  </si>
  <si>
    <t>F110102000000</t>
  </si>
  <si>
    <t>Berth Working Time (BWT)</t>
  </si>
  <si>
    <t>F110103000000</t>
  </si>
  <si>
    <t>Effective Time (ET)</t>
  </si>
  <si>
    <t>F110104000000</t>
  </si>
  <si>
    <t>Idle Time (IT)</t>
  </si>
  <si>
    <t>F110105000000</t>
  </si>
  <si>
    <t>Not Operation Time (NOT)</t>
  </si>
  <si>
    <t>F110106000000</t>
  </si>
  <si>
    <t>ET / BT</t>
  </si>
  <si>
    <t>%</t>
  </si>
  <si>
    <t>Terminal Multipurpose</t>
  </si>
  <si>
    <t>F110201000000</t>
  </si>
  <si>
    <t>F110202000000</t>
  </si>
  <si>
    <t>F110203000000</t>
  </si>
  <si>
    <t>F110204000000</t>
  </si>
  <si>
    <t>F110205000000</t>
  </si>
  <si>
    <t>F110206000000</t>
  </si>
  <si>
    <t>Terminal Curah Cair</t>
  </si>
  <si>
    <t>F110301000000</t>
  </si>
  <si>
    <t>F110302000000</t>
  </si>
  <si>
    <t>F110303000000</t>
  </si>
  <si>
    <t>F110304000000</t>
  </si>
  <si>
    <t>F110305000000</t>
  </si>
  <si>
    <t>F110306000000</t>
  </si>
  <si>
    <t>Terminal Curah Kering</t>
  </si>
  <si>
    <t>F110401000000</t>
  </si>
  <si>
    <t>F110402000000</t>
  </si>
  <si>
    <t>F110403000000</t>
  </si>
  <si>
    <t>F110404000000</t>
  </si>
  <si>
    <t>F110405000000</t>
  </si>
  <si>
    <t>F110406000000</t>
  </si>
  <si>
    <t>Terminal Kendaraan</t>
  </si>
  <si>
    <t>F110501000000</t>
  </si>
  <si>
    <t>F110502000000</t>
  </si>
  <si>
    <t>F110503000000</t>
  </si>
  <si>
    <t>F110504000000</t>
  </si>
  <si>
    <t>F110505000000</t>
  </si>
  <si>
    <t>F110506000000</t>
  </si>
  <si>
    <t>F120101000000</t>
  </si>
  <si>
    <t>F120102000000</t>
  </si>
  <si>
    <t>F120103000000</t>
  </si>
  <si>
    <t>F120104000000</t>
  </si>
  <si>
    <t>F120105000000</t>
  </si>
  <si>
    <t>F120106000000</t>
  </si>
  <si>
    <t>F120201000000</t>
  </si>
  <si>
    <t>F120202000000</t>
  </si>
  <si>
    <t>F120203000000</t>
  </si>
  <si>
    <t>F120204000000</t>
  </si>
  <si>
    <t>F120205000000</t>
  </si>
  <si>
    <t>F120206000000</t>
  </si>
  <si>
    <t>F120301000000</t>
  </si>
  <si>
    <t>F120302000000</t>
  </si>
  <si>
    <t>F120303000000</t>
  </si>
  <si>
    <t>F120304000000</t>
  </si>
  <si>
    <t>F120305000000</t>
  </si>
  <si>
    <t>F120306000000</t>
  </si>
  <si>
    <t>F120401000000</t>
  </si>
  <si>
    <t>F120402000000</t>
  </si>
  <si>
    <t>F120403000000</t>
  </si>
  <si>
    <t>F120404000000</t>
  </si>
  <si>
    <t>F120405000000</t>
  </si>
  <si>
    <t>F120406000000</t>
  </si>
  <si>
    <t>F120501000000</t>
  </si>
  <si>
    <t>F120502000000</t>
  </si>
  <si>
    <t>F120503000000</t>
  </si>
  <si>
    <t>F120504000000</t>
  </si>
  <si>
    <t>F120505000000</t>
  </si>
  <si>
    <t>F120506000000</t>
  </si>
  <si>
    <t>F130101000000</t>
  </si>
  <si>
    <t>F130102000000</t>
  </si>
  <si>
    <t>F130103000000</t>
  </si>
  <si>
    <t>F130104000000</t>
  </si>
  <si>
    <t>F130105000000</t>
  </si>
  <si>
    <t>F130106000000</t>
  </si>
  <si>
    <t>F130201000000</t>
  </si>
  <si>
    <t>F130202000000</t>
  </si>
  <si>
    <t>F130203000000</t>
  </si>
  <si>
    <t>F130204000000</t>
  </si>
  <si>
    <t>F130205000000</t>
  </si>
  <si>
    <t>F130206000000</t>
  </si>
  <si>
    <t>F130301000000</t>
  </si>
  <si>
    <t>F130302000000</t>
  </si>
  <si>
    <t>F130303000000</t>
  </si>
  <si>
    <t>F130304000000</t>
  </si>
  <si>
    <t>F130305000000</t>
  </si>
  <si>
    <t>F130306000000</t>
  </si>
  <si>
    <t>F130401000000</t>
  </si>
  <si>
    <t>F130402000000</t>
  </si>
  <si>
    <t>F130403000000</t>
  </si>
  <si>
    <t>F130404000000</t>
  </si>
  <si>
    <t>F130405000000</t>
  </si>
  <si>
    <t>F130406000000</t>
  </si>
  <si>
    <t>F130501000000</t>
  </si>
  <si>
    <t>F130502000000</t>
  </si>
  <si>
    <t>F130503000000</t>
  </si>
  <si>
    <t>F130504000000</t>
  </si>
  <si>
    <t>F130505000000</t>
  </si>
  <si>
    <t>F130506000000</t>
  </si>
  <si>
    <t>Kinerja Pelayanan Petikemas</t>
  </si>
  <si>
    <t>KINERJA OPERASI DERMAGA</t>
  </si>
  <si>
    <t>Luar negeri</t>
  </si>
  <si>
    <t>Bongkar muat per crane</t>
  </si>
  <si>
    <t>B110101010000</t>
  </si>
  <si>
    <t>BCH (ET)</t>
  </si>
  <si>
    <t>bph</t>
  </si>
  <si>
    <t>B110101020000</t>
  </si>
  <si>
    <t>BCH (BWT)</t>
  </si>
  <si>
    <t>B110101030000</t>
  </si>
  <si>
    <t>BCH Gross / GCR (BT)</t>
  </si>
  <si>
    <t>Bongkar muat per kapal</t>
  </si>
  <si>
    <t>B110102010000</t>
  </si>
  <si>
    <t>BSH (ET)</t>
  </si>
  <si>
    <t>B110102020000</t>
  </si>
  <si>
    <t>BSH (BWT)</t>
  </si>
  <si>
    <t>B110102030000</t>
  </si>
  <si>
    <t>BSH Gross / VOR (BT)</t>
  </si>
  <si>
    <t>Dalam negeri</t>
  </si>
  <si>
    <t>B110201010000</t>
  </si>
  <si>
    <t>B110201020000</t>
  </si>
  <si>
    <t>B110201030000</t>
  </si>
  <si>
    <t>B110202010000</t>
  </si>
  <si>
    <t>B110202020000</t>
  </si>
  <si>
    <t>B110202030000</t>
  </si>
  <si>
    <t>Kinerja non ship crane dalam negeri</t>
  </si>
  <si>
    <t>B110301010000</t>
  </si>
  <si>
    <t>B110301020000</t>
  </si>
  <si>
    <t>B110301030000</t>
  </si>
  <si>
    <t>B110302010000</t>
  </si>
  <si>
    <t>B110302020000</t>
  </si>
  <si>
    <t>B110302030000</t>
  </si>
  <si>
    <t>KINERJA OPERASI LAPANGAN</t>
  </si>
  <si>
    <t>Luar Negeri</t>
  </si>
  <si>
    <t>B120101010000</t>
  </si>
  <si>
    <t>Dwelling Time</t>
  </si>
  <si>
    <t>hari</t>
  </si>
  <si>
    <t>B120101010100</t>
  </si>
  <si>
    <t>B120101010200</t>
  </si>
  <si>
    <t>B120101020000</t>
  </si>
  <si>
    <t>External Truck Round Time</t>
  </si>
  <si>
    <t>menit</t>
  </si>
  <si>
    <t>B120101020100</t>
  </si>
  <si>
    <t>Delivery Full</t>
  </si>
  <si>
    <t>B120101020200</t>
  </si>
  <si>
    <t>Delivery Empty</t>
  </si>
  <si>
    <t>B120102010000</t>
  </si>
  <si>
    <t>B120102010100</t>
  </si>
  <si>
    <t>B120102010200</t>
  </si>
  <si>
    <t>B120102020000</t>
  </si>
  <si>
    <t>B120102020100</t>
  </si>
  <si>
    <t>Receiving Full</t>
  </si>
  <si>
    <t>B120102020200</t>
  </si>
  <si>
    <t>Receiving Empty</t>
  </si>
  <si>
    <t>B120103000000</t>
  </si>
  <si>
    <t>Dwelling Time Rekap Luar Negeri</t>
  </si>
  <si>
    <t>B120104000000</t>
  </si>
  <si>
    <t>External Truck Round Time Rekap Luar Negeri</t>
  </si>
  <si>
    <t>Dalam Negeri</t>
  </si>
  <si>
    <t>B120201010000</t>
  </si>
  <si>
    <t>B120201010100</t>
  </si>
  <si>
    <t>B120201010200</t>
  </si>
  <si>
    <t>B120201020000</t>
  </si>
  <si>
    <t>B120201020100</t>
  </si>
  <si>
    <t>B120201020200</t>
  </si>
  <si>
    <t>B120202010000</t>
  </si>
  <si>
    <t>B120202010100</t>
  </si>
  <si>
    <t>B120202010200</t>
  </si>
  <si>
    <t>B120202020000</t>
  </si>
  <si>
    <t>B120202020100</t>
  </si>
  <si>
    <t>B120202020200</t>
  </si>
  <si>
    <t>B120203000000</t>
  </si>
  <si>
    <t>Dwelling Time Dalam Negeri</t>
  </si>
  <si>
    <t>B120204000000</t>
  </si>
  <si>
    <t>External Truck Round Time Dalam Negeri</t>
  </si>
  <si>
    <t>B120300000000</t>
  </si>
  <si>
    <t>Dwelling Time Konsolidasi</t>
  </si>
  <si>
    <t>B120400000000</t>
  </si>
  <si>
    <t>External Truck Round Time Konsolidasi</t>
  </si>
  <si>
    <t>Kinerja Pelayanan Non Petikemas</t>
  </si>
  <si>
    <t>D110101000000</t>
  </si>
  <si>
    <t>T/G/H</t>
  </si>
  <si>
    <t>T/S/D</t>
  </si>
  <si>
    <t>D110102000000</t>
  </si>
  <si>
    <t>D110103000000</t>
  </si>
  <si>
    <t>D110103010000</t>
  </si>
  <si>
    <t>Melalui truk</t>
  </si>
  <si>
    <t>D110103020000</t>
  </si>
  <si>
    <t>Melalui pipa</t>
  </si>
  <si>
    <t>D110104000000</t>
  </si>
  <si>
    <t>D110104010000</t>
  </si>
  <si>
    <t>D110104020000</t>
  </si>
  <si>
    <t>D110104030000</t>
  </si>
  <si>
    <t>Melalui konveyor</t>
  </si>
  <si>
    <t>D110200000000</t>
  </si>
  <si>
    <t>D110201000000</t>
  </si>
  <si>
    <t>D110202000000</t>
  </si>
  <si>
    <t>D110300000000</t>
  </si>
  <si>
    <t>D110301000000</t>
  </si>
  <si>
    <t>D110302000000</t>
  </si>
  <si>
    <t>D110303000000</t>
  </si>
  <si>
    <t>D110400000000</t>
  </si>
  <si>
    <t>B/M Terminal Kendaraan</t>
  </si>
  <si>
    <t>U/G/H</t>
  </si>
  <si>
    <t>U/S/D</t>
  </si>
  <si>
    <t>D120101000000</t>
  </si>
  <si>
    <t>D120102000000</t>
  </si>
  <si>
    <t>D120103000000</t>
  </si>
  <si>
    <t>D120103010000</t>
  </si>
  <si>
    <t>D120103020000</t>
  </si>
  <si>
    <t>D120104000000</t>
  </si>
  <si>
    <t>D120104010000</t>
  </si>
  <si>
    <t>D120104020000</t>
  </si>
  <si>
    <t>D120104030000</t>
  </si>
  <si>
    <t>D120200000000</t>
  </si>
  <si>
    <t>D120201000000</t>
  </si>
  <si>
    <t>D120202000000</t>
  </si>
  <si>
    <t>D120300000000</t>
  </si>
  <si>
    <t>D120301000000</t>
  </si>
  <si>
    <t>D120302000000</t>
  </si>
  <si>
    <t>D120303000000</t>
  </si>
  <si>
    <t>D120400000000</t>
  </si>
  <si>
    <t>KONSOLIDASI CABANG</t>
  </si>
  <si>
    <t>D130101000000</t>
  </si>
  <si>
    <t>D130102000000</t>
  </si>
  <si>
    <t>D130103000000</t>
  </si>
  <si>
    <t>D130103010000</t>
  </si>
  <si>
    <t>D130103020000</t>
  </si>
  <si>
    <t>D130104000000</t>
  </si>
  <si>
    <t>D130104010000</t>
  </si>
  <si>
    <t>D130104020000</t>
  </si>
  <si>
    <t>D130104030000</t>
  </si>
  <si>
    <t>D130200000000</t>
  </si>
  <si>
    <t>D130201000000</t>
  </si>
  <si>
    <t>D130202000000</t>
  </si>
  <si>
    <t>D130300000000</t>
  </si>
  <si>
    <t>D130301000000</t>
  </si>
  <si>
    <t>D130302000000</t>
  </si>
  <si>
    <t>D130303000000</t>
  </si>
  <si>
    <t>D130400000000</t>
  </si>
  <si>
    <t>Utilisasi Infrastruktur</t>
  </si>
  <si>
    <t>A21010000</t>
  </si>
  <si>
    <t>BOR</t>
  </si>
  <si>
    <t>A21020000</t>
  </si>
  <si>
    <t>YOR</t>
  </si>
  <si>
    <t>A22010000</t>
  </si>
  <si>
    <t>A22030000</t>
  </si>
  <si>
    <t>A22050000</t>
  </si>
  <si>
    <t>SOR</t>
  </si>
  <si>
    <t>A23010000</t>
  </si>
  <si>
    <t>A24010000</t>
  </si>
  <si>
    <t>A24020000</t>
  </si>
  <si>
    <t>A24030000</t>
  </si>
  <si>
    <t>A25010000</t>
  </si>
  <si>
    <t>A25020000</t>
  </si>
  <si>
    <t>Terminal Pelra</t>
  </si>
  <si>
    <t>A26010000</t>
  </si>
  <si>
    <t>A26020000</t>
  </si>
  <si>
    <t>A26030000</t>
  </si>
  <si>
    <t>SOR Gudang Multipurpose</t>
  </si>
  <si>
    <t>A26040000</t>
  </si>
  <si>
    <t>SOR Gudang CFS</t>
  </si>
  <si>
    <t>Utilisasi Suprastruktur</t>
  </si>
  <si>
    <t>Pelayanan Kapal</t>
  </si>
  <si>
    <t>Kesiapan alat apung</t>
  </si>
  <si>
    <t>B21010100</t>
  </si>
  <si>
    <t>Kapal Tunda</t>
  </si>
  <si>
    <t>B21010200</t>
  </si>
  <si>
    <t>Kapal Pandu</t>
  </si>
  <si>
    <t>B21010300</t>
  </si>
  <si>
    <t>Kapal Kepil</t>
  </si>
  <si>
    <t>B21010400</t>
  </si>
  <si>
    <t>Kapal Keruk</t>
  </si>
  <si>
    <t>B21010500</t>
  </si>
  <si>
    <t>Kapal Wisata</t>
  </si>
  <si>
    <t>B21010600</t>
  </si>
  <si>
    <t>Tongkang</t>
  </si>
  <si>
    <t>Utilisasi alat apung</t>
  </si>
  <si>
    <t>B21020100</t>
  </si>
  <si>
    <t>B21020200</t>
  </si>
  <si>
    <t>B21020300</t>
  </si>
  <si>
    <t>B21020400</t>
  </si>
  <si>
    <t>B21020500</t>
  </si>
  <si>
    <t>B21020600</t>
  </si>
  <si>
    <t>Konsumsi BBM / Energi Listrik</t>
  </si>
  <si>
    <t>B21030100</t>
  </si>
  <si>
    <t>L</t>
  </si>
  <si>
    <t>B21030200</t>
  </si>
  <si>
    <t>B21030300</t>
  </si>
  <si>
    <t>B21030400</t>
  </si>
  <si>
    <t>B21030500</t>
  </si>
  <si>
    <t>B21030600</t>
  </si>
  <si>
    <t>B21030700</t>
  </si>
  <si>
    <t>kWh</t>
  </si>
  <si>
    <t>B21030800</t>
  </si>
  <si>
    <t>B21030900</t>
  </si>
  <si>
    <t>B21031000</t>
  </si>
  <si>
    <t>B21031100</t>
  </si>
  <si>
    <t>B21031200</t>
  </si>
  <si>
    <t>Pelayanan Petikemas dan Non Petikemas</t>
  </si>
  <si>
    <t>Kesiapan alat bongkar muat</t>
  </si>
  <si>
    <t>B22010100</t>
  </si>
  <si>
    <t>Quay Container Crane</t>
  </si>
  <si>
    <t>B22010200</t>
  </si>
  <si>
    <t>Harbour Mobile Crane</t>
  </si>
  <si>
    <t>B22010300</t>
  </si>
  <si>
    <t>Gantry Jib Crane</t>
  </si>
  <si>
    <t>B22010400</t>
  </si>
  <si>
    <t>Gantry Luffing Crane</t>
  </si>
  <si>
    <t>B22010500</t>
  </si>
  <si>
    <t>Fixed Jib Crane</t>
  </si>
  <si>
    <t>B22010600</t>
  </si>
  <si>
    <t>Rail Mounted Gantry Crane</t>
  </si>
  <si>
    <t>B22010700</t>
  </si>
  <si>
    <t>Rubber Tyred Gantry Crane</t>
  </si>
  <si>
    <t>B22010800</t>
  </si>
  <si>
    <t>Automatic Stacking Crane</t>
  </si>
  <si>
    <t>B22010900</t>
  </si>
  <si>
    <t>Reach Stacker</t>
  </si>
  <si>
    <t>B22011000</t>
  </si>
  <si>
    <t>Side Loader</t>
  </si>
  <si>
    <t>B22011100</t>
  </si>
  <si>
    <t>Top Loader</t>
  </si>
  <si>
    <t>B22011200</t>
  </si>
  <si>
    <t>Head Truck</t>
  </si>
  <si>
    <t>B22011300</t>
  </si>
  <si>
    <t>Chassis</t>
  </si>
  <si>
    <t>B22011400</t>
  </si>
  <si>
    <t>Straddle Carrier</t>
  </si>
  <si>
    <t>B22011500</t>
  </si>
  <si>
    <t>Mobile Crane</t>
  </si>
  <si>
    <t>B22011600</t>
  </si>
  <si>
    <t>Fixed Crane</t>
  </si>
  <si>
    <t>B22011700</t>
  </si>
  <si>
    <t>Overhead Crane</t>
  </si>
  <si>
    <t>B22011800</t>
  </si>
  <si>
    <t>Hopper</t>
  </si>
  <si>
    <t>B22011900</t>
  </si>
  <si>
    <t>Excavator</t>
  </si>
  <si>
    <t>B22012000</t>
  </si>
  <si>
    <t>Ship to shore</t>
  </si>
  <si>
    <t>B22012100</t>
  </si>
  <si>
    <t>Conveyor</t>
  </si>
  <si>
    <t>B22012200</t>
  </si>
  <si>
    <t>Wheel Loader</t>
  </si>
  <si>
    <t>B22012300</t>
  </si>
  <si>
    <t>Bulldozer</t>
  </si>
  <si>
    <t>B22012400</t>
  </si>
  <si>
    <t>Dump Truck</t>
  </si>
  <si>
    <t>B22012500</t>
  </si>
  <si>
    <t>Tronton</t>
  </si>
  <si>
    <t>B22012600</t>
  </si>
  <si>
    <t>Forklift</t>
  </si>
  <si>
    <t>B22012700</t>
  </si>
  <si>
    <t>Trailer</t>
  </si>
  <si>
    <t>B22012800</t>
  </si>
  <si>
    <t>Alat lainnya</t>
  </si>
  <si>
    <t>Utilisasi alat bongkar muat</t>
  </si>
  <si>
    <t>B22020100</t>
  </si>
  <si>
    <t>B22020200</t>
  </si>
  <si>
    <t>B22020300</t>
  </si>
  <si>
    <t>B22020400</t>
  </si>
  <si>
    <t>B22020500</t>
  </si>
  <si>
    <t>B22020600</t>
  </si>
  <si>
    <t>B22020700</t>
  </si>
  <si>
    <t>B22020800</t>
  </si>
  <si>
    <t>B22020900</t>
  </si>
  <si>
    <t>B22021000</t>
  </si>
  <si>
    <t>B22021100</t>
  </si>
  <si>
    <t>B22021200</t>
  </si>
  <si>
    <t>B22021300</t>
  </si>
  <si>
    <t>B22021400</t>
  </si>
  <si>
    <t>B22021500</t>
  </si>
  <si>
    <t>B22021600</t>
  </si>
  <si>
    <t>B22021700</t>
  </si>
  <si>
    <t>B22021800</t>
  </si>
  <si>
    <t>B22021900</t>
  </si>
  <si>
    <t>B22022000</t>
  </si>
  <si>
    <t>B22022100</t>
  </si>
  <si>
    <t>B22022200</t>
  </si>
  <si>
    <t>B22022300</t>
  </si>
  <si>
    <t>B22022400</t>
  </si>
  <si>
    <t>B22022500</t>
  </si>
  <si>
    <t>B22022600</t>
  </si>
  <si>
    <t>B22022700</t>
  </si>
  <si>
    <t>B22022800</t>
  </si>
  <si>
    <t>PELAYANAN KAPAL</t>
  </si>
  <si>
    <t>401.01.00.00.00.00.00.00.00</t>
  </si>
  <si>
    <t>Pelayanan Labuh</t>
  </si>
  <si>
    <t>GT Masa</t>
  </si>
  <si>
    <t>401.02.00.00.00.00.00.00.00</t>
  </si>
  <si>
    <t>Pelayanan Pemanduan</t>
  </si>
  <si>
    <t>Kpl Grk</t>
  </si>
  <si>
    <t>GT Kpl Grk</t>
  </si>
  <si>
    <t>401.03.00.00.00.00.00.00.00</t>
  </si>
  <si>
    <t>Pelayanan Penundaan</t>
  </si>
  <si>
    <t>Kpl Jam</t>
  </si>
  <si>
    <t>GT Kpl Jam</t>
  </si>
  <si>
    <t>401.04.00.00.00.00.00.00.00</t>
  </si>
  <si>
    <t>Pelayanan Penambatan</t>
  </si>
  <si>
    <t>GT Etmal</t>
  </si>
  <si>
    <t>401.05.00.00.00.00.00.00.00</t>
  </si>
  <si>
    <t>Pelayanan Alur</t>
  </si>
  <si>
    <t>401.06.00.00.00.00.00.00.00</t>
  </si>
  <si>
    <t>Pelayanan Kepil</t>
  </si>
  <si>
    <t>Grk</t>
  </si>
  <si>
    <t>PELAYANAN PETIKEMAS</t>
  </si>
  <si>
    <t>Pelayanan Petikemas Internasional</t>
  </si>
  <si>
    <t>402.01.01.00.00.00.00.00.00</t>
  </si>
  <si>
    <t>Dermaga</t>
  </si>
  <si>
    <t xml:space="preserve">Ton </t>
  </si>
  <si>
    <t>Operasi Kapal</t>
  </si>
  <si>
    <t>402.01.02.01.00.00.00.00.00</t>
  </si>
  <si>
    <t>Stevedoring</t>
  </si>
  <si>
    <t>402.01.02.02.00.00.00.00.00</t>
  </si>
  <si>
    <t>Lift On/Lift Off</t>
  </si>
  <si>
    <t>402.01.02.03.00.00.00.00.00</t>
  </si>
  <si>
    <t>Haulage</t>
  </si>
  <si>
    <t>402.01.02.04.00.00.00.00.00</t>
  </si>
  <si>
    <t>Restowage/Shifting</t>
  </si>
  <si>
    <t>402.01.02.05.00.00.00.00.00</t>
  </si>
  <si>
    <t>Buka Tutup Palka</t>
  </si>
  <si>
    <t>Palka</t>
  </si>
  <si>
    <t>Kegiatan</t>
  </si>
  <si>
    <t>402.01.02.06.00.00.00.00.00</t>
  </si>
  <si>
    <t xml:space="preserve">Kerjasama Pelayanan B/M </t>
  </si>
  <si>
    <t>Operasi Lapangan</t>
  </si>
  <si>
    <t>402.01.03.01.00.00.00.00.00</t>
  </si>
  <si>
    <t>402.01.03.02.00.00.00.00.00</t>
  </si>
  <si>
    <t>Gerakan Ekstra</t>
  </si>
  <si>
    <t>402.01.03.03.00.00.00.00.00</t>
  </si>
  <si>
    <t>Penumpukan Petikemas</t>
  </si>
  <si>
    <t>Box Hari</t>
  </si>
  <si>
    <t>402.01.03.04.00.00.00.00.00</t>
  </si>
  <si>
    <t>Reefer (Suplai listrik dan monitoring)</t>
  </si>
  <si>
    <t>Box Shift</t>
  </si>
  <si>
    <t>Operasi CFS</t>
  </si>
  <si>
    <t>402.01.04.01.00.00.00.00.00</t>
  </si>
  <si>
    <t>Receiving/Delivery (Barang)</t>
  </si>
  <si>
    <t>402.01.04.02.00.00.00.00.00</t>
  </si>
  <si>
    <t>Rubah Status/LCL</t>
  </si>
  <si>
    <t>402.01.04.03.00.00.00.00.00</t>
  </si>
  <si>
    <t>402.01.04.04.00.00.00.00.00</t>
  </si>
  <si>
    <t>Stripping / Stuffing</t>
  </si>
  <si>
    <t>402.01.04.05.00.00.00.00.00</t>
  </si>
  <si>
    <t>Penumpukan</t>
  </si>
  <si>
    <t>Ton Hari</t>
  </si>
  <si>
    <t>M3 Hari</t>
  </si>
  <si>
    <t>Petikemas Transhipment</t>
  </si>
  <si>
    <t>402.01.05.01.00.00.00.00.00</t>
  </si>
  <si>
    <t>402.01.05.02.00.00.00.00.00</t>
  </si>
  <si>
    <t>402.01.05.03.00.00.00.00.00</t>
  </si>
  <si>
    <t xml:space="preserve">Petikemas Lainnya </t>
  </si>
  <si>
    <t>Behandle</t>
  </si>
  <si>
    <t>402.01.06.01.01.00.00.00.00</t>
  </si>
  <si>
    <t>402.01.06.01.02.00.00.00.00</t>
  </si>
  <si>
    <t>Tempat Pemeriksaan Fisik Terpadu</t>
  </si>
  <si>
    <t>402.01.06.02.01.00.00.00.00</t>
  </si>
  <si>
    <t>402.01.06.02.02.00.00.00.00</t>
  </si>
  <si>
    <t>402.01.06.03.00.00.00.00.00</t>
  </si>
  <si>
    <t>Fumigasi</t>
  </si>
  <si>
    <t>402.01.06.04.00.00.00.00.00</t>
  </si>
  <si>
    <t>Batal Muat</t>
  </si>
  <si>
    <t>402.01.06.05.00.00.00.00.00</t>
  </si>
  <si>
    <t>Pindah Kapal/alih kapal</t>
  </si>
  <si>
    <t>402.01.06.06.00.00.00.00.00</t>
  </si>
  <si>
    <t>Closing</t>
  </si>
  <si>
    <t>402.01.06.07.00.00.00.00.00</t>
  </si>
  <si>
    <t xml:space="preserve">Batal Dokumen </t>
  </si>
  <si>
    <t>402.01.06.08.00.00.00.00.00</t>
  </si>
  <si>
    <t xml:space="preserve">Labeling </t>
  </si>
  <si>
    <t>402.01.06.09.00.00.00.00.00</t>
  </si>
  <si>
    <t>Overbrengen</t>
  </si>
  <si>
    <t>Pelayanan Petikemas Domestik</t>
  </si>
  <si>
    <t>402.02.01.00.00.00.00.00.00</t>
  </si>
  <si>
    <t>402.02.02.01.00.00.00.00.00</t>
  </si>
  <si>
    <t>402.02.02.02.00.00.00.00.00</t>
  </si>
  <si>
    <t>402.02.02.03.00.00.00.00.00</t>
  </si>
  <si>
    <t>402.02.02.04.00.00.00.00.00</t>
  </si>
  <si>
    <t>402.02.02.05.00.00.00.00.00</t>
  </si>
  <si>
    <t>402.02.02.06.00.00.00.00.00</t>
  </si>
  <si>
    <t>402.02.02.07.00.00.00.00.00</t>
  </si>
  <si>
    <t>Kade Lossing</t>
  </si>
  <si>
    <t>402.02.03.01.00.00.00.00.00</t>
  </si>
  <si>
    <t>402.02.03.02.00.00.00.00.00</t>
  </si>
  <si>
    <t>402.02.03.03.00.00.00.00.00</t>
  </si>
  <si>
    <t>Unit Hari</t>
  </si>
  <si>
    <t>402.02.03.04.00.00.00.00.00</t>
  </si>
  <si>
    <t>Shift</t>
  </si>
  <si>
    <t>402.02.04.01.00.00.00.00.00</t>
  </si>
  <si>
    <t>402.02.04.02.00.00.00.00.00</t>
  </si>
  <si>
    <t>402.02.04.03.00.00.00.00.00</t>
  </si>
  <si>
    <t>402.02.05.01.01.00.00.00.00</t>
  </si>
  <si>
    <t>402.02.05.01.02.00.00.00.00</t>
  </si>
  <si>
    <t>402.02.05.02.00.00.00.00.00</t>
  </si>
  <si>
    <t>402.02.05.03.00.00.00.00.00</t>
  </si>
  <si>
    <t>402.02.05.04.00.00.00.00.00</t>
  </si>
  <si>
    <t>402.02.05.05.00.00.00.00.00</t>
  </si>
  <si>
    <t>402.02.05.06.00.00.00.00.00</t>
  </si>
  <si>
    <t>402.02.05.07.00.00.00.00.00</t>
  </si>
  <si>
    <t>PELAYANAN BARANG NON PETIKEMAS GENERAL CARGO</t>
  </si>
  <si>
    <t>403.01.01.00.00.00.00.00.00</t>
  </si>
  <si>
    <t>403.01.02.00.00.00.00.00.00</t>
  </si>
  <si>
    <t>Gudang Penumpukan Diusahakan</t>
  </si>
  <si>
    <t>403.01.03.00.00.00.00.00.00</t>
  </si>
  <si>
    <t>Lapangan Penumpukan Diusahakan</t>
  </si>
  <si>
    <t>Bongkar Muat</t>
  </si>
  <si>
    <t>Per Mata Rantai</t>
  </si>
  <si>
    <t>403.01.04.01.01.00.00.00.00</t>
  </si>
  <si>
    <t>403.01.04.01.02.00.00.00.00</t>
  </si>
  <si>
    <t>Cargodoring</t>
  </si>
  <si>
    <t>403.01.04.01.03.00.00.00.00</t>
  </si>
  <si>
    <t>Receiving/Delivery</t>
  </si>
  <si>
    <t>403.01.04.02.00.00.00.00.00</t>
  </si>
  <si>
    <t>Kerjasama Pelayanan B/M</t>
  </si>
  <si>
    <t>403.01.04.03.00.00.00.00.00</t>
  </si>
  <si>
    <t xml:space="preserve">Pelayanan Kade Lossing </t>
  </si>
  <si>
    <t>403.01.04.04.00.00.00.00.00</t>
  </si>
  <si>
    <t>403.01.05.00.00.00.00.00.00</t>
  </si>
  <si>
    <t>Roll On Roll Off (Ro Ro)</t>
  </si>
  <si>
    <t>PELAYANAN BARANG NON PETIKEMAS CURAH KERING</t>
  </si>
  <si>
    <t>403.02.01.00.00.00.00.00.00</t>
  </si>
  <si>
    <t>403.02.02.00.00.00.00.00.00</t>
  </si>
  <si>
    <t>403.02.03.00.00.00.00.00.00</t>
  </si>
  <si>
    <t>403.02.04.00.00.00.00.00.00</t>
  </si>
  <si>
    <t>Penyimpanan (Silo)</t>
  </si>
  <si>
    <t>403.02.05.01.01.00.00.00.00</t>
  </si>
  <si>
    <t>403.02.05.01.02.00.00.00.00</t>
  </si>
  <si>
    <t>403.02.05.01.03.00.00.00.00</t>
  </si>
  <si>
    <t>403.02.05.02.00.00.00.00.00</t>
  </si>
  <si>
    <t>PELAYANAN BARANG NON PETIKEMAS CURAH CAIR</t>
  </si>
  <si>
    <t>403.03.01.00.00.00.00.00.00</t>
  </si>
  <si>
    <t>403.03.02.00.00.00.00.00.00</t>
  </si>
  <si>
    <t>Penyimpanan (Tank Storage)</t>
  </si>
  <si>
    <t>403.03.03.01.01.00.00.00.00</t>
  </si>
  <si>
    <t>403.03.03.01.02.00.00.00.00</t>
  </si>
  <si>
    <t>403.03.03.01.03.00.00.00.00</t>
  </si>
  <si>
    <t>403.03.03.02.00.00.00.00.00</t>
  </si>
  <si>
    <t>403.03.03.03.00.00.00.00.00</t>
  </si>
  <si>
    <t>Kerjasama Pengangkutan</t>
  </si>
  <si>
    <t>PELAYANAN BARANG NON PETIKEMAS GAS</t>
  </si>
  <si>
    <t>403.04.01.00.00.00.00.00.00</t>
  </si>
  <si>
    <t>403.04.02.00.00.00.00.00.00</t>
  </si>
  <si>
    <t>Penyimpanan (Pipa)</t>
  </si>
  <si>
    <t>403.04.03.01.01.00.00.00.00</t>
  </si>
  <si>
    <t>403.04.03.01.02.00.00.00.00</t>
  </si>
  <si>
    <t>403.04.03.01.03.00.00.00.00</t>
  </si>
  <si>
    <t>403.04.03.02.00.00.00.00.00</t>
  </si>
  <si>
    <t>PELAYANAN BARANG NON PETIKEMAS CAR TERMINAL</t>
  </si>
  <si>
    <t>403.05.01.00.00.00.00.00.00</t>
  </si>
  <si>
    <t>403.05.02.00.00.00.00.00.00</t>
  </si>
  <si>
    <t>Lapangan Penumpukan</t>
  </si>
  <si>
    <t>403.05.03.01.01.00.00.00.00</t>
  </si>
  <si>
    <t>403.05.03.01.02.00.00.00.00</t>
  </si>
  <si>
    <t>403.05.03.01.03.00.00.00.00</t>
  </si>
  <si>
    <t>403.05.03.02.00.00.00.00.00</t>
  </si>
  <si>
    <t>PELAYANAN BARANG NON PETIKEMAS HEWAN</t>
  </si>
  <si>
    <t>403.06.01.00.00.00.00.00.00</t>
  </si>
  <si>
    <t>403.06.02.00.00.00.00.00.00</t>
  </si>
  <si>
    <t>Ekor Hari</t>
  </si>
  <si>
    <t>403.06.03.01.01.00.00.00.00</t>
  </si>
  <si>
    <t>403.06.03.01.02.00.00.00.00</t>
  </si>
  <si>
    <t>403.06.03.01.03.00.00.00.00</t>
  </si>
  <si>
    <t>403.06.03.02.00.00.00.00.00</t>
  </si>
  <si>
    <t>PELAYANAN BARANG NON PETIKEMAS BAG CARGO</t>
  </si>
  <si>
    <t>403.07.01.00.00.00.00.00.00</t>
  </si>
  <si>
    <t>403.07.02.00.00.00.00.00.00</t>
  </si>
  <si>
    <t>403.07.03.00.00.00.00.00.00</t>
  </si>
  <si>
    <t>403.07.04.01.01.00.00.00.00</t>
  </si>
  <si>
    <t>403.07.04.01.02.00.00.00.00</t>
  </si>
  <si>
    <t>403.07.04.01.03.00.00.00.00</t>
  </si>
  <si>
    <t>403.07.04.02.00.00.00.00.00</t>
  </si>
  <si>
    <t>403.07.04.03.00.00.00.00.00</t>
  </si>
  <si>
    <t>403.07.04.04.00.00.00.00.00</t>
  </si>
  <si>
    <t>404.01.01.00.00.00.00.00.00</t>
  </si>
  <si>
    <t>404.01.02.00.00.00.00.00.00</t>
  </si>
  <si>
    <t xml:space="preserve">Stuffing/Stripping </t>
  </si>
  <si>
    <t>404.01.03.00.00.00.00.00.00</t>
  </si>
  <si>
    <t>Unitasi/Paletasi</t>
  </si>
  <si>
    <t>404.01.04.00.00.00.00.00.00</t>
  </si>
  <si>
    <t>Packing</t>
  </si>
  <si>
    <t xml:space="preserve">Unit </t>
  </si>
  <si>
    <t>404.01.05.00.00.00.00.00.00</t>
  </si>
  <si>
    <t>Labeling</t>
  </si>
  <si>
    <t>404.01.06.00.00.00.00.00.00</t>
  </si>
  <si>
    <t>Sortasi</t>
  </si>
  <si>
    <t>404.01.07.00.00.00.00.00.00</t>
  </si>
  <si>
    <t>404.01.08.00.00.00.00.00.00</t>
  </si>
  <si>
    <t>404.01.09.00.00.00.00.00.00</t>
  </si>
  <si>
    <t>Repair/Cleaning Container</t>
  </si>
  <si>
    <t>404.01.10.00.00.00.00.00.00</t>
  </si>
  <si>
    <t>Monitoring Reefer Plug</t>
  </si>
  <si>
    <t>404.01.11.00.00.00.00.00.00</t>
  </si>
  <si>
    <t>PELAYANAN NON PETIKEMAS</t>
  </si>
  <si>
    <t>404.02.01.00.00.00.00.00.00</t>
  </si>
  <si>
    <t>Receiving delivery</t>
  </si>
  <si>
    <t>404.02.02.00.00.00.00.00.00</t>
  </si>
  <si>
    <t>404.02.03.00.00.00.00.00.00</t>
  </si>
  <si>
    <t>404.02.04.00.00.00.00.00.00</t>
  </si>
  <si>
    <t>404.02.05.00.00.00.00.00.00</t>
  </si>
  <si>
    <t>404.02.06.00.00.00.00.00.00</t>
  </si>
  <si>
    <t>Penumpukan Barang</t>
  </si>
  <si>
    <t>404.02.07.00.00.00.00.00.00</t>
  </si>
  <si>
    <t>PELAYANAN PELRA</t>
  </si>
  <si>
    <t>405.01.00.00.00.00.00.00.00</t>
  </si>
  <si>
    <t>PELAYANAN PAKET</t>
  </si>
  <si>
    <t>PELAYANAN NON PAKET</t>
  </si>
  <si>
    <t>405.02.01.00.00.00.00.00.00</t>
  </si>
  <si>
    <t>Labuh</t>
  </si>
  <si>
    <t>405.02.02.00.00.00.00.00.00</t>
  </si>
  <si>
    <t>Penambatan</t>
  </si>
  <si>
    <t>405.02.03.00.00.00.00.00.00</t>
  </si>
  <si>
    <t>Kepil</t>
  </si>
  <si>
    <t>405.02.04.00.00.00.00.00.00</t>
  </si>
  <si>
    <t>405.02.05.00.00.00.00.00.00</t>
  </si>
  <si>
    <t>405.02.06.00.00.00.00.00.00</t>
  </si>
  <si>
    <t>405.02.07.01.01.00.00.00.00</t>
  </si>
  <si>
    <t>405.02.07.01.02.00.00.00.00</t>
  </si>
  <si>
    <t>405.02.07.01.03.00.00.00.00</t>
  </si>
  <si>
    <t>405.02.07.02.00.00.00.00.00</t>
  </si>
  <si>
    <t>405.02.07.03.00.00.00.00.00</t>
  </si>
  <si>
    <t>PENGUSAHAAN ALAT</t>
  </si>
  <si>
    <t>PRODUKSI ALAT ANGKAT DIUSAHAKAN</t>
  </si>
  <si>
    <t>406.01.01.00.00.00.00.00.00</t>
  </si>
  <si>
    <t>Container Crane</t>
  </si>
  <si>
    <t>406.01.02.00.00.00.00.00.00</t>
  </si>
  <si>
    <t xml:space="preserve">HMC </t>
  </si>
  <si>
    <t>406.01.03.00.00.00.00.00.00</t>
  </si>
  <si>
    <t>406.01.04.00.00.00.00.00.00</t>
  </si>
  <si>
    <t>406.01.05.00.00.00.00.00.00</t>
  </si>
  <si>
    <t>406.01.06.00.00.00.00.00.00</t>
  </si>
  <si>
    <t>Towing Tractor</t>
  </si>
  <si>
    <t>406.01.07.00.00.00.00.00.00</t>
  </si>
  <si>
    <t>RTG</t>
  </si>
  <si>
    <t>406.01.08.00.00.00.00.00.00</t>
  </si>
  <si>
    <t>406.01.09.00.00.00.00.00.00</t>
  </si>
  <si>
    <t>406.01.10.00.00.00.00.00.00</t>
  </si>
  <si>
    <t>406.01.11.00.00.00.00.00.00</t>
  </si>
  <si>
    <t>Luffing Crane</t>
  </si>
  <si>
    <t>406.01.12.00.00.00.00.00.00</t>
  </si>
  <si>
    <t>406.01.13.00.00.00.00.00.00</t>
  </si>
  <si>
    <t>406.01.14.00.00.00.00.00.00</t>
  </si>
  <si>
    <t>PRODUKSI ALAT ANGKUT DIUSAHAKAN</t>
  </si>
  <si>
    <t>406.02.01.00.00.00.00.00.00</t>
  </si>
  <si>
    <t>Hari</t>
  </si>
  <si>
    <t>406.02.02.00.00.00.00.00.00</t>
  </si>
  <si>
    <t>406.02.03.00.00.00.00.00.00</t>
  </si>
  <si>
    <t>Trailler</t>
  </si>
  <si>
    <t>406.02.04.00.00.00.00.00.00</t>
  </si>
  <si>
    <t>406.02.05.00.00.00.00.00.00</t>
  </si>
  <si>
    <t>Conveyor/Pipa</t>
  </si>
  <si>
    <t>406.02.06.00.00.00.00.00.00</t>
  </si>
  <si>
    <t>Straddlle Carrier</t>
  </si>
  <si>
    <t>PRODUKSI ALAT BANTU B/M DIUSAHAKAN</t>
  </si>
  <si>
    <t>406.03.01.00.00.00.00.00.00</t>
  </si>
  <si>
    <t>Timbangan</t>
  </si>
  <si>
    <t>406.03.02.00.00.00.00.00.00</t>
  </si>
  <si>
    <t>Grab</t>
  </si>
  <si>
    <t>406.03.03.00.00.00.00.00.00</t>
  </si>
  <si>
    <t>406.03.04.00.00.00.00.00.00</t>
  </si>
  <si>
    <t>Pemadam Kebakaran</t>
  </si>
  <si>
    <t>406.03.05.00.00.00.00.00.00</t>
  </si>
  <si>
    <t>Bucket</t>
  </si>
  <si>
    <t>406.03.06.00.00.00.00.00.00</t>
  </si>
  <si>
    <t>Ramp Door</t>
  </si>
  <si>
    <t>406.03.07.00.00.00.00.00.00</t>
  </si>
  <si>
    <t>Genset</t>
  </si>
  <si>
    <t>406.03.08.00.00.00.00.00.00</t>
  </si>
  <si>
    <t>Spreader</t>
  </si>
  <si>
    <t>406.03.09.00.00.00.00.00.00</t>
  </si>
  <si>
    <t>Vaporizer LNG</t>
  </si>
  <si>
    <t>PRODUKSI ALAT APUNG</t>
  </si>
  <si>
    <t>406.04.01.00.00.00.00.00.00</t>
  </si>
  <si>
    <t>Kapal Tongkang</t>
  </si>
  <si>
    <t>406.04.02.00.00.00.00.00.00</t>
  </si>
  <si>
    <t>406.04.03.00.00.00.00.00.00</t>
  </si>
  <si>
    <t>406.04.04.00.00.00.00.00.00</t>
  </si>
  <si>
    <t>406.04.05.00.00.00.00.00.00</t>
  </si>
  <si>
    <t>Jam / Ls</t>
  </si>
  <si>
    <t>406.04.06.00.00.00.00.00.00</t>
  </si>
  <si>
    <t>406.04.07.00.00.00.00.00.00</t>
  </si>
  <si>
    <t>Floating Jetty / Ponton</t>
  </si>
  <si>
    <t>PENGUSAHAAN PROPERTI</t>
  </si>
  <si>
    <t>Pengusahaan Lahan</t>
  </si>
  <si>
    <t>407.01.01.00.00.00.00.00.00</t>
  </si>
  <si>
    <t>Sewa</t>
  </si>
  <si>
    <t>M2</t>
  </si>
  <si>
    <t>407.01.02.00.00.00.00.00.00</t>
  </si>
  <si>
    <t>Throughput Fee  / Kontribusi</t>
  </si>
  <si>
    <t>407.02.00.00.00.00.00.00.00</t>
  </si>
  <si>
    <t>Pengusahaan Perairan</t>
  </si>
  <si>
    <t>407.03.00.00.00.00.00.00.00</t>
  </si>
  <si>
    <t>Pengusahaan Bangunan</t>
  </si>
  <si>
    <t>Kali</t>
  </si>
  <si>
    <t>407.04.00.00.00.00.00.00.00</t>
  </si>
  <si>
    <t>Konsolidasi dan Distribusi Barang</t>
  </si>
  <si>
    <t>Paket</t>
  </si>
  <si>
    <t>PENGUSAHAAN AIR / LISTRIK</t>
  </si>
  <si>
    <t>Pengusahaan Air</t>
  </si>
  <si>
    <t>Pengusahaan Air Kapal</t>
  </si>
  <si>
    <t>408.01.01.01.00.00.00.00.00</t>
  </si>
  <si>
    <t>Sumber yang diusahakan</t>
  </si>
  <si>
    <t>408.01.01.02.00.00.00.00.00</t>
  </si>
  <si>
    <t>Sumber yang dikerjasamakan</t>
  </si>
  <si>
    <t>Pengusahaan  Air Umum</t>
  </si>
  <si>
    <t>408.01.02.01.00.00.00.00.00</t>
  </si>
  <si>
    <t>408.01.02.02.00.00.00.00.00</t>
  </si>
  <si>
    <t>Pengusahaan Listrik</t>
  </si>
  <si>
    <t>408.02.01.00.00.00.00.00.00</t>
  </si>
  <si>
    <t>Listrik Umum</t>
  </si>
  <si>
    <t>KWh</t>
  </si>
  <si>
    <t>408.02.02.00.00.00.00.00.00</t>
  </si>
  <si>
    <t>Listrik Pemeliharaan</t>
  </si>
  <si>
    <t>408.02.03.00.00.00.00.00.00</t>
  </si>
  <si>
    <t>Listrik Instalasi &amp; Konstruksi</t>
  </si>
  <si>
    <t>408.02.04.00.00.00.00.00.00</t>
  </si>
  <si>
    <t>Listrik Lainnya</t>
  </si>
  <si>
    <t>PELAYANAN RUPA-RUPA USAHA</t>
  </si>
  <si>
    <t>Pas Terminal Penumpang</t>
  </si>
  <si>
    <t>409.01.01.00.00.00.00.00.00</t>
  </si>
  <si>
    <t>Pas Penumpang</t>
  </si>
  <si>
    <t>Pas Pelabuhan (Orang)</t>
  </si>
  <si>
    <t>409.02.01.00.00.00.00.00.00</t>
  </si>
  <si>
    <t>Pas Harian Orang</t>
  </si>
  <si>
    <t>409.02.02.00.00.00.00.00.00</t>
  </si>
  <si>
    <t>Pas Berlangganan Orang</t>
  </si>
  <si>
    <t>Pas Pelabuhan (Kendaraan)</t>
  </si>
  <si>
    <t>409.03.01.00.00.00.00.00.00</t>
  </si>
  <si>
    <t>Pas Harian Kendaraan</t>
  </si>
  <si>
    <t>409.03.02.00.00.00.00.00.00</t>
  </si>
  <si>
    <t>Pas Berlangganan Kendaraan</t>
  </si>
  <si>
    <t>409.03.03.00.00.00.00.00.00</t>
  </si>
  <si>
    <t>Pas Progresif Kendaraan</t>
  </si>
  <si>
    <t>409.03.04.00.00.00.00.00.00</t>
  </si>
  <si>
    <t>Buffer Area</t>
  </si>
  <si>
    <t>Fasilitas Repair / Docking Kapal</t>
  </si>
  <si>
    <t>409.04.01.00.00.00.00.00.00</t>
  </si>
  <si>
    <t>Fasilitas Repair/Docking Kapal</t>
  </si>
  <si>
    <t>Produksi Kerjasama</t>
  </si>
  <si>
    <t>409.05.01.00.00.00.00.00.00</t>
  </si>
  <si>
    <t>Kerjasama Alat</t>
  </si>
  <si>
    <t>409.05.02.00.00.00.00.00.00</t>
  </si>
  <si>
    <t>Kerjasama Kapal Khusus</t>
  </si>
  <si>
    <t>Gerak</t>
  </si>
  <si>
    <t>409.05.03.00.00.00.00.00.00</t>
  </si>
  <si>
    <t>Kerjasama Pelabuhan</t>
  </si>
  <si>
    <t>GT.Call</t>
  </si>
  <si>
    <t>409.05.04.00.00.00.00.00.00</t>
  </si>
  <si>
    <t>Kerjasama Jasa Air Kapal</t>
  </si>
  <si>
    <t>409.05.05.00.00.00.00.00.00</t>
  </si>
  <si>
    <t>Kerjasama Jasa Cold Processing / Ikan</t>
  </si>
  <si>
    <t>409.05.06.00.00.00.00.00.00</t>
  </si>
  <si>
    <t>Kerjasama Bunker BBM</t>
  </si>
  <si>
    <t>409.05.07.00.00.00.00.00.00</t>
  </si>
  <si>
    <t>Kerjasama Jasa Dock/Galangan</t>
  </si>
  <si>
    <t>409.05.08.00.00.00.00.00.00</t>
  </si>
  <si>
    <t>Kerjasama Jasa Dermaga Ikan</t>
  </si>
  <si>
    <t>409.05.09.00.00.00.00.00.00</t>
  </si>
  <si>
    <t>Kerjasama Jasa CPO/Bungkil/Minyak Goreng</t>
  </si>
  <si>
    <t>Ton / Liter</t>
  </si>
  <si>
    <t>409.05.10.00.00.00.00.00.00</t>
  </si>
  <si>
    <t>Kerjasama Jasa Penumpukan</t>
  </si>
  <si>
    <t>409.05.11.00.00.00.00.00.00</t>
  </si>
  <si>
    <t>Kerjasama Jasa SPBU</t>
  </si>
  <si>
    <t>409.05.12.00.00.00.00.00.00</t>
  </si>
  <si>
    <t>Kerjasama Jasa Taksi / Angkutan Penumpang</t>
  </si>
  <si>
    <t>409.05.14.00.00.00.00.00.00</t>
  </si>
  <si>
    <t>Kerjasama Pemeliharaan Fasilitas Pelabuhan</t>
  </si>
  <si>
    <t>409.06.00.00.00.00.00.00.00</t>
  </si>
  <si>
    <t>Fee For Service</t>
  </si>
  <si>
    <t>409.07.00.00.00.00.00.00.00</t>
  </si>
  <si>
    <t>Different Monthly Salary</t>
  </si>
  <si>
    <t>409.08.06.07.00.00.00.00.00</t>
  </si>
  <si>
    <t>Oil Spill Response</t>
  </si>
  <si>
    <t>409.09.01.00.00.00.00.00.00</t>
  </si>
  <si>
    <t>Fuel Surcharge</t>
  </si>
  <si>
    <t>Ltr.Jam</t>
  </si>
  <si>
    <t>Ltr.Grk</t>
  </si>
  <si>
    <t>409.99.00.00.00.00.00.00.00</t>
  </si>
  <si>
    <t>Rupa-rupa lainnya</t>
  </si>
  <si>
    <t>PELAYANAN FORWARDING</t>
  </si>
  <si>
    <t>410.01.00.00.00.00.00.00.00</t>
  </si>
  <si>
    <t>Pemeriksaan Karantina</t>
  </si>
  <si>
    <t>410.02.00.00.00.00.00.00.00</t>
  </si>
  <si>
    <t>Pengurusan Dokumen</t>
  </si>
  <si>
    <t>Bendel</t>
  </si>
  <si>
    <t>410.03.00.00.00.00.00.00.00</t>
  </si>
  <si>
    <t>Intermoda</t>
  </si>
  <si>
    <t>410.04.00.00.00.00.00.00.00</t>
  </si>
  <si>
    <t>Transit</t>
  </si>
  <si>
    <t>410.05.00.00.00.00.00.00.00</t>
  </si>
  <si>
    <t xml:space="preserve">Trucking </t>
  </si>
  <si>
    <t>PELABUHAN KHUSUS/TUKS</t>
  </si>
  <si>
    <t>411.01.00.00.00.00.00.00.00</t>
  </si>
  <si>
    <t>411.02.00.00.00.00.00.00.00</t>
  </si>
  <si>
    <t>Pemanduan</t>
  </si>
  <si>
    <t>411.03.00.00.00.00.00.00.00</t>
  </si>
  <si>
    <t>Penundaan</t>
  </si>
  <si>
    <t>411.04.00.00.00.00.00.00.00</t>
  </si>
  <si>
    <t>411.05.00.00.00.00.00.00.00</t>
  </si>
  <si>
    <t>411.06.00.00.00.00.00.00.00</t>
  </si>
  <si>
    <t>Kerjasama pelayanan bongkar muat</t>
  </si>
  <si>
    <t>MARINE SERVICES</t>
  </si>
  <si>
    <t>Shipping</t>
  </si>
  <si>
    <t>412.01.01.00.00.00.00.00.00</t>
  </si>
  <si>
    <t>Keagenan</t>
  </si>
  <si>
    <t>412.01.02.00.00.00.00.00.00</t>
  </si>
  <si>
    <t>Yacht services</t>
  </si>
  <si>
    <t>Pilotage</t>
  </si>
  <si>
    <t>412.02.01.00.00.00.00.00.00</t>
  </si>
  <si>
    <t>Ls</t>
  </si>
  <si>
    <t>412.02.02.00.00.00.00.00.00</t>
  </si>
  <si>
    <t>412.02.03.00.00.00.00.00.00</t>
  </si>
  <si>
    <t>Jasa SBPP</t>
  </si>
  <si>
    <t>Unit Bulan</t>
  </si>
  <si>
    <t>Tug dan Assist</t>
  </si>
  <si>
    <t>412.03.01.00.00.00.00.00.00</t>
  </si>
  <si>
    <t>Assist Tug</t>
  </si>
  <si>
    <t>412.03.02.00.00.00.00.00.00</t>
  </si>
  <si>
    <t>Towing</t>
  </si>
  <si>
    <t>Various Ship Provider</t>
  </si>
  <si>
    <t>412.04.01.00.00.00.00.00.00</t>
  </si>
  <si>
    <t>Crew / Passanger Transport</t>
  </si>
  <si>
    <t>412.04.02.00.00.00.00.00.00</t>
  </si>
  <si>
    <t>Cruise Ship Provider (Artama)</t>
  </si>
  <si>
    <t>Various Ship Provider Lainnya</t>
  </si>
  <si>
    <t>412.04.03.01.00.00.00.00.00</t>
  </si>
  <si>
    <t>Alat Keruk</t>
  </si>
  <si>
    <t>412.04.03.02.00.00.00.00.00</t>
  </si>
  <si>
    <t>AHTS / Supply Vessel</t>
  </si>
  <si>
    <t>Docking Facility</t>
  </si>
  <si>
    <t>412.05.01.00.00.00.00.00.00</t>
  </si>
  <si>
    <t>Bengkel / Workshop</t>
  </si>
  <si>
    <t>412.05.02.00.00.00.00.00.00</t>
  </si>
  <si>
    <t>Fasilitas Lainnya</t>
  </si>
  <si>
    <t>Marine Logistik</t>
  </si>
  <si>
    <t>412.06.01.00.00.00.00.00.00</t>
  </si>
  <si>
    <t>Perbekalan BBM</t>
  </si>
  <si>
    <t>KL</t>
  </si>
  <si>
    <t>412.06.02.00.00.00.00.00.00</t>
  </si>
  <si>
    <t>Air Bersih (Fresh Water)</t>
  </si>
  <si>
    <t>412.06.03.01.00.00.00.00.00</t>
  </si>
  <si>
    <t>Listrik Kapal</t>
  </si>
  <si>
    <t>Kwh</t>
  </si>
  <si>
    <t>412.06.03.02.00.00.00.00.00</t>
  </si>
  <si>
    <t>Marine Power Supply</t>
  </si>
  <si>
    <t>KVA</t>
  </si>
  <si>
    <t>412.06.04.00.00.00.00.00.00</t>
  </si>
  <si>
    <t>Logistic, Distribusi Dan Terminal Energi Barang Pertambangan, Minyak Bumi dan Gas</t>
  </si>
  <si>
    <t>412.06.05.00.00.00.00.00.00</t>
  </si>
  <si>
    <t>Transportasi Dan Distribusi Barang Pertambangan, Minyak Bumi dan Gas</t>
  </si>
  <si>
    <t>Other Marine Service</t>
  </si>
  <si>
    <t>412.07.01.00.00.00.00.00.00</t>
  </si>
  <si>
    <t>Pemeliharaan Kolam Pelabuhan Dan Alur Pelayaran</t>
  </si>
  <si>
    <t>412.07.02.00.00.00.00.00.00</t>
  </si>
  <si>
    <t xml:space="preserve">Salvage </t>
  </si>
  <si>
    <t>412.07.03.00.00.00.00.00.00</t>
  </si>
  <si>
    <t>Pengembangan dan Pengelolaan Alur Pelayaran</t>
  </si>
  <si>
    <t>412.07.04.00.00.00.00.00.00</t>
  </si>
  <si>
    <t>Reception Facility</t>
  </si>
  <si>
    <t>Liter</t>
  </si>
  <si>
    <t>412.07.05.00.00.00.00.00.00</t>
  </si>
  <si>
    <t>Pendidikan Dan Pelatihan</t>
  </si>
  <si>
    <t>412.07.06.00.00.00.00.00.00</t>
  </si>
  <si>
    <t>Jasa Other Marine 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</si>
</sst>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color rgb="FFFFFFFF"/>
      <name val="Calibri"/>
    </font>
    <font>
      <color theme="1"/>
      <name val="Calibri"/>
    </font>
    <font>
      <b/>
      <sz val="12.0"/>
      <color theme="1"/>
      <name val="Calibri"/>
    </font>
    <font/>
    <font>
      <b/>
      <sz val="11.0"/>
      <color theme="0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Arial"/>
    </font>
    <font>
      <sz val="11.0"/>
      <color rgb="FF000000"/>
      <name val="Calibri"/>
    </font>
    <font>
      <b/>
      <sz val="14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4A86E8"/>
        <bgColor rgb="FF4A86E8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</fills>
  <borders count="29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quotePrefix="1" borderId="0" fillId="0" fontId="1" numFmtId="49" xfId="0" applyFont="1" applyNumberFormat="1"/>
    <xf borderId="0" fillId="0" fontId="5" numFmtId="0" xfId="0" applyFont="1"/>
    <xf borderId="0" fillId="0" fontId="1" numFmtId="0" xfId="0" applyFont="1"/>
    <xf borderId="0" fillId="0" fontId="1" numFmtId="49" xfId="0" applyFont="1" applyNumberFormat="1"/>
    <xf borderId="0" fillId="0" fontId="1" numFmtId="0" xfId="0" applyFont="1"/>
    <xf borderId="1" fillId="2" fontId="6" numFmtId="0" xfId="0" applyAlignment="1" applyBorder="1" applyFill="1" applyFont="1">
      <alignment horizontal="center" vertical="center"/>
    </xf>
    <xf borderId="2" fillId="0" fontId="7" numFmtId="0" xfId="0" applyBorder="1" applyFont="1"/>
    <xf borderId="0" fillId="0" fontId="1" numFmtId="1" xfId="0" applyFont="1" applyNumberFormat="1"/>
    <xf borderId="1" fillId="3" fontId="8" numFmtId="0" xfId="0" applyAlignment="1" applyBorder="1" applyFill="1" applyFont="1">
      <alignment horizontal="right"/>
    </xf>
    <xf borderId="0" fillId="0" fontId="1" numFmtId="0" xfId="0" applyAlignment="1" applyFont="1">
      <alignment horizontal="left"/>
    </xf>
    <xf borderId="0" fillId="0" fontId="9" numFmtId="0" xfId="0" applyFont="1"/>
    <xf borderId="0" fillId="0" fontId="10" numFmtId="0" xfId="0" applyFont="1"/>
    <xf borderId="3" fillId="4" fontId="1" numFmtId="1" xfId="0" applyAlignment="1" applyBorder="1" applyFill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3" fillId="4" fontId="1" numFmtId="0" xfId="0" applyAlignment="1" applyBorder="1" applyFont="1">
      <alignment horizontal="center" shrinkToFit="0" vertical="center" wrapText="1"/>
    </xf>
    <xf borderId="4" fillId="4" fontId="1" numFmtId="1" xfId="0" applyAlignment="1" applyBorder="1" applyFont="1" applyNumberForma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4" fontId="1" numFmtId="1" xfId="0" applyAlignment="1" applyBorder="1" applyFont="1" applyNumberFormat="1">
      <alignment horizontal="center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7" fillId="0" fontId="7" numFmtId="0" xfId="0" applyBorder="1" applyFont="1"/>
    <xf borderId="14" fillId="4" fontId="1" numFmtId="0" xfId="0" applyAlignment="1" applyBorder="1" applyFont="1">
      <alignment horizontal="center" shrinkToFit="0" vertical="center" wrapText="1"/>
    </xf>
    <xf borderId="18" fillId="4" fontId="1" numFmtId="1" xfId="0" applyAlignment="1" applyBorder="1" applyFont="1" applyNumberFormat="1">
      <alignment horizontal="center" shrinkToFit="0" vertical="center" wrapText="1"/>
    </xf>
    <xf borderId="19" fillId="0" fontId="7" numFmtId="0" xfId="0" applyBorder="1" applyFont="1"/>
    <xf borderId="20" fillId="0" fontId="7" numFmtId="0" xfId="0" applyBorder="1" applyFont="1"/>
    <xf borderId="21" fillId="4" fontId="1" numFmtId="1" xfId="0" applyAlignment="1" applyBorder="1" applyFont="1" applyNumberFormat="1">
      <alignment horizontal="center" shrinkToFit="0" vertical="center" wrapText="1"/>
    </xf>
    <xf borderId="14" fillId="0" fontId="1" numFmtId="1" xfId="0" applyAlignment="1" applyBorder="1" applyFont="1" applyNumberFormat="1">
      <alignment horizontal="left" vertical="center"/>
    </xf>
    <xf borderId="15" fillId="0" fontId="1" numFmtId="1" xfId="0" applyAlignment="1" applyBorder="1" applyFont="1" applyNumberFormat="1">
      <alignment vertical="center"/>
    </xf>
    <xf borderId="16" fillId="0" fontId="11" numFmtId="0" xfId="0" applyBorder="1" applyFont="1"/>
    <xf borderId="17" fillId="0" fontId="11" numFmtId="0" xfId="0" applyBorder="1" applyFont="1"/>
    <xf borderId="15" fillId="0" fontId="1" numFmtId="0" xfId="0" applyAlignment="1" applyBorder="1" applyFont="1">
      <alignment shrinkToFit="0" vertical="center" wrapText="1"/>
    </xf>
    <xf borderId="14" fillId="0" fontId="1" numFmtId="4" xfId="0" applyBorder="1" applyFont="1" applyNumberFormat="1"/>
    <xf borderId="14" fillId="0" fontId="1" numFmtId="1" xfId="0" applyAlignment="1" applyBorder="1" applyFont="1" applyNumberFormat="1">
      <alignment horizontal="center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4" fillId="5" fontId="1" numFmtId="4" xfId="0" applyAlignment="1" applyBorder="1" applyFill="1" applyFont="1" applyNumberFormat="1">
      <alignment horizontal="right" shrinkToFit="0" wrapText="1"/>
    </xf>
    <xf borderId="14" fillId="5" fontId="1" numFmtId="4" xfId="0" applyAlignment="1" applyBorder="1" applyFont="1" applyNumberFormat="1">
      <alignment horizontal="right" vertical="bottom"/>
    </xf>
    <xf borderId="14" fillId="5" fontId="1" numFmtId="4" xfId="0" applyAlignment="1" applyBorder="1" applyFont="1" applyNumberFormat="1">
      <alignment horizontal="right" shrinkToFit="0" vertical="bottom" wrapText="1"/>
    </xf>
    <xf borderId="14" fillId="5" fontId="1" numFmtId="4" xfId="0" applyAlignment="1" applyBorder="1" applyFont="1" applyNumberFormat="1">
      <alignment shrinkToFit="0" vertical="center" wrapText="1"/>
    </xf>
    <xf borderId="14" fillId="6" fontId="1" numFmtId="4" xfId="0" applyBorder="1" applyFill="1" applyFont="1" applyNumberFormat="1"/>
    <xf borderId="15" fillId="0" fontId="1" numFmtId="1" xfId="0" applyAlignment="1" applyBorder="1" applyFont="1" applyNumberFormat="1">
      <alignment horizontal="center" shrinkToFit="0" vertical="center" wrapText="1"/>
    </xf>
    <xf borderId="14" fillId="0" fontId="1" numFmtId="1" xfId="0" applyAlignment="1" applyBorder="1" applyFont="1" applyNumberFormat="1">
      <alignment horizontal="left" shrinkToFit="0" vertical="center" wrapText="1"/>
    </xf>
    <xf borderId="16" fillId="0" fontId="1" numFmtId="1" xfId="0" applyAlignment="1" applyBorder="1" applyFont="1" applyNumberFormat="1">
      <alignment horizontal="left" shrinkToFit="0" vertical="center" wrapText="1"/>
    </xf>
    <xf borderId="17" fillId="0" fontId="1" numFmtId="1" xfId="0" applyAlignment="1" applyBorder="1" applyFont="1" applyNumberFormat="1">
      <alignment horizontal="left" shrinkToFit="0" vertical="center" wrapText="1"/>
    </xf>
    <xf borderId="22" fillId="5" fontId="1" numFmtId="4" xfId="0" applyAlignment="1" applyBorder="1" applyFont="1" applyNumberFormat="1">
      <alignment horizontal="right" vertical="bottom"/>
    </xf>
    <xf borderId="22" fillId="5" fontId="1" numFmtId="4" xfId="0" applyAlignment="1" applyBorder="1" applyFont="1" applyNumberFormat="1">
      <alignment horizontal="right" shrinkToFit="0" vertical="bottom" wrapText="1"/>
    </xf>
    <xf borderId="14" fillId="5" fontId="1" numFmtId="4" xfId="0" applyBorder="1" applyFont="1" applyNumberFormat="1"/>
    <xf borderId="14" fillId="5" fontId="1" numFmtId="4" xfId="0" applyAlignment="1" applyBorder="1" applyFont="1" applyNumberFormat="1">
      <alignment vertical="bottom"/>
    </xf>
    <xf borderId="22" fillId="5" fontId="1" numFmtId="4" xfId="0" applyAlignment="1" applyBorder="1" applyFont="1" applyNumberFormat="1">
      <alignment vertical="bottom"/>
    </xf>
    <xf borderId="14" fillId="0" fontId="1" numFmtId="1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22" fillId="5" fontId="1" numFmtId="4" xfId="0" applyBorder="1" applyFont="1" applyNumberFormat="1"/>
    <xf borderId="15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left" shrinkToFit="0" vertical="center" wrapText="1"/>
    </xf>
    <xf borderId="16" fillId="0" fontId="1" numFmtId="1" xfId="0" applyAlignment="1" applyBorder="1" applyFont="1" applyNumberFormat="1">
      <alignment shrinkToFit="0" vertical="center" wrapText="1"/>
    </xf>
    <xf borderId="17" fillId="0" fontId="1" numFmtId="1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7" fillId="0" fontId="1" numFmtId="0" xfId="0" applyAlignment="1" applyBorder="1" applyFont="1">
      <alignment horizontal="left" shrinkToFit="0" vertical="center" wrapText="1"/>
    </xf>
    <xf borderId="14" fillId="5" fontId="1" numFmtId="4" xfId="0" applyAlignment="1" applyBorder="1" applyFont="1" applyNumberFormat="1">
      <alignment horizontal="right"/>
    </xf>
    <xf borderId="22" fillId="5" fontId="1" numFmtId="4" xfId="0" applyAlignment="1" applyBorder="1" applyFont="1" applyNumberFormat="1">
      <alignment horizontal="right"/>
    </xf>
    <xf borderId="15" fillId="0" fontId="1" numFmtId="1" xfId="0" applyAlignment="1" applyBorder="1" applyFont="1" applyNumberFormat="1">
      <alignment shrinkToFit="0" vertical="center" wrapText="1"/>
    </xf>
    <xf borderId="15" fillId="0" fontId="1" numFmtId="1" xfId="0" applyAlignment="1" applyBorder="1" applyFont="1" applyNumberForma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23" fillId="6" fontId="1" numFmtId="0" xfId="0" applyBorder="1" applyFont="1"/>
    <xf borderId="4" fillId="0" fontId="12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/>
    </xf>
    <xf borderId="12" fillId="0" fontId="1" numFmtId="1" xfId="0" applyAlignment="1" applyBorder="1" applyFont="1" applyNumberFormat="1">
      <alignment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shrinkToFit="0" vertical="center" wrapText="1"/>
    </xf>
    <xf borderId="5" fillId="0" fontId="1" numFmtId="1" xfId="0" applyAlignment="1" applyBorder="1" applyFont="1" applyNumberFormat="1">
      <alignment horizontal="center" shrinkToFit="0" vertical="center" wrapText="1"/>
    </xf>
    <xf borderId="16" fillId="0" fontId="1" numFmtId="1" xfId="0" applyAlignment="1" applyBorder="1" applyFont="1" applyNumberFormat="1">
      <alignment horizontal="center" shrinkToFit="0" vertical="center" wrapText="1"/>
    </xf>
    <xf borderId="14" fillId="0" fontId="1" numFmtId="1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center" shrinkToFit="0" vertical="center" wrapText="1"/>
    </xf>
    <xf borderId="15" fillId="0" fontId="3" numFmtId="1" xfId="0" applyAlignment="1" applyBorder="1" applyFont="1" applyNumberFormat="1">
      <alignment horizontal="center" vertical="center"/>
    </xf>
    <xf borderId="22" fillId="4" fontId="1" numFmtId="1" xfId="0" applyAlignment="1" applyBorder="1" applyFont="1" applyNumberFormat="1">
      <alignment horizontal="center" shrinkToFit="0" vertical="center" wrapText="1"/>
    </xf>
    <xf borderId="15" fillId="4" fontId="1" numFmtId="3" xfId="0" applyAlignment="1" applyBorder="1" applyFont="1" applyNumberFormat="1">
      <alignment horizontal="center" shrinkToFit="0" vertical="center" wrapText="1"/>
    </xf>
    <xf borderId="14" fillId="0" fontId="1" numFmtId="4" xfId="0" applyAlignment="1" applyBorder="1" applyFont="1" applyNumberFormat="1">
      <alignment horizontal="center" vertical="center"/>
    </xf>
    <xf borderId="15" fillId="0" fontId="1" numFmtId="1" xfId="0" applyAlignment="1" applyBorder="1" applyFont="1" applyNumberFormat="1">
      <alignment horizontal="left" shrinkToFit="0" vertical="top" wrapText="1"/>
    </xf>
    <xf borderId="15" fillId="0" fontId="1" numFmtId="0" xfId="0" applyAlignment="1" applyBorder="1" applyFont="1">
      <alignment horizontal="left" shrinkToFit="0" vertical="top" wrapText="1"/>
    </xf>
    <xf borderId="15" fillId="0" fontId="1" numFmtId="4" xfId="0" applyAlignment="1" applyBorder="1" applyFont="1" applyNumberFormat="1">
      <alignment horizontal="center" shrinkToFit="0" vertical="center" wrapText="1"/>
    </xf>
    <xf borderId="14" fillId="0" fontId="1" numFmtId="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vertical="bottom"/>
    </xf>
    <xf borderId="14" fillId="0" fontId="1" numFmtId="4" xfId="0" applyAlignment="1" applyBorder="1" applyFont="1" applyNumberFormat="1">
      <alignment shrinkToFit="0" vertical="center" wrapText="1"/>
    </xf>
    <xf borderId="14" fillId="0" fontId="1" numFmtId="4" xfId="0" applyAlignment="1" applyBorder="1" applyFont="1" applyNumberFormat="1">
      <alignment horizontal="right" vertical="center"/>
    </xf>
    <xf borderId="10" fillId="5" fontId="1" numFmtId="4" xfId="0" applyAlignment="1" applyBorder="1" applyFont="1" applyNumberFormat="1">
      <alignment vertical="bottom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horizontal="right" vertical="center"/>
    </xf>
    <xf borderId="0" fillId="0" fontId="13" numFmtId="0" xfId="0" applyFont="1"/>
    <xf borderId="0" fillId="0" fontId="13" numFmtId="164" xfId="0" applyAlignment="1" applyFont="1" applyNumberFormat="1">
      <alignment horizontal="center"/>
    </xf>
    <xf borderId="0" fillId="0" fontId="10" numFmtId="1" xfId="0" applyAlignment="1" applyFont="1" applyNumberFormat="1">
      <alignment horizontal="center" vertical="center"/>
    </xf>
    <xf borderId="0" fillId="0" fontId="10" numFmtId="4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1" numFmtId="4" xfId="0" applyFont="1" applyNumberFormat="1"/>
    <xf borderId="14" fillId="0" fontId="1" numFmtId="4" xfId="0" applyAlignment="1" applyBorder="1" applyFont="1" applyNumberFormat="1">
      <alignment horizontal="center" shrinkToFit="0" vertical="center" wrapText="1"/>
    </xf>
    <xf borderId="14" fillId="6" fontId="1" numFmtId="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shrinkToFit="0" vertical="center" wrapText="1"/>
    </xf>
    <xf borderId="0" fillId="0" fontId="11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shrinkToFit="0" vertical="center" wrapText="1"/>
    </xf>
    <xf borderId="0" fillId="0" fontId="1" numFmtId="4" xfId="0" applyAlignment="1" applyFont="1" applyNumberFormat="1">
      <alignment horizontal="left" shrinkToFit="0" vertical="center" wrapText="1"/>
    </xf>
    <xf borderId="10" fillId="0" fontId="1" numFmtId="1" xfId="0" applyAlignment="1" applyBorder="1" applyFont="1" applyNumberFormat="1">
      <alignment horizontal="center" shrinkToFit="0" vertical="center" wrapText="1"/>
    </xf>
    <xf borderId="11" fillId="0" fontId="1" numFmtId="1" xfId="0" applyAlignment="1" applyBorder="1" applyFont="1" applyNumberFormat="1">
      <alignment horizontal="center" shrinkToFit="0" vertical="center" wrapText="1"/>
    </xf>
    <xf borderId="14" fillId="0" fontId="12" numFmtId="1" xfId="0" applyAlignment="1" applyBorder="1" applyFont="1" applyNumberFormat="1">
      <alignment horizontal="center" shrinkToFit="0" vertical="center" wrapText="1"/>
    </xf>
    <xf borderId="10" fillId="0" fontId="12" numFmtId="1" xfId="0" applyAlignment="1" applyBorder="1" applyFont="1" applyNumberFormat="1">
      <alignment horizontal="center" shrinkToFit="0" vertical="center" wrapText="1"/>
    </xf>
    <xf borderId="13" fillId="0" fontId="12" numFmtId="1" xfId="0" applyAlignment="1" applyBorder="1" applyFont="1" applyNumberFormat="1">
      <alignment horizontal="center" shrinkToFit="0" vertical="center" wrapText="1"/>
    </xf>
    <xf borderId="14" fillId="5" fontId="1" numFmtId="3" xfId="0" applyAlignment="1" applyBorder="1" applyFont="1" applyNumberFormat="1">
      <alignment horizontal="right" shrinkToFit="0" vertical="bottom" wrapText="1"/>
    </xf>
    <xf borderId="14" fillId="5" fontId="1" numFmtId="3" xfId="0" applyAlignment="1" applyBorder="1" applyFont="1" applyNumberFormat="1">
      <alignment horizontal="right" shrinkToFit="0" wrapText="1"/>
    </xf>
    <xf borderId="14" fillId="5" fontId="1" numFmtId="4" xfId="0" applyAlignment="1" applyBorder="1" applyFont="1" applyNumberFormat="1">
      <alignment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left"/>
    </xf>
    <xf borderId="25" fillId="0" fontId="1" numFmtId="0" xfId="0" applyAlignment="1" applyBorder="1" applyFont="1">
      <alignment horizontal="left"/>
    </xf>
    <xf borderId="24" fillId="0" fontId="1" numFmtId="0" xfId="0" applyBorder="1" applyFont="1"/>
    <xf borderId="25" fillId="0" fontId="1" numFmtId="0" xfId="0" applyBorder="1" applyFont="1"/>
    <xf borderId="14" fillId="5" fontId="1" numFmtId="3" xfId="0" applyAlignment="1" applyBorder="1" applyFont="1" applyNumberFormat="1">
      <alignment shrinkToFit="0" vertical="center" wrapText="1"/>
    </xf>
    <xf borderId="3" fillId="0" fontId="1" numFmtId="1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center"/>
    </xf>
    <xf borderId="15" fillId="0" fontId="3" numFmtId="0" xfId="0" applyBorder="1" applyFont="1"/>
    <xf borderId="16" fillId="0" fontId="1" numFmtId="0" xfId="0" applyBorder="1" applyFont="1"/>
    <xf borderId="17" fillId="0" fontId="1" numFmtId="0" xfId="0" applyBorder="1" applyFont="1"/>
    <xf borderId="14" fillId="0" fontId="1" numFmtId="0" xfId="0" applyBorder="1" applyFont="1"/>
    <xf borderId="17" fillId="0" fontId="1" numFmtId="4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/>
    </xf>
    <xf borderId="26" fillId="5" fontId="1" numFmtId="4" xfId="0" applyAlignment="1" applyBorder="1" applyFont="1" applyNumberFormat="1">
      <alignment shrinkToFit="0" vertical="center" wrapText="1"/>
    </xf>
    <xf borderId="26" fillId="5" fontId="1" numFmtId="4" xfId="0" applyAlignment="1" applyBorder="1" applyFont="1" applyNumberFormat="1">
      <alignment horizontal="right" shrinkToFit="0" wrapText="1"/>
    </xf>
    <xf borderId="26" fillId="5" fontId="1" numFmtId="4" xfId="0" applyAlignment="1" applyBorder="1" applyFont="1" applyNumberFormat="1">
      <alignment horizontal="right" vertical="bottom"/>
    </xf>
    <xf borderId="26" fillId="5" fontId="1" numFmtId="4" xfId="0" applyAlignment="1" applyBorder="1" applyFont="1" applyNumberFormat="1">
      <alignment horizontal="right" shrinkToFit="0" vertical="bottom" wrapText="1"/>
    </xf>
    <xf borderId="17" fillId="5" fontId="1" numFmtId="4" xfId="0" applyAlignment="1" applyBorder="1" applyFont="1" applyNumberFormat="1">
      <alignment horizontal="right" vertical="bottom"/>
    </xf>
    <xf borderId="27" fillId="5" fontId="1" numFmtId="4" xfId="0" applyAlignment="1" applyBorder="1" applyFont="1" applyNumberFormat="1">
      <alignment horizontal="right" vertical="bottom"/>
    </xf>
    <xf borderId="13" fillId="5" fontId="1" numFmtId="4" xfId="0" applyAlignment="1" applyBorder="1" applyFont="1" applyNumberFormat="1">
      <alignment horizontal="right" vertical="bottom"/>
    </xf>
    <xf borderId="26" fillId="5" fontId="1" numFmtId="4" xfId="0" applyAlignment="1" applyBorder="1" applyFont="1" applyNumberFormat="1">
      <alignment horizontal="right" shrinkToFit="0" vertical="center" wrapText="1"/>
    </xf>
    <xf borderId="15" fillId="0" fontId="1" numFmtId="0" xfId="0" applyBorder="1" applyFont="1"/>
    <xf borderId="14" fillId="0" fontId="3" numFmtId="1" xfId="0" applyAlignment="1" applyBorder="1" applyFont="1" applyNumberFormat="1">
      <alignment horizontal="center" shrinkToFit="0" vertical="center" wrapText="1"/>
    </xf>
    <xf borderId="15" fillId="0" fontId="3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center"/>
    </xf>
    <xf borderId="23" fillId="7" fontId="1" numFmtId="0" xfId="0" applyBorder="1" applyFill="1" applyFont="1"/>
    <xf borderId="26" fillId="5" fontId="1" numFmtId="3" xfId="0" applyAlignment="1" applyBorder="1" applyFont="1" applyNumberFormat="1">
      <alignment horizontal="right"/>
    </xf>
    <xf borderId="17" fillId="5" fontId="1" numFmtId="3" xfId="0" applyAlignment="1" applyBorder="1" applyFont="1" applyNumberFormat="1">
      <alignment horizontal="right" vertical="bottom"/>
    </xf>
    <xf borderId="26" fillId="5" fontId="1" numFmtId="4" xfId="0" applyAlignment="1" applyBorder="1" applyFont="1" applyNumberFormat="1">
      <alignment vertical="bottom"/>
    </xf>
    <xf borderId="26" fillId="5" fontId="1" numFmtId="4" xfId="0" applyBorder="1" applyFont="1" applyNumberFormat="1"/>
    <xf borderId="22" fillId="5" fontId="1" numFmtId="3" xfId="0" applyBorder="1" applyFont="1" applyNumberFormat="1"/>
    <xf borderId="26" fillId="5" fontId="1" numFmtId="4" xfId="0" applyAlignment="1" applyBorder="1" applyFont="1" applyNumberFormat="1">
      <alignment horizontal="right"/>
    </xf>
    <xf borderId="26" fillId="5" fontId="1" numFmtId="3" xfId="0" applyAlignment="1" applyBorder="1" applyFont="1" applyNumberFormat="1">
      <alignment horizontal="right" shrinkToFit="0" wrapText="1"/>
    </xf>
    <xf borderId="26" fillId="5" fontId="1" numFmtId="3" xfId="0" applyAlignment="1" applyBorder="1" applyFont="1" applyNumberFormat="1">
      <alignment horizontal="right" shrinkToFit="0" vertical="bottom" wrapText="1"/>
    </xf>
    <xf borderId="26" fillId="5" fontId="1" numFmtId="4" xfId="0" applyAlignment="1" applyBorder="1" applyFont="1" applyNumberFormat="1">
      <alignment readingOrder="0" shrinkToFit="0" vertical="center" wrapText="1"/>
    </xf>
    <xf borderId="14" fillId="0" fontId="1" numFmtId="3" xfId="0" applyAlignment="1" applyBorder="1" applyFont="1" applyNumberFormat="1">
      <alignment vertical="bottom"/>
    </xf>
    <xf borderId="17" fillId="5" fontId="12" numFmtId="4" xfId="0" applyAlignment="1" applyBorder="1" applyFont="1" applyNumberFormat="1">
      <alignment horizontal="right"/>
    </xf>
    <xf borderId="26" fillId="5" fontId="1" numFmtId="3" xfId="0" applyAlignment="1" applyBorder="1" applyFont="1" applyNumberFormat="1">
      <alignment shrinkToFit="0" vertical="center" wrapText="1"/>
    </xf>
    <xf borderId="26" fillId="5" fontId="1" numFmtId="3" xfId="0" applyAlignment="1" applyBorder="1" applyFont="1" applyNumberFormat="1">
      <alignment vertical="bottom"/>
    </xf>
    <xf borderId="26" fillId="5" fontId="1" numFmtId="3" xfId="0" applyBorder="1" applyFont="1" applyNumberFormat="1"/>
    <xf borderId="13" fillId="5" fontId="1" numFmtId="3" xfId="0" applyAlignment="1" applyBorder="1" applyFont="1" applyNumberFormat="1">
      <alignment horizontal="right" vertical="bottom"/>
    </xf>
    <xf borderId="16" fillId="0" fontId="1" numFmtId="0" xfId="0" applyAlignment="1" applyBorder="1" applyFont="1">
      <alignment horizontal="left"/>
    </xf>
    <xf borderId="3" fillId="0" fontId="1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5" fillId="0" fontId="1" numFmtId="0" xfId="0" applyBorder="1" applyFont="1"/>
    <xf borderId="6" fillId="0" fontId="1" numFmtId="0" xfId="0" applyBorder="1" applyFont="1"/>
    <xf borderId="28" fillId="5" fontId="1" numFmtId="4" xfId="0" applyAlignment="1" applyBorder="1" applyFont="1" applyNumberFormat="1">
      <alignment shrinkToFit="0" vertical="center" wrapText="1"/>
    </xf>
    <xf borderId="21" fillId="6" fontId="1" numFmtId="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9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Sheet1-style 2">
      <tableStyleElement dxfId="1" type="headerRow"/>
      <tableStyleElement dxfId="2" type="firstRowStripe"/>
      <tableStyleElement dxfId="2" type="secondRowStripe"/>
    </tableStyle>
    <tableStyle count="3" pivot="0" name="Sheet1-style 3">
      <tableStyleElement dxfId="1" type="headerRow"/>
      <tableStyleElement dxfId="2" type="firstRowStripe"/>
      <tableStyleElement dxfId="2" type="secondRowStripe"/>
    </tableStyle>
    <tableStyle count="3" pivot="0" name="Sheet1-style 4">
      <tableStyleElement dxfId="1" type="headerRow"/>
      <tableStyleElement dxfId="2" type="firstRowStripe"/>
      <tableStyleElement dxfId="2" type="secondRowStripe"/>
    </tableStyle>
    <tableStyle count="3" pivot="0" name="Sheet1-style 5">
      <tableStyleElement dxfId="1" type="headerRow"/>
      <tableStyleElement dxfId="2" type="firstRowStripe"/>
      <tableStyleElement dxfId="2" type="secondRowStripe"/>
    </tableStyle>
    <tableStyle count="3" pivot="0" name="Sheet1-style 6">
      <tableStyleElement dxfId="1" type="headerRow"/>
      <tableStyleElement dxfId="2" type="firstRowStripe"/>
      <tableStyleElement dxfId="2" type="secondRowStripe"/>
    </tableStyle>
    <tableStyle count="3" pivot="0" name="Sheet1-style 7">
      <tableStyleElement dxfId="1" type="headerRow"/>
      <tableStyleElement dxfId="2" type="firstRowStripe"/>
      <tableStyleElement dxfId="2" type="secondRowStripe"/>
    </tableStyle>
    <tableStyle count="3" pivot="0" name="Sheet1-style 8">
      <tableStyleElement dxfId="1" type="headerRow"/>
      <tableStyleElement dxfId="2" type="firstRowStripe"/>
      <tableStyleElement dxfId="2" type="secondRowStripe"/>
    </tableStyle>
    <tableStyle count="3" pivot="0" name="Sheet1-style 9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10" displayName="Table_1" name="Table_1" id="1">
  <tableColumns count="1">
    <tableColumn name="NM_REGIONAL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E2:E26" displayName="Table_2" name="Table_2" id="2">
  <tableColumns count="1">
    <tableColumn name="Regional.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H2:H31" displayName="Table_3" name="Table_3" id="3">
  <tableColumns count="1">
    <tableColumn name="Regional.2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K2:K43" displayName="Table_4" name="Table_4" id="4">
  <tableColumns count="1">
    <tableColumn name="Regional.3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N2:N39" displayName="Table_5" name="Table_5" id="5">
  <tableColumns count="1">
    <tableColumn name="Regional.4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Q2:Q38" displayName="Table_6" name="Table_6" id="6">
  <tableColumns count="1">
    <tableColumn name="SPTP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T2:T49" displayName="Table_7" name="Table_7" id="7">
  <tableColumns count="1">
    <tableColumn name="SPMT" id="1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W2:W63" displayName="Table_8" name="Table_8" id="8">
  <tableColumns count="1">
    <tableColumn name="SPJM" id="1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ref="Z2:Z48" displayName="Table_9" name="Table_9" id="9">
  <tableColumns count="1">
    <tableColumn name="SPSL" id="1"/>
  </tableColumns>
  <tableStyleInfo name="Sheet1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3.86"/>
    <col customWidth="1" min="3" max="3" width="9.43"/>
    <col customWidth="1" min="4" max="4" width="3.0"/>
    <col customWidth="1" min="5" max="5" width="34.14"/>
    <col customWidth="1" min="6" max="6" width="8.86"/>
    <col customWidth="1" min="7" max="7" width="3.0"/>
    <col customWidth="1" min="8" max="8" width="24.0"/>
    <col customWidth="1" min="9" max="9" width="8.86"/>
    <col customWidth="1" min="10" max="10" width="4.0"/>
    <col customWidth="1" min="11" max="11" width="26.43"/>
    <col customWidth="1" min="12" max="12" width="8.86"/>
    <col customWidth="1" min="13" max="13" width="3.0"/>
    <col customWidth="1" min="14" max="14" width="29.14"/>
    <col customWidth="1" min="15" max="15" width="8.86"/>
    <col customWidth="1" min="16" max="16" width="3.0"/>
    <col customWidth="1" min="17" max="17" width="22.29"/>
    <col customWidth="1" min="18" max="18" width="7.57"/>
    <col customWidth="1" min="19" max="19" width="3.0"/>
    <col customWidth="1" min="20" max="20" width="24.14"/>
    <col customWidth="1" min="21" max="21" width="8.14"/>
    <col customWidth="1" min="22" max="22" width="1.86"/>
    <col customWidth="1" min="23" max="23" width="43.71"/>
    <col customWidth="1" min="24" max="24" width="8.14"/>
    <col customWidth="1" min="25" max="25" width="3.14"/>
    <col customWidth="1" min="26" max="26" width="20.14"/>
    <col customWidth="1" min="27" max="27" width="8.14"/>
  </cols>
  <sheetData>
    <row r="1" ht="14.25" customHeight="1">
      <c r="D1" s="1"/>
      <c r="E1" s="1"/>
      <c r="F1" s="1"/>
      <c r="G1" s="1"/>
      <c r="H1" s="1"/>
    </row>
    <row r="2" ht="14.25" customHeight="1">
      <c r="A2" s="2" t="s">
        <v>0</v>
      </c>
      <c r="B2" s="3" t="s">
        <v>1</v>
      </c>
      <c r="C2" s="3" t="s">
        <v>2</v>
      </c>
      <c r="D2" s="3"/>
      <c r="E2" s="2" t="s">
        <v>3</v>
      </c>
      <c r="F2" s="3" t="s">
        <v>4</v>
      </c>
      <c r="G2" s="3"/>
      <c r="H2" s="2" t="s">
        <v>5</v>
      </c>
      <c r="I2" s="3" t="s">
        <v>6</v>
      </c>
      <c r="J2" s="3"/>
      <c r="K2" s="2" t="s">
        <v>7</v>
      </c>
      <c r="L2" s="3" t="s">
        <v>8</v>
      </c>
      <c r="M2" s="3"/>
      <c r="N2" s="2" t="s">
        <v>9</v>
      </c>
      <c r="O2" s="3" t="s">
        <v>10</v>
      </c>
      <c r="P2" s="3"/>
      <c r="Q2" s="4" t="s">
        <v>11</v>
      </c>
      <c r="R2" s="3" t="s">
        <v>12</v>
      </c>
      <c r="S2" s="3"/>
      <c r="T2" s="4" t="s">
        <v>13</v>
      </c>
      <c r="U2" s="3" t="s">
        <v>14</v>
      </c>
      <c r="W2" s="4" t="s">
        <v>15</v>
      </c>
      <c r="X2" s="3" t="s">
        <v>16</v>
      </c>
      <c r="Z2" s="4" t="s">
        <v>17</v>
      </c>
      <c r="AA2" s="3" t="s">
        <v>18</v>
      </c>
    </row>
    <row r="3" ht="14.25" customHeight="1">
      <c r="A3" s="5" t="s">
        <v>3</v>
      </c>
      <c r="B3" s="6" t="s">
        <v>19</v>
      </c>
      <c r="C3" s="6" t="s">
        <v>20</v>
      </c>
      <c r="E3" s="5" t="s">
        <v>21</v>
      </c>
      <c r="F3" s="7">
        <v>1.0</v>
      </c>
      <c r="H3" s="5" t="s">
        <v>22</v>
      </c>
      <c r="I3" s="7">
        <v>18.0</v>
      </c>
      <c r="K3" s="5" t="s">
        <v>23</v>
      </c>
      <c r="L3" s="8">
        <v>44.0</v>
      </c>
      <c r="M3" s="8"/>
      <c r="N3" s="5" t="s">
        <v>24</v>
      </c>
      <c r="O3" s="7">
        <v>77.0</v>
      </c>
      <c r="P3" s="8"/>
      <c r="Q3" s="5" t="s">
        <v>25</v>
      </c>
      <c r="R3" s="7">
        <v>110.0</v>
      </c>
      <c r="S3" s="8"/>
      <c r="T3" s="5" t="s">
        <v>26</v>
      </c>
      <c r="U3" s="7">
        <v>138.0</v>
      </c>
      <c r="W3" s="5" t="s">
        <v>27</v>
      </c>
      <c r="X3" s="7">
        <v>171.0</v>
      </c>
      <c r="Z3" s="5" t="s">
        <v>28</v>
      </c>
      <c r="AA3" s="7">
        <v>218.0</v>
      </c>
    </row>
    <row r="4" ht="14.25" customHeight="1">
      <c r="A4" s="5" t="s">
        <v>5</v>
      </c>
      <c r="B4" s="6" t="s">
        <v>29</v>
      </c>
      <c r="C4" s="6" t="s">
        <v>30</v>
      </c>
      <c r="E4" s="5" t="s">
        <v>31</v>
      </c>
      <c r="F4" s="7">
        <v>2.0</v>
      </c>
      <c r="H4" s="5" t="s">
        <v>32</v>
      </c>
      <c r="I4" s="7">
        <v>19.0</v>
      </c>
      <c r="K4" s="5" t="s">
        <v>33</v>
      </c>
      <c r="L4" s="8">
        <v>45.0</v>
      </c>
      <c r="M4" s="8"/>
      <c r="N4" s="5" t="s">
        <v>34</v>
      </c>
      <c r="O4" s="7">
        <v>78.0</v>
      </c>
      <c r="P4" s="8"/>
      <c r="Q4" s="5" t="s">
        <v>35</v>
      </c>
      <c r="R4" s="7">
        <v>111.0</v>
      </c>
      <c r="S4" s="8"/>
      <c r="T4" s="5" t="s">
        <v>21</v>
      </c>
      <c r="U4" s="7">
        <v>139.0</v>
      </c>
      <c r="W4" s="5" t="s">
        <v>36</v>
      </c>
      <c r="X4" s="7">
        <v>172.0</v>
      </c>
      <c r="Z4" s="5" t="s">
        <v>37</v>
      </c>
      <c r="AA4" s="7">
        <v>219.0</v>
      </c>
    </row>
    <row r="5" ht="14.25" customHeight="1">
      <c r="A5" s="5" t="s">
        <v>7</v>
      </c>
      <c r="B5" s="6" t="s">
        <v>38</v>
      </c>
      <c r="C5" s="6" t="s">
        <v>39</v>
      </c>
      <c r="E5" s="5" t="s">
        <v>40</v>
      </c>
      <c r="F5" s="7">
        <v>3.0</v>
      </c>
      <c r="H5" s="5" t="s">
        <v>41</v>
      </c>
      <c r="I5" s="7">
        <v>20.0</v>
      </c>
      <c r="K5" s="5" t="s">
        <v>42</v>
      </c>
      <c r="L5" s="8">
        <v>46.0</v>
      </c>
      <c r="M5" s="8"/>
      <c r="N5" s="5" t="s">
        <v>43</v>
      </c>
      <c r="O5" s="7">
        <v>79.0</v>
      </c>
      <c r="P5" s="8"/>
      <c r="Q5" s="5" t="s">
        <v>44</v>
      </c>
      <c r="R5" s="7">
        <v>112.0</v>
      </c>
      <c r="S5" s="8"/>
      <c r="T5" s="5" t="s">
        <v>45</v>
      </c>
      <c r="U5" s="7">
        <v>140.0</v>
      </c>
      <c r="W5" s="5" t="s">
        <v>46</v>
      </c>
      <c r="X5" s="7">
        <v>173.0</v>
      </c>
      <c r="Z5" s="5" t="s">
        <v>47</v>
      </c>
      <c r="AA5" s="7">
        <v>220.0</v>
      </c>
    </row>
    <row r="6" ht="14.25" customHeight="1">
      <c r="A6" s="5" t="s">
        <v>9</v>
      </c>
      <c r="B6" s="6" t="s">
        <v>48</v>
      </c>
      <c r="C6" s="6" t="s">
        <v>49</v>
      </c>
      <c r="E6" s="5" t="s">
        <v>26</v>
      </c>
      <c r="F6" s="7">
        <v>4.0</v>
      </c>
      <c r="H6" s="5" t="s">
        <v>50</v>
      </c>
      <c r="I6" s="7">
        <v>21.0</v>
      </c>
      <c r="K6" s="5" t="s">
        <v>51</v>
      </c>
      <c r="L6" s="8">
        <v>47.0</v>
      </c>
      <c r="M6" s="8"/>
      <c r="N6" s="5" t="s">
        <v>52</v>
      </c>
      <c r="O6" s="7">
        <v>80.0</v>
      </c>
      <c r="P6" s="8"/>
      <c r="Q6" s="5" t="s">
        <v>53</v>
      </c>
      <c r="R6" s="7">
        <v>113.0</v>
      </c>
      <c r="S6" s="8"/>
      <c r="T6" s="5" t="s">
        <v>54</v>
      </c>
      <c r="U6" s="7">
        <v>141.0</v>
      </c>
      <c r="W6" s="5" t="s">
        <v>55</v>
      </c>
      <c r="X6" s="7">
        <v>174.0</v>
      </c>
      <c r="Z6" s="5" t="s">
        <v>56</v>
      </c>
      <c r="AA6" s="7">
        <v>221.0</v>
      </c>
    </row>
    <row r="7" ht="14.25" customHeight="1">
      <c r="A7" s="5" t="s">
        <v>11</v>
      </c>
      <c r="B7" s="6" t="s">
        <v>57</v>
      </c>
      <c r="C7" s="1" t="s">
        <v>11</v>
      </c>
      <c r="E7" s="5" t="s">
        <v>58</v>
      </c>
      <c r="F7" s="7">
        <v>5.0</v>
      </c>
      <c r="H7" s="5" t="s">
        <v>59</v>
      </c>
      <c r="I7" s="7">
        <v>22.0</v>
      </c>
      <c r="K7" s="5" t="s">
        <v>60</v>
      </c>
      <c r="L7" s="8">
        <v>48.0</v>
      </c>
      <c r="M7" s="8"/>
      <c r="N7" s="5" t="s">
        <v>61</v>
      </c>
      <c r="O7" s="7">
        <v>81.0</v>
      </c>
      <c r="P7" s="8"/>
      <c r="Q7" s="5" t="s">
        <v>62</v>
      </c>
      <c r="R7" s="7">
        <v>114.0</v>
      </c>
      <c r="S7" s="8"/>
      <c r="T7" s="5" t="s">
        <v>63</v>
      </c>
      <c r="U7" s="7">
        <v>142.0</v>
      </c>
      <c r="W7" s="5" t="s">
        <v>64</v>
      </c>
      <c r="X7" s="7">
        <v>175.0</v>
      </c>
      <c r="Z7" s="5" t="s">
        <v>65</v>
      </c>
      <c r="AA7" s="7">
        <v>222.0</v>
      </c>
    </row>
    <row r="8" ht="14.25" customHeight="1">
      <c r="A8" s="9" t="s">
        <v>13</v>
      </c>
      <c r="B8" s="6" t="s">
        <v>66</v>
      </c>
      <c r="C8" s="1" t="s">
        <v>13</v>
      </c>
      <c r="E8" s="5" t="s">
        <v>67</v>
      </c>
      <c r="F8" s="7">
        <v>6.0</v>
      </c>
      <c r="H8" s="5" t="s">
        <v>68</v>
      </c>
      <c r="I8" s="7">
        <v>23.0</v>
      </c>
      <c r="K8" s="5" t="s">
        <v>69</v>
      </c>
      <c r="L8" s="8">
        <v>49.0</v>
      </c>
      <c r="M8" s="8"/>
      <c r="N8" s="5" t="s">
        <v>70</v>
      </c>
      <c r="O8" s="7">
        <v>82.0</v>
      </c>
      <c r="P8" s="8"/>
      <c r="Q8" s="5" t="s">
        <v>71</v>
      </c>
      <c r="R8" s="7">
        <v>115.0</v>
      </c>
      <c r="S8" s="8"/>
      <c r="T8" s="5" t="s">
        <v>72</v>
      </c>
      <c r="U8" s="7">
        <v>143.0</v>
      </c>
      <c r="W8" s="5" t="s">
        <v>73</v>
      </c>
      <c r="X8" s="7">
        <v>176.0</v>
      </c>
      <c r="Z8" s="5" t="s">
        <v>74</v>
      </c>
      <c r="AA8" s="7">
        <v>223.0</v>
      </c>
    </row>
    <row r="9" ht="14.25" customHeight="1">
      <c r="A9" s="5" t="s">
        <v>15</v>
      </c>
      <c r="B9" s="6" t="s">
        <v>75</v>
      </c>
      <c r="C9" s="1" t="s">
        <v>15</v>
      </c>
      <c r="E9" s="5" t="s">
        <v>76</v>
      </c>
      <c r="F9" s="7">
        <v>7.0</v>
      </c>
      <c r="H9" s="5" t="s">
        <v>77</v>
      </c>
      <c r="I9" s="7">
        <v>24.0</v>
      </c>
      <c r="K9" s="5" t="s">
        <v>78</v>
      </c>
      <c r="L9" s="8">
        <v>50.0</v>
      </c>
      <c r="M9" s="8"/>
      <c r="N9" s="5" t="s">
        <v>79</v>
      </c>
      <c r="O9" s="7">
        <v>83.0</v>
      </c>
      <c r="P9" s="8"/>
      <c r="Q9" s="5" t="s">
        <v>80</v>
      </c>
      <c r="R9" s="7">
        <v>116.0</v>
      </c>
      <c r="S9" s="8"/>
      <c r="T9" s="5" t="s">
        <v>81</v>
      </c>
      <c r="U9" s="7">
        <v>144.0</v>
      </c>
      <c r="W9" s="5" t="s">
        <v>82</v>
      </c>
      <c r="X9" s="7">
        <v>177.0</v>
      </c>
      <c r="Z9" s="5" t="s">
        <v>83</v>
      </c>
      <c r="AA9" s="7">
        <v>224.0</v>
      </c>
    </row>
    <row r="10" ht="14.25" customHeight="1">
      <c r="A10" s="5" t="s">
        <v>17</v>
      </c>
      <c r="B10" s="6" t="s">
        <v>84</v>
      </c>
      <c r="C10" s="1" t="s">
        <v>17</v>
      </c>
      <c r="E10" s="5" t="s">
        <v>85</v>
      </c>
      <c r="F10" s="7">
        <v>8.0</v>
      </c>
      <c r="H10" s="5" t="s">
        <v>86</v>
      </c>
      <c r="I10" s="7">
        <v>25.0</v>
      </c>
      <c r="K10" s="5" t="s">
        <v>87</v>
      </c>
      <c r="L10" s="8">
        <v>51.0</v>
      </c>
      <c r="M10" s="8"/>
      <c r="N10" s="5" t="s">
        <v>88</v>
      </c>
      <c r="O10" s="7">
        <v>84.0</v>
      </c>
      <c r="P10" s="8"/>
      <c r="Q10" s="5" t="s">
        <v>89</v>
      </c>
      <c r="R10" s="7">
        <v>117.0</v>
      </c>
      <c r="S10" s="8"/>
      <c r="T10" s="5" t="s">
        <v>90</v>
      </c>
      <c r="U10" s="7">
        <v>145.0</v>
      </c>
      <c r="W10" s="5" t="s">
        <v>91</v>
      </c>
      <c r="X10" s="7">
        <v>178.0</v>
      </c>
      <c r="Z10" s="5" t="s">
        <v>92</v>
      </c>
      <c r="AA10" s="7">
        <v>225.0</v>
      </c>
    </row>
    <row r="11" ht="14.25" customHeight="1">
      <c r="E11" s="5" t="s">
        <v>93</v>
      </c>
      <c r="F11" s="7">
        <v>9.0</v>
      </c>
      <c r="H11" s="5" t="s">
        <v>94</v>
      </c>
      <c r="I11" s="7">
        <v>26.0</v>
      </c>
      <c r="K11" s="5" t="s">
        <v>95</v>
      </c>
      <c r="L11" s="8">
        <v>52.0</v>
      </c>
      <c r="M11" s="8"/>
      <c r="N11" s="5" t="s">
        <v>89</v>
      </c>
      <c r="O11" s="7">
        <v>85.0</v>
      </c>
      <c r="P11" s="8"/>
      <c r="Q11" s="5" t="s">
        <v>96</v>
      </c>
      <c r="R11" s="7">
        <v>118.0</v>
      </c>
      <c r="S11" s="8"/>
      <c r="T11" s="5" t="s">
        <v>97</v>
      </c>
      <c r="U11" s="7">
        <v>146.0</v>
      </c>
      <c r="W11" s="5" t="s">
        <v>98</v>
      </c>
      <c r="X11" s="7">
        <v>179.0</v>
      </c>
      <c r="Z11" s="5" t="s">
        <v>99</v>
      </c>
      <c r="AA11" s="7">
        <v>226.0</v>
      </c>
    </row>
    <row r="12" ht="14.25" customHeight="1">
      <c r="E12" s="5" t="s">
        <v>100</v>
      </c>
      <c r="F12" s="7">
        <v>10.0</v>
      </c>
      <c r="H12" s="5" t="s">
        <v>101</v>
      </c>
      <c r="I12" s="7">
        <v>27.0</v>
      </c>
      <c r="K12" s="5" t="s">
        <v>102</v>
      </c>
      <c r="L12" s="8">
        <v>53.0</v>
      </c>
      <c r="M12" s="8"/>
      <c r="N12" s="5" t="s">
        <v>103</v>
      </c>
      <c r="O12" s="7">
        <v>86.0</v>
      </c>
      <c r="P12" s="8"/>
      <c r="Q12" s="5" t="s">
        <v>104</v>
      </c>
      <c r="R12" s="7">
        <v>119.0</v>
      </c>
      <c r="S12" s="8"/>
      <c r="T12" s="5" t="s">
        <v>24</v>
      </c>
      <c r="U12" s="7">
        <v>147.0</v>
      </c>
      <c r="W12" s="5" t="s">
        <v>105</v>
      </c>
      <c r="X12" s="7">
        <v>180.0</v>
      </c>
      <c r="Z12" s="5" t="s">
        <v>106</v>
      </c>
      <c r="AA12" s="7">
        <v>227.0</v>
      </c>
    </row>
    <row r="13" ht="14.25" customHeight="1">
      <c r="E13" s="5" t="s">
        <v>107</v>
      </c>
      <c r="F13" s="7">
        <v>11.0</v>
      </c>
      <c r="H13" s="5" t="s">
        <v>108</v>
      </c>
      <c r="I13" s="7">
        <v>28.0</v>
      </c>
      <c r="K13" s="5" t="s">
        <v>72</v>
      </c>
      <c r="L13" s="8">
        <v>54.0</v>
      </c>
      <c r="M13" s="8"/>
      <c r="N13" s="5" t="s">
        <v>109</v>
      </c>
      <c r="O13" s="7">
        <v>87.0</v>
      </c>
      <c r="P13" s="8"/>
      <c r="Q13" s="5" t="s">
        <v>110</v>
      </c>
      <c r="R13" s="7">
        <v>120.0</v>
      </c>
      <c r="S13" s="8"/>
      <c r="T13" s="5" t="s">
        <v>61</v>
      </c>
      <c r="U13" s="7">
        <v>148.0</v>
      </c>
      <c r="W13" s="5" t="s">
        <v>111</v>
      </c>
      <c r="X13" s="7">
        <v>181.0</v>
      </c>
      <c r="Z13" s="5" t="s">
        <v>112</v>
      </c>
      <c r="AA13" s="7">
        <v>228.0</v>
      </c>
    </row>
    <row r="14" ht="14.25" customHeight="1">
      <c r="E14" s="5" t="s">
        <v>113</v>
      </c>
      <c r="F14" s="7">
        <v>12.0</v>
      </c>
      <c r="H14" s="5" t="s">
        <v>114</v>
      </c>
      <c r="I14" s="7">
        <v>29.0</v>
      </c>
      <c r="K14" s="5" t="s">
        <v>115</v>
      </c>
      <c r="L14" s="8">
        <v>55.0</v>
      </c>
      <c r="M14" s="8"/>
      <c r="N14" s="5" t="s">
        <v>116</v>
      </c>
      <c r="O14" s="7">
        <v>88.0</v>
      </c>
      <c r="P14" s="8"/>
      <c r="Q14" s="5" t="s">
        <v>103</v>
      </c>
      <c r="R14" s="7">
        <v>121.0</v>
      </c>
      <c r="S14" s="8"/>
      <c r="T14" s="5" t="s">
        <v>86</v>
      </c>
      <c r="U14" s="7">
        <v>149.0</v>
      </c>
      <c r="W14" s="5" t="s">
        <v>117</v>
      </c>
      <c r="X14" s="7">
        <v>182.0</v>
      </c>
      <c r="Z14" s="5" t="s">
        <v>118</v>
      </c>
      <c r="AA14" s="7">
        <v>229.0</v>
      </c>
    </row>
    <row r="15" ht="14.25" customHeight="1">
      <c r="E15" s="5" t="s">
        <v>119</v>
      </c>
      <c r="F15" s="7">
        <v>13.0</v>
      </c>
      <c r="H15" s="5" t="s">
        <v>120</v>
      </c>
      <c r="I15" s="7">
        <v>30.0</v>
      </c>
      <c r="K15" s="5" t="s">
        <v>121</v>
      </c>
      <c r="L15" s="8">
        <v>56.0</v>
      </c>
      <c r="M15" s="8"/>
      <c r="N15" s="5" t="s">
        <v>104</v>
      </c>
      <c r="O15" s="7">
        <v>89.0</v>
      </c>
      <c r="P15" s="8"/>
      <c r="Q15" s="5" t="s">
        <v>109</v>
      </c>
      <c r="R15" s="7">
        <v>122.0</v>
      </c>
      <c r="S15" s="8"/>
      <c r="T15" s="5" t="s">
        <v>122</v>
      </c>
      <c r="U15" s="7">
        <v>150.0</v>
      </c>
      <c r="W15" s="5" t="s">
        <v>123</v>
      </c>
      <c r="X15" s="7">
        <v>183.0</v>
      </c>
      <c r="Z15" s="5" t="s">
        <v>124</v>
      </c>
      <c r="AA15" s="7">
        <v>230.0</v>
      </c>
    </row>
    <row r="16" ht="14.25" customHeight="1">
      <c r="E16" s="5" t="s">
        <v>125</v>
      </c>
      <c r="F16" s="7">
        <v>14.0</v>
      </c>
      <c r="H16" s="5" t="s">
        <v>126</v>
      </c>
      <c r="I16" s="7">
        <v>31.0</v>
      </c>
      <c r="K16" s="5" t="s">
        <v>127</v>
      </c>
      <c r="L16" s="8">
        <v>57.0</v>
      </c>
      <c r="M16" s="8"/>
      <c r="N16" s="5" t="s">
        <v>128</v>
      </c>
      <c r="O16" s="7">
        <v>90.0</v>
      </c>
      <c r="P16" s="8"/>
      <c r="Q16" s="5" t="s">
        <v>116</v>
      </c>
      <c r="R16" s="7">
        <v>123.0</v>
      </c>
      <c r="S16" s="8"/>
      <c r="T16" s="5" t="s">
        <v>129</v>
      </c>
      <c r="U16" s="7">
        <v>151.0</v>
      </c>
      <c r="W16" s="5" t="s">
        <v>130</v>
      </c>
      <c r="X16" s="7">
        <v>184.0</v>
      </c>
      <c r="Z16" s="5" t="s">
        <v>131</v>
      </c>
      <c r="AA16" s="7">
        <v>231.0</v>
      </c>
    </row>
    <row r="17" ht="14.25" customHeight="1">
      <c r="E17" s="5" t="s">
        <v>132</v>
      </c>
      <c r="F17" s="7">
        <v>15.0</v>
      </c>
      <c r="H17" s="5" t="s">
        <v>133</v>
      </c>
      <c r="I17" s="7">
        <v>32.0</v>
      </c>
      <c r="K17" s="5" t="s">
        <v>45</v>
      </c>
      <c r="L17" s="8">
        <v>58.0</v>
      </c>
      <c r="M17" s="8"/>
      <c r="N17" s="5" t="s">
        <v>96</v>
      </c>
      <c r="O17" s="7">
        <v>91.0</v>
      </c>
      <c r="P17" s="8"/>
      <c r="Q17" s="5" t="s">
        <v>134</v>
      </c>
      <c r="R17" s="7">
        <v>124.0</v>
      </c>
      <c r="S17" s="8"/>
      <c r="T17" s="5" t="s">
        <v>135</v>
      </c>
      <c r="U17" s="7">
        <v>152.0</v>
      </c>
      <c r="W17" s="5" t="s">
        <v>136</v>
      </c>
      <c r="X17" s="7">
        <v>185.0</v>
      </c>
      <c r="Z17" s="5" t="s">
        <v>137</v>
      </c>
      <c r="AA17" s="7">
        <v>232.0</v>
      </c>
    </row>
    <row r="18" ht="14.25" customHeight="1">
      <c r="E18" s="5" t="s">
        <v>138</v>
      </c>
      <c r="F18" s="7">
        <v>16.0</v>
      </c>
      <c r="H18" s="5" t="s">
        <v>139</v>
      </c>
      <c r="I18" s="7">
        <v>33.0</v>
      </c>
      <c r="K18" s="5" t="s">
        <v>81</v>
      </c>
      <c r="L18" s="8">
        <v>59.0</v>
      </c>
      <c r="M18" s="8"/>
      <c r="N18" s="5" t="s">
        <v>140</v>
      </c>
      <c r="O18" s="7">
        <v>92.0</v>
      </c>
      <c r="P18" s="8"/>
      <c r="Q18" s="5" t="s">
        <v>141</v>
      </c>
      <c r="R18" s="7">
        <v>125.0</v>
      </c>
      <c r="S18" s="8"/>
      <c r="T18" s="5" t="s">
        <v>142</v>
      </c>
      <c r="U18" s="7">
        <v>153.0</v>
      </c>
      <c r="W18" s="5" t="s">
        <v>143</v>
      </c>
      <c r="X18" s="7">
        <v>186.0</v>
      </c>
      <c r="Z18" s="5" t="s">
        <v>144</v>
      </c>
      <c r="AA18" s="7">
        <v>233.0</v>
      </c>
    </row>
    <row r="19" ht="14.25" customHeight="1">
      <c r="E19" s="5" t="s">
        <v>145</v>
      </c>
      <c r="F19" s="7">
        <v>17.0</v>
      </c>
      <c r="H19" s="5" t="s">
        <v>146</v>
      </c>
      <c r="I19" s="7">
        <v>34.0</v>
      </c>
      <c r="K19" s="5" t="s">
        <v>147</v>
      </c>
      <c r="L19" s="8">
        <v>60.0</v>
      </c>
      <c r="M19" s="8"/>
      <c r="N19" s="5" t="s">
        <v>148</v>
      </c>
      <c r="O19" s="7">
        <v>93.0</v>
      </c>
      <c r="P19" s="8"/>
      <c r="Q19" s="5" t="s">
        <v>149</v>
      </c>
      <c r="R19" s="7">
        <v>127.0</v>
      </c>
      <c r="S19" s="8"/>
      <c r="T19" s="5" t="s">
        <v>150</v>
      </c>
      <c r="U19" s="7">
        <v>154.0</v>
      </c>
      <c r="W19" s="5" t="s">
        <v>151</v>
      </c>
      <c r="X19" s="7">
        <v>187.0</v>
      </c>
      <c r="Z19" s="5" t="s">
        <v>152</v>
      </c>
      <c r="AA19" s="7">
        <v>234.0</v>
      </c>
    </row>
    <row r="20" ht="14.25" customHeight="1">
      <c r="E20" s="5" t="s">
        <v>153</v>
      </c>
      <c r="F20" s="7">
        <v>296.0</v>
      </c>
      <c r="H20" s="5" t="s">
        <v>154</v>
      </c>
      <c r="I20" s="7">
        <v>35.0</v>
      </c>
      <c r="K20" s="5" t="s">
        <v>155</v>
      </c>
      <c r="L20" s="8">
        <v>61.0</v>
      </c>
      <c r="M20" s="8"/>
      <c r="N20" s="5" t="s">
        <v>156</v>
      </c>
      <c r="O20" s="7">
        <v>94.0</v>
      </c>
      <c r="P20" s="8"/>
      <c r="Q20" s="5" t="s">
        <v>157</v>
      </c>
      <c r="R20" s="7">
        <v>128.0</v>
      </c>
      <c r="S20" s="8"/>
      <c r="T20" s="5" t="s">
        <v>158</v>
      </c>
      <c r="U20" s="7">
        <v>155.0</v>
      </c>
      <c r="W20" s="5" t="s">
        <v>159</v>
      </c>
      <c r="X20" s="7">
        <v>188.0</v>
      </c>
      <c r="Z20" s="5" t="s">
        <v>160</v>
      </c>
      <c r="AA20" s="7">
        <v>235.0</v>
      </c>
    </row>
    <row r="21" ht="14.25" customHeight="1">
      <c r="E21" s="5" t="s">
        <v>161</v>
      </c>
      <c r="F21" s="7">
        <v>301.0</v>
      </c>
      <c r="H21" s="5" t="s">
        <v>162</v>
      </c>
      <c r="I21" s="7">
        <v>36.0</v>
      </c>
      <c r="K21" s="5" t="s">
        <v>163</v>
      </c>
      <c r="L21" s="8">
        <v>62.0</v>
      </c>
      <c r="M21" s="8"/>
      <c r="N21" s="5" t="s">
        <v>164</v>
      </c>
      <c r="O21" s="7">
        <v>95.0</v>
      </c>
      <c r="P21" s="8"/>
      <c r="Q21" s="5" t="s">
        <v>108</v>
      </c>
      <c r="R21" s="7">
        <v>129.0</v>
      </c>
      <c r="S21" s="8"/>
      <c r="T21" s="5" t="s">
        <v>165</v>
      </c>
      <c r="U21" s="7">
        <v>156.0</v>
      </c>
      <c r="W21" s="5" t="s">
        <v>166</v>
      </c>
      <c r="X21" s="7">
        <v>189.0</v>
      </c>
      <c r="Z21" s="5" t="s">
        <v>167</v>
      </c>
      <c r="AA21" s="7">
        <v>236.0</v>
      </c>
    </row>
    <row r="22" ht="14.25" customHeight="1">
      <c r="E22" s="5" t="s">
        <v>168</v>
      </c>
      <c r="F22" s="7">
        <v>302.0</v>
      </c>
      <c r="H22" s="5" t="s">
        <v>169</v>
      </c>
      <c r="I22" s="7">
        <v>37.0</v>
      </c>
      <c r="K22" s="5" t="s">
        <v>170</v>
      </c>
      <c r="L22" s="8">
        <v>63.0</v>
      </c>
      <c r="M22" s="8"/>
      <c r="N22" s="5" t="s">
        <v>171</v>
      </c>
      <c r="O22" s="7">
        <v>96.0</v>
      </c>
      <c r="P22" s="8"/>
      <c r="Q22" s="5" t="s">
        <v>126</v>
      </c>
      <c r="R22" s="7">
        <v>130.0</v>
      </c>
      <c r="S22" s="8"/>
      <c r="T22" s="5" t="s">
        <v>172</v>
      </c>
      <c r="U22" s="7">
        <v>157.0</v>
      </c>
      <c r="W22" s="5" t="s">
        <v>173</v>
      </c>
      <c r="X22" s="7">
        <v>190.0</v>
      </c>
      <c r="Z22" s="5" t="s">
        <v>174</v>
      </c>
      <c r="AA22" s="7">
        <v>237.0</v>
      </c>
    </row>
    <row r="23" ht="14.25" customHeight="1">
      <c r="E23" s="5" t="s">
        <v>175</v>
      </c>
      <c r="F23" s="7">
        <v>303.0</v>
      </c>
      <c r="H23" s="5" t="s">
        <v>176</v>
      </c>
      <c r="I23" s="7">
        <v>38.0</v>
      </c>
      <c r="K23" s="5" t="s">
        <v>63</v>
      </c>
      <c r="L23" s="8">
        <v>64.0</v>
      </c>
      <c r="M23" s="8"/>
      <c r="N23" s="5" t="s">
        <v>177</v>
      </c>
      <c r="O23" s="7">
        <v>97.0</v>
      </c>
      <c r="P23" s="8"/>
      <c r="Q23" s="5" t="s">
        <v>139</v>
      </c>
      <c r="R23" s="7">
        <v>131.0</v>
      </c>
      <c r="S23" s="8"/>
      <c r="T23" s="5" t="s">
        <v>178</v>
      </c>
      <c r="U23" s="7">
        <v>158.0</v>
      </c>
      <c r="W23" s="5" t="s">
        <v>179</v>
      </c>
      <c r="X23" s="7">
        <v>191.0</v>
      </c>
      <c r="Z23" s="5" t="s">
        <v>180</v>
      </c>
      <c r="AA23" s="7">
        <v>238.0</v>
      </c>
    </row>
    <row r="24" ht="14.25" customHeight="1">
      <c r="E24" s="5" t="s">
        <v>181</v>
      </c>
      <c r="F24" s="7">
        <v>304.0</v>
      </c>
      <c r="H24" s="5" t="s">
        <v>182</v>
      </c>
      <c r="I24" s="7">
        <v>39.0</v>
      </c>
      <c r="K24" s="5" t="s">
        <v>54</v>
      </c>
      <c r="L24" s="8">
        <v>65.0</v>
      </c>
      <c r="M24" s="8"/>
      <c r="N24" s="5" t="s">
        <v>183</v>
      </c>
      <c r="O24" s="7">
        <v>98.0</v>
      </c>
      <c r="P24" s="8"/>
      <c r="Q24" s="5" t="s">
        <v>154</v>
      </c>
      <c r="R24" s="7">
        <v>132.0</v>
      </c>
      <c r="S24" s="8"/>
      <c r="T24" s="5" t="s">
        <v>184</v>
      </c>
      <c r="U24" s="7">
        <v>159.0</v>
      </c>
      <c r="W24" s="5" t="s">
        <v>185</v>
      </c>
      <c r="X24" s="7">
        <v>192.0</v>
      </c>
      <c r="Z24" s="5" t="s">
        <v>186</v>
      </c>
      <c r="AA24" s="7">
        <v>239.0</v>
      </c>
    </row>
    <row r="25" ht="14.25" customHeight="1">
      <c r="E25" s="5" t="s">
        <v>187</v>
      </c>
      <c r="F25" s="7">
        <v>305.0</v>
      </c>
      <c r="H25" s="5" t="s">
        <v>188</v>
      </c>
      <c r="I25" s="7">
        <v>40.0</v>
      </c>
      <c r="K25" s="5" t="s">
        <v>189</v>
      </c>
      <c r="L25" s="8">
        <v>66.0</v>
      </c>
      <c r="M25" s="8"/>
      <c r="N25" s="5" t="s">
        <v>190</v>
      </c>
      <c r="O25" s="7">
        <v>99.0</v>
      </c>
      <c r="P25" s="8"/>
      <c r="Q25" s="5" t="s">
        <v>169</v>
      </c>
      <c r="R25" s="7">
        <v>133.0</v>
      </c>
      <c r="S25" s="8"/>
      <c r="T25" s="5" t="s">
        <v>191</v>
      </c>
      <c r="U25" s="7">
        <v>160.0</v>
      </c>
      <c r="W25" s="5" t="s">
        <v>192</v>
      </c>
      <c r="X25" s="7">
        <v>193.0</v>
      </c>
      <c r="Z25" s="5" t="s">
        <v>193</v>
      </c>
      <c r="AA25" s="7">
        <v>240.0</v>
      </c>
    </row>
    <row r="26" ht="14.25" customHeight="1">
      <c r="E26" s="5" t="s">
        <v>194</v>
      </c>
      <c r="F26" s="7">
        <v>320.0</v>
      </c>
      <c r="H26" s="5" t="s">
        <v>195</v>
      </c>
      <c r="I26" s="7">
        <v>41.0</v>
      </c>
      <c r="K26" s="5" t="s">
        <v>196</v>
      </c>
      <c r="L26" s="8">
        <v>67.0</v>
      </c>
      <c r="M26" s="8"/>
      <c r="N26" s="5" t="s">
        <v>197</v>
      </c>
      <c r="O26" s="7">
        <v>100.0</v>
      </c>
      <c r="P26" s="8"/>
      <c r="Q26" s="5" t="s">
        <v>198</v>
      </c>
      <c r="R26" s="7">
        <v>134.0</v>
      </c>
      <c r="S26" s="8"/>
      <c r="T26" s="5" t="s">
        <v>94</v>
      </c>
      <c r="U26" s="7">
        <v>161.0</v>
      </c>
      <c r="W26" s="5" t="s">
        <v>199</v>
      </c>
      <c r="X26" s="7">
        <v>194.0</v>
      </c>
      <c r="Z26" s="5" t="s">
        <v>200</v>
      </c>
      <c r="AA26" s="7">
        <v>241.0</v>
      </c>
    </row>
    <row r="27" ht="14.25" customHeight="1">
      <c r="H27" s="5" t="s">
        <v>201</v>
      </c>
      <c r="I27" s="7">
        <v>42.0</v>
      </c>
      <c r="K27" s="5" t="s">
        <v>202</v>
      </c>
      <c r="L27" s="8">
        <v>68.0</v>
      </c>
      <c r="M27" s="8"/>
      <c r="N27" s="5" t="s">
        <v>203</v>
      </c>
      <c r="O27" s="7">
        <v>101.0</v>
      </c>
      <c r="P27" s="8"/>
      <c r="Q27" s="5" t="s">
        <v>191</v>
      </c>
      <c r="R27" s="7">
        <v>135.0</v>
      </c>
      <c r="S27" s="8"/>
      <c r="T27" s="5" t="s">
        <v>114</v>
      </c>
      <c r="U27" s="7">
        <v>162.0</v>
      </c>
      <c r="W27" s="5" t="s">
        <v>204</v>
      </c>
      <c r="X27" s="7">
        <v>195.0</v>
      </c>
      <c r="Z27" s="5" t="s">
        <v>205</v>
      </c>
      <c r="AA27" s="7">
        <v>242.0</v>
      </c>
    </row>
    <row r="28" ht="14.25" customHeight="1">
      <c r="H28" s="5" t="s">
        <v>206</v>
      </c>
      <c r="I28" s="7">
        <v>43.0</v>
      </c>
      <c r="K28" s="5" t="s">
        <v>207</v>
      </c>
      <c r="L28" s="8">
        <v>69.0</v>
      </c>
      <c r="M28" s="8"/>
      <c r="N28" s="5" t="s">
        <v>208</v>
      </c>
      <c r="O28" s="7">
        <v>102.0</v>
      </c>
      <c r="P28" s="8"/>
      <c r="Q28" s="5" t="s">
        <v>209</v>
      </c>
      <c r="R28" s="7">
        <v>136.0</v>
      </c>
      <c r="S28" s="8"/>
      <c r="T28" s="5" t="s">
        <v>210</v>
      </c>
      <c r="U28" s="7">
        <v>163.0</v>
      </c>
      <c r="W28" s="5" t="s">
        <v>211</v>
      </c>
      <c r="X28" s="7">
        <v>196.0</v>
      </c>
      <c r="Z28" s="5" t="s">
        <v>212</v>
      </c>
      <c r="AA28" s="7">
        <v>243.0</v>
      </c>
    </row>
    <row r="29" ht="14.25" customHeight="1">
      <c r="H29" s="5" t="s">
        <v>213</v>
      </c>
      <c r="I29" s="7">
        <v>108.0</v>
      </c>
      <c r="K29" s="5" t="s">
        <v>214</v>
      </c>
      <c r="L29" s="8">
        <v>70.0</v>
      </c>
      <c r="M29" s="8"/>
      <c r="N29" s="5" t="s">
        <v>215</v>
      </c>
      <c r="O29" s="7">
        <v>103.0</v>
      </c>
      <c r="P29" s="8"/>
      <c r="Q29" s="5" t="s">
        <v>216</v>
      </c>
      <c r="R29" s="7">
        <v>137.0</v>
      </c>
      <c r="S29" s="8"/>
      <c r="T29" s="5" t="s">
        <v>217</v>
      </c>
      <c r="U29" s="7">
        <v>164.0</v>
      </c>
      <c r="W29" s="5" t="s">
        <v>218</v>
      </c>
      <c r="X29" s="7">
        <v>197.0</v>
      </c>
      <c r="Z29" s="5" t="s">
        <v>219</v>
      </c>
      <c r="AA29" s="7">
        <v>244.0</v>
      </c>
    </row>
    <row r="30" ht="14.25" customHeight="1">
      <c r="H30" s="5" t="s">
        <v>220</v>
      </c>
      <c r="I30" s="7">
        <v>307.0</v>
      </c>
      <c r="K30" s="5" t="s">
        <v>221</v>
      </c>
      <c r="L30" s="8">
        <v>71.0</v>
      </c>
      <c r="M30" s="8"/>
      <c r="N30" s="5" t="s">
        <v>222</v>
      </c>
      <c r="O30" s="7">
        <v>104.0</v>
      </c>
      <c r="P30" s="8"/>
      <c r="Q30" s="5" t="s">
        <v>223</v>
      </c>
      <c r="R30" s="7">
        <v>170.0</v>
      </c>
      <c r="S30" s="8"/>
      <c r="T30" s="5" t="s">
        <v>224</v>
      </c>
      <c r="U30" s="7">
        <v>167.0</v>
      </c>
      <c r="W30" s="5" t="s">
        <v>225</v>
      </c>
      <c r="X30" s="7">
        <v>198.0</v>
      </c>
      <c r="Z30" s="5" t="s">
        <v>226</v>
      </c>
      <c r="AA30" s="7">
        <v>245.0</v>
      </c>
    </row>
    <row r="31" ht="14.25" customHeight="1">
      <c r="H31" s="5" t="s">
        <v>227</v>
      </c>
      <c r="I31" s="7">
        <v>310.0</v>
      </c>
      <c r="K31" s="5" t="s">
        <v>228</v>
      </c>
      <c r="L31" s="8">
        <v>72.0</v>
      </c>
      <c r="M31" s="8"/>
      <c r="N31" s="5" t="s">
        <v>229</v>
      </c>
      <c r="O31" s="7">
        <v>105.0</v>
      </c>
      <c r="P31" s="8"/>
      <c r="Q31" s="5" t="s">
        <v>230</v>
      </c>
      <c r="R31" s="7">
        <v>260.0</v>
      </c>
      <c r="S31" s="8"/>
      <c r="T31" s="5" t="s">
        <v>231</v>
      </c>
      <c r="U31" s="7">
        <v>166.0</v>
      </c>
      <c r="W31" s="5" t="s">
        <v>232</v>
      </c>
      <c r="X31" s="7">
        <v>199.0</v>
      </c>
      <c r="Z31" s="5" t="s">
        <v>233</v>
      </c>
      <c r="AA31" s="7">
        <v>246.0</v>
      </c>
    </row>
    <row r="32" ht="14.25" customHeight="1">
      <c r="K32" s="5" t="s">
        <v>234</v>
      </c>
      <c r="L32" s="8">
        <v>73.0</v>
      </c>
      <c r="M32" s="8"/>
      <c r="N32" s="5" t="s">
        <v>235</v>
      </c>
      <c r="O32" s="7">
        <v>106.0</v>
      </c>
      <c r="P32" s="8"/>
      <c r="Q32" s="5" t="s">
        <v>236</v>
      </c>
      <c r="R32" s="7">
        <v>261.0</v>
      </c>
      <c r="S32" s="8"/>
      <c r="T32" s="5" t="s">
        <v>67</v>
      </c>
      <c r="U32" s="7">
        <v>265.0</v>
      </c>
      <c r="W32" s="5" t="s">
        <v>237</v>
      </c>
      <c r="X32" s="7">
        <v>200.0</v>
      </c>
      <c r="Z32" s="5" t="s">
        <v>238</v>
      </c>
      <c r="AA32" s="7">
        <v>247.0</v>
      </c>
    </row>
    <row r="33" ht="14.25" customHeight="1">
      <c r="K33" s="5" t="s">
        <v>239</v>
      </c>
      <c r="L33" s="8">
        <v>74.0</v>
      </c>
      <c r="M33" s="8"/>
      <c r="N33" s="5" t="s">
        <v>240</v>
      </c>
      <c r="O33" s="7">
        <v>107.0</v>
      </c>
      <c r="P33" s="8"/>
      <c r="Q33" s="5" t="s">
        <v>241</v>
      </c>
      <c r="R33" s="7">
        <v>262.0</v>
      </c>
      <c r="S33" s="8"/>
      <c r="T33" s="5" t="s">
        <v>85</v>
      </c>
      <c r="U33" s="7">
        <v>266.0</v>
      </c>
      <c r="W33" s="5" t="s">
        <v>242</v>
      </c>
      <c r="X33" s="7">
        <v>201.0</v>
      </c>
      <c r="Z33" s="5" t="s">
        <v>243</v>
      </c>
      <c r="AA33" s="7">
        <v>248.0</v>
      </c>
    </row>
    <row r="34" ht="14.25" customHeight="1">
      <c r="K34" s="5" t="s">
        <v>244</v>
      </c>
      <c r="L34" s="8">
        <v>75.0</v>
      </c>
      <c r="M34" s="8"/>
      <c r="N34" s="5" t="s">
        <v>245</v>
      </c>
      <c r="O34" s="7">
        <v>109.0</v>
      </c>
      <c r="P34" s="8"/>
      <c r="Q34" s="5" t="s">
        <v>164</v>
      </c>
      <c r="R34" s="7">
        <v>263.0</v>
      </c>
      <c r="S34" s="8"/>
      <c r="T34" s="5" t="s">
        <v>87</v>
      </c>
      <c r="U34" s="7">
        <v>267.0</v>
      </c>
      <c r="W34" s="5" t="s">
        <v>246</v>
      </c>
      <c r="X34" s="7">
        <v>202.0</v>
      </c>
      <c r="Z34" s="5" t="s">
        <v>247</v>
      </c>
      <c r="AA34" s="7">
        <v>249.0</v>
      </c>
    </row>
    <row r="35" ht="14.25" customHeight="1">
      <c r="K35" s="5" t="s">
        <v>248</v>
      </c>
      <c r="L35" s="8">
        <v>76.0</v>
      </c>
      <c r="M35" s="8"/>
      <c r="N35" s="5" t="s">
        <v>249</v>
      </c>
      <c r="O35" s="7">
        <v>165.0</v>
      </c>
      <c r="P35" s="8"/>
      <c r="Q35" s="5" t="s">
        <v>128</v>
      </c>
      <c r="R35" s="7">
        <v>264.0</v>
      </c>
      <c r="S35" s="8"/>
      <c r="T35" s="5" t="s">
        <v>115</v>
      </c>
      <c r="U35" s="7">
        <v>268.0</v>
      </c>
      <c r="W35" s="5" t="s">
        <v>250</v>
      </c>
      <c r="X35" s="7">
        <v>203.0</v>
      </c>
      <c r="Z35" s="5" t="s">
        <v>251</v>
      </c>
      <c r="AA35" s="7">
        <v>250.0</v>
      </c>
    </row>
    <row r="36" ht="14.25" customHeight="1">
      <c r="K36" s="5" t="s">
        <v>252</v>
      </c>
      <c r="L36" s="7">
        <v>168.0</v>
      </c>
      <c r="N36" s="5" t="s">
        <v>253</v>
      </c>
      <c r="O36" s="7">
        <v>282.0</v>
      </c>
      <c r="Q36" s="5" t="s">
        <v>254</v>
      </c>
      <c r="R36" s="7">
        <v>286.0</v>
      </c>
      <c r="T36" s="5" t="s">
        <v>202</v>
      </c>
      <c r="U36" s="7">
        <v>269.0</v>
      </c>
      <c r="W36" s="5" t="s">
        <v>255</v>
      </c>
      <c r="X36" s="7">
        <v>204.0</v>
      </c>
      <c r="Z36" s="5" t="s">
        <v>256</v>
      </c>
      <c r="AA36" s="7">
        <v>251.0</v>
      </c>
    </row>
    <row r="37" ht="14.25" customHeight="1">
      <c r="K37" s="5" t="s">
        <v>257</v>
      </c>
      <c r="L37" s="7">
        <v>169.0</v>
      </c>
      <c r="N37" s="5" t="s">
        <v>258</v>
      </c>
      <c r="O37" s="7">
        <v>283.0</v>
      </c>
      <c r="Q37" s="5" t="s">
        <v>259</v>
      </c>
      <c r="R37" s="7">
        <v>287.0</v>
      </c>
      <c r="T37" s="5" t="s">
        <v>221</v>
      </c>
      <c r="U37" s="7">
        <v>270.0</v>
      </c>
      <c r="W37" s="5" t="s">
        <v>260</v>
      </c>
      <c r="X37" s="7">
        <v>205.0</v>
      </c>
      <c r="Z37" s="5" t="s">
        <v>261</v>
      </c>
      <c r="AA37" s="7">
        <v>252.0</v>
      </c>
    </row>
    <row r="38" ht="14.25" customHeight="1">
      <c r="K38" s="5" t="s">
        <v>262</v>
      </c>
      <c r="L38" s="7">
        <v>295.0</v>
      </c>
      <c r="N38" s="5" t="s">
        <v>263</v>
      </c>
      <c r="O38" s="7">
        <v>284.0</v>
      </c>
      <c r="Q38" s="5" t="s">
        <v>264</v>
      </c>
      <c r="R38" s="7">
        <v>309.0</v>
      </c>
      <c r="T38" s="5" t="s">
        <v>265</v>
      </c>
      <c r="U38" s="7">
        <v>271.0</v>
      </c>
      <c r="W38" s="5" t="s">
        <v>266</v>
      </c>
      <c r="X38" s="7">
        <v>206.0</v>
      </c>
      <c r="Z38" s="5" t="s">
        <v>267</v>
      </c>
      <c r="AA38" s="7">
        <v>253.0</v>
      </c>
    </row>
    <row r="39" ht="14.25" customHeight="1">
      <c r="K39" s="5" t="s">
        <v>268</v>
      </c>
      <c r="L39" s="7">
        <v>298.0</v>
      </c>
      <c r="N39" s="5" t="s">
        <v>269</v>
      </c>
      <c r="O39" s="7">
        <v>285.0</v>
      </c>
      <c r="T39" s="5" t="s">
        <v>270</v>
      </c>
      <c r="U39" s="7">
        <v>288.0</v>
      </c>
      <c r="W39" s="5" t="s">
        <v>271</v>
      </c>
      <c r="X39" s="7">
        <v>207.0</v>
      </c>
      <c r="Z39" s="5" t="s">
        <v>272</v>
      </c>
      <c r="AA39" s="7">
        <v>254.0</v>
      </c>
    </row>
    <row r="40" ht="14.25" customHeight="1">
      <c r="K40" s="5" t="s">
        <v>273</v>
      </c>
      <c r="L40" s="7">
        <v>299.0</v>
      </c>
      <c r="T40" s="5" t="s">
        <v>274</v>
      </c>
      <c r="U40" s="7">
        <v>289.0</v>
      </c>
      <c r="W40" s="5" t="s">
        <v>275</v>
      </c>
      <c r="X40" s="7">
        <v>208.0</v>
      </c>
      <c r="Z40" s="5" t="s">
        <v>276</v>
      </c>
      <c r="AA40" s="7">
        <v>255.0</v>
      </c>
    </row>
    <row r="41" ht="14.25" customHeight="1">
      <c r="K41" s="5" t="s">
        <v>97</v>
      </c>
      <c r="L41" s="7">
        <v>300.0</v>
      </c>
      <c r="T41" s="5" t="s">
        <v>100</v>
      </c>
      <c r="U41" s="7">
        <v>290.0</v>
      </c>
      <c r="W41" s="5" t="s">
        <v>277</v>
      </c>
      <c r="X41" s="7">
        <v>209.0</v>
      </c>
      <c r="Z41" s="5" t="s">
        <v>278</v>
      </c>
      <c r="AA41" s="7">
        <v>256.0</v>
      </c>
    </row>
    <row r="42" ht="14.25" customHeight="1">
      <c r="K42" s="5" t="s">
        <v>279</v>
      </c>
      <c r="L42" s="7">
        <v>321.0</v>
      </c>
      <c r="T42" s="5" t="s">
        <v>76</v>
      </c>
      <c r="U42" s="7">
        <v>291.0</v>
      </c>
      <c r="W42" s="5" t="s">
        <v>280</v>
      </c>
      <c r="X42" s="7">
        <v>210.0</v>
      </c>
      <c r="Z42" s="5" t="s">
        <v>281</v>
      </c>
      <c r="AA42" s="7">
        <v>257.0</v>
      </c>
    </row>
    <row r="43" ht="14.25" customHeight="1">
      <c r="K43" s="5" t="s">
        <v>282</v>
      </c>
      <c r="L43" s="7">
        <v>322.0</v>
      </c>
      <c r="T43" s="5" t="s">
        <v>107</v>
      </c>
      <c r="U43" s="7">
        <v>292.0</v>
      </c>
      <c r="W43" s="5" t="s">
        <v>283</v>
      </c>
      <c r="X43" s="7">
        <v>211.0</v>
      </c>
      <c r="Z43" s="5" t="s">
        <v>284</v>
      </c>
      <c r="AA43" s="7">
        <v>258.0</v>
      </c>
    </row>
    <row r="44" ht="14.25" customHeight="1">
      <c r="T44" s="5" t="s">
        <v>214</v>
      </c>
      <c r="U44" s="7">
        <v>293.0</v>
      </c>
      <c r="W44" s="5" t="s">
        <v>285</v>
      </c>
      <c r="X44" s="7">
        <v>212.0</v>
      </c>
      <c r="Z44" s="5" t="s">
        <v>286</v>
      </c>
      <c r="AA44" s="7">
        <v>259.0</v>
      </c>
    </row>
    <row r="45" ht="14.25" customHeight="1">
      <c r="T45" s="5" t="s">
        <v>287</v>
      </c>
      <c r="U45" s="7">
        <v>308.0</v>
      </c>
      <c r="W45" s="5" t="s">
        <v>288</v>
      </c>
      <c r="X45" s="7">
        <v>213.0</v>
      </c>
      <c r="Z45" s="5" t="s">
        <v>289</v>
      </c>
      <c r="AA45" s="7">
        <v>272.0</v>
      </c>
    </row>
    <row r="46" ht="14.25" customHeight="1">
      <c r="T46" s="5" t="s">
        <v>290</v>
      </c>
      <c r="U46" s="7">
        <v>323.0</v>
      </c>
      <c r="W46" s="5" t="s">
        <v>291</v>
      </c>
      <c r="X46" s="7">
        <v>214.0</v>
      </c>
      <c r="Z46" s="5" t="s">
        <v>292</v>
      </c>
      <c r="AA46" s="7">
        <v>273.0</v>
      </c>
    </row>
    <row r="47" ht="14.25" customHeight="1">
      <c r="T47" s="10" t="s">
        <v>293</v>
      </c>
      <c r="U47" s="8">
        <v>324.0</v>
      </c>
      <c r="W47" s="5" t="s">
        <v>294</v>
      </c>
      <c r="X47" s="7">
        <v>215.0</v>
      </c>
      <c r="Z47" s="5" t="s">
        <v>295</v>
      </c>
      <c r="AA47" s="7">
        <v>274.0</v>
      </c>
    </row>
    <row r="48" ht="14.25" customHeight="1">
      <c r="T48" s="10" t="s">
        <v>296</v>
      </c>
      <c r="U48" s="8">
        <v>325.0</v>
      </c>
      <c r="W48" s="5" t="s">
        <v>297</v>
      </c>
      <c r="X48" s="7">
        <v>216.0</v>
      </c>
      <c r="Z48" s="5" t="s">
        <v>298</v>
      </c>
      <c r="AA48" s="7">
        <v>275.0</v>
      </c>
    </row>
    <row r="49" ht="14.25" customHeight="1">
      <c r="T49" s="10" t="s">
        <v>299</v>
      </c>
      <c r="U49" s="8">
        <v>326.0</v>
      </c>
      <c r="W49" s="5" t="s">
        <v>300</v>
      </c>
      <c r="X49" s="7">
        <v>217.0</v>
      </c>
    </row>
    <row r="50" ht="14.25" customHeight="1">
      <c r="W50" s="5" t="s">
        <v>301</v>
      </c>
      <c r="X50" s="7">
        <v>276.0</v>
      </c>
    </row>
    <row r="51" ht="14.25" customHeight="1">
      <c r="W51" s="5" t="s">
        <v>302</v>
      </c>
      <c r="X51" s="7">
        <v>277.0</v>
      </c>
    </row>
    <row r="52" ht="14.25" customHeight="1">
      <c r="W52" s="5" t="s">
        <v>303</v>
      </c>
      <c r="X52" s="7">
        <v>278.0</v>
      </c>
    </row>
    <row r="53" ht="14.25" customHeight="1">
      <c r="W53" s="5" t="s">
        <v>304</v>
      </c>
      <c r="X53" s="7">
        <v>279.0</v>
      </c>
    </row>
    <row r="54" ht="14.25" customHeight="1">
      <c r="W54" s="5" t="s">
        <v>305</v>
      </c>
      <c r="X54" s="7">
        <v>280.0</v>
      </c>
    </row>
    <row r="55" ht="14.25" customHeight="1">
      <c r="W55" s="5" t="s">
        <v>306</v>
      </c>
      <c r="X55" s="7">
        <v>281.0</v>
      </c>
    </row>
    <row r="56" ht="14.25" customHeight="1">
      <c r="W56" s="5" t="s">
        <v>307</v>
      </c>
      <c r="X56" s="7">
        <v>294.0</v>
      </c>
    </row>
    <row r="57" ht="14.25" customHeight="1">
      <c r="W57" s="5" t="s">
        <v>308</v>
      </c>
      <c r="X57" s="7">
        <v>311.0</v>
      </c>
    </row>
    <row r="58" ht="14.25" customHeight="1">
      <c r="W58" s="5" t="s">
        <v>309</v>
      </c>
      <c r="X58" s="7">
        <v>312.0</v>
      </c>
    </row>
    <row r="59" ht="14.25" customHeight="1">
      <c r="W59" s="5" t="s">
        <v>310</v>
      </c>
      <c r="X59" s="7">
        <v>313.0</v>
      </c>
    </row>
    <row r="60" ht="14.25" customHeight="1">
      <c r="W60" s="5" t="s">
        <v>311</v>
      </c>
      <c r="X60" s="7">
        <v>314.0</v>
      </c>
    </row>
    <row r="61" ht="14.25" customHeight="1">
      <c r="W61" s="5" t="s">
        <v>312</v>
      </c>
      <c r="X61" s="7">
        <v>315.0</v>
      </c>
    </row>
    <row r="62" ht="14.25" customHeight="1">
      <c r="W62" s="5" t="s">
        <v>313</v>
      </c>
      <c r="X62" s="7">
        <v>316.0</v>
      </c>
    </row>
    <row r="63" ht="14.25" customHeight="1">
      <c r="W63" s="5" t="s">
        <v>314</v>
      </c>
      <c r="X63" s="7">
        <v>317.0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4.43" defaultRowHeight="15.0"/>
  <cols>
    <col customWidth="1" min="1" max="1" width="2.86"/>
    <col customWidth="1" hidden="1" min="2" max="2" width="15.86"/>
    <col customWidth="1" min="3" max="3" width="7.14"/>
    <col customWidth="1" min="4" max="7" width="6.0"/>
    <col customWidth="1" min="8" max="8" width="36.0"/>
    <col customWidth="1" min="9" max="9" width="9.14"/>
    <col customWidth="1" min="10" max="22" width="15.14"/>
    <col customWidth="1" min="23" max="26" width="9.14"/>
  </cols>
  <sheetData>
    <row r="1" ht="14.25" customHeight="1">
      <c r="A1" s="8"/>
      <c r="B1" s="8"/>
      <c r="C1" s="11" t="s">
        <v>315</v>
      </c>
      <c r="D1" s="12"/>
      <c r="E1" s="12"/>
      <c r="F1" s="12"/>
      <c r="G1" s="12"/>
      <c r="H1" s="8"/>
      <c r="I1" s="8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8"/>
      <c r="X1" s="8"/>
      <c r="Y1" s="8"/>
      <c r="Z1" s="8"/>
    </row>
    <row r="2" ht="14.25" customHeight="1">
      <c r="A2" s="8"/>
      <c r="B2" s="8"/>
      <c r="C2" s="14" t="s">
        <v>316</v>
      </c>
      <c r="D2" s="12"/>
      <c r="E2" s="12"/>
      <c r="F2" s="12"/>
      <c r="G2" s="12"/>
      <c r="H2" s="15">
        <v>2026.0</v>
      </c>
      <c r="I2" s="8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8"/>
      <c r="X2" s="8"/>
      <c r="Y2" s="8"/>
      <c r="Z2" s="8"/>
    </row>
    <row r="3" ht="14.25" customHeight="1">
      <c r="A3" s="8"/>
      <c r="B3" s="8"/>
      <c r="C3" s="8"/>
      <c r="D3" s="8"/>
      <c r="E3" s="8"/>
      <c r="F3" s="8"/>
      <c r="G3" s="8"/>
      <c r="H3" s="8"/>
      <c r="I3" s="8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8"/>
      <c r="X3" s="8"/>
      <c r="Y3" s="8"/>
      <c r="Z3" s="8"/>
    </row>
    <row r="4" ht="14.25" customHeight="1">
      <c r="A4" s="8"/>
      <c r="B4" s="8" t="str">
        <f>IFERROR(VLOOKUP(H4,Sheet1!$A$3:$B$10,2,0),"")</f>
        <v>002</v>
      </c>
      <c r="C4" s="14" t="s">
        <v>317</v>
      </c>
      <c r="D4" s="12"/>
      <c r="E4" s="12"/>
      <c r="F4" s="12"/>
      <c r="G4" s="12"/>
      <c r="H4" s="8" t="s">
        <v>5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8"/>
      <c r="X4" s="8"/>
      <c r="Y4" s="8"/>
      <c r="Z4" s="8"/>
    </row>
    <row r="5" ht="14.25" customHeight="1">
      <c r="A5" s="8"/>
      <c r="B5" s="8" t="str">
        <f>IFERROR(VLOOKUP(H4,Sheet1!$A$3:$C$10,3,0),"")</f>
        <v>RegP2</v>
      </c>
      <c r="C5" s="8"/>
      <c r="D5" s="8"/>
      <c r="E5" s="8"/>
      <c r="F5" s="8"/>
      <c r="G5" s="8"/>
      <c r="H5" s="8"/>
      <c r="I5" s="8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8"/>
      <c r="X5" s="8"/>
      <c r="Y5" s="8"/>
      <c r="Z5" s="8"/>
    </row>
    <row r="6" ht="14.25" customHeight="1">
      <c r="A6" s="8"/>
      <c r="B6" s="8">
        <f>IF(B4="001",VLOOKUP(H6,Sheet1!$E$3:$F$100,2,0),IF(B4="002",VLOOKUP(H6,Sheet1!$H$3:$I$100,2,0),IF(B4="003",VLOOKUP(H6,Sheet1!$K$3:$L$100,2,0),IF(B4="004",VLOOKUP(H6,Sheet1!$N$3:$O$100,2,0),IF(B4="005",VLOOKUP(H6,Sheet1!$Q$3:$R$100,2,0),IF(B4="006",VLOOKUP(H6,Sheet1!$T$3:$U$100,2,0),IF(B4="007",VLOOKUP(H6,Sheet1!$W$3:$X$100,2,0),IF(B4="008",VLOOKUP(H6,Sheet1!$Z$3:$AA$100,2,0),"NOTFOUND"))))))))</f>
        <v>38</v>
      </c>
      <c r="C6" s="14" t="s">
        <v>318</v>
      </c>
      <c r="D6" s="12"/>
      <c r="E6" s="12"/>
      <c r="F6" s="12"/>
      <c r="G6" s="12"/>
      <c r="H6" s="8" t="s">
        <v>176</v>
      </c>
      <c r="I6" s="8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8"/>
      <c r="X6" s="8"/>
      <c r="Y6" s="8"/>
      <c r="Z6" s="8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8"/>
      <c r="X7" s="8"/>
      <c r="Y7" s="8"/>
      <c r="Z7" s="8"/>
    </row>
    <row r="8" ht="14.25" customHeight="1">
      <c r="A8" s="16">
        <v>1.0</v>
      </c>
      <c r="B8" s="17"/>
      <c r="C8" s="16" t="s">
        <v>319</v>
      </c>
      <c r="D8" s="8"/>
      <c r="E8" s="8"/>
      <c r="F8" s="8"/>
      <c r="G8" s="8"/>
      <c r="H8" s="8"/>
      <c r="I8" s="8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8"/>
      <c r="X8" s="8"/>
      <c r="Y8" s="8"/>
      <c r="Z8" s="8"/>
    </row>
    <row r="9" ht="14.25" hidden="1" customHeight="1">
      <c r="A9" s="17"/>
      <c r="B9" s="17"/>
      <c r="C9" s="16"/>
      <c r="D9" s="8"/>
      <c r="E9" s="8"/>
      <c r="F9" s="8"/>
      <c r="G9" s="8"/>
      <c r="H9" s="8"/>
      <c r="I9" s="8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8"/>
      <c r="X9" s="8"/>
      <c r="Y9" s="8"/>
      <c r="Z9" s="8"/>
    </row>
    <row r="10" ht="14.25" hidden="1" customHeight="1">
      <c r="A10" s="17"/>
      <c r="B10" s="17" t="s">
        <v>320</v>
      </c>
      <c r="C10" s="16"/>
      <c r="J10" s="13">
        <v>1.0</v>
      </c>
      <c r="K10" s="13">
        <v>2.0</v>
      </c>
      <c r="L10" s="13">
        <v>3.0</v>
      </c>
      <c r="M10" s="13">
        <v>4.0</v>
      </c>
      <c r="N10" s="13">
        <v>5.0</v>
      </c>
      <c r="O10" s="13">
        <v>6.0</v>
      </c>
      <c r="P10" s="13">
        <v>7.0</v>
      </c>
      <c r="Q10" s="13">
        <v>8.0</v>
      </c>
      <c r="R10" s="13">
        <v>9.0</v>
      </c>
      <c r="S10" s="13">
        <v>10.0</v>
      </c>
      <c r="T10" s="13">
        <v>11.0</v>
      </c>
      <c r="U10" s="13">
        <v>12.0</v>
      </c>
      <c r="V10" s="13"/>
      <c r="W10" s="8"/>
      <c r="X10" s="8"/>
      <c r="Y10" s="8"/>
      <c r="Z10" s="8"/>
    </row>
    <row r="11" ht="14.25" customHeight="1">
      <c r="A11" s="8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8"/>
      <c r="X11" s="8"/>
      <c r="Y11" s="8"/>
      <c r="Z11" s="8"/>
    </row>
    <row r="12" ht="15.0" customHeight="1">
      <c r="A12" s="8"/>
      <c r="C12" s="18" t="s">
        <v>321</v>
      </c>
      <c r="D12" s="19" t="s">
        <v>322</v>
      </c>
      <c r="E12" s="20"/>
      <c r="F12" s="20"/>
      <c r="G12" s="20"/>
      <c r="H12" s="21"/>
      <c r="I12" s="22" t="s">
        <v>323</v>
      </c>
      <c r="J12" s="23">
        <f>$H$2</f>
        <v>2026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  <c r="W12" s="8"/>
      <c r="X12" s="8"/>
      <c r="Y12" s="8"/>
      <c r="Z12" s="8"/>
    </row>
    <row r="13" ht="14.25" customHeight="1">
      <c r="A13" s="8"/>
      <c r="C13" s="24"/>
      <c r="D13" s="25"/>
      <c r="H13" s="26"/>
      <c r="I13" s="24"/>
      <c r="J13" s="25"/>
      <c r="V13" s="26"/>
      <c r="W13" s="8"/>
      <c r="X13" s="8"/>
      <c r="Y13" s="8"/>
      <c r="Z13" s="8"/>
    </row>
    <row r="14" ht="14.25" customHeight="1">
      <c r="A14" s="8"/>
      <c r="C14" s="27"/>
      <c r="D14" s="28"/>
      <c r="E14" s="29"/>
      <c r="F14" s="29"/>
      <c r="G14" s="29"/>
      <c r="H14" s="30"/>
      <c r="I14" s="27"/>
      <c r="J14" s="31" t="s">
        <v>324</v>
      </c>
      <c r="K14" s="31" t="s">
        <v>325</v>
      </c>
      <c r="L14" s="31" t="s">
        <v>326</v>
      </c>
      <c r="M14" s="31" t="s">
        <v>327</v>
      </c>
      <c r="N14" s="31" t="s">
        <v>328</v>
      </c>
      <c r="O14" s="31" t="s">
        <v>329</v>
      </c>
      <c r="P14" s="31" t="s">
        <v>330</v>
      </c>
      <c r="Q14" s="31" t="s">
        <v>331</v>
      </c>
      <c r="R14" s="31" t="s">
        <v>332</v>
      </c>
      <c r="S14" s="31" t="s">
        <v>333</v>
      </c>
      <c r="T14" s="31" t="s">
        <v>334</v>
      </c>
      <c r="U14" s="31" t="s">
        <v>335</v>
      </c>
      <c r="V14" s="31" t="s">
        <v>336</v>
      </c>
      <c r="W14" s="8"/>
      <c r="X14" s="8"/>
      <c r="Y14" s="8"/>
      <c r="Z14" s="8"/>
    </row>
    <row r="15" ht="14.25" customHeight="1">
      <c r="A15" s="8"/>
      <c r="C15" s="31">
        <v>1.0</v>
      </c>
      <c r="D15" s="32">
        <v>2.0</v>
      </c>
      <c r="E15" s="33"/>
      <c r="F15" s="33"/>
      <c r="G15" s="33"/>
      <c r="H15" s="34"/>
      <c r="I15" s="35">
        <v>3.0</v>
      </c>
      <c r="J15" s="36">
        <v>4.0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8"/>
      <c r="V15" s="39">
        <v>5.0</v>
      </c>
      <c r="W15" s="8"/>
      <c r="X15" s="8"/>
      <c r="Y15" s="8"/>
      <c r="Z15" s="8"/>
    </row>
    <row r="16" ht="14.25" customHeight="1">
      <c r="A16" s="8"/>
      <c r="C16" s="40"/>
      <c r="D16" s="41"/>
      <c r="E16" s="42"/>
      <c r="F16" s="42"/>
      <c r="G16" s="42"/>
      <c r="H16" s="43"/>
      <c r="I16" s="44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8"/>
      <c r="X16" s="8"/>
      <c r="Y16" s="8"/>
      <c r="Z16" s="8"/>
    </row>
    <row r="17" ht="14.25" customHeight="1">
      <c r="A17" s="8"/>
      <c r="C17" s="46">
        <v>1.0</v>
      </c>
      <c r="D17" s="47" t="s">
        <v>337</v>
      </c>
      <c r="E17" s="33"/>
      <c r="F17" s="33"/>
      <c r="G17" s="33"/>
      <c r="H17" s="34"/>
      <c r="I17" s="44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8"/>
      <c r="X17" s="8"/>
      <c r="Y17" s="8"/>
      <c r="Z17" s="8"/>
    </row>
    <row r="18" ht="14.25" customHeight="1">
      <c r="A18" s="8"/>
      <c r="C18" s="46"/>
      <c r="D18" s="46">
        <v>1.0</v>
      </c>
      <c r="E18" s="47" t="s">
        <v>338</v>
      </c>
      <c r="F18" s="33"/>
      <c r="G18" s="33"/>
      <c r="H18" s="34"/>
      <c r="I18" s="44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8"/>
      <c r="X18" s="8"/>
      <c r="Y18" s="8"/>
      <c r="Z18" s="8"/>
    </row>
    <row r="19" ht="14.25" customHeight="1">
      <c r="A19" s="8"/>
      <c r="C19" s="46"/>
      <c r="D19" s="46"/>
      <c r="E19" s="48">
        <v>1.0</v>
      </c>
      <c r="F19" s="47" t="s">
        <v>339</v>
      </c>
      <c r="G19" s="33"/>
      <c r="H19" s="34"/>
      <c r="I19" s="44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8"/>
      <c r="X19" s="8"/>
      <c r="Y19" s="8"/>
      <c r="Z19" s="8"/>
    </row>
    <row r="20" ht="14.25" customHeight="1">
      <c r="A20" s="8"/>
      <c r="B20" s="7" t="s">
        <v>340</v>
      </c>
      <c r="C20" s="46"/>
      <c r="D20" s="46"/>
      <c r="E20" s="48"/>
      <c r="F20" s="48">
        <v>1.0</v>
      </c>
      <c r="G20" s="47" t="s">
        <v>341</v>
      </c>
      <c r="H20" s="34"/>
      <c r="I20" s="47" t="s">
        <v>342</v>
      </c>
      <c r="J20" s="49">
        <v>4.0</v>
      </c>
      <c r="K20" s="50">
        <v>8.0</v>
      </c>
      <c r="L20" s="51">
        <v>12.0</v>
      </c>
      <c r="M20" s="51">
        <v>10.0</v>
      </c>
      <c r="N20" s="50">
        <v>7.0</v>
      </c>
      <c r="O20" s="51">
        <v>14.0</v>
      </c>
      <c r="P20" s="52"/>
      <c r="Q20" s="52"/>
      <c r="R20" s="52"/>
      <c r="S20" s="52"/>
      <c r="T20" s="52"/>
      <c r="U20" s="52"/>
      <c r="V20" s="53">
        <f t="shared" ref="V20:V39" si="1">SUM(J20:U20)</f>
        <v>55</v>
      </c>
      <c r="W20" s="8"/>
      <c r="X20" s="8"/>
      <c r="Y20" s="8"/>
      <c r="Z20" s="8"/>
    </row>
    <row r="21" ht="14.25" customHeight="1">
      <c r="A21" s="8"/>
      <c r="B21" s="7" t="s">
        <v>340</v>
      </c>
      <c r="C21" s="46"/>
      <c r="D21" s="46"/>
      <c r="E21" s="54"/>
      <c r="F21" s="55"/>
      <c r="G21" s="56"/>
      <c r="H21" s="57"/>
      <c r="I21" s="47" t="s">
        <v>343</v>
      </c>
      <c r="J21" s="49">
        <v>139291.0</v>
      </c>
      <c r="K21" s="58">
        <v>111201.0</v>
      </c>
      <c r="L21" s="59">
        <v>172807.0</v>
      </c>
      <c r="M21" s="51">
        <v>197021.0</v>
      </c>
      <c r="N21" s="50">
        <v>112145.0</v>
      </c>
      <c r="O21" s="59">
        <v>231509.0</v>
      </c>
      <c r="P21" s="52"/>
      <c r="Q21" s="52"/>
      <c r="R21" s="52"/>
      <c r="S21" s="52"/>
      <c r="T21" s="52"/>
      <c r="U21" s="52"/>
      <c r="V21" s="53">
        <f t="shared" si="1"/>
        <v>963974</v>
      </c>
      <c r="W21" s="8"/>
      <c r="X21" s="8"/>
      <c r="Y21" s="8"/>
      <c r="Z21" s="8"/>
    </row>
    <row r="22" ht="14.25" customHeight="1">
      <c r="A22" s="8"/>
      <c r="B22" s="7" t="s">
        <v>344</v>
      </c>
      <c r="C22" s="46"/>
      <c r="D22" s="46"/>
      <c r="E22" s="48"/>
      <c r="F22" s="48">
        <v>2.0</v>
      </c>
      <c r="G22" s="47" t="s">
        <v>345</v>
      </c>
      <c r="H22" s="34"/>
      <c r="I22" s="47" t="s">
        <v>342</v>
      </c>
      <c r="J22" s="49">
        <v>1.0</v>
      </c>
      <c r="K22" s="58">
        <v>4.0</v>
      </c>
      <c r="L22" s="58">
        <v>3.0</v>
      </c>
      <c r="M22" s="51">
        <v>5.0</v>
      </c>
      <c r="N22" s="50">
        <v>6.0</v>
      </c>
      <c r="O22" s="59">
        <v>2.0</v>
      </c>
      <c r="P22" s="52"/>
      <c r="Q22" s="52"/>
      <c r="R22" s="52"/>
      <c r="S22" s="52"/>
      <c r="T22" s="52"/>
      <c r="U22" s="52"/>
      <c r="V22" s="53">
        <f t="shared" si="1"/>
        <v>21</v>
      </c>
      <c r="W22" s="8"/>
      <c r="X22" s="8"/>
      <c r="Y22" s="8"/>
      <c r="Z22" s="8"/>
    </row>
    <row r="23" ht="14.25" customHeight="1">
      <c r="A23" s="8"/>
      <c r="B23" s="7" t="s">
        <v>344</v>
      </c>
      <c r="C23" s="46"/>
      <c r="D23" s="46"/>
      <c r="E23" s="46"/>
      <c r="F23" s="55"/>
      <c r="G23" s="56"/>
      <c r="H23" s="57"/>
      <c r="I23" s="47" t="s">
        <v>343</v>
      </c>
      <c r="J23" s="49">
        <v>5072.0</v>
      </c>
      <c r="K23" s="58">
        <v>24819.0</v>
      </c>
      <c r="L23" s="58">
        <v>15090.0</v>
      </c>
      <c r="M23" s="51">
        <v>33124.0</v>
      </c>
      <c r="N23" s="50">
        <v>36145.0</v>
      </c>
      <c r="O23" s="59">
        <v>9999.0</v>
      </c>
      <c r="P23" s="52"/>
      <c r="Q23" s="52"/>
      <c r="R23" s="52"/>
      <c r="S23" s="52"/>
      <c r="T23" s="52"/>
      <c r="U23" s="52"/>
      <c r="V23" s="53">
        <f t="shared" si="1"/>
        <v>124249</v>
      </c>
      <c r="W23" s="8"/>
      <c r="X23" s="8"/>
      <c r="Y23" s="8"/>
      <c r="Z23" s="8"/>
    </row>
    <row r="24" ht="14.25" customHeight="1">
      <c r="A24" s="8"/>
      <c r="B24" s="7" t="s">
        <v>346</v>
      </c>
      <c r="C24" s="46"/>
      <c r="D24" s="46"/>
      <c r="E24" s="54"/>
      <c r="F24" s="48">
        <v>3.0</v>
      </c>
      <c r="G24" s="47" t="s">
        <v>347</v>
      </c>
      <c r="H24" s="34"/>
      <c r="I24" s="47" t="s">
        <v>342</v>
      </c>
      <c r="J24" s="60"/>
      <c r="K24" s="61"/>
      <c r="L24" s="62"/>
      <c r="M24" s="61"/>
      <c r="N24" s="61"/>
      <c r="O24" s="62"/>
      <c r="P24" s="52"/>
      <c r="Q24" s="52"/>
      <c r="R24" s="52"/>
      <c r="S24" s="52"/>
      <c r="T24" s="52"/>
      <c r="U24" s="52"/>
      <c r="V24" s="53">
        <f t="shared" si="1"/>
        <v>0</v>
      </c>
      <c r="W24" s="8"/>
      <c r="X24" s="8"/>
      <c r="Y24" s="8"/>
      <c r="Z24" s="8"/>
    </row>
    <row r="25" ht="14.25" customHeight="1">
      <c r="A25" s="8"/>
      <c r="B25" s="7" t="s">
        <v>346</v>
      </c>
      <c r="C25" s="46"/>
      <c r="D25" s="46"/>
      <c r="E25" s="54"/>
      <c r="F25" s="55"/>
      <c r="G25" s="56"/>
      <c r="H25" s="57"/>
      <c r="I25" s="47" t="s">
        <v>343</v>
      </c>
      <c r="J25" s="60"/>
      <c r="K25" s="61"/>
      <c r="L25" s="62"/>
      <c r="M25" s="61"/>
      <c r="N25" s="61"/>
      <c r="O25" s="62"/>
      <c r="P25" s="52"/>
      <c r="Q25" s="52"/>
      <c r="R25" s="52"/>
      <c r="S25" s="52"/>
      <c r="T25" s="52"/>
      <c r="U25" s="52"/>
      <c r="V25" s="53">
        <f t="shared" si="1"/>
        <v>0</v>
      </c>
      <c r="W25" s="8"/>
      <c r="X25" s="8"/>
      <c r="Y25" s="8"/>
      <c r="Z25" s="8"/>
    </row>
    <row r="26" ht="14.25" customHeight="1">
      <c r="A26" s="8"/>
      <c r="B26" s="7" t="s">
        <v>348</v>
      </c>
      <c r="C26" s="46"/>
      <c r="D26" s="46"/>
      <c r="E26" s="48"/>
      <c r="F26" s="48">
        <v>4.0</v>
      </c>
      <c r="G26" s="47" t="s">
        <v>349</v>
      </c>
      <c r="H26" s="34"/>
      <c r="I26" s="47" t="s">
        <v>342</v>
      </c>
      <c r="J26" s="60"/>
      <c r="K26" s="61"/>
      <c r="L26" s="62"/>
      <c r="M26" s="61"/>
      <c r="N26" s="61"/>
      <c r="O26" s="62"/>
      <c r="P26" s="52"/>
      <c r="Q26" s="52"/>
      <c r="R26" s="52"/>
      <c r="S26" s="52"/>
      <c r="T26" s="52"/>
      <c r="U26" s="52"/>
      <c r="V26" s="53">
        <f t="shared" si="1"/>
        <v>0</v>
      </c>
      <c r="W26" s="8"/>
      <c r="X26" s="8"/>
      <c r="Y26" s="8"/>
      <c r="Z26" s="8"/>
    </row>
    <row r="27" ht="14.25" customHeight="1">
      <c r="A27" s="8"/>
      <c r="B27" s="7" t="s">
        <v>348</v>
      </c>
      <c r="C27" s="46"/>
      <c r="D27" s="46"/>
      <c r="E27" s="46"/>
      <c r="F27" s="55"/>
      <c r="G27" s="56"/>
      <c r="H27" s="57"/>
      <c r="I27" s="47" t="s">
        <v>343</v>
      </c>
      <c r="J27" s="60"/>
      <c r="K27" s="61"/>
      <c r="L27" s="62"/>
      <c r="M27" s="61"/>
      <c r="N27" s="61"/>
      <c r="O27" s="62"/>
      <c r="P27" s="52"/>
      <c r="Q27" s="52"/>
      <c r="R27" s="52"/>
      <c r="S27" s="52"/>
      <c r="T27" s="52"/>
      <c r="U27" s="52"/>
      <c r="V27" s="53">
        <f t="shared" si="1"/>
        <v>0</v>
      </c>
      <c r="W27" s="8"/>
      <c r="X27" s="8"/>
      <c r="Y27" s="8"/>
      <c r="Z27" s="8"/>
    </row>
    <row r="28" ht="14.25" customHeight="1">
      <c r="A28" s="8"/>
      <c r="B28" s="7" t="s">
        <v>350</v>
      </c>
      <c r="C28" s="63"/>
      <c r="D28" s="46"/>
      <c r="E28" s="48"/>
      <c r="F28" s="48">
        <v>5.0</v>
      </c>
      <c r="G28" s="47" t="s">
        <v>351</v>
      </c>
      <c r="H28" s="34"/>
      <c r="I28" s="47" t="s">
        <v>342</v>
      </c>
      <c r="J28" s="49">
        <v>3.0</v>
      </c>
      <c r="K28" s="50">
        <v>9.0</v>
      </c>
      <c r="L28" s="59">
        <v>8.0</v>
      </c>
      <c r="M28" s="51">
        <v>9.0</v>
      </c>
      <c r="N28" s="50">
        <v>7.0</v>
      </c>
      <c r="O28" s="59">
        <v>8.0</v>
      </c>
      <c r="P28" s="52"/>
      <c r="Q28" s="52"/>
      <c r="R28" s="52"/>
      <c r="S28" s="52"/>
      <c r="T28" s="52"/>
      <c r="U28" s="52"/>
      <c r="V28" s="53">
        <f t="shared" si="1"/>
        <v>44</v>
      </c>
      <c r="W28" s="8"/>
      <c r="X28" s="8"/>
      <c r="Y28" s="8"/>
      <c r="Z28" s="8"/>
    </row>
    <row r="29" ht="14.25" customHeight="1">
      <c r="A29" s="8"/>
      <c r="B29" s="7" t="s">
        <v>350</v>
      </c>
      <c r="C29" s="63"/>
      <c r="D29" s="46"/>
      <c r="E29" s="64"/>
      <c r="F29" s="55"/>
      <c r="G29" s="56"/>
      <c r="H29" s="57"/>
      <c r="I29" s="47" t="s">
        <v>343</v>
      </c>
      <c r="J29" s="49">
        <v>93516.0</v>
      </c>
      <c r="K29" s="58">
        <v>272703.0</v>
      </c>
      <c r="L29" s="59">
        <v>251792.0</v>
      </c>
      <c r="M29" s="51">
        <v>249242.0</v>
      </c>
      <c r="N29" s="50">
        <v>246829.0</v>
      </c>
      <c r="O29" s="59">
        <v>246925.0</v>
      </c>
      <c r="P29" s="52"/>
      <c r="Q29" s="52"/>
      <c r="R29" s="52"/>
      <c r="S29" s="52"/>
      <c r="T29" s="52"/>
      <c r="U29" s="52"/>
      <c r="V29" s="53">
        <f t="shared" si="1"/>
        <v>1361007</v>
      </c>
      <c r="W29" s="8"/>
      <c r="X29" s="8"/>
      <c r="Y29" s="8"/>
      <c r="Z29" s="8"/>
    </row>
    <row r="30" ht="14.25" customHeight="1">
      <c r="A30" s="8"/>
      <c r="B30" s="7" t="s">
        <v>352</v>
      </c>
      <c r="C30" s="46"/>
      <c r="D30" s="46"/>
      <c r="E30" s="48"/>
      <c r="F30" s="48">
        <v>6.0</v>
      </c>
      <c r="G30" s="47" t="s">
        <v>353</v>
      </c>
      <c r="H30" s="34"/>
      <c r="I30" s="47" t="s">
        <v>342</v>
      </c>
      <c r="J30" s="65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3">
        <f t="shared" si="1"/>
        <v>0</v>
      </c>
      <c r="W30" s="8"/>
      <c r="X30" s="8"/>
      <c r="Y30" s="8"/>
      <c r="Z30" s="8"/>
    </row>
    <row r="31" ht="14.25" customHeight="1">
      <c r="A31" s="8"/>
      <c r="B31" s="7" t="s">
        <v>352</v>
      </c>
      <c r="C31" s="46"/>
      <c r="D31" s="46"/>
      <c r="E31" s="64"/>
      <c r="F31" s="55"/>
      <c r="G31" s="56"/>
      <c r="H31" s="57"/>
      <c r="I31" s="47" t="s">
        <v>343</v>
      </c>
      <c r="J31" s="65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3">
        <f t="shared" si="1"/>
        <v>0</v>
      </c>
      <c r="W31" s="8"/>
      <c r="X31" s="8"/>
      <c r="Y31" s="8"/>
      <c r="Z31" s="8"/>
    </row>
    <row r="32" ht="14.25" customHeight="1">
      <c r="A32" s="8"/>
      <c r="B32" s="7" t="s">
        <v>354</v>
      </c>
      <c r="C32" s="46"/>
      <c r="D32" s="46"/>
      <c r="E32" s="48"/>
      <c r="F32" s="66">
        <v>7.0</v>
      </c>
      <c r="G32" s="67" t="s">
        <v>355</v>
      </c>
      <c r="H32" s="34"/>
      <c r="I32" s="47" t="s">
        <v>342</v>
      </c>
      <c r="J32" s="65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3">
        <f t="shared" si="1"/>
        <v>0</v>
      </c>
      <c r="W32" s="8"/>
      <c r="X32" s="8"/>
      <c r="Y32" s="8"/>
      <c r="Z32" s="8"/>
    </row>
    <row r="33" ht="14.25" customHeight="1">
      <c r="A33" s="8"/>
      <c r="B33" s="7" t="s">
        <v>354</v>
      </c>
      <c r="C33" s="46"/>
      <c r="D33" s="46"/>
      <c r="E33" s="64"/>
      <c r="F33" s="55"/>
      <c r="G33" s="56"/>
      <c r="H33" s="57"/>
      <c r="I33" s="47" t="s">
        <v>343</v>
      </c>
      <c r="J33" s="65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3">
        <f t="shared" si="1"/>
        <v>0</v>
      </c>
      <c r="W33" s="8"/>
      <c r="X33" s="8"/>
      <c r="Y33" s="8"/>
      <c r="Z33" s="8"/>
    </row>
    <row r="34" ht="14.25" customHeight="1">
      <c r="A34" s="8"/>
      <c r="B34" s="7" t="s">
        <v>356</v>
      </c>
      <c r="C34" s="46"/>
      <c r="D34" s="46"/>
      <c r="E34" s="48"/>
      <c r="F34" s="66">
        <v>8.0</v>
      </c>
      <c r="G34" s="67" t="s">
        <v>357</v>
      </c>
      <c r="H34" s="34"/>
      <c r="I34" s="47" t="s">
        <v>342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3">
        <f t="shared" si="1"/>
        <v>0</v>
      </c>
      <c r="W34" s="8"/>
      <c r="X34" s="8"/>
      <c r="Y34" s="8"/>
      <c r="Z34" s="8"/>
    </row>
    <row r="35" ht="14.25" customHeight="1">
      <c r="A35" s="8"/>
      <c r="B35" s="7" t="s">
        <v>356</v>
      </c>
      <c r="C35" s="46"/>
      <c r="D35" s="46"/>
      <c r="E35" s="64"/>
      <c r="F35" s="55"/>
      <c r="G35" s="56"/>
      <c r="H35" s="57"/>
      <c r="I35" s="47" t="s">
        <v>343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3">
        <f t="shared" si="1"/>
        <v>0</v>
      </c>
      <c r="W35" s="8"/>
      <c r="X35" s="8"/>
      <c r="Y35" s="8"/>
      <c r="Z35" s="8"/>
    </row>
    <row r="36" ht="14.25" customHeight="1">
      <c r="A36" s="8"/>
      <c r="B36" s="7" t="s">
        <v>358</v>
      </c>
      <c r="C36" s="46"/>
      <c r="D36" s="46"/>
      <c r="E36" s="48"/>
      <c r="F36" s="66">
        <v>9.0</v>
      </c>
      <c r="G36" s="67" t="s">
        <v>359</v>
      </c>
      <c r="H36" s="34"/>
      <c r="I36" s="47" t="s">
        <v>342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3">
        <f t="shared" si="1"/>
        <v>0</v>
      </c>
      <c r="W36" s="8"/>
      <c r="X36" s="8"/>
      <c r="Y36" s="8"/>
      <c r="Z36" s="8"/>
    </row>
    <row r="37" ht="14.25" customHeight="1">
      <c r="A37" s="8"/>
      <c r="B37" s="7" t="s">
        <v>358</v>
      </c>
      <c r="C37" s="46"/>
      <c r="D37" s="46"/>
      <c r="E37" s="46"/>
      <c r="F37" s="55"/>
      <c r="G37" s="56"/>
      <c r="H37" s="57"/>
      <c r="I37" s="47" t="s">
        <v>343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3">
        <f t="shared" si="1"/>
        <v>0</v>
      </c>
      <c r="W37" s="8"/>
      <c r="X37" s="8"/>
      <c r="Y37" s="8"/>
      <c r="Z37" s="8"/>
    </row>
    <row r="38" ht="14.25" customHeight="1">
      <c r="A38" s="8"/>
      <c r="B38" s="7" t="s">
        <v>360</v>
      </c>
      <c r="C38" s="46"/>
      <c r="D38" s="46"/>
      <c r="E38" s="48"/>
      <c r="F38" s="66">
        <v>10.0</v>
      </c>
      <c r="G38" s="67" t="s">
        <v>361</v>
      </c>
      <c r="H38" s="34"/>
      <c r="I38" s="47" t="s">
        <v>342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3">
        <f t="shared" si="1"/>
        <v>0</v>
      </c>
      <c r="W38" s="8"/>
      <c r="X38" s="8"/>
      <c r="Y38" s="8"/>
      <c r="Z38" s="8"/>
    </row>
    <row r="39" ht="14.25" customHeight="1">
      <c r="A39" s="8"/>
      <c r="B39" s="7" t="s">
        <v>360</v>
      </c>
      <c r="C39" s="46"/>
      <c r="D39" s="46"/>
      <c r="E39" s="46"/>
      <c r="F39" s="55"/>
      <c r="G39" s="68"/>
      <c r="H39" s="69"/>
      <c r="I39" s="47" t="s">
        <v>343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>
        <f t="shared" si="1"/>
        <v>0</v>
      </c>
      <c r="W39" s="8"/>
      <c r="X39" s="8"/>
      <c r="Y39" s="8"/>
      <c r="Z39" s="8"/>
    </row>
    <row r="40" ht="14.25" customHeight="1">
      <c r="A40" s="8"/>
      <c r="C40" s="46"/>
      <c r="D40" s="46"/>
      <c r="E40" s="47"/>
      <c r="F40" s="70"/>
      <c r="G40" s="68"/>
      <c r="H40" s="69"/>
      <c r="I40" s="47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8"/>
      <c r="X40" s="8"/>
      <c r="Y40" s="8"/>
      <c r="Z40" s="8"/>
    </row>
    <row r="41" ht="14.25" customHeight="1">
      <c r="A41" s="8"/>
      <c r="C41" s="46"/>
      <c r="D41" s="46"/>
      <c r="E41" s="46">
        <v>2.0</v>
      </c>
      <c r="F41" s="56" t="s">
        <v>362</v>
      </c>
      <c r="G41" s="33"/>
      <c r="H41" s="34"/>
      <c r="I41" s="47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8"/>
      <c r="X41" s="8"/>
      <c r="Y41" s="8"/>
      <c r="Z41" s="8"/>
    </row>
    <row r="42" ht="14.25" customHeight="1">
      <c r="A42" s="8"/>
      <c r="B42" s="7" t="s">
        <v>363</v>
      </c>
      <c r="C42" s="46"/>
      <c r="D42" s="46"/>
      <c r="E42" s="48"/>
      <c r="F42" s="48">
        <v>1.0</v>
      </c>
      <c r="G42" s="47" t="s">
        <v>341</v>
      </c>
      <c r="H42" s="34"/>
      <c r="I42" s="47" t="s">
        <v>342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53">
        <f t="shared" ref="V42:V57" si="2">SUM(J42:U42)</f>
        <v>0</v>
      </c>
      <c r="W42" s="8"/>
      <c r="X42" s="8"/>
      <c r="Y42" s="8"/>
      <c r="Z42" s="8"/>
    </row>
    <row r="43" ht="14.25" customHeight="1">
      <c r="A43" s="8"/>
      <c r="B43" s="7" t="s">
        <v>363</v>
      </c>
      <c r="C43" s="46"/>
      <c r="D43" s="46"/>
      <c r="E43" s="46"/>
      <c r="F43" s="55"/>
      <c r="G43" s="56"/>
      <c r="H43" s="57"/>
      <c r="I43" s="47" t="s">
        <v>343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53">
        <f t="shared" si="2"/>
        <v>0</v>
      </c>
      <c r="W43" s="8"/>
      <c r="X43" s="8"/>
      <c r="Y43" s="8"/>
      <c r="Z43" s="8"/>
    </row>
    <row r="44" ht="14.25" customHeight="1">
      <c r="A44" s="8"/>
      <c r="B44" s="7" t="s">
        <v>364</v>
      </c>
      <c r="C44" s="46"/>
      <c r="D44" s="46"/>
      <c r="E44" s="48"/>
      <c r="F44" s="48">
        <v>2.0</v>
      </c>
      <c r="G44" s="47" t="s">
        <v>345</v>
      </c>
      <c r="H44" s="34"/>
      <c r="I44" s="47" t="s">
        <v>342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53">
        <f t="shared" si="2"/>
        <v>0</v>
      </c>
      <c r="W44" s="8"/>
      <c r="X44" s="8"/>
      <c r="Y44" s="8"/>
      <c r="Z44" s="8"/>
    </row>
    <row r="45" ht="14.25" customHeight="1">
      <c r="A45" s="8"/>
      <c r="B45" s="7" t="s">
        <v>364</v>
      </c>
      <c r="C45" s="46"/>
      <c r="D45" s="46"/>
      <c r="E45" s="46"/>
      <c r="F45" s="55"/>
      <c r="G45" s="56"/>
      <c r="H45" s="57"/>
      <c r="I45" s="47" t="s">
        <v>343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53">
        <f t="shared" si="2"/>
        <v>0</v>
      </c>
      <c r="W45" s="8"/>
      <c r="X45" s="8"/>
      <c r="Y45" s="8"/>
      <c r="Z45" s="8"/>
    </row>
    <row r="46" ht="14.25" customHeight="1">
      <c r="A46" s="8"/>
      <c r="B46" s="7" t="s">
        <v>365</v>
      </c>
      <c r="C46" s="46"/>
      <c r="D46" s="46"/>
      <c r="E46" s="54"/>
      <c r="F46" s="48">
        <v>3.0</v>
      </c>
      <c r="G46" s="47" t="s">
        <v>347</v>
      </c>
      <c r="H46" s="34"/>
      <c r="I46" s="47" t="s">
        <v>342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53">
        <f t="shared" si="2"/>
        <v>0</v>
      </c>
      <c r="W46" s="8"/>
      <c r="X46" s="8"/>
      <c r="Y46" s="8"/>
      <c r="Z46" s="8"/>
    </row>
    <row r="47" ht="14.25" customHeight="1">
      <c r="A47" s="8"/>
      <c r="B47" s="7" t="s">
        <v>365</v>
      </c>
      <c r="C47" s="46"/>
      <c r="D47" s="46"/>
      <c r="E47" s="54"/>
      <c r="F47" s="55"/>
      <c r="G47" s="56"/>
      <c r="H47" s="57"/>
      <c r="I47" s="47" t="s">
        <v>343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53">
        <f t="shared" si="2"/>
        <v>0</v>
      </c>
      <c r="W47" s="8"/>
      <c r="X47" s="8"/>
      <c r="Y47" s="8"/>
      <c r="Z47" s="8"/>
    </row>
    <row r="48" ht="14.25" customHeight="1">
      <c r="A48" s="8"/>
      <c r="B48" s="7" t="s">
        <v>366</v>
      </c>
      <c r="C48" s="46"/>
      <c r="D48" s="46"/>
      <c r="E48" s="48"/>
      <c r="F48" s="48">
        <v>4.0</v>
      </c>
      <c r="G48" s="47" t="s">
        <v>349</v>
      </c>
      <c r="H48" s="34"/>
      <c r="I48" s="47" t="s">
        <v>342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53">
        <f t="shared" si="2"/>
        <v>0</v>
      </c>
      <c r="W48" s="8"/>
      <c r="X48" s="8"/>
      <c r="Y48" s="8"/>
      <c r="Z48" s="8"/>
    </row>
    <row r="49" ht="14.25" customHeight="1">
      <c r="A49" s="8"/>
      <c r="B49" s="7" t="s">
        <v>366</v>
      </c>
      <c r="C49" s="46"/>
      <c r="D49" s="46"/>
      <c r="E49" s="46"/>
      <c r="F49" s="55"/>
      <c r="G49" s="56"/>
      <c r="H49" s="57"/>
      <c r="I49" s="47" t="s">
        <v>343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53">
        <f t="shared" si="2"/>
        <v>0</v>
      </c>
      <c r="W49" s="8"/>
      <c r="X49" s="8"/>
      <c r="Y49" s="8"/>
      <c r="Z49" s="8"/>
    </row>
    <row r="50" ht="14.25" customHeight="1">
      <c r="A50" s="8"/>
      <c r="B50" s="7" t="s">
        <v>367</v>
      </c>
      <c r="C50" s="46"/>
      <c r="D50" s="46"/>
      <c r="E50" s="48"/>
      <c r="F50" s="48">
        <v>5.0</v>
      </c>
      <c r="G50" s="47" t="s">
        <v>351</v>
      </c>
      <c r="H50" s="34"/>
      <c r="I50" s="47" t="s">
        <v>342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53">
        <f t="shared" si="2"/>
        <v>0</v>
      </c>
      <c r="W50" s="8"/>
      <c r="X50" s="8"/>
      <c r="Y50" s="8"/>
      <c r="Z50" s="8"/>
    </row>
    <row r="51" ht="14.25" customHeight="1">
      <c r="A51" s="8"/>
      <c r="B51" s="7" t="s">
        <v>367</v>
      </c>
      <c r="C51" s="46"/>
      <c r="D51" s="46"/>
      <c r="E51" s="46"/>
      <c r="F51" s="55"/>
      <c r="G51" s="56"/>
      <c r="H51" s="57"/>
      <c r="I51" s="47" t="s">
        <v>343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53">
        <f t="shared" si="2"/>
        <v>0</v>
      </c>
      <c r="W51" s="8"/>
      <c r="X51" s="8"/>
      <c r="Y51" s="8"/>
      <c r="Z51" s="8"/>
    </row>
    <row r="52" ht="14.25" customHeight="1">
      <c r="A52" s="8"/>
      <c r="B52" s="7" t="s">
        <v>368</v>
      </c>
      <c r="C52" s="46"/>
      <c r="D52" s="46"/>
      <c r="E52" s="54"/>
      <c r="F52" s="48">
        <v>6.0</v>
      </c>
      <c r="G52" s="47" t="s">
        <v>353</v>
      </c>
      <c r="H52" s="34"/>
      <c r="I52" s="47" t="s">
        <v>342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53">
        <f t="shared" si="2"/>
        <v>0</v>
      </c>
      <c r="W52" s="8"/>
      <c r="X52" s="8"/>
      <c r="Y52" s="8"/>
      <c r="Z52" s="8"/>
    </row>
    <row r="53" ht="14.25" customHeight="1">
      <c r="A53" s="8"/>
      <c r="B53" s="7" t="s">
        <v>368</v>
      </c>
      <c r="C53" s="46"/>
      <c r="D53" s="46"/>
      <c r="E53" s="54"/>
      <c r="F53" s="55"/>
      <c r="G53" s="71"/>
      <c r="H53" s="72"/>
      <c r="I53" s="47" t="s">
        <v>343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53">
        <f t="shared" si="2"/>
        <v>0</v>
      </c>
      <c r="W53" s="8"/>
      <c r="X53" s="8"/>
      <c r="Y53" s="8"/>
      <c r="Z53" s="8"/>
    </row>
    <row r="54" ht="14.25" customHeight="1">
      <c r="A54" s="8"/>
      <c r="B54" s="7" t="s">
        <v>369</v>
      </c>
      <c r="C54" s="63"/>
      <c r="D54" s="46"/>
      <c r="E54" s="47"/>
      <c r="F54" s="48">
        <v>7.0</v>
      </c>
      <c r="G54" s="47" t="s">
        <v>370</v>
      </c>
      <c r="H54" s="34"/>
      <c r="I54" s="47" t="s">
        <v>342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53">
        <f t="shared" si="2"/>
        <v>0</v>
      </c>
      <c r="W54" s="8"/>
      <c r="X54" s="8"/>
      <c r="Y54" s="8"/>
      <c r="Z54" s="8"/>
    </row>
    <row r="55" ht="14.25" customHeight="1">
      <c r="A55" s="8"/>
      <c r="B55" s="7" t="s">
        <v>369</v>
      </c>
      <c r="C55" s="63"/>
      <c r="D55" s="46"/>
      <c r="E55" s="47"/>
      <c r="F55" s="55"/>
      <c r="G55" s="71"/>
      <c r="H55" s="72"/>
      <c r="I55" s="47" t="s">
        <v>343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53">
        <f t="shared" si="2"/>
        <v>0</v>
      </c>
      <c r="W55" s="8"/>
      <c r="X55" s="8"/>
      <c r="Y55" s="8"/>
      <c r="Z55" s="8"/>
    </row>
    <row r="56" ht="14.25" customHeight="1">
      <c r="A56" s="8"/>
      <c r="B56" s="7" t="s">
        <v>371</v>
      </c>
      <c r="C56" s="63"/>
      <c r="D56" s="46"/>
      <c r="E56" s="47"/>
      <c r="F56" s="64">
        <v>8.0</v>
      </c>
      <c r="G56" s="47" t="s">
        <v>372</v>
      </c>
      <c r="H56" s="34"/>
      <c r="I56" s="47" t="s">
        <v>342</v>
      </c>
      <c r="J56" s="60"/>
      <c r="K56" s="60"/>
      <c r="L56" s="58">
        <v>2.0</v>
      </c>
      <c r="M56" s="60"/>
      <c r="N56" s="60"/>
      <c r="O56" s="60"/>
      <c r="P56" s="60"/>
      <c r="Q56" s="60"/>
      <c r="R56" s="60"/>
      <c r="S56" s="60"/>
      <c r="T56" s="60"/>
      <c r="U56" s="60"/>
      <c r="V56" s="53">
        <f t="shared" si="2"/>
        <v>2</v>
      </c>
      <c r="W56" s="8"/>
      <c r="X56" s="8"/>
      <c r="Y56" s="8"/>
      <c r="Z56" s="8"/>
    </row>
    <row r="57" ht="14.25" customHeight="1">
      <c r="A57" s="8"/>
      <c r="B57" s="7" t="s">
        <v>371</v>
      </c>
      <c r="C57" s="63"/>
      <c r="D57" s="46"/>
      <c r="E57" s="47"/>
      <c r="F57" s="70"/>
      <c r="G57" s="71" t="s">
        <v>373</v>
      </c>
      <c r="H57" s="34"/>
      <c r="I57" s="47" t="s">
        <v>343</v>
      </c>
      <c r="J57" s="60"/>
      <c r="K57" s="60"/>
      <c r="L57" s="58">
        <v>4153.0</v>
      </c>
      <c r="M57" s="60"/>
      <c r="N57" s="60"/>
      <c r="O57" s="60"/>
      <c r="P57" s="60"/>
      <c r="Q57" s="60"/>
      <c r="R57" s="60"/>
      <c r="S57" s="60"/>
      <c r="T57" s="60"/>
      <c r="U57" s="60"/>
      <c r="V57" s="53">
        <f t="shared" si="2"/>
        <v>4153</v>
      </c>
      <c r="W57" s="8"/>
      <c r="X57" s="8"/>
      <c r="Y57" s="8"/>
      <c r="Z57" s="8"/>
    </row>
    <row r="58" ht="14.25" customHeight="1">
      <c r="A58" s="8"/>
      <c r="C58" s="63"/>
      <c r="D58" s="46"/>
      <c r="E58" s="47"/>
      <c r="F58" s="33"/>
      <c r="G58" s="33"/>
      <c r="H58" s="34"/>
      <c r="I58" s="47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8"/>
      <c r="X58" s="8"/>
      <c r="Y58" s="8"/>
      <c r="Z58" s="8"/>
    </row>
    <row r="59" ht="14.25" customHeight="1">
      <c r="A59" s="8"/>
      <c r="C59" s="46"/>
      <c r="D59" s="46">
        <v>2.0</v>
      </c>
      <c r="E59" s="47" t="s">
        <v>374</v>
      </c>
      <c r="F59" s="33"/>
      <c r="G59" s="33"/>
      <c r="H59" s="34"/>
      <c r="I59" s="44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8"/>
      <c r="X59" s="8"/>
      <c r="Y59" s="8"/>
      <c r="Z59" s="8"/>
    </row>
    <row r="60" ht="14.25" customHeight="1">
      <c r="A60" s="8"/>
      <c r="C60" s="46"/>
      <c r="D60" s="46"/>
      <c r="E60" s="48">
        <v>1.0</v>
      </c>
      <c r="F60" s="47" t="s">
        <v>339</v>
      </c>
      <c r="G60" s="33"/>
      <c r="H60" s="34"/>
      <c r="I60" s="44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8"/>
      <c r="X60" s="8"/>
      <c r="Y60" s="8"/>
      <c r="Z60" s="8"/>
    </row>
    <row r="61" ht="14.25" customHeight="1">
      <c r="A61" s="8"/>
      <c r="B61" s="7" t="s">
        <v>375</v>
      </c>
      <c r="C61" s="46"/>
      <c r="D61" s="46"/>
      <c r="E61" s="48"/>
      <c r="F61" s="48">
        <v>1.0</v>
      </c>
      <c r="G61" s="47" t="s">
        <v>341</v>
      </c>
      <c r="H61" s="34"/>
      <c r="I61" s="47" t="s">
        <v>342</v>
      </c>
      <c r="J61" s="73">
        <v>6.0</v>
      </c>
      <c r="K61" s="50">
        <v>14.0</v>
      </c>
      <c r="L61" s="58">
        <v>7.0</v>
      </c>
      <c r="M61" s="50">
        <v>10.0</v>
      </c>
      <c r="N61" s="50">
        <v>17.0</v>
      </c>
      <c r="O61" s="58">
        <v>10.0</v>
      </c>
      <c r="P61" s="60"/>
      <c r="Q61" s="60"/>
      <c r="R61" s="60"/>
      <c r="S61" s="60"/>
      <c r="T61" s="60"/>
      <c r="U61" s="60"/>
      <c r="V61" s="53">
        <f t="shared" ref="V61:V78" si="3">SUM(J61:U61)</f>
        <v>64</v>
      </c>
      <c r="W61" s="8"/>
      <c r="X61" s="8"/>
      <c r="Y61" s="8"/>
      <c r="Z61" s="8"/>
    </row>
    <row r="62" ht="14.25" customHeight="1">
      <c r="A62" s="8"/>
      <c r="B62" s="7" t="s">
        <v>375</v>
      </c>
      <c r="C62" s="46"/>
      <c r="D62" s="46"/>
      <c r="E62" s="54"/>
      <c r="F62" s="55"/>
      <c r="G62" s="56"/>
      <c r="H62" s="57"/>
      <c r="I62" s="47" t="s">
        <v>343</v>
      </c>
      <c r="J62" s="73">
        <v>16919.0</v>
      </c>
      <c r="K62" s="58">
        <v>34602.0</v>
      </c>
      <c r="L62" s="58">
        <v>25305.0</v>
      </c>
      <c r="M62" s="58">
        <v>35601.0</v>
      </c>
      <c r="N62" s="50">
        <v>51318.0</v>
      </c>
      <c r="O62" s="58">
        <v>36954.0</v>
      </c>
      <c r="P62" s="60"/>
      <c r="Q62" s="60"/>
      <c r="R62" s="60"/>
      <c r="S62" s="60"/>
      <c r="T62" s="60"/>
      <c r="U62" s="60"/>
      <c r="V62" s="53">
        <f t="shared" si="3"/>
        <v>200699</v>
      </c>
      <c r="W62" s="8"/>
      <c r="X62" s="8"/>
      <c r="Y62" s="8"/>
      <c r="Z62" s="8"/>
    </row>
    <row r="63" ht="14.25" customHeight="1">
      <c r="A63" s="8"/>
      <c r="B63" s="7" t="s">
        <v>376</v>
      </c>
      <c r="C63" s="46"/>
      <c r="D63" s="46"/>
      <c r="E63" s="48"/>
      <c r="F63" s="48">
        <v>2.0</v>
      </c>
      <c r="G63" s="47" t="s">
        <v>345</v>
      </c>
      <c r="H63" s="34"/>
      <c r="I63" s="47" t="s">
        <v>342</v>
      </c>
      <c r="J63" s="73">
        <v>7.0</v>
      </c>
      <c r="K63" s="58">
        <v>7.0</v>
      </c>
      <c r="L63" s="58">
        <v>9.0</v>
      </c>
      <c r="M63" s="58">
        <v>6.0</v>
      </c>
      <c r="N63" s="50">
        <v>7.0</v>
      </c>
      <c r="O63" s="58">
        <v>6.0</v>
      </c>
      <c r="P63" s="60"/>
      <c r="Q63" s="60"/>
      <c r="R63" s="60"/>
      <c r="S63" s="60"/>
      <c r="T63" s="60"/>
      <c r="U63" s="60"/>
      <c r="V63" s="53">
        <f t="shared" si="3"/>
        <v>42</v>
      </c>
      <c r="W63" s="8"/>
      <c r="X63" s="8"/>
      <c r="Y63" s="8"/>
      <c r="Z63" s="8"/>
    </row>
    <row r="64" ht="14.25" customHeight="1">
      <c r="A64" s="8"/>
      <c r="B64" s="7" t="s">
        <v>376</v>
      </c>
      <c r="C64" s="46"/>
      <c r="D64" s="46"/>
      <c r="E64" s="46"/>
      <c r="F64" s="55"/>
      <c r="G64" s="56"/>
      <c r="H64" s="57"/>
      <c r="I64" s="47" t="s">
        <v>343</v>
      </c>
      <c r="J64" s="73">
        <v>31895.0</v>
      </c>
      <c r="K64" s="58">
        <v>25279.0</v>
      </c>
      <c r="L64" s="58">
        <v>26872.0</v>
      </c>
      <c r="M64" s="58">
        <v>21523.0</v>
      </c>
      <c r="N64" s="50">
        <v>25717.0</v>
      </c>
      <c r="O64" s="58">
        <v>17147.0</v>
      </c>
      <c r="P64" s="60"/>
      <c r="Q64" s="60"/>
      <c r="R64" s="60"/>
      <c r="S64" s="60"/>
      <c r="T64" s="60"/>
      <c r="U64" s="60"/>
      <c r="V64" s="53">
        <f t="shared" si="3"/>
        <v>148433</v>
      </c>
      <c r="W64" s="8"/>
      <c r="X64" s="8"/>
      <c r="Y64" s="8"/>
      <c r="Z64" s="8"/>
    </row>
    <row r="65" ht="14.25" customHeight="1">
      <c r="A65" s="8"/>
      <c r="B65" s="7" t="s">
        <v>377</v>
      </c>
      <c r="C65" s="46"/>
      <c r="D65" s="46"/>
      <c r="E65" s="54"/>
      <c r="F65" s="48">
        <v>3.0</v>
      </c>
      <c r="G65" s="47" t="s">
        <v>347</v>
      </c>
      <c r="H65" s="34"/>
      <c r="I65" s="47" t="s">
        <v>342</v>
      </c>
      <c r="J65" s="60"/>
      <c r="K65" s="61"/>
      <c r="L65" s="58">
        <v>0.0</v>
      </c>
      <c r="M65" s="58">
        <v>0.0</v>
      </c>
      <c r="N65" s="50">
        <v>0.0</v>
      </c>
      <c r="O65" s="58">
        <v>0.0</v>
      </c>
      <c r="P65" s="60"/>
      <c r="Q65" s="60"/>
      <c r="R65" s="60"/>
      <c r="S65" s="60"/>
      <c r="T65" s="60"/>
      <c r="U65" s="60"/>
      <c r="V65" s="53">
        <f t="shared" si="3"/>
        <v>0</v>
      </c>
      <c r="W65" s="8"/>
      <c r="X65" s="8"/>
      <c r="Y65" s="8"/>
      <c r="Z65" s="8"/>
    </row>
    <row r="66" ht="14.25" customHeight="1">
      <c r="A66" s="8"/>
      <c r="B66" s="7" t="s">
        <v>377</v>
      </c>
      <c r="C66" s="46"/>
      <c r="D66" s="46"/>
      <c r="E66" s="54"/>
      <c r="F66" s="55"/>
      <c r="G66" s="56"/>
      <c r="H66" s="57"/>
      <c r="I66" s="47" t="s">
        <v>343</v>
      </c>
      <c r="J66" s="60"/>
      <c r="K66" s="61"/>
      <c r="L66" s="58">
        <v>0.0</v>
      </c>
      <c r="M66" s="58">
        <v>0.0</v>
      </c>
      <c r="N66" s="50">
        <v>0.0</v>
      </c>
      <c r="O66" s="58">
        <v>0.0</v>
      </c>
      <c r="P66" s="60"/>
      <c r="Q66" s="60"/>
      <c r="R66" s="60"/>
      <c r="S66" s="60"/>
      <c r="T66" s="60"/>
      <c r="U66" s="60"/>
      <c r="V66" s="53">
        <f t="shared" si="3"/>
        <v>0</v>
      </c>
      <c r="W66" s="8"/>
      <c r="X66" s="8"/>
      <c r="Y66" s="8"/>
      <c r="Z66" s="8"/>
    </row>
    <row r="67" ht="14.25" customHeight="1">
      <c r="A67" s="8"/>
      <c r="B67" s="7" t="s">
        <v>378</v>
      </c>
      <c r="C67" s="46"/>
      <c r="D67" s="46"/>
      <c r="E67" s="48"/>
      <c r="F67" s="48">
        <v>4.0</v>
      </c>
      <c r="G67" s="47" t="s">
        <v>349</v>
      </c>
      <c r="H67" s="34"/>
      <c r="I67" s="47" t="s">
        <v>342</v>
      </c>
      <c r="J67" s="60"/>
      <c r="K67" s="61"/>
      <c r="L67" s="62"/>
      <c r="M67" s="62"/>
      <c r="N67" s="61"/>
      <c r="O67" s="62"/>
      <c r="P67" s="60"/>
      <c r="Q67" s="60"/>
      <c r="R67" s="60"/>
      <c r="S67" s="60"/>
      <c r="T67" s="60"/>
      <c r="U67" s="60"/>
      <c r="V67" s="53">
        <f t="shared" si="3"/>
        <v>0</v>
      </c>
      <c r="W67" s="8"/>
      <c r="X67" s="8"/>
      <c r="Y67" s="8"/>
      <c r="Z67" s="8"/>
    </row>
    <row r="68" ht="14.25" customHeight="1">
      <c r="A68" s="8"/>
      <c r="B68" s="7" t="s">
        <v>378</v>
      </c>
      <c r="C68" s="46"/>
      <c r="D68" s="46"/>
      <c r="E68" s="46"/>
      <c r="F68" s="55"/>
      <c r="G68" s="56"/>
      <c r="H68" s="57"/>
      <c r="I68" s="47" t="s">
        <v>343</v>
      </c>
      <c r="J68" s="60"/>
      <c r="K68" s="61"/>
      <c r="L68" s="62"/>
      <c r="M68" s="62"/>
      <c r="N68" s="61"/>
      <c r="O68" s="62"/>
      <c r="P68" s="60"/>
      <c r="Q68" s="60"/>
      <c r="R68" s="60"/>
      <c r="S68" s="60"/>
      <c r="T68" s="60"/>
      <c r="U68" s="60"/>
      <c r="V68" s="53">
        <f t="shared" si="3"/>
        <v>0</v>
      </c>
      <c r="W68" s="8"/>
      <c r="X68" s="8"/>
      <c r="Y68" s="8"/>
      <c r="Z68" s="8"/>
    </row>
    <row r="69" ht="14.25" customHeight="1">
      <c r="A69" s="8"/>
      <c r="B69" s="7" t="s">
        <v>379</v>
      </c>
      <c r="C69" s="46"/>
      <c r="D69" s="46"/>
      <c r="E69" s="48"/>
      <c r="F69" s="48">
        <v>5.0</v>
      </c>
      <c r="G69" s="47" t="s">
        <v>351</v>
      </c>
      <c r="H69" s="34"/>
      <c r="I69" s="47" t="s">
        <v>342</v>
      </c>
      <c r="J69" s="73">
        <v>2.0</v>
      </c>
      <c r="K69" s="50">
        <v>3.0</v>
      </c>
      <c r="L69" s="58">
        <v>3.0</v>
      </c>
      <c r="M69" s="58">
        <v>3.0</v>
      </c>
      <c r="N69" s="50">
        <v>7.0</v>
      </c>
      <c r="O69" s="58">
        <v>5.0</v>
      </c>
      <c r="P69" s="60"/>
      <c r="Q69" s="60"/>
      <c r="R69" s="60"/>
      <c r="S69" s="60"/>
      <c r="T69" s="60"/>
      <c r="U69" s="60"/>
      <c r="V69" s="53">
        <f t="shared" si="3"/>
        <v>23</v>
      </c>
      <c r="W69" s="8"/>
      <c r="X69" s="8"/>
      <c r="Y69" s="8"/>
      <c r="Z69" s="8"/>
    </row>
    <row r="70" ht="14.25" customHeight="1">
      <c r="A70" s="8"/>
      <c r="B70" s="7" t="s">
        <v>379</v>
      </c>
      <c r="C70" s="46"/>
      <c r="D70" s="46"/>
      <c r="E70" s="64"/>
      <c r="F70" s="55"/>
      <c r="G70" s="56"/>
      <c r="H70" s="57"/>
      <c r="I70" s="47" t="s">
        <v>343</v>
      </c>
      <c r="J70" s="73">
        <v>9716.0</v>
      </c>
      <c r="K70" s="58">
        <v>11910.0</v>
      </c>
      <c r="L70" s="58">
        <v>11588.0</v>
      </c>
      <c r="M70" s="58">
        <v>11498.0</v>
      </c>
      <c r="N70" s="50">
        <v>30124.0</v>
      </c>
      <c r="O70" s="58">
        <v>14812.0</v>
      </c>
      <c r="P70" s="60"/>
      <c r="Q70" s="60"/>
      <c r="R70" s="60"/>
      <c r="S70" s="60"/>
      <c r="T70" s="60"/>
      <c r="U70" s="60"/>
      <c r="V70" s="53">
        <f t="shared" si="3"/>
        <v>89648</v>
      </c>
      <c r="W70" s="8"/>
      <c r="X70" s="8"/>
      <c r="Y70" s="8"/>
      <c r="Z70" s="8"/>
    </row>
    <row r="71" ht="14.25" customHeight="1">
      <c r="A71" s="8"/>
      <c r="B71" s="7" t="s">
        <v>380</v>
      </c>
      <c r="C71" s="46"/>
      <c r="D71" s="46"/>
      <c r="E71" s="48"/>
      <c r="F71" s="48">
        <v>6.0</v>
      </c>
      <c r="G71" s="47" t="s">
        <v>353</v>
      </c>
      <c r="H71" s="34"/>
      <c r="I71" s="47" t="s">
        <v>342</v>
      </c>
      <c r="J71" s="60"/>
      <c r="K71" s="50">
        <v>1.0</v>
      </c>
      <c r="L71" s="58">
        <v>1.0</v>
      </c>
      <c r="M71" s="58">
        <v>1.0</v>
      </c>
      <c r="N71" s="50">
        <v>1.0</v>
      </c>
      <c r="O71" s="58">
        <v>2.0</v>
      </c>
      <c r="P71" s="60"/>
      <c r="Q71" s="60"/>
      <c r="R71" s="60"/>
      <c r="S71" s="60"/>
      <c r="T71" s="60"/>
      <c r="U71" s="60"/>
      <c r="V71" s="53">
        <f t="shared" si="3"/>
        <v>6</v>
      </c>
      <c r="W71" s="8"/>
      <c r="X71" s="8"/>
      <c r="Y71" s="8"/>
      <c r="Z71" s="8"/>
    </row>
    <row r="72" ht="14.25" customHeight="1">
      <c r="A72" s="8"/>
      <c r="B72" s="7" t="s">
        <v>380</v>
      </c>
      <c r="C72" s="46"/>
      <c r="D72" s="46"/>
      <c r="E72" s="64"/>
      <c r="F72" s="55"/>
      <c r="G72" s="56"/>
      <c r="H72" s="57"/>
      <c r="I72" s="47" t="s">
        <v>343</v>
      </c>
      <c r="J72" s="60"/>
      <c r="K72" s="50">
        <v>11512.0</v>
      </c>
      <c r="L72" s="58">
        <v>11512.0</v>
      </c>
      <c r="M72" s="58">
        <v>11512.0</v>
      </c>
      <c r="N72" s="50">
        <v>11512.0</v>
      </c>
      <c r="O72" s="58">
        <v>23024.0</v>
      </c>
      <c r="P72" s="60"/>
      <c r="Q72" s="60"/>
      <c r="R72" s="60"/>
      <c r="S72" s="60"/>
      <c r="T72" s="60"/>
      <c r="U72" s="60"/>
      <c r="V72" s="53">
        <f t="shared" si="3"/>
        <v>69072</v>
      </c>
      <c r="W72" s="8"/>
      <c r="X72" s="8"/>
      <c r="Y72" s="8"/>
      <c r="Z72" s="8"/>
    </row>
    <row r="73" ht="14.25" customHeight="1">
      <c r="A73" s="8"/>
      <c r="B73" s="7" t="s">
        <v>381</v>
      </c>
      <c r="C73" s="46"/>
      <c r="D73" s="46"/>
      <c r="E73" s="48"/>
      <c r="F73" s="66">
        <v>7.0</v>
      </c>
      <c r="G73" s="47" t="s">
        <v>355</v>
      </c>
      <c r="H73" s="34"/>
      <c r="I73" s="47" t="s">
        <v>342</v>
      </c>
      <c r="J73" s="73"/>
      <c r="K73" s="60"/>
      <c r="L73" s="58">
        <v>238.0</v>
      </c>
      <c r="M73" s="58">
        <v>1.0</v>
      </c>
      <c r="N73" s="50">
        <v>2.0</v>
      </c>
      <c r="O73" s="62"/>
      <c r="P73" s="60"/>
      <c r="Q73" s="60"/>
      <c r="R73" s="60"/>
      <c r="S73" s="60"/>
      <c r="T73" s="60"/>
      <c r="U73" s="60"/>
      <c r="V73" s="53">
        <f t="shared" si="3"/>
        <v>241</v>
      </c>
      <c r="W73" s="8"/>
      <c r="X73" s="8"/>
      <c r="Y73" s="8"/>
      <c r="Z73" s="8"/>
    </row>
    <row r="74" ht="14.25" customHeight="1">
      <c r="A74" s="8"/>
      <c r="B74" s="7" t="s">
        <v>381</v>
      </c>
      <c r="C74" s="46"/>
      <c r="D74" s="46"/>
      <c r="E74" s="64"/>
      <c r="F74" s="55"/>
      <c r="G74" s="56"/>
      <c r="H74" s="57"/>
      <c r="I74" s="47" t="s">
        <v>343</v>
      </c>
      <c r="J74" s="73"/>
      <c r="K74" s="60"/>
      <c r="L74" s="58">
        <v>2022277.0</v>
      </c>
      <c r="M74" s="58">
        <v>6527.0</v>
      </c>
      <c r="N74" s="50">
        <v>13493.0</v>
      </c>
      <c r="O74" s="62"/>
      <c r="P74" s="60"/>
      <c r="Q74" s="60"/>
      <c r="R74" s="60"/>
      <c r="S74" s="60"/>
      <c r="T74" s="60"/>
      <c r="U74" s="60"/>
      <c r="V74" s="53">
        <f t="shared" si="3"/>
        <v>2042297</v>
      </c>
      <c r="W74" s="8"/>
      <c r="X74" s="8"/>
      <c r="Y74" s="8"/>
      <c r="Z74" s="8"/>
    </row>
    <row r="75" ht="14.25" customHeight="1">
      <c r="A75" s="8"/>
      <c r="B75" s="7" t="s">
        <v>382</v>
      </c>
      <c r="C75" s="46"/>
      <c r="D75" s="46"/>
      <c r="E75" s="48"/>
      <c r="F75" s="66">
        <v>8.0</v>
      </c>
      <c r="G75" s="47" t="s">
        <v>357</v>
      </c>
      <c r="H75" s="34"/>
      <c r="I75" s="47" t="s">
        <v>342</v>
      </c>
      <c r="J75" s="60"/>
      <c r="K75" s="60"/>
      <c r="L75" s="60"/>
      <c r="M75" s="62"/>
      <c r="N75" s="60"/>
      <c r="O75" s="62"/>
      <c r="P75" s="60"/>
      <c r="Q75" s="60"/>
      <c r="R75" s="60"/>
      <c r="S75" s="60"/>
      <c r="T75" s="60"/>
      <c r="U75" s="60"/>
      <c r="V75" s="53">
        <f t="shared" si="3"/>
        <v>0</v>
      </c>
      <c r="W75" s="8"/>
      <c r="X75" s="8"/>
      <c r="Y75" s="8"/>
      <c r="Z75" s="8"/>
    </row>
    <row r="76" ht="14.25" customHeight="1">
      <c r="A76" s="8"/>
      <c r="B76" s="7" t="s">
        <v>382</v>
      </c>
      <c r="C76" s="46"/>
      <c r="D76" s="46"/>
      <c r="E76" s="64"/>
      <c r="F76" s="55"/>
      <c r="G76" s="56"/>
      <c r="H76" s="57"/>
      <c r="I76" s="47" t="s">
        <v>343</v>
      </c>
      <c r="J76" s="60"/>
      <c r="K76" s="60"/>
      <c r="L76" s="60"/>
      <c r="M76" s="62"/>
      <c r="N76" s="60"/>
      <c r="O76" s="62"/>
      <c r="P76" s="60"/>
      <c r="Q76" s="60"/>
      <c r="R76" s="60"/>
      <c r="S76" s="60"/>
      <c r="T76" s="60"/>
      <c r="U76" s="60"/>
      <c r="V76" s="53">
        <f t="shared" si="3"/>
        <v>0</v>
      </c>
      <c r="W76" s="8"/>
      <c r="X76" s="8"/>
      <c r="Y76" s="8"/>
      <c r="Z76" s="8"/>
    </row>
    <row r="77" ht="14.25" customHeight="1">
      <c r="A77" s="8"/>
      <c r="B77" s="7" t="s">
        <v>383</v>
      </c>
      <c r="C77" s="46"/>
      <c r="D77" s="46"/>
      <c r="E77" s="48"/>
      <c r="F77" s="66">
        <v>9.0</v>
      </c>
      <c r="G77" s="67" t="s">
        <v>361</v>
      </c>
      <c r="H77" s="34"/>
      <c r="I77" s="47" t="s">
        <v>342</v>
      </c>
      <c r="J77" s="60"/>
      <c r="K77" s="60"/>
      <c r="L77" s="60"/>
      <c r="M77" s="62"/>
      <c r="N77" s="60"/>
      <c r="O77" s="62"/>
      <c r="P77" s="60"/>
      <c r="Q77" s="60"/>
      <c r="R77" s="60"/>
      <c r="S77" s="60"/>
      <c r="T77" s="60"/>
      <c r="U77" s="60"/>
      <c r="V77" s="53">
        <f t="shared" si="3"/>
        <v>0</v>
      </c>
      <c r="W77" s="8"/>
      <c r="X77" s="8"/>
      <c r="Y77" s="8"/>
      <c r="Z77" s="8"/>
    </row>
    <row r="78" ht="14.25" customHeight="1">
      <c r="A78" s="8"/>
      <c r="B78" s="7" t="s">
        <v>383</v>
      </c>
      <c r="C78" s="46"/>
      <c r="D78" s="46"/>
      <c r="E78" s="46"/>
      <c r="F78" s="55"/>
      <c r="G78" s="68"/>
      <c r="H78" s="69"/>
      <c r="I78" s="47" t="s">
        <v>343</v>
      </c>
      <c r="J78" s="60"/>
      <c r="K78" s="60"/>
      <c r="L78" s="60"/>
      <c r="M78" s="62"/>
      <c r="N78" s="60"/>
      <c r="O78" s="62"/>
      <c r="P78" s="60"/>
      <c r="Q78" s="60"/>
      <c r="R78" s="60"/>
      <c r="S78" s="60"/>
      <c r="T78" s="60"/>
      <c r="U78" s="60"/>
      <c r="V78" s="53">
        <f t="shared" si="3"/>
        <v>0</v>
      </c>
      <c r="W78" s="8"/>
      <c r="X78" s="8"/>
      <c r="Y78" s="8"/>
      <c r="Z78" s="8"/>
    </row>
    <row r="79" ht="14.25" customHeight="1">
      <c r="A79" s="8"/>
      <c r="C79" s="46"/>
      <c r="D79" s="46"/>
      <c r="E79" s="54"/>
      <c r="F79" s="68"/>
      <c r="G79" s="68"/>
      <c r="H79" s="69"/>
      <c r="I79" s="47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8"/>
      <c r="X79" s="8"/>
      <c r="Y79" s="8"/>
      <c r="Z79" s="8"/>
    </row>
    <row r="80" ht="14.25" customHeight="1">
      <c r="A80" s="8"/>
      <c r="C80" s="46"/>
      <c r="D80" s="46"/>
      <c r="E80" s="46">
        <v>2.0</v>
      </c>
      <c r="F80" s="56" t="s">
        <v>362</v>
      </c>
      <c r="G80" s="33"/>
      <c r="H80" s="34"/>
      <c r="I80" s="47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8"/>
      <c r="X80" s="8"/>
      <c r="Y80" s="8"/>
      <c r="Z80" s="8"/>
    </row>
    <row r="81" ht="14.25" customHeight="1">
      <c r="A81" s="8"/>
      <c r="B81" s="7" t="s">
        <v>384</v>
      </c>
      <c r="C81" s="46"/>
      <c r="D81" s="46"/>
      <c r="E81" s="48"/>
      <c r="F81" s="48">
        <v>1.0</v>
      </c>
      <c r="G81" s="47" t="s">
        <v>341</v>
      </c>
      <c r="H81" s="34"/>
      <c r="I81" s="47" t="s">
        <v>342</v>
      </c>
      <c r="J81" s="74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53">
        <f t="shared" ref="V81:V96" si="4">SUM(J81:U81)</f>
        <v>0</v>
      </c>
      <c r="W81" s="8"/>
      <c r="X81" s="8"/>
      <c r="Y81" s="8"/>
      <c r="Z81" s="8"/>
    </row>
    <row r="82" ht="14.25" customHeight="1">
      <c r="A82" s="8"/>
      <c r="B82" s="7" t="s">
        <v>384</v>
      </c>
      <c r="C82" s="46"/>
      <c r="D82" s="46"/>
      <c r="E82" s="46"/>
      <c r="F82" s="55"/>
      <c r="G82" s="56"/>
      <c r="H82" s="57"/>
      <c r="I82" s="47" t="s">
        <v>343</v>
      </c>
      <c r="J82" s="74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53">
        <f t="shared" si="4"/>
        <v>0</v>
      </c>
      <c r="W82" s="8"/>
      <c r="X82" s="8"/>
      <c r="Y82" s="8"/>
      <c r="Z82" s="8"/>
    </row>
    <row r="83" ht="14.25" customHeight="1">
      <c r="A83" s="8"/>
      <c r="B83" s="7" t="s">
        <v>385</v>
      </c>
      <c r="C83" s="46"/>
      <c r="D83" s="46"/>
      <c r="E83" s="48"/>
      <c r="F83" s="48">
        <v>2.0</v>
      </c>
      <c r="G83" s="47" t="s">
        <v>345</v>
      </c>
      <c r="H83" s="34"/>
      <c r="I83" s="47" t="s">
        <v>342</v>
      </c>
      <c r="J83" s="65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53">
        <f t="shared" si="4"/>
        <v>0</v>
      </c>
      <c r="W83" s="8"/>
      <c r="X83" s="8"/>
      <c r="Y83" s="8"/>
      <c r="Z83" s="8"/>
    </row>
    <row r="84" ht="14.25" customHeight="1">
      <c r="A84" s="8"/>
      <c r="B84" s="7" t="s">
        <v>385</v>
      </c>
      <c r="C84" s="46"/>
      <c r="D84" s="46"/>
      <c r="E84" s="46"/>
      <c r="F84" s="55"/>
      <c r="G84" s="56"/>
      <c r="H84" s="57"/>
      <c r="I84" s="47" t="s">
        <v>343</v>
      </c>
      <c r="J84" s="65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53">
        <f t="shared" si="4"/>
        <v>0</v>
      </c>
      <c r="W84" s="8"/>
      <c r="X84" s="8"/>
      <c r="Y84" s="8"/>
      <c r="Z84" s="8"/>
    </row>
    <row r="85" ht="14.25" customHeight="1">
      <c r="A85" s="8"/>
      <c r="B85" s="7" t="s">
        <v>386</v>
      </c>
      <c r="C85" s="46"/>
      <c r="D85" s="46"/>
      <c r="E85" s="54"/>
      <c r="F85" s="48">
        <v>3.0</v>
      </c>
      <c r="G85" s="47" t="s">
        <v>347</v>
      </c>
      <c r="H85" s="34"/>
      <c r="I85" s="47" t="s">
        <v>342</v>
      </c>
      <c r="J85" s="65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53">
        <f t="shared" si="4"/>
        <v>0</v>
      </c>
      <c r="W85" s="8"/>
      <c r="X85" s="8"/>
      <c r="Y85" s="8"/>
      <c r="Z85" s="8"/>
    </row>
    <row r="86" ht="14.25" customHeight="1">
      <c r="A86" s="8"/>
      <c r="B86" s="7" t="s">
        <v>386</v>
      </c>
      <c r="C86" s="46"/>
      <c r="D86" s="46"/>
      <c r="E86" s="54"/>
      <c r="F86" s="55"/>
      <c r="G86" s="56"/>
      <c r="H86" s="57"/>
      <c r="I86" s="47" t="s">
        <v>343</v>
      </c>
      <c r="J86" s="65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53">
        <f t="shared" si="4"/>
        <v>0</v>
      </c>
      <c r="W86" s="8"/>
      <c r="X86" s="8"/>
      <c r="Y86" s="8"/>
      <c r="Z86" s="8"/>
    </row>
    <row r="87" ht="14.25" customHeight="1">
      <c r="A87" s="8"/>
      <c r="B87" s="7" t="s">
        <v>387</v>
      </c>
      <c r="C87" s="46"/>
      <c r="D87" s="46"/>
      <c r="E87" s="48"/>
      <c r="F87" s="48">
        <v>4.0</v>
      </c>
      <c r="G87" s="47" t="s">
        <v>349</v>
      </c>
      <c r="H87" s="34"/>
      <c r="I87" s="47" t="s">
        <v>342</v>
      </c>
      <c r="J87" s="65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53">
        <f t="shared" si="4"/>
        <v>0</v>
      </c>
      <c r="W87" s="8"/>
      <c r="X87" s="8"/>
      <c r="Y87" s="8"/>
      <c r="Z87" s="8"/>
    </row>
    <row r="88" ht="14.25" customHeight="1">
      <c r="A88" s="8"/>
      <c r="B88" s="7" t="s">
        <v>387</v>
      </c>
      <c r="C88" s="46"/>
      <c r="D88" s="46"/>
      <c r="E88" s="46"/>
      <c r="F88" s="55"/>
      <c r="G88" s="56"/>
      <c r="H88" s="57"/>
      <c r="I88" s="47" t="s">
        <v>343</v>
      </c>
      <c r="J88" s="65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53">
        <f t="shared" si="4"/>
        <v>0</v>
      </c>
      <c r="W88" s="8"/>
      <c r="X88" s="8"/>
      <c r="Y88" s="8"/>
      <c r="Z88" s="8"/>
    </row>
    <row r="89" ht="14.25" customHeight="1">
      <c r="A89" s="8"/>
      <c r="B89" s="7" t="s">
        <v>388</v>
      </c>
      <c r="C89" s="46"/>
      <c r="D89" s="46"/>
      <c r="E89" s="48"/>
      <c r="F89" s="48">
        <v>5.0</v>
      </c>
      <c r="G89" s="47" t="s">
        <v>351</v>
      </c>
      <c r="H89" s="34"/>
      <c r="I89" s="47" t="s">
        <v>342</v>
      </c>
      <c r="J89" s="74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53">
        <f t="shared" si="4"/>
        <v>0</v>
      </c>
      <c r="W89" s="8"/>
      <c r="X89" s="8"/>
      <c r="Y89" s="8"/>
      <c r="Z89" s="8"/>
    </row>
    <row r="90" ht="14.25" customHeight="1">
      <c r="A90" s="8"/>
      <c r="B90" s="7" t="s">
        <v>388</v>
      </c>
      <c r="C90" s="46"/>
      <c r="D90" s="46"/>
      <c r="E90" s="46"/>
      <c r="F90" s="55"/>
      <c r="G90" s="56"/>
      <c r="H90" s="57"/>
      <c r="I90" s="47" t="s">
        <v>343</v>
      </c>
      <c r="J90" s="74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53">
        <f t="shared" si="4"/>
        <v>0</v>
      </c>
      <c r="W90" s="8"/>
      <c r="X90" s="8"/>
      <c r="Y90" s="8"/>
      <c r="Z90" s="8"/>
    </row>
    <row r="91" ht="14.25" customHeight="1">
      <c r="A91" s="8"/>
      <c r="B91" s="7" t="s">
        <v>389</v>
      </c>
      <c r="C91" s="46"/>
      <c r="D91" s="46"/>
      <c r="E91" s="54"/>
      <c r="F91" s="48">
        <v>6.0</v>
      </c>
      <c r="G91" s="47" t="s">
        <v>353</v>
      </c>
      <c r="H91" s="34"/>
      <c r="I91" s="47" t="s">
        <v>342</v>
      </c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53">
        <f t="shared" si="4"/>
        <v>0</v>
      </c>
      <c r="W91" s="8"/>
      <c r="X91" s="8"/>
      <c r="Y91" s="8"/>
      <c r="Z91" s="8"/>
    </row>
    <row r="92" ht="14.25" customHeight="1">
      <c r="A92" s="8"/>
      <c r="B92" s="7" t="s">
        <v>389</v>
      </c>
      <c r="C92" s="46"/>
      <c r="D92" s="46"/>
      <c r="E92" s="54"/>
      <c r="F92" s="55"/>
      <c r="G92" s="71"/>
      <c r="H92" s="72"/>
      <c r="I92" s="47" t="s">
        <v>343</v>
      </c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53">
        <f t="shared" si="4"/>
        <v>0</v>
      </c>
      <c r="W92" s="8"/>
      <c r="X92" s="8"/>
      <c r="Y92" s="8"/>
      <c r="Z92" s="8"/>
    </row>
    <row r="93" ht="14.25" customHeight="1">
      <c r="A93" s="8"/>
      <c r="B93" s="7" t="s">
        <v>390</v>
      </c>
      <c r="C93" s="46"/>
      <c r="D93" s="46"/>
      <c r="E93" s="75"/>
      <c r="F93" s="48">
        <v>7.0</v>
      </c>
      <c r="G93" s="47" t="s">
        <v>370</v>
      </c>
      <c r="H93" s="34"/>
      <c r="I93" s="47" t="s">
        <v>342</v>
      </c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53">
        <f t="shared" si="4"/>
        <v>0</v>
      </c>
      <c r="W93" s="8"/>
      <c r="X93" s="8"/>
      <c r="Y93" s="8"/>
      <c r="Z93" s="8"/>
    </row>
    <row r="94" ht="14.25" customHeight="1">
      <c r="A94" s="8"/>
      <c r="B94" s="7" t="s">
        <v>390</v>
      </c>
      <c r="C94" s="46"/>
      <c r="D94" s="46"/>
      <c r="E94" s="75"/>
      <c r="F94" s="55"/>
      <c r="G94" s="71"/>
      <c r="H94" s="72"/>
      <c r="I94" s="47" t="s">
        <v>343</v>
      </c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53">
        <f t="shared" si="4"/>
        <v>0</v>
      </c>
      <c r="W94" s="8"/>
      <c r="X94" s="8"/>
      <c r="Y94" s="8"/>
      <c r="Z94" s="8"/>
    </row>
    <row r="95" ht="14.25" customHeight="1">
      <c r="A95" s="8"/>
      <c r="B95" s="7" t="s">
        <v>391</v>
      </c>
      <c r="C95" s="63"/>
      <c r="D95" s="46"/>
      <c r="E95" s="47"/>
      <c r="F95" s="64">
        <v>8.0</v>
      </c>
      <c r="G95" s="47" t="s">
        <v>372</v>
      </c>
      <c r="H95" s="34"/>
      <c r="I95" s="47" t="s">
        <v>342</v>
      </c>
      <c r="J95" s="73">
        <v>46.0</v>
      </c>
      <c r="K95" s="50">
        <v>73.0</v>
      </c>
      <c r="L95" s="58">
        <v>46.0</v>
      </c>
      <c r="M95" s="50">
        <v>82.0</v>
      </c>
      <c r="N95" s="50">
        <v>68.0</v>
      </c>
      <c r="O95" s="58">
        <v>73.0</v>
      </c>
      <c r="P95" s="60"/>
      <c r="Q95" s="60"/>
      <c r="R95" s="60"/>
      <c r="S95" s="60"/>
      <c r="T95" s="60"/>
      <c r="U95" s="60"/>
      <c r="V95" s="53">
        <f t="shared" si="4"/>
        <v>388</v>
      </c>
      <c r="W95" s="8"/>
      <c r="X95" s="8"/>
      <c r="Y95" s="8"/>
      <c r="Z95" s="8"/>
    </row>
    <row r="96" ht="14.25" customHeight="1">
      <c r="A96" s="8"/>
      <c r="B96" s="7" t="s">
        <v>391</v>
      </c>
      <c r="C96" s="63"/>
      <c r="D96" s="46"/>
      <c r="E96" s="47"/>
      <c r="F96" s="70"/>
      <c r="G96" s="71" t="s">
        <v>373</v>
      </c>
      <c r="H96" s="34"/>
      <c r="I96" s="47" t="s">
        <v>343</v>
      </c>
      <c r="J96" s="73">
        <v>81878.0</v>
      </c>
      <c r="K96" s="50">
        <v>124538.0</v>
      </c>
      <c r="L96" s="58">
        <v>81912.0</v>
      </c>
      <c r="M96" s="50">
        <v>139760.0</v>
      </c>
      <c r="N96" s="50">
        <v>123445.0</v>
      </c>
      <c r="O96" s="58">
        <v>124882.0</v>
      </c>
      <c r="P96" s="60"/>
      <c r="Q96" s="60"/>
      <c r="R96" s="60"/>
      <c r="S96" s="60"/>
      <c r="T96" s="60"/>
      <c r="U96" s="60"/>
      <c r="V96" s="53">
        <f t="shared" si="4"/>
        <v>676415</v>
      </c>
      <c r="W96" s="8"/>
      <c r="X96" s="8"/>
      <c r="Y96" s="8"/>
      <c r="Z96" s="8"/>
    </row>
    <row r="97" ht="14.25" customHeight="1">
      <c r="A97" s="8"/>
      <c r="C97" s="46"/>
      <c r="D97" s="46"/>
      <c r="E97" s="75"/>
      <c r="F97" s="68"/>
      <c r="G97" s="68"/>
      <c r="H97" s="69"/>
      <c r="I97" s="47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8"/>
      <c r="X97" s="8"/>
      <c r="Y97" s="8"/>
      <c r="Z97" s="8"/>
    </row>
    <row r="98" ht="14.25" customHeight="1">
      <c r="A98" s="8"/>
      <c r="B98" s="7" t="s">
        <v>392</v>
      </c>
      <c r="C98" s="46"/>
      <c r="D98" s="46">
        <v>3.0</v>
      </c>
      <c r="E98" s="47" t="s">
        <v>393</v>
      </c>
      <c r="F98" s="33"/>
      <c r="G98" s="33"/>
      <c r="H98" s="34"/>
      <c r="I98" s="47" t="s">
        <v>342</v>
      </c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53">
        <f t="shared" ref="V98:V99" si="5">SUM(J98:U98)</f>
        <v>0</v>
      </c>
      <c r="W98" s="8"/>
      <c r="X98" s="8"/>
      <c r="Y98" s="8"/>
      <c r="Z98" s="8"/>
    </row>
    <row r="99" ht="14.25" customHeight="1">
      <c r="A99" s="8"/>
      <c r="B99" s="7" t="s">
        <v>392</v>
      </c>
      <c r="C99" s="46"/>
      <c r="D99" s="46"/>
      <c r="E99" s="76"/>
      <c r="F99" s="56"/>
      <c r="G99" s="56"/>
      <c r="H99" s="57"/>
      <c r="I99" s="47" t="s">
        <v>343</v>
      </c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53">
        <f t="shared" si="5"/>
        <v>0</v>
      </c>
      <c r="W99" s="8"/>
      <c r="X99" s="8"/>
      <c r="Y99" s="8"/>
      <c r="Z99" s="8"/>
    </row>
    <row r="100" ht="14.25" customHeight="1">
      <c r="A100" s="8"/>
      <c r="C100" s="46"/>
      <c r="D100" s="46"/>
      <c r="E100" s="76"/>
      <c r="F100" s="56"/>
      <c r="G100" s="56"/>
      <c r="H100" s="57"/>
      <c r="I100" s="47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8"/>
      <c r="X100" s="8"/>
      <c r="Y100" s="8"/>
      <c r="Z100" s="8"/>
    </row>
    <row r="101" ht="14.25" customHeight="1">
      <c r="A101" s="8"/>
      <c r="B101" s="7" t="s">
        <v>394</v>
      </c>
      <c r="C101" s="46"/>
      <c r="D101" s="46">
        <v>4.0</v>
      </c>
      <c r="E101" s="47" t="s">
        <v>395</v>
      </c>
      <c r="F101" s="33"/>
      <c r="G101" s="33"/>
      <c r="H101" s="34"/>
      <c r="I101" s="47" t="s">
        <v>342</v>
      </c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53">
        <f t="shared" ref="V101:V102" si="6">SUM(J101:U101)</f>
        <v>0</v>
      </c>
      <c r="W101" s="8"/>
      <c r="X101" s="8"/>
      <c r="Y101" s="8"/>
      <c r="Z101" s="8"/>
    </row>
    <row r="102" ht="14.25" customHeight="1">
      <c r="A102" s="8"/>
      <c r="B102" s="7" t="s">
        <v>394</v>
      </c>
      <c r="C102" s="46"/>
      <c r="D102" s="46"/>
      <c r="E102" s="76"/>
      <c r="F102" s="56"/>
      <c r="G102" s="56"/>
      <c r="H102" s="57"/>
      <c r="I102" s="47" t="s">
        <v>343</v>
      </c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53">
        <f t="shared" si="6"/>
        <v>0</v>
      </c>
      <c r="W102" s="8"/>
      <c r="X102" s="8"/>
      <c r="Y102" s="8"/>
      <c r="Z102" s="8"/>
    </row>
    <row r="103" ht="14.25" customHeight="1">
      <c r="A103" s="8"/>
      <c r="C103" s="46"/>
      <c r="D103" s="46"/>
      <c r="E103" s="76"/>
      <c r="F103" s="56"/>
      <c r="G103" s="56"/>
      <c r="H103" s="57"/>
      <c r="I103" s="47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8"/>
      <c r="X103" s="8"/>
      <c r="Y103" s="8"/>
      <c r="Z103" s="8"/>
    </row>
    <row r="104" ht="14.25" customHeight="1">
      <c r="A104" s="8"/>
      <c r="C104" s="46"/>
      <c r="D104" s="46">
        <v>5.0</v>
      </c>
      <c r="E104" s="47" t="s">
        <v>396</v>
      </c>
      <c r="F104" s="33"/>
      <c r="G104" s="33"/>
      <c r="H104" s="34"/>
      <c r="I104" s="47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8"/>
      <c r="X104" s="8"/>
      <c r="Y104" s="8"/>
      <c r="Z104" s="8"/>
    </row>
    <row r="105" ht="14.25" customHeight="1">
      <c r="A105" s="8"/>
      <c r="B105" s="7" t="s">
        <v>397</v>
      </c>
      <c r="C105" s="46"/>
      <c r="D105" s="46"/>
      <c r="E105" s="64">
        <v>1.0</v>
      </c>
      <c r="F105" s="71" t="s">
        <v>398</v>
      </c>
      <c r="G105" s="33"/>
      <c r="H105" s="34"/>
      <c r="I105" s="47" t="s">
        <v>342</v>
      </c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53">
        <f t="shared" ref="V105:V112" si="7">SUM(J105:U105)</f>
        <v>0</v>
      </c>
      <c r="W105" s="8"/>
      <c r="X105" s="8"/>
      <c r="Y105" s="8"/>
      <c r="Z105" s="8"/>
    </row>
    <row r="106" ht="14.25" customHeight="1">
      <c r="A106" s="8"/>
      <c r="B106" s="7" t="s">
        <v>397</v>
      </c>
      <c r="C106" s="46"/>
      <c r="D106" s="46"/>
      <c r="E106" s="63"/>
      <c r="F106" s="56"/>
      <c r="G106" s="56"/>
      <c r="H106" s="57"/>
      <c r="I106" s="47" t="s">
        <v>343</v>
      </c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53">
        <f t="shared" si="7"/>
        <v>0</v>
      </c>
      <c r="W106" s="8"/>
      <c r="X106" s="8"/>
      <c r="Y106" s="8"/>
      <c r="Z106" s="8"/>
    </row>
    <row r="107" ht="14.25" customHeight="1">
      <c r="A107" s="8"/>
      <c r="B107" s="7" t="s">
        <v>399</v>
      </c>
      <c r="C107" s="63"/>
      <c r="D107" s="46"/>
      <c r="E107" s="64">
        <v>2.0</v>
      </c>
      <c r="F107" s="71" t="s">
        <v>400</v>
      </c>
      <c r="G107" s="33"/>
      <c r="H107" s="34"/>
      <c r="I107" s="47" t="s">
        <v>342</v>
      </c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53">
        <f t="shared" si="7"/>
        <v>0</v>
      </c>
      <c r="W107" s="8"/>
      <c r="X107" s="8"/>
      <c r="Y107" s="8"/>
      <c r="Z107" s="8"/>
    </row>
    <row r="108" ht="14.25" customHeight="1">
      <c r="A108" s="8"/>
      <c r="B108" s="7" t="s">
        <v>399</v>
      </c>
      <c r="C108" s="63"/>
      <c r="D108" s="46"/>
      <c r="E108" s="63"/>
      <c r="F108" s="56"/>
      <c r="G108" s="56"/>
      <c r="H108" s="57"/>
      <c r="I108" s="47" t="s">
        <v>343</v>
      </c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53">
        <f t="shared" si="7"/>
        <v>0</v>
      </c>
      <c r="W108" s="8"/>
      <c r="X108" s="8"/>
      <c r="Y108" s="8"/>
      <c r="Z108" s="8"/>
    </row>
    <row r="109" ht="14.25" customHeight="1">
      <c r="A109" s="8"/>
      <c r="B109" s="7" t="s">
        <v>401</v>
      </c>
      <c r="C109" s="46"/>
      <c r="D109" s="46"/>
      <c r="E109" s="64">
        <v>3.0</v>
      </c>
      <c r="F109" s="71" t="s">
        <v>402</v>
      </c>
      <c r="G109" s="33"/>
      <c r="H109" s="34"/>
      <c r="I109" s="47" t="s">
        <v>342</v>
      </c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53">
        <f t="shared" si="7"/>
        <v>0</v>
      </c>
      <c r="W109" s="8"/>
      <c r="X109" s="8"/>
      <c r="Y109" s="8"/>
      <c r="Z109" s="8"/>
    </row>
    <row r="110" ht="14.25" customHeight="1">
      <c r="A110" s="8"/>
      <c r="B110" s="7" t="s">
        <v>401</v>
      </c>
      <c r="C110" s="46"/>
      <c r="D110" s="46"/>
      <c r="E110" s="63"/>
      <c r="F110" s="56"/>
      <c r="G110" s="56"/>
      <c r="H110" s="57"/>
      <c r="I110" s="47" t="s">
        <v>343</v>
      </c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53">
        <f t="shared" si="7"/>
        <v>0</v>
      </c>
      <c r="W110" s="8"/>
      <c r="X110" s="8"/>
      <c r="Y110" s="8"/>
      <c r="Z110" s="8"/>
    </row>
    <row r="111" ht="14.25" customHeight="1">
      <c r="A111" s="8"/>
      <c r="B111" s="7" t="s">
        <v>403</v>
      </c>
      <c r="C111" s="46"/>
      <c r="D111" s="46"/>
      <c r="E111" s="64">
        <v>4.0</v>
      </c>
      <c r="F111" s="71" t="s">
        <v>404</v>
      </c>
      <c r="G111" s="33"/>
      <c r="H111" s="34"/>
      <c r="I111" s="47" t="s">
        <v>342</v>
      </c>
      <c r="J111" s="60"/>
      <c r="K111" s="60"/>
      <c r="L111" s="50">
        <v>6.0</v>
      </c>
      <c r="M111" s="50">
        <v>1.0</v>
      </c>
      <c r="N111" s="50">
        <v>1.0</v>
      </c>
      <c r="O111" s="60"/>
      <c r="P111" s="60"/>
      <c r="Q111" s="60"/>
      <c r="R111" s="60"/>
      <c r="S111" s="60"/>
      <c r="T111" s="60"/>
      <c r="U111" s="60"/>
      <c r="V111" s="53">
        <f t="shared" si="7"/>
        <v>8</v>
      </c>
      <c r="W111" s="8"/>
      <c r="X111" s="8"/>
      <c r="Y111" s="8"/>
      <c r="Z111" s="8"/>
    </row>
    <row r="112" ht="14.25" customHeight="1">
      <c r="A112" s="8"/>
      <c r="B112" s="7" t="s">
        <v>403</v>
      </c>
      <c r="C112" s="63"/>
      <c r="D112" s="46"/>
      <c r="E112" s="75"/>
      <c r="F112" s="68"/>
      <c r="G112" s="68"/>
      <c r="H112" s="69"/>
      <c r="I112" s="47" t="s">
        <v>343</v>
      </c>
      <c r="J112" s="60"/>
      <c r="K112" s="60"/>
      <c r="L112" s="50">
        <v>6793.0</v>
      </c>
      <c r="M112" s="50">
        <v>460.0</v>
      </c>
      <c r="N112" s="50">
        <v>2744.0</v>
      </c>
      <c r="O112" s="60"/>
      <c r="P112" s="60"/>
      <c r="Q112" s="60"/>
      <c r="R112" s="60"/>
      <c r="S112" s="60"/>
      <c r="T112" s="60"/>
      <c r="U112" s="60"/>
      <c r="V112" s="53">
        <f t="shared" si="7"/>
        <v>9997</v>
      </c>
      <c r="W112" s="8"/>
      <c r="X112" s="8"/>
      <c r="Y112" s="8"/>
      <c r="Z112" s="8"/>
    </row>
    <row r="113" ht="14.25" customHeight="1">
      <c r="A113" s="8"/>
      <c r="C113" s="46"/>
      <c r="D113" s="46"/>
      <c r="E113" s="47"/>
      <c r="F113" s="33"/>
      <c r="G113" s="33"/>
      <c r="H113" s="34"/>
      <c r="I113" s="47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8"/>
      <c r="X113" s="8"/>
      <c r="Y113" s="8"/>
      <c r="Z113" s="8"/>
    </row>
    <row r="114" ht="14.25" customHeight="1">
      <c r="A114" s="8"/>
      <c r="C114" s="46"/>
      <c r="D114" s="77" t="s">
        <v>405</v>
      </c>
      <c r="E114" s="20"/>
      <c r="F114" s="20"/>
      <c r="G114" s="20"/>
      <c r="H114" s="21"/>
      <c r="I114" s="47" t="s">
        <v>342</v>
      </c>
      <c r="J114" s="53">
        <f t="shared" ref="J114:V114" si="8">SUMIF($I$20:$V$112,$I114,J$20:J$112)</f>
        <v>69</v>
      </c>
      <c r="K114" s="53">
        <f t="shared" si="8"/>
        <v>119</v>
      </c>
      <c r="L114" s="53">
        <f t="shared" si="8"/>
        <v>335</v>
      </c>
      <c r="M114" s="53">
        <f t="shared" si="8"/>
        <v>128</v>
      </c>
      <c r="N114" s="53">
        <f t="shared" si="8"/>
        <v>123</v>
      </c>
      <c r="O114" s="53">
        <f t="shared" si="8"/>
        <v>120</v>
      </c>
      <c r="P114" s="53">
        <f t="shared" si="8"/>
        <v>0</v>
      </c>
      <c r="Q114" s="53">
        <f t="shared" si="8"/>
        <v>0</v>
      </c>
      <c r="R114" s="53">
        <f t="shared" si="8"/>
        <v>0</v>
      </c>
      <c r="S114" s="53">
        <f t="shared" si="8"/>
        <v>0</v>
      </c>
      <c r="T114" s="53">
        <f t="shared" si="8"/>
        <v>0</v>
      </c>
      <c r="U114" s="53">
        <f t="shared" si="8"/>
        <v>0</v>
      </c>
      <c r="V114" s="53">
        <f t="shared" si="8"/>
        <v>894</v>
      </c>
      <c r="W114" s="8"/>
      <c r="X114" s="8"/>
      <c r="Y114" s="8"/>
      <c r="Z114" s="8"/>
    </row>
    <row r="115" ht="14.25" customHeight="1">
      <c r="A115" s="8"/>
      <c r="C115" s="63"/>
      <c r="D115" s="28"/>
      <c r="E115" s="29"/>
      <c r="F115" s="29"/>
      <c r="G115" s="29"/>
      <c r="H115" s="30"/>
      <c r="I115" s="47" t="s">
        <v>343</v>
      </c>
      <c r="J115" s="53">
        <f t="shared" ref="J115:V115" si="9">SUMIF($I$20:$V$112,$I115,J$20:J$112)</f>
        <v>378287</v>
      </c>
      <c r="K115" s="53">
        <f t="shared" si="9"/>
        <v>616564</v>
      </c>
      <c r="L115" s="53">
        <f t="shared" si="9"/>
        <v>2630101</v>
      </c>
      <c r="M115" s="53">
        <f t="shared" si="9"/>
        <v>706268</v>
      </c>
      <c r="N115" s="53">
        <f t="shared" si="9"/>
        <v>653472</v>
      </c>
      <c r="O115" s="53">
        <f t="shared" si="9"/>
        <v>705252</v>
      </c>
      <c r="P115" s="53">
        <f t="shared" si="9"/>
        <v>0</v>
      </c>
      <c r="Q115" s="53">
        <f t="shared" si="9"/>
        <v>0</v>
      </c>
      <c r="R115" s="53">
        <f t="shared" si="9"/>
        <v>0</v>
      </c>
      <c r="S115" s="53">
        <f t="shared" si="9"/>
        <v>0</v>
      </c>
      <c r="T115" s="53">
        <f t="shared" si="9"/>
        <v>0</v>
      </c>
      <c r="U115" s="53">
        <f t="shared" si="9"/>
        <v>0</v>
      </c>
      <c r="V115" s="53">
        <f t="shared" si="9"/>
        <v>5689944</v>
      </c>
      <c r="W115" s="8"/>
      <c r="X115" s="8"/>
      <c r="Y115" s="8"/>
      <c r="Z115" s="8"/>
    </row>
    <row r="116" ht="14.25" customHeight="1">
      <c r="A116" s="8"/>
      <c r="C116" s="63"/>
      <c r="D116" s="78"/>
      <c r="E116" s="79"/>
      <c r="F116" s="79"/>
      <c r="G116" s="79"/>
      <c r="H116" s="80"/>
      <c r="I116" s="47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8"/>
      <c r="X116" s="8"/>
      <c r="Y116" s="8"/>
      <c r="Z116" s="8"/>
    </row>
    <row r="117" ht="14.25" customHeight="1">
      <c r="A117" s="8"/>
      <c r="B117" s="81"/>
      <c r="C117" s="46">
        <v>2.0</v>
      </c>
      <c r="D117" s="47" t="s">
        <v>406</v>
      </c>
      <c r="E117" s="33"/>
      <c r="F117" s="33"/>
      <c r="G117" s="33"/>
      <c r="H117" s="34"/>
      <c r="I117" s="47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8"/>
      <c r="X117" s="8"/>
      <c r="Y117" s="8"/>
      <c r="Z117" s="8"/>
    </row>
    <row r="118" ht="14.25" customHeight="1">
      <c r="A118" s="8"/>
      <c r="B118" s="81"/>
      <c r="C118" s="63"/>
      <c r="D118" s="46">
        <v>1.0</v>
      </c>
      <c r="E118" s="47" t="s">
        <v>338</v>
      </c>
      <c r="F118" s="33"/>
      <c r="G118" s="33"/>
      <c r="H118" s="34"/>
      <c r="I118" s="47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8"/>
      <c r="X118" s="8"/>
      <c r="Y118" s="8"/>
      <c r="Z118" s="8"/>
    </row>
    <row r="119" ht="14.25" customHeight="1">
      <c r="A119" s="8"/>
      <c r="B119" s="81"/>
      <c r="C119" s="46"/>
      <c r="D119" s="46"/>
      <c r="E119" s="48">
        <v>1.0</v>
      </c>
      <c r="F119" s="47" t="s">
        <v>339</v>
      </c>
      <c r="G119" s="33"/>
      <c r="H119" s="34"/>
      <c r="I119" s="44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8"/>
      <c r="X119" s="8"/>
      <c r="Y119" s="8"/>
      <c r="Z119" s="8"/>
    </row>
    <row r="120" ht="14.25" customHeight="1">
      <c r="A120" s="8"/>
      <c r="B120" s="81" t="s">
        <v>407</v>
      </c>
      <c r="C120" s="46"/>
      <c r="D120" s="46"/>
      <c r="E120" s="48"/>
      <c r="F120" s="48">
        <v>1.0</v>
      </c>
      <c r="G120" s="47" t="s">
        <v>341</v>
      </c>
      <c r="H120" s="34"/>
      <c r="I120" s="47" t="s">
        <v>342</v>
      </c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53">
        <f t="shared" ref="V120:V137" si="10">SUM(J120:U120)</f>
        <v>0</v>
      </c>
      <c r="W120" s="8"/>
      <c r="X120" s="8"/>
      <c r="Y120" s="8"/>
      <c r="Z120" s="8"/>
    </row>
    <row r="121" ht="14.25" customHeight="1">
      <c r="A121" s="8"/>
      <c r="B121" s="81" t="s">
        <v>407</v>
      </c>
      <c r="C121" s="46"/>
      <c r="D121" s="46"/>
      <c r="E121" s="54"/>
      <c r="F121" s="55"/>
      <c r="G121" s="56"/>
      <c r="H121" s="57"/>
      <c r="I121" s="47" t="s">
        <v>343</v>
      </c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53">
        <f t="shared" si="10"/>
        <v>0</v>
      </c>
      <c r="W121" s="8"/>
      <c r="X121" s="8"/>
      <c r="Y121" s="8"/>
      <c r="Z121" s="8"/>
    </row>
    <row r="122" ht="14.25" customHeight="1">
      <c r="A122" s="8"/>
      <c r="B122" s="81" t="s">
        <v>408</v>
      </c>
      <c r="C122" s="46"/>
      <c r="D122" s="46"/>
      <c r="E122" s="48"/>
      <c r="F122" s="48">
        <v>2.0</v>
      </c>
      <c r="G122" s="47" t="s">
        <v>345</v>
      </c>
      <c r="H122" s="34"/>
      <c r="I122" s="47" t="s">
        <v>342</v>
      </c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53">
        <f t="shared" si="10"/>
        <v>0</v>
      </c>
      <c r="W122" s="8"/>
      <c r="X122" s="8"/>
      <c r="Y122" s="8"/>
      <c r="Z122" s="8"/>
    </row>
    <row r="123" ht="14.25" customHeight="1">
      <c r="A123" s="8"/>
      <c r="B123" s="81" t="s">
        <v>408</v>
      </c>
      <c r="C123" s="46"/>
      <c r="D123" s="46"/>
      <c r="E123" s="46"/>
      <c r="F123" s="55"/>
      <c r="G123" s="56"/>
      <c r="H123" s="57"/>
      <c r="I123" s="47" t="s">
        <v>343</v>
      </c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53">
        <f t="shared" si="10"/>
        <v>0</v>
      </c>
      <c r="W123" s="8"/>
      <c r="X123" s="8"/>
      <c r="Y123" s="8"/>
      <c r="Z123" s="8"/>
    </row>
    <row r="124" ht="14.25" customHeight="1">
      <c r="A124" s="8"/>
      <c r="B124" s="81" t="s">
        <v>409</v>
      </c>
      <c r="C124" s="46"/>
      <c r="D124" s="46"/>
      <c r="E124" s="54"/>
      <c r="F124" s="48">
        <v>3.0</v>
      </c>
      <c r="G124" s="47" t="s">
        <v>347</v>
      </c>
      <c r="H124" s="34"/>
      <c r="I124" s="47" t="s">
        <v>342</v>
      </c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53">
        <f t="shared" si="10"/>
        <v>0</v>
      </c>
      <c r="W124" s="8"/>
      <c r="X124" s="8"/>
      <c r="Y124" s="8"/>
      <c r="Z124" s="8"/>
    </row>
    <row r="125" ht="14.25" customHeight="1">
      <c r="A125" s="8"/>
      <c r="B125" s="81" t="s">
        <v>409</v>
      </c>
      <c r="C125" s="46"/>
      <c r="D125" s="46"/>
      <c r="E125" s="54"/>
      <c r="F125" s="55"/>
      <c r="G125" s="56"/>
      <c r="H125" s="57"/>
      <c r="I125" s="47" t="s">
        <v>343</v>
      </c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53">
        <f t="shared" si="10"/>
        <v>0</v>
      </c>
      <c r="W125" s="8"/>
      <c r="X125" s="8"/>
      <c r="Y125" s="8"/>
      <c r="Z125" s="8"/>
    </row>
    <row r="126" ht="14.25" customHeight="1">
      <c r="A126" s="8"/>
      <c r="B126" s="81" t="s">
        <v>410</v>
      </c>
      <c r="C126" s="46"/>
      <c r="D126" s="46"/>
      <c r="E126" s="48"/>
      <c r="F126" s="48">
        <v>4.0</v>
      </c>
      <c r="G126" s="47" t="s">
        <v>349</v>
      </c>
      <c r="H126" s="34"/>
      <c r="I126" s="47" t="s">
        <v>342</v>
      </c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53">
        <f t="shared" si="10"/>
        <v>0</v>
      </c>
      <c r="W126" s="8"/>
      <c r="X126" s="8"/>
      <c r="Y126" s="8"/>
      <c r="Z126" s="8"/>
    </row>
    <row r="127" ht="14.25" customHeight="1">
      <c r="A127" s="8"/>
      <c r="B127" s="81" t="s">
        <v>410</v>
      </c>
      <c r="C127" s="46"/>
      <c r="D127" s="46"/>
      <c r="E127" s="46"/>
      <c r="F127" s="55"/>
      <c r="G127" s="56"/>
      <c r="H127" s="57"/>
      <c r="I127" s="47" t="s">
        <v>343</v>
      </c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53">
        <f t="shared" si="10"/>
        <v>0</v>
      </c>
      <c r="W127" s="8"/>
      <c r="X127" s="8"/>
      <c r="Y127" s="8"/>
      <c r="Z127" s="8"/>
    </row>
    <row r="128" ht="14.25" customHeight="1">
      <c r="A128" s="8"/>
      <c r="B128" s="81" t="s">
        <v>411</v>
      </c>
      <c r="C128" s="46"/>
      <c r="D128" s="46"/>
      <c r="E128" s="48"/>
      <c r="F128" s="48">
        <v>5.0</v>
      </c>
      <c r="G128" s="47" t="s">
        <v>351</v>
      </c>
      <c r="H128" s="34"/>
      <c r="I128" s="47" t="s">
        <v>342</v>
      </c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53">
        <f t="shared" si="10"/>
        <v>0</v>
      </c>
      <c r="W128" s="8"/>
      <c r="X128" s="8"/>
      <c r="Y128" s="8"/>
      <c r="Z128" s="8"/>
    </row>
    <row r="129" ht="14.25" customHeight="1">
      <c r="A129" s="8"/>
      <c r="B129" s="81" t="s">
        <v>411</v>
      </c>
      <c r="C129" s="46"/>
      <c r="D129" s="46"/>
      <c r="E129" s="64"/>
      <c r="F129" s="55"/>
      <c r="G129" s="56"/>
      <c r="H129" s="57"/>
      <c r="I129" s="47" t="s">
        <v>343</v>
      </c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53">
        <f t="shared" si="10"/>
        <v>0</v>
      </c>
      <c r="W129" s="8"/>
      <c r="X129" s="8"/>
      <c r="Y129" s="8"/>
      <c r="Z129" s="8"/>
    </row>
    <row r="130" ht="14.25" customHeight="1">
      <c r="A130" s="8"/>
      <c r="B130" s="81" t="s">
        <v>412</v>
      </c>
      <c r="C130" s="46"/>
      <c r="D130" s="46"/>
      <c r="E130" s="48"/>
      <c r="F130" s="48">
        <v>6.0</v>
      </c>
      <c r="G130" s="47" t="s">
        <v>353</v>
      </c>
      <c r="H130" s="34"/>
      <c r="I130" s="47" t="s">
        <v>342</v>
      </c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53">
        <f t="shared" si="10"/>
        <v>0</v>
      </c>
      <c r="W130" s="8"/>
      <c r="X130" s="8"/>
      <c r="Y130" s="8"/>
      <c r="Z130" s="8"/>
    </row>
    <row r="131" ht="14.25" customHeight="1">
      <c r="A131" s="8"/>
      <c r="B131" s="81" t="s">
        <v>412</v>
      </c>
      <c r="C131" s="46"/>
      <c r="D131" s="46"/>
      <c r="E131" s="64"/>
      <c r="F131" s="55"/>
      <c r="G131" s="56"/>
      <c r="H131" s="57"/>
      <c r="I131" s="47" t="s">
        <v>343</v>
      </c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53">
        <f t="shared" si="10"/>
        <v>0</v>
      </c>
      <c r="W131" s="8"/>
      <c r="X131" s="8"/>
      <c r="Y131" s="8"/>
      <c r="Z131" s="8"/>
    </row>
    <row r="132" ht="14.25" customHeight="1">
      <c r="A132" s="8"/>
      <c r="B132" s="81" t="s">
        <v>413</v>
      </c>
      <c r="C132" s="46"/>
      <c r="D132" s="46"/>
      <c r="E132" s="48"/>
      <c r="F132" s="82">
        <v>7.0</v>
      </c>
      <c r="G132" s="47" t="s">
        <v>355</v>
      </c>
      <c r="H132" s="34"/>
      <c r="I132" s="47" t="s">
        <v>342</v>
      </c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53">
        <f t="shared" si="10"/>
        <v>0</v>
      </c>
      <c r="W132" s="8"/>
      <c r="X132" s="8"/>
      <c r="Y132" s="8"/>
      <c r="Z132" s="8"/>
    </row>
    <row r="133" ht="14.25" customHeight="1">
      <c r="A133" s="8"/>
      <c r="B133" s="81" t="s">
        <v>413</v>
      </c>
      <c r="C133" s="46"/>
      <c r="D133" s="46"/>
      <c r="E133" s="48"/>
      <c r="F133" s="55"/>
      <c r="G133" s="56"/>
      <c r="H133" s="57"/>
      <c r="I133" s="47" t="s">
        <v>343</v>
      </c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53">
        <f t="shared" si="10"/>
        <v>0</v>
      </c>
      <c r="W133" s="8"/>
      <c r="X133" s="8"/>
      <c r="Y133" s="8"/>
      <c r="Z133" s="8"/>
    </row>
    <row r="134" ht="14.25" customHeight="1">
      <c r="A134" s="8"/>
      <c r="B134" s="81" t="s">
        <v>414</v>
      </c>
      <c r="C134" s="46"/>
      <c r="D134" s="46"/>
      <c r="E134" s="54"/>
      <c r="F134" s="83">
        <v>8.0</v>
      </c>
      <c r="G134" s="56" t="s">
        <v>415</v>
      </c>
      <c r="H134" s="34"/>
      <c r="I134" s="47" t="s">
        <v>342</v>
      </c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53">
        <f t="shared" si="10"/>
        <v>0</v>
      </c>
      <c r="W134" s="8"/>
      <c r="X134" s="8"/>
      <c r="Y134" s="8"/>
      <c r="Z134" s="8"/>
    </row>
    <row r="135" ht="14.25" customHeight="1">
      <c r="A135" s="8"/>
      <c r="B135" s="81" t="s">
        <v>414</v>
      </c>
      <c r="C135" s="46"/>
      <c r="D135" s="46"/>
      <c r="E135" s="54"/>
      <c r="F135" s="83"/>
      <c r="G135" s="56"/>
      <c r="H135" s="57"/>
      <c r="I135" s="47" t="s">
        <v>343</v>
      </c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53">
        <f t="shared" si="10"/>
        <v>0</v>
      </c>
      <c r="W135" s="8"/>
      <c r="X135" s="8"/>
      <c r="Y135" s="8"/>
      <c r="Z135" s="8"/>
    </row>
    <row r="136" ht="14.25" customHeight="1">
      <c r="A136" s="8"/>
      <c r="B136" s="81" t="s">
        <v>416</v>
      </c>
      <c r="C136" s="46"/>
      <c r="D136" s="46"/>
      <c r="E136" s="48"/>
      <c r="F136" s="83">
        <v>9.0</v>
      </c>
      <c r="G136" s="71" t="s">
        <v>404</v>
      </c>
      <c r="H136" s="34"/>
      <c r="I136" s="47" t="s">
        <v>342</v>
      </c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53">
        <f t="shared" si="10"/>
        <v>0</v>
      </c>
      <c r="W136" s="8"/>
      <c r="X136" s="8"/>
      <c r="Y136" s="8"/>
      <c r="Z136" s="8"/>
    </row>
    <row r="137" ht="14.25" customHeight="1">
      <c r="A137" s="8"/>
      <c r="B137" s="81" t="s">
        <v>416</v>
      </c>
      <c r="C137" s="63"/>
      <c r="D137" s="46"/>
      <c r="E137" s="47"/>
      <c r="F137" s="33"/>
      <c r="G137" s="33"/>
      <c r="H137" s="34"/>
      <c r="I137" s="47" t="s">
        <v>343</v>
      </c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53">
        <f t="shared" si="10"/>
        <v>0</v>
      </c>
      <c r="W137" s="8"/>
      <c r="X137" s="8"/>
      <c r="Y137" s="8"/>
      <c r="Z137" s="8"/>
    </row>
    <row r="138" ht="14.25" customHeight="1">
      <c r="A138" s="8"/>
      <c r="B138" s="81"/>
      <c r="C138" s="63"/>
      <c r="D138" s="46">
        <v>2.0</v>
      </c>
      <c r="E138" s="47" t="s">
        <v>374</v>
      </c>
      <c r="F138" s="33"/>
      <c r="G138" s="33"/>
      <c r="H138" s="34"/>
      <c r="I138" s="47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8"/>
      <c r="X138" s="8"/>
      <c r="Y138" s="8"/>
      <c r="Z138" s="8"/>
    </row>
    <row r="139" ht="14.25" customHeight="1">
      <c r="A139" s="8"/>
      <c r="B139" s="81"/>
      <c r="C139" s="46"/>
      <c r="D139" s="46"/>
      <c r="E139" s="48">
        <v>1.0</v>
      </c>
      <c r="F139" s="47" t="s">
        <v>339</v>
      </c>
      <c r="G139" s="33"/>
      <c r="H139" s="34"/>
      <c r="I139" s="44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8"/>
      <c r="X139" s="8"/>
      <c r="Y139" s="8"/>
      <c r="Z139" s="8"/>
    </row>
    <row r="140" ht="14.25" customHeight="1">
      <c r="A140" s="8"/>
      <c r="B140" s="81" t="s">
        <v>417</v>
      </c>
      <c r="C140" s="46"/>
      <c r="D140" s="46"/>
      <c r="E140" s="48"/>
      <c r="F140" s="48">
        <v>1.0</v>
      </c>
      <c r="G140" s="47" t="s">
        <v>341</v>
      </c>
      <c r="H140" s="34"/>
      <c r="I140" s="47" t="s">
        <v>342</v>
      </c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53">
        <f t="shared" ref="V140:V157" si="11">SUM(J140:U140)</f>
        <v>0</v>
      </c>
      <c r="W140" s="8"/>
      <c r="X140" s="8"/>
      <c r="Y140" s="8"/>
      <c r="Z140" s="8"/>
    </row>
    <row r="141" ht="14.25" customHeight="1">
      <c r="A141" s="8"/>
      <c r="B141" s="81" t="s">
        <v>417</v>
      </c>
      <c r="C141" s="46"/>
      <c r="D141" s="46"/>
      <c r="E141" s="54"/>
      <c r="F141" s="55"/>
      <c r="G141" s="56"/>
      <c r="H141" s="57"/>
      <c r="I141" s="47" t="s">
        <v>343</v>
      </c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53">
        <f t="shared" si="11"/>
        <v>0</v>
      </c>
      <c r="W141" s="8"/>
      <c r="X141" s="8"/>
      <c r="Y141" s="8"/>
      <c r="Z141" s="8"/>
    </row>
    <row r="142" ht="14.25" customHeight="1">
      <c r="A142" s="8"/>
      <c r="B142" s="81" t="s">
        <v>418</v>
      </c>
      <c r="C142" s="46"/>
      <c r="D142" s="46"/>
      <c r="E142" s="48"/>
      <c r="F142" s="48">
        <v>2.0</v>
      </c>
      <c r="G142" s="47" t="s">
        <v>345</v>
      </c>
      <c r="H142" s="34"/>
      <c r="I142" s="47" t="s">
        <v>342</v>
      </c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53">
        <f t="shared" si="11"/>
        <v>0</v>
      </c>
      <c r="W142" s="8"/>
      <c r="X142" s="8"/>
      <c r="Y142" s="8"/>
      <c r="Z142" s="8"/>
    </row>
    <row r="143" ht="14.25" customHeight="1">
      <c r="A143" s="8"/>
      <c r="B143" s="81" t="s">
        <v>418</v>
      </c>
      <c r="C143" s="46"/>
      <c r="D143" s="46"/>
      <c r="E143" s="46"/>
      <c r="F143" s="55"/>
      <c r="G143" s="56"/>
      <c r="H143" s="57"/>
      <c r="I143" s="47" t="s">
        <v>343</v>
      </c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53">
        <f t="shared" si="11"/>
        <v>0</v>
      </c>
      <c r="W143" s="8"/>
      <c r="X143" s="8"/>
      <c r="Y143" s="8"/>
      <c r="Z143" s="8"/>
    </row>
    <row r="144" ht="14.25" customHeight="1">
      <c r="A144" s="8"/>
      <c r="B144" s="81" t="s">
        <v>419</v>
      </c>
      <c r="C144" s="46"/>
      <c r="D144" s="46"/>
      <c r="E144" s="54"/>
      <c r="F144" s="48">
        <v>3.0</v>
      </c>
      <c r="G144" s="47" t="s">
        <v>347</v>
      </c>
      <c r="H144" s="34"/>
      <c r="I144" s="47" t="s">
        <v>342</v>
      </c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53">
        <f t="shared" si="11"/>
        <v>0</v>
      </c>
      <c r="W144" s="8"/>
      <c r="X144" s="8"/>
      <c r="Y144" s="8"/>
      <c r="Z144" s="8"/>
    </row>
    <row r="145" ht="14.25" customHeight="1">
      <c r="A145" s="8"/>
      <c r="B145" s="81" t="s">
        <v>419</v>
      </c>
      <c r="C145" s="46"/>
      <c r="D145" s="46"/>
      <c r="E145" s="54"/>
      <c r="F145" s="55"/>
      <c r="G145" s="56"/>
      <c r="H145" s="57"/>
      <c r="I145" s="47" t="s">
        <v>343</v>
      </c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53">
        <f t="shared" si="11"/>
        <v>0</v>
      </c>
      <c r="W145" s="8"/>
      <c r="X145" s="8"/>
      <c r="Y145" s="8"/>
      <c r="Z145" s="8"/>
    </row>
    <row r="146" ht="14.25" customHeight="1">
      <c r="A146" s="8"/>
      <c r="B146" s="81" t="s">
        <v>420</v>
      </c>
      <c r="C146" s="46"/>
      <c r="D146" s="46"/>
      <c r="E146" s="48"/>
      <c r="F146" s="48">
        <v>4.0</v>
      </c>
      <c r="G146" s="47" t="s">
        <v>349</v>
      </c>
      <c r="H146" s="34"/>
      <c r="I146" s="47" t="s">
        <v>342</v>
      </c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53">
        <f t="shared" si="11"/>
        <v>0</v>
      </c>
      <c r="W146" s="8"/>
      <c r="X146" s="8"/>
      <c r="Y146" s="8"/>
      <c r="Z146" s="8"/>
    </row>
    <row r="147" ht="14.25" customHeight="1">
      <c r="A147" s="8"/>
      <c r="B147" s="81" t="s">
        <v>420</v>
      </c>
      <c r="C147" s="46"/>
      <c r="D147" s="46"/>
      <c r="E147" s="46"/>
      <c r="F147" s="55"/>
      <c r="G147" s="56"/>
      <c r="H147" s="57"/>
      <c r="I147" s="47" t="s">
        <v>343</v>
      </c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53">
        <f t="shared" si="11"/>
        <v>0</v>
      </c>
      <c r="W147" s="8"/>
      <c r="X147" s="8"/>
      <c r="Y147" s="8"/>
      <c r="Z147" s="8"/>
    </row>
    <row r="148" ht="14.25" customHeight="1">
      <c r="A148" s="8"/>
      <c r="B148" s="81" t="s">
        <v>421</v>
      </c>
      <c r="C148" s="46"/>
      <c r="D148" s="46"/>
      <c r="E148" s="48"/>
      <c r="F148" s="48">
        <v>5.0</v>
      </c>
      <c r="G148" s="47" t="s">
        <v>351</v>
      </c>
      <c r="H148" s="34"/>
      <c r="I148" s="47" t="s">
        <v>342</v>
      </c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53">
        <f t="shared" si="11"/>
        <v>0</v>
      </c>
      <c r="W148" s="8"/>
      <c r="X148" s="8"/>
      <c r="Y148" s="8"/>
      <c r="Z148" s="8"/>
    </row>
    <row r="149" ht="14.25" customHeight="1">
      <c r="A149" s="8"/>
      <c r="B149" s="81" t="s">
        <v>421</v>
      </c>
      <c r="C149" s="46"/>
      <c r="D149" s="46"/>
      <c r="E149" s="64"/>
      <c r="F149" s="55"/>
      <c r="G149" s="56"/>
      <c r="H149" s="57"/>
      <c r="I149" s="47" t="s">
        <v>343</v>
      </c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53">
        <f t="shared" si="11"/>
        <v>0</v>
      </c>
      <c r="W149" s="8"/>
      <c r="X149" s="8"/>
      <c r="Y149" s="8"/>
      <c r="Z149" s="8"/>
    </row>
    <row r="150" ht="14.25" customHeight="1">
      <c r="A150" s="8"/>
      <c r="B150" s="81" t="s">
        <v>422</v>
      </c>
      <c r="C150" s="46"/>
      <c r="D150" s="46"/>
      <c r="E150" s="48"/>
      <c r="F150" s="48">
        <v>6.0</v>
      </c>
      <c r="G150" s="47" t="s">
        <v>353</v>
      </c>
      <c r="H150" s="34"/>
      <c r="I150" s="47" t="s">
        <v>342</v>
      </c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53">
        <f t="shared" si="11"/>
        <v>0</v>
      </c>
      <c r="W150" s="8"/>
      <c r="X150" s="8"/>
      <c r="Y150" s="8"/>
      <c r="Z150" s="8"/>
    </row>
    <row r="151" ht="14.25" customHeight="1">
      <c r="A151" s="8"/>
      <c r="B151" s="81" t="s">
        <v>422</v>
      </c>
      <c r="C151" s="46"/>
      <c r="D151" s="46"/>
      <c r="E151" s="64"/>
      <c r="F151" s="55"/>
      <c r="G151" s="56"/>
      <c r="H151" s="57"/>
      <c r="I151" s="47" t="s">
        <v>343</v>
      </c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53">
        <f t="shared" si="11"/>
        <v>0</v>
      </c>
      <c r="W151" s="8"/>
      <c r="X151" s="8"/>
      <c r="Y151" s="8"/>
      <c r="Z151" s="8"/>
    </row>
    <row r="152" ht="14.25" customHeight="1">
      <c r="A152" s="8"/>
      <c r="B152" s="81" t="s">
        <v>423</v>
      </c>
      <c r="C152" s="46"/>
      <c r="D152" s="46"/>
      <c r="E152" s="48"/>
      <c r="F152" s="82">
        <v>7.0</v>
      </c>
      <c r="G152" s="47" t="s">
        <v>355</v>
      </c>
      <c r="H152" s="34"/>
      <c r="I152" s="47" t="s">
        <v>342</v>
      </c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53">
        <f t="shared" si="11"/>
        <v>0</v>
      </c>
      <c r="W152" s="8"/>
      <c r="X152" s="8"/>
      <c r="Y152" s="8"/>
      <c r="Z152" s="8"/>
    </row>
    <row r="153" ht="14.25" customHeight="1">
      <c r="A153" s="8"/>
      <c r="B153" s="81" t="s">
        <v>423</v>
      </c>
      <c r="C153" s="46"/>
      <c r="D153" s="46"/>
      <c r="E153" s="48"/>
      <c r="F153" s="55"/>
      <c r="G153" s="56"/>
      <c r="H153" s="57"/>
      <c r="I153" s="47" t="s">
        <v>343</v>
      </c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53">
        <f t="shared" si="11"/>
        <v>0</v>
      </c>
      <c r="W153" s="8"/>
      <c r="X153" s="8"/>
      <c r="Y153" s="8"/>
      <c r="Z153" s="8"/>
    </row>
    <row r="154" ht="14.25" customHeight="1">
      <c r="A154" s="8"/>
      <c r="B154" s="81" t="s">
        <v>424</v>
      </c>
      <c r="C154" s="46"/>
      <c r="D154" s="46"/>
      <c r="E154" s="54"/>
      <c r="F154" s="83">
        <v>8.0</v>
      </c>
      <c r="G154" s="56" t="s">
        <v>415</v>
      </c>
      <c r="H154" s="34"/>
      <c r="I154" s="47" t="s">
        <v>342</v>
      </c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53">
        <f t="shared" si="11"/>
        <v>0</v>
      </c>
      <c r="W154" s="8"/>
      <c r="X154" s="8"/>
      <c r="Y154" s="8"/>
      <c r="Z154" s="8"/>
    </row>
    <row r="155" ht="14.25" customHeight="1">
      <c r="A155" s="8"/>
      <c r="B155" s="81" t="s">
        <v>424</v>
      </c>
      <c r="C155" s="46"/>
      <c r="D155" s="46"/>
      <c r="E155" s="54"/>
      <c r="F155" s="83"/>
      <c r="G155" s="56"/>
      <c r="H155" s="57"/>
      <c r="I155" s="47" t="s">
        <v>343</v>
      </c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53">
        <f t="shared" si="11"/>
        <v>0</v>
      </c>
      <c r="W155" s="8"/>
      <c r="X155" s="8"/>
      <c r="Y155" s="8"/>
      <c r="Z155" s="8"/>
    </row>
    <row r="156" ht="14.25" customHeight="1">
      <c r="A156" s="8"/>
      <c r="B156" s="81" t="s">
        <v>425</v>
      </c>
      <c r="C156" s="46"/>
      <c r="D156" s="46"/>
      <c r="E156" s="48"/>
      <c r="F156" s="83">
        <v>9.0</v>
      </c>
      <c r="G156" s="71" t="s">
        <v>404</v>
      </c>
      <c r="H156" s="34"/>
      <c r="I156" s="47" t="s">
        <v>342</v>
      </c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53">
        <f t="shared" si="11"/>
        <v>0</v>
      </c>
      <c r="W156" s="8"/>
      <c r="X156" s="8"/>
      <c r="Y156" s="8"/>
      <c r="Z156" s="8"/>
    </row>
    <row r="157" ht="14.25" customHeight="1">
      <c r="A157" s="8"/>
      <c r="B157" s="81" t="s">
        <v>425</v>
      </c>
      <c r="C157" s="63"/>
      <c r="D157" s="46"/>
      <c r="E157" s="75"/>
      <c r="F157" s="84"/>
      <c r="G157" s="68"/>
      <c r="H157" s="69"/>
      <c r="I157" s="47" t="s">
        <v>343</v>
      </c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53">
        <f t="shared" si="11"/>
        <v>0</v>
      </c>
      <c r="W157" s="8"/>
      <c r="X157" s="8"/>
      <c r="Y157" s="8"/>
      <c r="Z157" s="8"/>
    </row>
    <row r="158" ht="14.25" customHeight="1">
      <c r="A158" s="8"/>
      <c r="B158" s="81"/>
      <c r="C158" s="63"/>
      <c r="D158" s="85"/>
      <c r="E158" s="86"/>
      <c r="F158" s="86"/>
      <c r="G158" s="86"/>
      <c r="H158" s="87"/>
      <c r="I158" s="47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8"/>
      <c r="X158" s="8"/>
      <c r="Y158" s="8"/>
      <c r="Z158" s="8"/>
    </row>
    <row r="159" ht="14.25" customHeight="1">
      <c r="A159" s="8"/>
      <c r="B159" s="81"/>
      <c r="C159" s="63"/>
      <c r="D159" s="77" t="s">
        <v>426</v>
      </c>
      <c r="E159" s="20"/>
      <c r="F159" s="20"/>
      <c r="G159" s="20"/>
      <c r="H159" s="21"/>
      <c r="I159" s="47" t="s">
        <v>342</v>
      </c>
      <c r="J159" s="53">
        <f t="shared" ref="J159:V159" si="12">SUMIF($I$120:$V$157,$I159,J$120:J$157)</f>
        <v>0</v>
      </c>
      <c r="K159" s="53">
        <f t="shared" si="12"/>
        <v>0</v>
      </c>
      <c r="L159" s="53">
        <f t="shared" si="12"/>
        <v>0</v>
      </c>
      <c r="M159" s="53">
        <f t="shared" si="12"/>
        <v>0</v>
      </c>
      <c r="N159" s="53">
        <f t="shared" si="12"/>
        <v>0</v>
      </c>
      <c r="O159" s="53">
        <f t="shared" si="12"/>
        <v>0</v>
      </c>
      <c r="P159" s="53">
        <f t="shared" si="12"/>
        <v>0</v>
      </c>
      <c r="Q159" s="53">
        <f t="shared" si="12"/>
        <v>0</v>
      </c>
      <c r="R159" s="53">
        <f t="shared" si="12"/>
        <v>0</v>
      </c>
      <c r="S159" s="53">
        <f t="shared" si="12"/>
        <v>0</v>
      </c>
      <c r="T159" s="53">
        <f t="shared" si="12"/>
        <v>0</v>
      </c>
      <c r="U159" s="53">
        <f t="shared" si="12"/>
        <v>0</v>
      </c>
      <c r="V159" s="53">
        <f t="shared" si="12"/>
        <v>0</v>
      </c>
      <c r="W159" s="8"/>
      <c r="X159" s="8"/>
      <c r="Y159" s="8"/>
      <c r="Z159" s="8"/>
    </row>
    <row r="160" ht="14.25" customHeight="1">
      <c r="A160" s="8"/>
      <c r="B160" s="81"/>
      <c r="C160" s="63"/>
      <c r="D160" s="28"/>
      <c r="E160" s="29"/>
      <c r="F160" s="29"/>
      <c r="G160" s="29"/>
      <c r="H160" s="30"/>
      <c r="I160" s="47" t="s">
        <v>343</v>
      </c>
      <c r="J160" s="53">
        <f t="shared" ref="J160:V160" si="13">SUMIF($I$120:$V$157,$I160,J$120:J$157)</f>
        <v>0</v>
      </c>
      <c r="K160" s="53">
        <f t="shared" si="13"/>
        <v>0</v>
      </c>
      <c r="L160" s="53">
        <f t="shared" si="13"/>
        <v>0</v>
      </c>
      <c r="M160" s="53">
        <f t="shared" si="13"/>
        <v>0</v>
      </c>
      <c r="N160" s="53">
        <f t="shared" si="13"/>
        <v>0</v>
      </c>
      <c r="O160" s="53">
        <f t="shared" si="13"/>
        <v>0</v>
      </c>
      <c r="P160" s="53">
        <f t="shared" si="13"/>
        <v>0</v>
      </c>
      <c r="Q160" s="53">
        <f t="shared" si="13"/>
        <v>0</v>
      </c>
      <c r="R160" s="53">
        <f t="shared" si="13"/>
        <v>0</v>
      </c>
      <c r="S160" s="53">
        <f t="shared" si="13"/>
        <v>0</v>
      </c>
      <c r="T160" s="53">
        <f t="shared" si="13"/>
        <v>0</v>
      </c>
      <c r="U160" s="53">
        <f t="shared" si="13"/>
        <v>0</v>
      </c>
      <c r="V160" s="53">
        <f t="shared" si="13"/>
        <v>0</v>
      </c>
      <c r="W160" s="8"/>
      <c r="X160" s="8"/>
      <c r="Y160" s="8"/>
      <c r="Z160" s="8"/>
    </row>
    <row r="161" ht="14.25" customHeight="1">
      <c r="A161" s="8"/>
      <c r="B161" s="81"/>
      <c r="C161" s="63"/>
      <c r="D161" s="78"/>
      <c r="E161" s="79"/>
      <c r="F161" s="79"/>
      <c r="G161" s="79"/>
      <c r="H161" s="80"/>
      <c r="I161" s="47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8"/>
      <c r="X161" s="8"/>
      <c r="Y161" s="8"/>
      <c r="Z161" s="8"/>
    </row>
    <row r="162" ht="14.25" customHeight="1">
      <c r="A162" s="8"/>
      <c r="B162" s="81"/>
      <c r="C162" s="46">
        <v>3.0</v>
      </c>
      <c r="D162" s="47" t="s">
        <v>427</v>
      </c>
      <c r="E162" s="33"/>
      <c r="F162" s="33"/>
      <c r="G162" s="33"/>
      <c r="H162" s="34"/>
      <c r="I162" s="47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8"/>
      <c r="X162" s="8"/>
      <c r="Y162" s="8"/>
      <c r="Z162" s="8"/>
    </row>
    <row r="163" ht="14.25" customHeight="1">
      <c r="A163" s="8"/>
      <c r="B163" s="81"/>
      <c r="C163" s="63"/>
      <c r="D163" s="46">
        <v>1.0</v>
      </c>
      <c r="E163" s="47" t="s">
        <v>338</v>
      </c>
      <c r="F163" s="33"/>
      <c r="G163" s="33"/>
      <c r="H163" s="34"/>
      <c r="I163" s="47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8"/>
      <c r="X163" s="8"/>
      <c r="Y163" s="8"/>
      <c r="Z163" s="8"/>
    </row>
    <row r="164" ht="14.25" customHeight="1">
      <c r="A164" s="8"/>
      <c r="B164" s="81"/>
      <c r="C164" s="46"/>
      <c r="D164" s="46"/>
      <c r="E164" s="48">
        <v>1.0</v>
      </c>
      <c r="F164" s="47" t="s">
        <v>339</v>
      </c>
      <c r="G164" s="33"/>
      <c r="H164" s="34"/>
      <c r="I164" s="44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8"/>
      <c r="X164" s="8"/>
      <c r="Y164" s="8"/>
      <c r="Z164" s="8"/>
    </row>
    <row r="165" ht="14.25" customHeight="1">
      <c r="A165" s="8"/>
      <c r="B165" s="81" t="s">
        <v>428</v>
      </c>
      <c r="C165" s="46"/>
      <c r="D165" s="46"/>
      <c r="E165" s="48"/>
      <c r="F165" s="48">
        <v>1.0</v>
      </c>
      <c r="G165" s="47" t="s">
        <v>341</v>
      </c>
      <c r="H165" s="34"/>
      <c r="I165" s="47" t="s">
        <v>342</v>
      </c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53">
        <f t="shared" ref="V165:V182" si="14">SUM(J165:U165)</f>
        <v>0</v>
      </c>
      <c r="W165" s="8"/>
      <c r="X165" s="8"/>
      <c r="Y165" s="8"/>
      <c r="Z165" s="8"/>
    </row>
    <row r="166" ht="14.25" customHeight="1">
      <c r="A166" s="8"/>
      <c r="B166" s="81" t="s">
        <v>428</v>
      </c>
      <c r="C166" s="46"/>
      <c r="D166" s="46"/>
      <c r="E166" s="54"/>
      <c r="F166" s="55"/>
      <c r="G166" s="56"/>
      <c r="H166" s="57"/>
      <c r="I166" s="47" t="s">
        <v>343</v>
      </c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53">
        <f t="shared" si="14"/>
        <v>0</v>
      </c>
      <c r="W166" s="8"/>
      <c r="X166" s="8"/>
      <c r="Y166" s="8"/>
      <c r="Z166" s="8"/>
    </row>
    <row r="167" ht="14.25" customHeight="1">
      <c r="A167" s="8"/>
      <c r="B167" s="81" t="s">
        <v>429</v>
      </c>
      <c r="C167" s="46"/>
      <c r="D167" s="46"/>
      <c r="E167" s="48"/>
      <c r="F167" s="48">
        <v>2.0</v>
      </c>
      <c r="G167" s="47" t="s">
        <v>345</v>
      </c>
      <c r="H167" s="34"/>
      <c r="I167" s="47" t="s">
        <v>342</v>
      </c>
      <c r="J167" s="73">
        <v>11.0</v>
      </c>
      <c r="K167" s="58">
        <v>19.0</v>
      </c>
      <c r="L167" s="58">
        <v>13.0</v>
      </c>
      <c r="M167" s="58">
        <v>11.0</v>
      </c>
      <c r="N167" s="50">
        <v>16.0</v>
      </c>
      <c r="O167" s="58">
        <v>15.0</v>
      </c>
      <c r="P167" s="60"/>
      <c r="Q167" s="60"/>
      <c r="R167" s="60"/>
      <c r="S167" s="60"/>
      <c r="T167" s="60"/>
      <c r="U167" s="60"/>
      <c r="V167" s="53">
        <f t="shared" si="14"/>
        <v>85</v>
      </c>
      <c r="W167" s="8"/>
      <c r="X167" s="8"/>
      <c r="Y167" s="8"/>
      <c r="Z167" s="8"/>
    </row>
    <row r="168" ht="14.25" customHeight="1">
      <c r="A168" s="8"/>
      <c r="B168" s="81" t="s">
        <v>429</v>
      </c>
      <c r="C168" s="46"/>
      <c r="D168" s="46"/>
      <c r="E168" s="46"/>
      <c r="F168" s="55"/>
      <c r="G168" s="56"/>
      <c r="H168" s="57"/>
      <c r="I168" s="47" t="s">
        <v>343</v>
      </c>
      <c r="J168" s="73">
        <v>287597.0</v>
      </c>
      <c r="K168" s="58">
        <v>356298.0</v>
      </c>
      <c r="L168" s="58">
        <v>286600.0</v>
      </c>
      <c r="M168" s="58">
        <v>258250.0</v>
      </c>
      <c r="N168" s="50">
        <v>416164.0</v>
      </c>
      <c r="O168" s="58">
        <v>345139.0</v>
      </c>
      <c r="P168" s="60"/>
      <c r="Q168" s="60"/>
      <c r="R168" s="60"/>
      <c r="S168" s="60"/>
      <c r="T168" s="60"/>
      <c r="U168" s="60"/>
      <c r="V168" s="53">
        <f t="shared" si="14"/>
        <v>1950048</v>
      </c>
      <c r="W168" s="8"/>
      <c r="X168" s="8"/>
      <c r="Y168" s="8"/>
      <c r="Z168" s="8"/>
    </row>
    <row r="169" ht="14.25" customHeight="1">
      <c r="A169" s="8"/>
      <c r="B169" s="81" t="s">
        <v>430</v>
      </c>
      <c r="C169" s="46"/>
      <c r="D169" s="46"/>
      <c r="E169" s="54"/>
      <c r="F169" s="48">
        <v>3.0</v>
      </c>
      <c r="G169" s="47" t="s">
        <v>347</v>
      </c>
      <c r="H169" s="34"/>
      <c r="I169" s="47" t="s">
        <v>342</v>
      </c>
      <c r="J169" s="73">
        <v>15.0</v>
      </c>
      <c r="K169" s="58">
        <v>12.0</v>
      </c>
      <c r="L169" s="58">
        <v>20.0</v>
      </c>
      <c r="M169" s="58">
        <v>11.0</v>
      </c>
      <c r="N169" s="50">
        <v>20.0</v>
      </c>
      <c r="O169" s="58">
        <v>16.0</v>
      </c>
      <c r="P169" s="60"/>
      <c r="Q169" s="60"/>
      <c r="R169" s="60"/>
      <c r="S169" s="60"/>
      <c r="T169" s="60"/>
      <c r="U169" s="60"/>
      <c r="V169" s="53">
        <f t="shared" si="14"/>
        <v>94</v>
      </c>
      <c r="W169" s="8"/>
      <c r="X169" s="8"/>
      <c r="Y169" s="8"/>
      <c r="Z169" s="8"/>
    </row>
    <row r="170" ht="14.25" customHeight="1">
      <c r="A170" s="8"/>
      <c r="B170" s="81" t="s">
        <v>430</v>
      </c>
      <c r="C170" s="46"/>
      <c r="D170" s="46"/>
      <c r="E170" s="54"/>
      <c r="F170" s="55"/>
      <c r="G170" s="56"/>
      <c r="H170" s="57"/>
      <c r="I170" s="47" t="s">
        <v>343</v>
      </c>
      <c r="J170" s="73">
        <v>358895.0</v>
      </c>
      <c r="K170" s="58">
        <v>343586.0</v>
      </c>
      <c r="L170" s="58">
        <v>433765.0</v>
      </c>
      <c r="M170" s="58">
        <v>323756.0</v>
      </c>
      <c r="N170" s="50">
        <v>474495.0</v>
      </c>
      <c r="O170" s="58">
        <v>416340.0</v>
      </c>
      <c r="P170" s="60"/>
      <c r="Q170" s="60"/>
      <c r="R170" s="60"/>
      <c r="S170" s="60"/>
      <c r="T170" s="60"/>
      <c r="U170" s="60"/>
      <c r="V170" s="53">
        <f t="shared" si="14"/>
        <v>2350837</v>
      </c>
      <c r="W170" s="8"/>
      <c r="X170" s="8"/>
      <c r="Y170" s="8"/>
      <c r="Z170" s="8"/>
    </row>
    <row r="171" ht="14.25" customHeight="1">
      <c r="A171" s="8"/>
      <c r="B171" s="81" t="s">
        <v>431</v>
      </c>
      <c r="C171" s="46"/>
      <c r="D171" s="46"/>
      <c r="E171" s="48"/>
      <c r="F171" s="48">
        <v>4.0</v>
      </c>
      <c r="G171" s="47" t="s">
        <v>349</v>
      </c>
      <c r="H171" s="34"/>
      <c r="I171" s="47" t="s">
        <v>342</v>
      </c>
      <c r="J171" s="73">
        <v>16.0</v>
      </c>
      <c r="K171" s="58">
        <v>23.0</v>
      </c>
      <c r="L171" s="58">
        <v>22.0</v>
      </c>
      <c r="M171" s="58">
        <v>17.0</v>
      </c>
      <c r="N171" s="50">
        <v>20.0</v>
      </c>
      <c r="O171" s="58">
        <v>19.0</v>
      </c>
      <c r="P171" s="60"/>
      <c r="Q171" s="60"/>
      <c r="R171" s="60"/>
      <c r="S171" s="60"/>
      <c r="T171" s="60"/>
      <c r="U171" s="60"/>
      <c r="V171" s="53">
        <f t="shared" si="14"/>
        <v>117</v>
      </c>
      <c r="W171" s="8"/>
      <c r="X171" s="8"/>
      <c r="Y171" s="8"/>
      <c r="Z171" s="8"/>
    </row>
    <row r="172" ht="14.25" customHeight="1">
      <c r="A172" s="8"/>
      <c r="B172" s="81" t="s">
        <v>431</v>
      </c>
      <c r="C172" s="46"/>
      <c r="D172" s="46"/>
      <c r="E172" s="46"/>
      <c r="F172" s="55"/>
      <c r="G172" s="56"/>
      <c r="H172" s="57"/>
      <c r="I172" s="47" t="s">
        <v>343</v>
      </c>
      <c r="J172" s="73">
        <v>128975.0</v>
      </c>
      <c r="K172" s="58">
        <v>198191.0</v>
      </c>
      <c r="L172" s="58">
        <v>177563.0</v>
      </c>
      <c r="M172" s="58">
        <v>90344.0</v>
      </c>
      <c r="N172" s="50">
        <v>139096.0</v>
      </c>
      <c r="O172" s="58">
        <v>141188.0</v>
      </c>
      <c r="P172" s="60"/>
      <c r="Q172" s="60"/>
      <c r="R172" s="60"/>
      <c r="S172" s="60"/>
      <c r="T172" s="60"/>
      <c r="U172" s="60"/>
      <c r="V172" s="53">
        <f t="shared" si="14"/>
        <v>875357</v>
      </c>
      <c r="W172" s="8"/>
      <c r="X172" s="8"/>
      <c r="Y172" s="8"/>
      <c r="Z172" s="8"/>
    </row>
    <row r="173" ht="14.25" customHeight="1">
      <c r="A173" s="8"/>
      <c r="B173" s="81" t="s">
        <v>432</v>
      </c>
      <c r="C173" s="46"/>
      <c r="D173" s="46"/>
      <c r="E173" s="48"/>
      <c r="F173" s="48">
        <v>5.0</v>
      </c>
      <c r="G173" s="47" t="s">
        <v>351</v>
      </c>
      <c r="H173" s="34"/>
      <c r="I173" s="47" t="s">
        <v>342</v>
      </c>
      <c r="J173" s="74"/>
      <c r="K173" s="60"/>
      <c r="L173" s="60"/>
      <c r="M173" s="58">
        <v>1.0</v>
      </c>
      <c r="N173" s="60"/>
      <c r="O173" s="58">
        <v>3.0</v>
      </c>
      <c r="P173" s="60"/>
      <c r="Q173" s="60"/>
      <c r="R173" s="60"/>
      <c r="S173" s="60"/>
      <c r="T173" s="60"/>
      <c r="U173" s="60"/>
      <c r="V173" s="53">
        <f t="shared" si="14"/>
        <v>4</v>
      </c>
      <c r="W173" s="8"/>
      <c r="X173" s="8"/>
      <c r="Y173" s="8"/>
      <c r="Z173" s="8"/>
    </row>
    <row r="174" ht="14.25" customHeight="1">
      <c r="A174" s="8"/>
      <c r="B174" s="81" t="s">
        <v>432</v>
      </c>
      <c r="C174" s="46"/>
      <c r="D174" s="46"/>
      <c r="E174" s="64"/>
      <c r="F174" s="55"/>
      <c r="G174" s="56"/>
      <c r="H174" s="57"/>
      <c r="I174" s="47" t="s">
        <v>343</v>
      </c>
      <c r="J174" s="74"/>
      <c r="K174" s="60"/>
      <c r="L174" s="60"/>
      <c r="M174" s="58">
        <v>34986.0</v>
      </c>
      <c r="N174" s="60"/>
      <c r="O174" s="58">
        <v>102411.0</v>
      </c>
      <c r="P174" s="60"/>
      <c r="Q174" s="60"/>
      <c r="R174" s="60"/>
      <c r="S174" s="60"/>
      <c r="T174" s="60"/>
      <c r="U174" s="60"/>
      <c r="V174" s="53">
        <f t="shared" si="14"/>
        <v>137397</v>
      </c>
      <c r="W174" s="8"/>
      <c r="X174" s="8"/>
      <c r="Y174" s="8"/>
      <c r="Z174" s="8"/>
    </row>
    <row r="175" ht="14.25" customHeight="1">
      <c r="A175" s="8"/>
      <c r="B175" s="81" t="s">
        <v>433</v>
      </c>
      <c r="C175" s="46"/>
      <c r="D175" s="46"/>
      <c r="E175" s="48"/>
      <c r="F175" s="48">
        <v>6.0</v>
      </c>
      <c r="G175" s="47" t="s">
        <v>353</v>
      </c>
      <c r="H175" s="34"/>
      <c r="I175" s="47" t="s">
        <v>342</v>
      </c>
      <c r="J175" s="65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53">
        <f t="shared" si="14"/>
        <v>0</v>
      </c>
      <c r="W175" s="8"/>
      <c r="X175" s="8"/>
      <c r="Y175" s="8"/>
      <c r="Z175" s="8"/>
    </row>
    <row r="176" ht="14.25" customHeight="1">
      <c r="A176" s="8"/>
      <c r="B176" s="81" t="s">
        <v>433</v>
      </c>
      <c r="C176" s="46"/>
      <c r="D176" s="46"/>
      <c r="E176" s="64"/>
      <c r="F176" s="55"/>
      <c r="G176" s="56"/>
      <c r="H176" s="57"/>
      <c r="I176" s="47" t="s">
        <v>343</v>
      </c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53">
        <f t="shared" si="14"/>
        <v>0</v>
      </c>
      <c r="W176" s="8"/>
      <c r="X176" s="8"/>
      <c r="Y176" s="8"/>
      <c r="Z176" s="8"/>
    </row>
    <row r="177" ht="14.25" customHeight="1">
      <c r="A177" s="8"/>
      <c r="B177" s="81" t="s">
        <v>434</v>
      </c>
      <c r="C177" s="46"/>
      <c r="D177" s="46"/>
      <c r="E177" s="48"/>
      <c r="F177" s="82">
        <v>7.0</v>
      </c>
      <c r="G177" s="47" t="s">
        <v>355</v>
      </c>
      <c r="H177" s="34"/>
      <c r="I177" s="47" t="s">
        <v>342</v>
      </c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53">
        <f t="shared" si="14"/>
        <v>0</v>
      </c>
      <c r="W177" s="8"/>
      <c r="X177" s="8"/>
      <c r="Y177" s="8"/>
      <c r="Z177" s="8"/>
    </row>
    <row r="178" ht="14.25" customHeight="1">
      <c r="A178" s="8"/>
      <c r="B178" s="81" t="s">
        <v>434</v>
      </c>
      <c r="C178" s="46"/>
      <c r="D178" s="46"/>
      <c r="E178" s="48"/>
      <c r="F178" s="55"/>
      <c r="G178" s="56"/>
      <c r="H178" s="57"/>
      <c r="I178" s="47" t="s">
        <v>343</v>
      </c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53">
        <f t="shared" si="14"/>
        <v>0</v>
      </c>
      <c r="W178" s="8"/>
      <c r="X178" s="8"/>
      <c r="Y178" s="8"/>
      <c r="Z178" s="8"/>
    </row>
    <row r="179" ht="14.25" customHeight="1">
      <c r="A179" s="8"/>
      <c r="B179" s="81" t="s">
        <v>435</v>
      </c>
      <c r="C179" s="46"/>
      <c r="D179" s="46"/>
      <c r="E179" s="54"/>
      <c r="F179" s="83">
        <v>8.0</v>
      </c>
      <c r="G179" s="56" t="s">
        <v>415</v>
      </c>
      <c r="H179" s="34"/>
      <c r="I179" s="47" t="s">
        <v>342</v>
      </c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53">
        <f t="shared" si="14"/>
        <v>0</v>
      </c>
      <c r="W179" s="8"/>
      <c r="X179" s="8"/>
      <c r="Y179" s="8"/>
      <c r="Z179" s="8"/>
    </row>
    <row r="180" ht="14.25" customHeight="1">
      <c r="A180" s="8"/>
      <c r="B180" s="81" t="s">
        <v>435</v>
      </c>
      <c r="C180" s="46"/>
      <c r="D180" s="46"/>
      <c r="E180" s="54"/>
      <c r="F180" s="83"/>
      <c r="G180" s="56"/>
      <c r="H180" s="57"/>
      <c r="I180" s="47" t="s">
        <v>343</v>
      </c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53">
        <f t="shared" si="14"/>
        <v>0</v>
      </c>
      <c r="W180" s="8"/>
      <c r="X180" s="8"/>
      <c r="Y180" s="8"/>
      <c r="Z180" s="8"/>
    </row>
    <row r="181" ht="14.25" customHeight="1">
      <c r="A181" s="8"/>
      <c r="B181" s="81" t="s">
        <v>436</v>
      </c>
      <c r="C181" s="46"/>
      <c r="D181" s="46"/>
      <c r="E181" s="48"/>
      <c r="F181" s="83">
        <v>9.0</v>
      </c>
      <c r="G181" s="71" t="s">
        <v>404</v>
      </c>
      <c r="H181" s="34"/>
      <c r="I181" s="47" t="s">
        <v>342</v>
      </c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53">
        <f t="shared" si="14"/>
        <v>0</v>
      </c>
      <c r="W181" s="8"/>
      <c r="X181" s="8"/>
      <c r="Y181" s="8"/>
      <c r="Z181" s="8"/>
    </row>
    <row r="182" ht="14.25" customHeight="1">
      <c r="A182" s="8"/>
      <c r="B182" s="81" t="s">
        <v>436</v>
      </c>
      <c r="C182" s="63"/>
      <c r="D182" s="46"/>
      <c r="E182" s="47"/>
      <c r="F182" s="33"/>
      <c r="G182" s="33"/>
      <c r="H182" s="34"/>
      <c r="I182" s="47" t="s">
        <v>343</v>
      </c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53">
        <f t="shared" si="14"/>
        <v>0</v>
      </c>
      <c r="W182" s="8"/>
      <c r="X182" s="8"/>
      <c r="Y182" s="8"/>
      <c r="Z182" s="8"/>
    </row>
    <row r="183" ht="14.25" customHeight="1">
      <c r="A183" s="8"/>
      <c r="B183" s="81"/>
      <c r="C183" s="63"/>
      <c r="D183" s="46">
        <v>2.0</v>
      </c>
      <c r="E183" s="47" t="s">
        <v>374</v>
      </c>
      <c r="F183" s="33"/>
      <c r="G183" s="33"/>
      <c r="H183" s="34"/>
      <c r="I183" s="47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8"/>
      <c r="X183" s="8"/>
      <c r="Y183" s="8"/>
      <c r="Z183" s="8"/>
    </row>
    <row r="184" ht="14.25" customHeight="1">
      <c r="A184" s="8"/>
      <c r="B184" s="81"/>
      <c r="C184" s="46"/>
      <c r="D184" s="46"/>
      <c r="E184" s="48">
        <v>1.0</v>
      </c>
      <c r="F184" s="47" t="s">
        <v>339</v>
      </c>
      <c r="G184" s="33"/>
      <c r="H184" s="34"/>
      <c r="I184" s="44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8"/>
      <c r="X184" s="8"/>
      <c r="Y184" s="8"/>
      <c r="Z184" s="8"/>
    </row>
    <row r="185" ht="14.25" customHeight="1">
      <c r="A185" s="8"/>
      <c r="B185" s="81" t="s">
        <v>437</v>
      </c>
      <c r="C185" s="46"/>
      <c r="D185" s="46"/>
      <c r="E185" s="48"/>
      <c r="F185" s="48">
        <v>1.0</v>
      </c>
      <c r="G185" s="47" t="s">
        <v>341</v>
      </c>
      <c r="H185" s="34"/>
      <c r="I185" s="47" t="s">
        <v>342</v>
      </c>
      <c r="J185" s="73"/>
      <c r="K185" s="60"/>
      <c r="L185" s="60"/>
      <c r="M185" s="50">
        <v>1.0</v>
      </c>
      <c r="N185" s="50">
        <v>1.0</v>
      </c>
      <c r="O185" s="58">
        <v>2.0</v>
      </c>
      <c r="P185" s="60"/>
      <c r="Q185" s="60"/>
      <c r="R185" s="60"/>
      <c r="S185" s="60"/>
      <c r="T185" s="60"/>
      <c r="U185" s="60"/>
      <c r="V185" s="53">
        <f t="shared" ref="V185:V202" si="15">SUM(J185:U185)</f>
        <v>4</v>
      </c>
      <c r="W185" s="8"/>
      <c r="X185" s="8"/>
      <c r="Y185" s="8"/>
      <c r="Z185" s="8"/>
    </row>
    <row r="186" ht="14.25" customHeight="1">
      <c r="A186" s="8"/>
      <c r="B186" s="81" t="s">
        <v>437</v>
      </c>
      <c r="C186" s="46"/>
      <c r="D186" s="46"/>
      <c r="E186" s="54"/>
      <c r="F186" s="55"/>
      <c r="G186" s="56"/>
      <c r="H186" s="57"/>
      <c r="I186" s="47" t="s">
        <v>343</v>
      </c>
      <c r="J186" s="74"/>
      <c r="K186" s="60"/>
      <c r="L186" s="60"/>
      <c r="M186" s="58">
        <v>39737.0</v>
      </c>
      <c r="N186" s="50">
        <v>39737.0</v>
      </c>
      <c r="O186" s="58">
        <v>70418.0</v>
      </c>
      <c r="P186" s="60"/>
      <c r="Q186" s="60"/>
      <c r="R186" s="60"/>
      <c r="S186" s="60"/>
      <c r="T186" s="60"/>
      <c r="U186" s="60"/>
      <c r="V186" s="53">
        <f t="shared" si="15"/>
        <v>149892</v>
      </c>
      <c r="W186" s="8"/>
      <c r="X186" s="8"/>
      <c r="Y186" s="8"/>
      <c r="Z186" s="8"/>
    </row>
    <row r="187" ht="14.25" customHeight="1">
      <c r="A187" s="8"/>
      <c r="B187" s="81" t="s">
        <v>438</v>
      </c>
      <c r="C187" s="46"/>
      <c r="D187" s="46"/>
      <c r="E187" s="48"/>
      <c r="F187" s="48">
        <v>2.0</v>
      </c>
      <c r="G187" s="47" t="s">
        <v>345</v>
      </c>
      <c r="H187" s="34"/>
      <c r="I187" s="47" t="s">
        <v>342</v>
      </c>
      <c r="J187" s="73">
        <v>55.0</v>
      </c>
      <c r="K187" s="58">
        <v>42.0</v>
      </c>
      <c r="L187" s="58">
        <v>57.0</v>
      </c>
      <c r="M187" s="58">
        <v>61.0</v>
      </c>
      <c r="N187" s="50">
        <v>47.0</v>
      </c>
      <c r="O187" s="58">
        <v>51.0</v>
      </c>
      <c r="P187" s="60"/>
      <c r="Q187" s="60"/>
      <c r="R187" s="60"/>
      <c r="S187" s="60"/>
      <c r="T187" s="60"/>
      <c r="U187" s="60"/>
      <c r="V187" s="53">
        <f t="shared" si="15"/>
        <v>313</v>
      </c>
      <c r="W187" s="8"/>
      <c r="X187" s="8"/>
      <c r="Y187" s="8"/>
      <c r="Z187" s="8"/>
    </row>
    <row r="188" ht="14.25" customHeight="1">
      <c r="A188" s="8"/>
      <c r="B188" s="81" t="s">
        <v>438</v>
      </c>
      <c r="C188" s="46"/>
      <c r="D188" s="46"/>
      <c r="E188" s="46"/>
      <c r="F188" s="55"/>
      <c r="G188" s="56"/>
      <c r="H188" s="57"/>
      <c r="I188" s="47" t="s">
        <v>343</v>
      </c>
      <c r="J188" s="73">
        <v>443900.0</v>
      </c>
      <c r="K188" s="58">
        <v>316905.0</v>
      </c>
      <c r="L188" s="58">
        <v>483500.0</v>
      </c>
      <c r="M188" s="58">
        <v>479884.0</v>
      </c>
      <c r="N188" s="50">
        <v>428459.0</v>
      </c>
      <c r="O188" s="58">
        <v>421195.0</v>
      </c>
      <c r="P188" s="60"/>
      <c r="Q188" s="60"/>
      <c r="R188" s="60"/>
      <c r="S188" s="60"/>
      <c r="T188" s="60"/>
      <c r="U188" s="60"/>
      <c r="V188" s="53">
        <f t="shared" si="15"/>
        <v>2573843</v>
      </c>
      <c r="W188" s="8"/>
      <c r="X188" s="8"/>
      <c r="Y188" s="8"/>
      <c r="Z188" s="8"/>
    </row>
    <row r="189" ht="14.25" customHeight="1">
      <c r="A189" s="8"/>
      <c r="B189" s="81" t="s">
        <v>439</v>
      </c>
      <c r="C189" s="46"/>
      <c r="D189" s="46"/>
      <c r="E189" s="54"/>
      <c r="F189" s="48">
        <v>3.0</v>
      </c>
      <c r="G189" s="47" t="s">
        <v>347</v>
      </c>
      <c r="H189" s="34"/>
      <c r="I189" s="47" t="s">
        <v>342</v>
      </c>
      <c r="J189" s="73">
        <v>46.0</v>
      </c>
      <c r="K189" s="58">
        <v>53.0</v>
      </c>
      <c r="L189" s="58">
        <v>56.0</v>
      </c>
      <c r="M189" s="58">
        <v>47.0</v>
      </c>
      <c r="N189" s="50">
        <v>52.0</v>
      </c>
      <c r="O189" s="58">
        <v>56.0</v>
      </c>
      <c r="P189" s="60"/>
      <c r="Q189" s="60"/>
      <c r="R189" s="60"/>
      <c r="S189" s="60"/>
      <c r="T189" s="60"/>
      <c r="U189" s="60"/>
      <c r="V189" s="53">
        <f t="shared" si="15"/>
        <v>310</v>
      </c>
      <c r="W189" s="8"/>
      <c r="X189" s="8"/>
      <c r="Y189" s="8"/>
      <c r="Z189" s="8"/>
    </row>
    <row r="190" ht="14.25" customHeight="1">
      <c r="A190" s="8"/>
      <c r="B190" s="81" t="s">
        <v>439</v>
      </c>
      <c r="C190" s="46"/>
      <c r="D190" s="46"/>
      <c r="E190" s="54"/>
      <c r="F190" s="55"/>
      <c r="G190" s="56"/>
      <c r="H190" s="57"/>
      <c r="I190" s="47" t="s">
        <v>343</v>
      </c>
      <c r="J190" s="73">
        <v>313486.0</v>
      </c>
      <c r="K190" s="58">
        <v>392102.0</v>
      </c>
      <c r="L190" s="58">
        <v>433192.0</v>
      </c>
      <c r="M190" s="58">
        <v>336031.0</v>
      </c>
      <c r="N190" s="50">
        <v>400779.0</v>
      </c>
      <c r="O190" s="58">
        <v>408271.0</v>
      </c>
      <c r="P190" s="60"/>
      <c r="Q190" s="60"/>
      <c r="R190" s="60"/>
      <c r="S190" s="60"/>
      <c r="T190" s="60"/>
      <c r="U190" s="60"/>
      <c r="V190" s="53">
        <f t="shared" si="15"/>
        <v>2283861</v>
      </c>
      <c r="W190" s="8"/>
      <c r="X190" s="8"/>
      <c r="Y190" s="8"/>
      <c r="Z190" s="8"/>
    </row>
    <row r="191" ht="14.25" customHeight="1">
      <c r="A191" s="8"/>
      <c r="B191" s="81" t="s">
        <v>440</v>
      </c>
      <c r="C191" s="46"/>
      <c r="D191" s="46"/>
      <c r="E191" s="48"/>
      <c r="F191" s="48">
        <v>4.0</v>
      </c>
      <c r="G191" s="47" t="s">
        <v>349</v>
      </c>
      <c r="H191" s="34"/>
      <c r="I191" s="47" t="s">
        <v>342</v>
      </c>
      <c r="J191" s="73">
        <v>13.0</v>
      </c>
      <c r="K191" s="58">
        <v>11.0</v>
      </c>
      <c r="L191" s="58">
        <v>13.0</v>
      </c>
      <c r="M191" s="58">
        <v>13.0</v>
      </c>
      <c r="N191" s="50">
        <v>15.0</v>
      </c>
      <c r="O191" s="58">
        <v>16.0</v>
      </c>
      <c r="P191" s="60"/>
      <c r="Q191" s="60"/>
      <c r="R191" s="60"/>
      <c r="S191" s="60"/>
      <c r="T191" s="60"/>
      <c r="U191" s="60"/>
      <c r="V191" s="53">
        <f t="shared" si="15"/>
        <v>81</v>
      </c>
      <c r="W191" s="8"/>
      <c r="X191" s="8"/>
      <c r="Y191" s="8"/>
      <c r="Z191" s="8"/>
    </row>
    <row r="192" ht="14.25" customHeight="1">
      <c r="A192" s="8"/>
      <c r="B192" s="81" t="s">
        <v>440</v>
      </c>
      <c r="C192" s="46"/>
      <c r="D192" s="46"/>
      <c r="E192" s="46"/>
      <c r="F192" s="55"/>
      <c r="G192" s="56"/>
      <c r="H192" s="57"/>
      <c r="I192" s="47" t="s">
        <v>343</v>
      </c>
      <c r="J192" s="73">
        <v>56800.0</v>
      </c>
      <c r="K192" s="58">
        <v>50700.0</v>
      </c>
      <c r="L192" s="58">
        <v>56700.0</v>
      </c>
      <c r="M192" s="58">
        <v>53092.0</v>
      </c>
      <c r="N192" s="50">
        <v>63806.0</v>
      </c>
      <c r="O192" s="58">
        <v>60580.0</v>
      </c>
      <c r="P192" s="60"/>
      <c r="Q192" s="60"/>
      <c r="R192" s="60"/>
      <c r="S192" s="60"/>
      <c r="T192" s="60"/>
      <c r="U192" s="60"/>
      <c r="V192" s="53">
        <f t="shared" si="15"/>
        <v>341678</v>
      </c>
      <c r="W192" s="8"/>
      <c r="X192" s="8"/>
      <c r="Y192" s="8"/>
      <c r="Z192" s="8"/>
    </row>
    <row r="193" ht="14.25" customHeight="1">
      <c r="A193" s="8"/>
      <c r="B193" s="81" t="s">
        <v>441</v>
      </c>
      <c r="C193" s="46"/>
      <c r="D193" s="46"/>
      <c r="E193" s="48"/>
      <c r="F193" s="48">
        <v>5.0</v>
      </c>
      <c r="G193" s="47" t="s">
        <v>351</v>
      </c>
      <c r="H193" s="34"/>
      <c r="I193" s="47" t="s">
        <v>342</v>
      </c>
      <c r="J193" s="73">
        <v>33.0</v>
      </c>
      <c r="K193" s="58">
        <v>34.0</v>
      </c>
      <c r="L193" s="58">
        <v>26.0</v>
      </c>
      <c r="M193" s="58">
        <v>27.0</v>
      </c>
      <c r="N193" s="50">
        <v>22.0</v>
      </c>
      <c r="O193" s="58">
        <v>24.0</v>
      </c>
      <c r="P193" s="60"/>
      <c r="Q193" s="60"/>
      <c r="R193" s="60"/>
      <c r="S193" s="60"/>
      <c r="T193" s="60"/>
      <c r="U193" s="60"/>
      <c r="V193" s="53">
        <f t="shared" si="15"/>
        <v>166</v>
      </c>
      <c r="W193" s="8"/>
      <c r="X193" s="8"/>
      <c r="Y193" s="8"/>
      <c r="Z193" s="8"/>
    </row>
    <row r="194" ht="14.25" customHeight="1">
      <c r="A194" s="8"/>
      <c r="B194" s="81" t="s">
        <v>441</v>
      </c>
      <c r="C194" s="46"/>
      <c r="D194" s="46"/>
      <c r="E194" s="64"/>
      <c r="F194" s="55"/>
      <c r="G194" s="56"/>
      <c r="H194" s="57"/>
      <c r="I194" s="47" t="s">
        <v>343</v>
      </c>
      <c r="J194" s="73">
        <v>1934606.0</v>
      </c>
      <c r="K194" s="58">
        <v>911059.0</v>
      </c>
      <c r="L194" s="58">
        <v>564855.0</v>
      </c>
      <c r="M194" s="58">
        <v>673395.0</v>
      </c>
      <c r="N194" s="50">
        <v>509568.0</v>
      </c>
      <c r="O194" s="58">
        <v>508625.0</v>
      </c>
      <c r="P194" s="60"/>
      <c r="Q194" s="60"/>
      <c r="R194" s="60"/>
      <c r="S194" s="60"/>
      <c r="T194" s="60"/>
      <c r="U194" s="60"/>
      <c r="V194" s="53">
        <f t="shared" si="15"/>
        <v>5102108</v>
      </c>
      <c r="W194" s="8"/>
      <c r="X194" s="8"/>
      <c r="Y194" s="8"/>
      <c r="Z194" s="8"/>
    </row>
    <row r="195" ht="14.25" customHeight="1">
      <c r="A195" s="8"/>
      <c r="B195" s="81" t="s">
        <v>442</v>
      </c>
      <c r="C195" s="46"/>
      <c r="D195" s="46"/>
      <c r="E195" s="48"/>
      <c r="F195" s="48">
        <v>6.0</v>
      </c>
      <c r="G195" s="47" t="s">
        <v>353</v>
      </c>
      <c r="H195" s="34"/>
      <c r="I195" s="47" t="s">
        <v>342</v>
      </c>
      <c r="J195" s="60"/>
      <c r="K195" s="62"/>
      <c r="L195" s="62"/>
      <c r="M195" s="58"/>
      <c r="N195" s="61"/>
      <c r="O195" s="60"/>
      <c r="P195" s="60"/>
      <c r="Q195" s="60"/>
      <c r="R195" s="60"/>
      <c r="S195" s="60"/>
      <c r="T195" s="60"/>
      <c r="U195" s="60"/>
      <c r="V195" s="53">
        <f t="shared" si="15"/>
        <v>0</v>
      </c>
      <c r="W195" s="8"/>
      <c r="X195" s="8"/>
      <c r="Y195" s="8"/>
      <c r="Z195" s="8"/>
    </row>
    <row r="196" ht="14.25" customHeight="1">
      <c r="A196" s="8"/>
      <c r="B196" s="81" t="s">
        <v>442</v>
      </c>
      <c r="C196" s="46"/>
      <c r="D196" s="46"/>
      <c r="E196" s="64"/>
      <c r="F196" s="55"/>
      <c r="G196" s="56"/>
      <c r="H196" s="57"/>
      <c r="I196" s="47" t="s">
        <v>343</v>
      </c>
      <c r="J196" s="60"/>
      <c r="K196" s="62"/>
      <c r="L196" s="62"/>
      <c r="M196" s="58"/>
      <c r="N196" s="61"/>
      <c r="O196" s="60"/>
      <c r="P196" s="60"/>
      <c r="Q196" s="60"/>
      <c r="R196" s="60"/>
      <c r="S196" s="60"/>
      <c r="T196" s="60"/>
      <c r="U196" s="60"/>
      <c r="V196" s="53">
        <f t="shared" si="15"/>
        <v>0</v>
      </c>
      <c r="W196" s="8"/>
      <c r="X196" s="8"/>
      <c r="Y196" s="8"/>
      <c r="Z196" s="8"/>
    </row>
    <row r="197" ht="14.25" customHeight="1">
      <c r="A197" s="8"/>
      <c r="B197" s="81" t="s">
        <v>443</v>
      </c>
      <c r="C197" s="46"/>
      <c r="D197" s="46"/>
      <c r="E197" s="48"/>
      <c r="F197" s="82">
        <v>7.0</v>
      </c>
      <c r="G197" s="47" t="s">
        <v>355</v>
      </c>
      <c r="H197" s="34"/>
      <c r="I197" s="47" t="s">
        <v>342</v>
      </c>
      <c r="J197" s="60"/>
      <c r="K197" s="62"/>
      <c r="L197" s="62"/>
      <c r="M197" s="50"/>
      <c r="N197" s="61"/>
      <c r="O197" s="60"/>
      <c r="P197" s="60"/>
      <c r="Q197" s="60"/>
      <c r="R197" s="60"/>
      <c r="S197" s="60"/>
      <c r="T197" s="60"/>
      <c r="U197" s="60"/>
      <c r="V197" s="53">
        <f t="shared" si="15"/>
        <v>0</v>
      </c>
      <c r="W197" s="8"/>
      <c r="X197" s="8"/>
      <c r="Y197" s="8"/>
      <c r="Z197" s="8"/>
    </row>
    <row r="198" ht="14.25" customHeight="1">
      <c r="A198" s="8"/>
      <c r="B198" s="81" t="s">
        <v>443</v>
      </c>
      <c r="C198" s="46"/>
      <c r="D198" s="46"/>
      <c r="E198" s="48"/>
      <c r="F198" s="55"/>
      <c r="G198" s="56"/>
      <c r="H198" s="57"/>
      <c r="I198" s="47" t="s">
        <v>343</v>
      </c>
      <c r="J198" s="60"/>
      <c r="K198" s="62"/>
      <c r="L198" s="62"/>
      <c r="M198" s="50"/>
      <c r="N198" s="61"/>
      <c r="O198" s="60"/>
      <c r="P198" s="60"/>
      <c r="Q198" s="60"/>
      <c r="R198" s="60"/>
      <c r="S198" s="60"/>
      <c r="T198" s="60"/>
      <c r="U198" s="60"/>
      <c r="V198" s="53">
        <f t="shared" si="15"/>
        <v>0</v>
      </c>
      <c r="W198" s="8"/>
      <c r="X198" s="8"/>
      <c r="Y198" s="8"/>
      <c r="Z198" s="8"/>
    </row>
    <row r="199" ht="14.25" customHeight="1">
      <c r="A199" s="8"/>
      <c r="B199" s="81" t="s">
        <v>444</v>
      </c>
      <c r="C199" s="46"/>
      <c r="D199" s="46"/>
      <c r="E199" s="54"/>
      <c r="F199" s="83">
        <v>8.0</v>
      </c>
      <c r="G199" s="56" t="s">
        <v>415</v>
      </c>
      <c r="H199" s="34"/>
      <c r="I199" s="47" t="s">
        <v>342</v>
      </c>
      <c r="J199" s="73">
        <v>67.0</v>
      </c>
      <c r="K199" s="58">
        <v>72.0</v>
      </c>
      <c r="L199" s="58">
        <v>80.0</v>
      </c>
      <c r="M199" s="50">
        <v>84.0</v>
      </c>
      <c r="N199" s="50">
        <v>99.0</v>
      </c>
      <c r="O199" s="58">
        <v>110.0</v>
      </c>
      <c r="P199" s="60"/>
      <c r="Q199" s="60"/>
      <c r="R199" s="60"/>
      <c r="S199" s="60"/>
      <c r="T199" s="60"/>
      <c r="U199" s="60"/>
      <c r="V199" s="53">
        <f t="shared" si="15"/>
        <v>512</v>
      </c>
      <c r="W199" s="8"/>
      <c r="X199" s="8"/>
      <c r="Y199" s="8"/>
      <c r="Z199" s="8"/>
    </row>
    <row r="200" ht="14.25" customHeight="1">
      <c r="A200" s="8"/>
      <c r="B200" s="81" t="s">
        <v>444</v>
      </c>
      <c r="C200" s="46"/>
      <c r="D200" s="46"/>
      <c r="E200" s="54"/>
      <c r="F200" s="83"/>
      <c r="G200" s="56"/>
      <c r="H200" s="57"/>
      <c r="I200" s="47" t="s">
        <v>343</v>
      </c>
      <c r="J200" s="73">
        <v>170669.0</v>
      </c>
      <c r="K200" s="58">
        <v>138361.0</v>
      </c>
      <c r="L200" s="58">
        <v>168021.0</v>
      </c>
      <c r="M200" s="58">
        <v>148690.0</v>
      </c>
      <c r="N200" s="50">
        <v>163908.0</v>
      </c>
      <c r="O200" s="58">
        <v>227074.0</v>
      </c>
      <c r="P200" s="60"/>
      <c r="Q200" s="60"/>
      <c r="R200" s="60"/>
      <c r="S200" s="60"/>
      <c r="T200" s="60"/>
      <c r="U200" s="60"/>
      <c r="V200" s="53">
        <f t="shared" si="15"/>
        <v>1016723</v>
      </c>
      <c r="W200" s="8"/>
      <c r="X200" s="8"/>
      <c r="Y200" s="8"/>
      <c r="Z200" s="8"/>
    </row>
    <row r="201" ht="14.25" customHeight="1">
      <c r="A201" s="8"/>
      <c r="B201" s="81" t="s">
        <v>445</v>
      </c>
      <c r="C201" s="46"/>
      <c r="D201" s="46"/>
      <c r="E201" s="48"/>
      <c r="F201" s="83">
        <v>9.0</v>
      </c>
      <c r="G201" s="71" t="s">
        <v>404</v>
      </c>
      <c r="H201" s="34"/>
      <c r="I201" s="47" t="s">
        <v>342</v>
      </c>
      <c r="J201" s="60"/>
      <c r="K201" s="60"/>
      <c r="L201" s="60"/>
      <c r="M201" s="58"/>
      <c r="N201" s="61"/>
      <c r="O201" s="60"/>
      <c r="P201" s="60"/>
      <c r="Q201" s="60"/>
      <c r="R201" s="60"/>
      <c r="S201" s="60"/>
      <c r="T201" s="60"/>
      <c r="U201" s="60"/>
      <c r="V201" s="53">
        <f t="shared" si="15"/>
        <v>0</v>
      </c>
      <c r="W201" s="8"/>
      <c r="X201" s="8"/>
      <c r="Y201" s="8"/>
      <c r="Z201" s="8"/>
    </row>
    <row r="202" ht="14.25" customHeight="1">
      <c r="A202" s="8"/>
      <c r="B202" s="81" t="s">
        <v>445</v>
      </c>
      <c r="C202" s="63"/>
      <c r="D202" s="46"/>
      <c r="E202" s="75"/>
      <c r="F202" s="84"/>
      <c r="G202" s="68"/>
      <c r="H202" s="69"/>
      <c r="I202" s="47" t="s">
        <v>343</v>
      </c>
      <c r="J202" s="60"/>
      <c r="K202" s="60"/>
      <c r="L202" s="60"/>
      <c r="M202" s="58"/>
      <c r="N202" s="61"/>
      <c r="O202" s="60"/>
      <c r="P202" s="60"/>
      <c r="Q202" s="60"/>
      <c r="R202" s="60"/>
      <c r="S202" s="60"/>
      <c r="T202" s="60"/>
      <c r="U202" s="60"/>
      <c r="V202" s="53">
        <f t="shared" si="15"/>
        <v>0</v>
      </c>
      <c r="W202" s="8"/>
      <c r="X202" s="8"/>
      <c r="Y202" s="8"/>
      <c r="Z202" s="8"/>
    </row>
    <row r="203" ht="14.25" customHeight="1">
      <c r="A203" s="8"/>
      <c r="B203" s="81"/>
      <c r="C203" s="63"/>
      <c r="D203" s="46"/>
      <c r="E203" s="47"/>
      <c r="F203" s="33"/>
      <c r="G203" s="33"/>
      <c r="H203" s="34"/>
      <c r="I203" s="47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8"/>
      <c r="X203" s="8"/>
      <c r="Y203" s="8"/>
      <c r="Z203" s="8"/>
    </row>
    <row r="204" ht="14.25" customHeight="1">
      <c r="A204" s="8"/>
      <c r="B204" s="81"/>
      <c r="C204" s="63"/>
      <c r="D204" s="77" t="s">
        <v>446</v>
      </c>
      <c r="E204" s="20"/>
      <c r="F204" s="20"/>
      <c r="G204" s="20"/>
      <c r="H204" s="21"/>
      <c r="I204" s="47" t="s">
        <v>342</v>
      </c>
      <c r="J204" s="53">
        <f t="shared" ref="J204:V204" si="16">SUMIF($I$165:$V$202,$I204,J$165:J$202)</f>
        <v>256</v>
      </c>
      <c r="K204" s="53">
        <f t="shared" si="16"/>
        <v>266</v>
      </c>
      <c r="L204" s="53">
        <f t="shared" si="16"/>
        <v>287</v>
      </c>
      <c r="M204" s="53">
        <f t="shared" si="16"/>
        <v>273</v>
      </c>
      <c r="N204" s="53">
        <f t="shared" si="16"/>
        <v>292</v>
      </c>
      <c r="O204" s="53">
        <f t="shared" si="16"/>
        <v>312</v>
      </c>
      <c r="P204" s="53">
        <f t="shared" si="16"/>
        <v>0</v>
      </c>
      <c r="Q204" s="53">
        <f t="shared" si="16"/>
        <v>0</v>
      </c>
      <c r="R204" s="53">
        <f t="shared" si="16"/>
        <v>0</v>
      </c>
      <c r="S204" s="53">
        <f t="shared" si="16"/>
        <v>0</v>
      </c>
      <c r="T204" s="53">
        <f t="shared" si="16"/>
        <v>0</v>
      </c>
      <c r="U204" s="53">
        <f t="shared" si="16"/>
        <v>0</v>
      </c>
      <c r="V204" s="53">
        <f t="shared" si="16"/>
        <v>1686</v>
      </c>
      <c r="W204" s="8"/>
      <c r="X204" s="8"/>
      <c r="Y204" s="8"/>
      <c r="Z204" s="8"/>
    </row>
    <row r="205" ht="14.25" customHeight="1">
      <c r="A205" s="8"/>
      <c r="B205" s="81"/>
      <c r="C205" s="63"/>
      <c r="D205" s="28"/>
      <c r="E205" s="29"/>
      <c r="F205" s="29"/>
      <c r="G205" s="29"/>
      <c r="H205" s="30"/>
      <c r="I205" s="47" t="s">
        <v>343</v>
      </c>
      <c r="J205" s="53">
        <f t="shared" ref="J205:V205" si="17">SUMIF($I$165:$V$202,$I205,J$165:J$202)</f>
        <v>3694928</v>
      </c>
      <c r="K205" s="53">
        <f t="shared" si="17"/>
        <v>2707202</v>
      </c>
      <c r="L205" s="53">
        <f t="shared" si="17"/>
        <v>2604196</v>
      </c>
      <c r="M205" s="53">
        <f t="shared" si="17"/>
        <v>2438165</v>
      </c>
      <c r="N205" s="53">
        <f t="shared" si="17"/>
        <v>2636012</v>
      </c>
      <c r="O205" s="53">
        <f t="shared" si="17"/>
        <v>2701241</v>
      </c>
      <c r="P205" s="53">
        <f t="shared" si="17"/>
        <v>0</v>
      </c>
      <c r="Q205" s="53">
        <f t="shared" si="17"/>
        <v>0</v>
      </c>
      <c r="R205" s="53">
        <f t="shared" si="17"/>
        <v>0</v>
      </c>
      <c r="S205" s="53">
        <f t="shared" si="17"/>
        <v>0</v>
      </c>
      <c r="T205" s="53">
        <f t="shared" si="17"/>
        <v>0</v>
      </c>
      <c r="U205" s="53">
        <f t="shared" si="17"/>
        <v>0</v>
      </c>
      <c r="V205" s="53">
        <f t="shared" si="17"/>
        <v>16781744</v>
      </c>
      <c r="W205" s="8"/>
      <c r="X205" s="8"/>
      <c r="Y205" s="8"/>
      <c r="Z205" s="8"/>
    </row>
    <row r="206" ht="14.25" customHeight="1">
      <c r="A206" s="8"/>
      <c r="B206" s="81"/>
      <c r="C206" s="63"/>
      <c r="D206" s="78"/>
      <c r="E206" s="79"/>
      <c r="F206" s="79"/>
      <c r="G206" s="79"/>
      <c r="H206" s="80"/>
      <c r="I206" s="47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8"/>
      <c r="X206" s="8"/>
      <c r="Y206" s="8"/>
      <c r="Z206" s="8"/>
    </row>
    <row r="207" ht="14.25" customHeight="1">
      <c r="A207" s="8"/>
      <c r="B207" s="81"/>
      <c r="C207" s="46">
        <v>5.0</v>
      </c>
      <c r="D207" s="47" t="s">
        <v>447</v>
      </c>
      <c r="E207" s="33"/>
      <c r="F207" s="33"/>
      <c r="G207" s="33"/>
      <c r="H207" s="34"/>
      <c r="I207" s="47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8"/>
      <c r="X207" s="8"/>
      <c r="Y207" s="8"/>
      <c r="Z207" s="8"/>
    </row>
    <row r="208" ht="14.25" customHeight="1">
      <c r="A208" s="8"/>
      <c r="B208" s="81"/>
      <c r="C208" s="63"/>
      <c r="D208" s="46">
        <v>1.0</v>
      </c>
      <c r="E208" s="47" t="s">
        <v>338</v>
      </c>
      <c r="F208" s="33"/>
      <c r="G208" s="33"/>
      <c r="H208" s="34"/>
      <c r="I208" s="47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8"/>
      <c r="X208" s="8"/>
      <c r="Y208" s="8"/>
      <c r="Z208" s="8"/>
    </row>
    <row r="209" ht="14.25" customHeight="1">
      <c r="A209" s="8"/>
      <c r="B209" s="81"/>
      <c r="C209" s="46"/>
      <c r="D209" s="46"/>
      <c r="E209" s="48">
        <v>1.0</v>
      </c>
      <c r="F209" s="47" t="s">
        <v>339</v>
      </c>
      <c r="G209" s="33"/>
      <c r="H209" s="34"/>
      <c r="I209" s="44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8"/>
      <c r="X209" s="8"/>
      <c r="Y209" s="8"/>
      <c r="Z209" s="8"/>
    </row>
    <row r="210" ht="14.25" customHeight="1">
      <c r="A210" s="8"/>
      <c r="B210" s="81" t="s">
        <v>448</v>
      </c>
      <c r="C210" s="46"/>
      <c r="D210" s="46"/>
      <c r="E210" s="48"/>
      <c r="F210" s="48">
        <v>1.0</v>
      </c>
      <c r="G210" s="47" t="s">
        <v>341</v>
      </c>
      <c r="H210" s="34"/>
      <c r="I210" s="47" t="s">
        <v>342</v>
      </c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53">
        <f t="shared" ref="V210:V227" si="18">SUM(J210:U210)</f>
        <v>0</v>
      </c>
      <c r="W210" s="8"/>
      <c r="X210" s="8"/>
      <c r="Y210" s="8"/>
      <c r="Z210" s="8"/>
    </row>
    <row r="211" ht="14.25" customHeight="1">
      <c r="A211" s="8"/>
      <c r="B211" s="81" t="s">
        <v>448</v>
      </c>
      <c r="C211" s="46"/>
      <c r="D211" s="46"/>
      <c r="E211" s="54"/>
      <c r="F211" s="55"/>
      <c r="G211" s="56"/>
      <c r="H211" s="57"/>
      <c r="I211" s="47" t="s">
        <v>343</v>
      </c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53">
        <f t="shared" si="18"/>
        <v>0</v>
      </c>
      <c r="W211" s="8"/>
      <c r="X211" s="8"/>
      <c r="Y211" s="8"/>
      <c r="Z211" s="8"/>
    </row>
    <row r="212" ht="14.25" customHeight="1">
      <c r="A212" s="8"/>
      <c r="B212" s="81" t="s">
        <v>449</v>
      </c>
      <c r="C212" s="46"/>
      <c r="D212" s="46"/>
      <c r="E212" s="48"/>
      <c r="F212" s="48">
        <v>2.0</v>
      </c>
      <c r="G212" s="47" t="s">
        <v>345</v>
      </c>
      <c r="H212" s="34"/>
      <c r="I212" s="47" t="s">
        <v>342</v>
      </c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53">
        <f t="shared" si="18"/>
        <v>0</v>
      </c>
      <c r="W212" s="8"/>
      <c r="X212" s="8"/>
      <c r="Y212" s="8"/>
      <c r="Z212" s="8"/>
    </row>
    <row r="213" ht="14.25" customHeight="1">
      <c r="A213" s="8"/>
      <c r="B213" s="81" t="s">
        <v>449</v>
      </c>
      <c r="C213" s="46"/>
      <c r="D213" s="46"/>
      <c r="E213" s="46"/>
      <c r="F213" s="55"/>
      <c r="G213" s="56"/>
      <c r="H213" s="57"/>
      <c r="I213" s="47" t="s">
        <v>343</v>
      </c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53">
        <f t="shared" si="18"/>
        <v>0</v>
      </c>
      <c r="W213" s="8"/>
      <c r="X213" s="8"/>
      <c r="Y213" s="8"/>
      <c r="Z213" s="8"/>
    </row>
    <row r="214" ht="14.25" customHeight="1">
      <c r="A214" s="8"/>
      <c r="B214" s="81" t="s">
        <v>450</v>
      </c>
      <c r="C214" s="46"/>
      <c r="D214" s="46"/>
      <c r="E214" s="54"/>
      <c r="F214" s="48">
        <v>3.0</v>
      </c>
      <c r="G214" s="47" t="s">
        <v>347</v>
      </c>
      <c r="H214" s="34"/>
      <c r="I214" s="47" t="s">
        <v>342</v>
      </c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53">
        <f t="shared" si="18"/>
        <v>0</v>
      </c>
      <c r="W214" s="8"/>
      <c r="X214" s="8"/>
      <c r="Y214" s="8"/>
      <c r="Z214" s="8"/>
    </row>
    <row r="215" ht="14.25" customHeight="1">
      <c r="A215" s="8"/>
      <c r="B215" s="81" t="s">
        <v>450</v>
      </c>
      <c r="C215" s="46"/>
      <c r="D215" s="46"/>
      <c r="E215" s="54"/>
      <c r="F215" s="55"/>
      <c r="G215" s="56"/>
      <c r="H215" s="57"/>
      <c r="I215" s="47" t="s">
        <v>343</v>
      </c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53">
        <f t="shared" si="18"/>
        <v>0</v>
      </c>
      <c r="W215" s="8"/>
      <c r="X215" s="8"/>
      <c r="Y215" s="8"/>
      <c r="Z215" s="8"/>
    </row>
    <row r="216" ht="14.25" customHeight="1">
      <c r="A216" s="8"/>
      <c r="B216" s="81" t="s">
        <v>451</v>
      </c>
      <c r="C216" s="46"/>
      <c r="D216" s="46"/>
      <c r="E216" s="48"/>
      <c r="F216" s="48">
        <v>4.0</v>
      </c>
      <c r="G216" s="47" t="s">
        <v>349</v>
      </c>
      <c r="H216" s="34"/>
      <c r="I216" s="47" t="s">
        <v>342</v>
      </c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53">
        <f t="shared" si="18"/>
        <v>0</v>
      </c>
      <c r="W216" s="8"/>
      <c r="X216" s="8"/>
      <c r="Y216" s="8"/>
      <c r="Z216" s="8"/>
    </row>
    <row r="217" ht="14.25" customHeight="1">
      <c r="A217" s="8"/>
      <c r="B217" s="81" t="s">
        <v>451</v>
      </c>
      <c r="C217" s="46"/>
      <c r="D217" s="46"/>
      <c r="E217" s="46"/>
      <c r="F217" s="55"/>
      <c r="G217" s="56"/>
      <c r="H217" s="57"/>
      <c r="I217" s="47" t="s">
        <v>343</v>
      </c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53">
        <f t="shared" si="18"/>
        <v>0</v>
      </c>
      <c r="W217" s="8"/>
      <c r="X217" s="8"/>
      <c r="Y217" s="8"/>
      <c r="Z217" s="8"/>
    </row>
    <row r="218" ht="14.25" customHeight="1">
      <c r="A218" s="8"/>
      <c r="B218" s="81" t="s">
        <v>452</v>
      </c>
      <c r="C218" s="46"/>
      <c r="D218" s="46"/>
      <c r="E218" s="48"/>
      <c r="F218" s="48">
        <v>5.0</v>
      </c>
      <c r="G218" s="47" t="s">
        <v>351</v>
      </c>
      <c r="H218" s="34"/>
      <c r="I218" s="47" t="s">
        <v>342</v>
      </c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53">
        <f t="shared" si="18"/>
        <v>0</v>
      </c>
      <c r="W218" s="8"/>
      <c r="X218" s="8"/>
      <c r="Y218" s="8"/>
      <c r="Z218" s="8"/>
    </row>
    <row r="219" ht="14.25" customHeight="1">
      <c r="A219" s="8"/>
      <c r="B219" s="81" t="s">
        <v>452</v>
      </c>
      <c r="C219" s="46"/>
      <c r="D219" s="46"/>
      <c r="E219" s="64"/>
      <c r="F219" s="55"/>
      <c r="G219" s="56"/>
      <c r="H219" s="57"/>
      <c r="I219" s="47" t="s">
        <v>343</v>
      </c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53">
        <f t="shared" si="18"/>
        <v>0</v>
      </c>
      <c r="W219" s="8"/>
      <c r="X219" s="8"/>
      <c r="Y219" s="8"/>
      <c r="Z219" s="8"/>
    </row>
    <row r="220" ht="14.25" customHeight="1">
      <c r="A220" s="8"/>
      <c r="B220" s="81" t="s">
        <v>453</v>
      </c>
      <c r="C220" s="46"/>
      <c r="D220" s="46"/>
      <c r="E220" s="48"/>
      <c r="F220" s="48">
        <v>6.0</v>
      </c>
      <c r="G220" s="47" t="s">
        <v>353</v>
      </c>
      <c r="H220" s="34"/>
      <c r="I220" s="47" t="s">
        <v>342</v>
      </c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53">
        <f t="shared" si="18"/>
        <v>0</v>
      </c>
      <c r="W220" s="8"/>
      <c r="X220" s="8"/>
      <c r="Y220" s="8"/>
      <c r="Z220" s="8"/>
    </row>
    <row r="221" ht="14.25" customHeight="1">
      <c r="A221" s="8"/>
      <c r="B221" s="81" t="s">
        <v>453</v>
      </c>
      <c r="C221" s="46"/>
      <c r="D221" s="46"/>
      <c r="E221" s="64"/>
      <c r="F221" s="55"/>
      <c r="G221" s="56"/>
      <c r="H221" s="57"/>
      <c r="I221" s="47" t="s">
        <v>343</v>
      </c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53">
        <f t="shared" si="18"/>
        <v>0</v>
      </c>
      <c r="W221" s="8"/>
      <c r="X221" s="8"/>
      <c r="Y221" s="8"/>
      <c r="Z221" s="8"/>
    </row>
    <row r="222" ht="14.25" customHeight="1">
      <c r="A222" s="8"/>
      <c r="B222" s="81" t="s">
        <v>454</v>
      </c>
      <c r="C222" s="46"/>
      <c r="D222" s="46"/>
      <c r="E222" s="48"/>
      <c r="F222" s="82">
        <v>7.0</v>
      </c>
      <c r="G222" s="47" t="s">
        <v>355</v>
      </c>
      <c r="H222" s="34"/>
      <c r="I222" s="47" t="s">
        <v>342</v>
      </c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53">
        <f t="shared" si="18"/>
        <v>0</v>
      </c>
      <c r="W222" s="8"/>
      <c r="X222" s="8"/>
      <c r="Y222" s="8"/>
      <c r="Z222" s="8"/>
    </row>
    <row r="223" ht="14.25" customHeight="1">
      <c r="A223" s="8"/>
      <c r="B223" s="81" t="s">
        <v>454</v>
      </c>
      <c r="C223" s="46"/>
      <c r="D223" s="46"/>
      <c r="E223" s="48"/>
      <c r="F223" s="55"/>
      <c r="G223" s="56"/>
      <c r="H223" s="57"/>
      <c r="I223" s="47" t="s">
        <v>343</v>
      </c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53">
        <f t="shared" si="18"/>
        <v>0</v>
      </c>
      <c r="W223" s="8"/>
      <c r="X223" s="8"/>
      <c r="Y223" s="8"/>
      <c r="Z223" s="8"/>
    </row>
    <row r="224" ht="14.25" customHeight="1">
      <c r="A224" s="8"/>
      <c r="B224" s="81" t="s">
        <v>455</v>
      </c>
      <c r="C224" s="46"/>
      <c r="D224" s="46"/>
      <c r="E224" s="54"/>
      <c r="F224" s="83">
        <v>8.0</v>
      </c>
      <c r="G224" s="56" t="s">
        <v>415</v>
      </c>
      <c r="H224" s="34"/>
      <c r="I224" s="47" t="s">
        <v>342</v>
      </c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53">
        <f t="shared" si="18"/>
        <v>0</v>
      </c>
      <c r="W224" s="8"/>
      <c r="X224" s="8"/>
      <c r="Y224" s="8"/>
      <c r="Z224" s="8"/>
    </row>
    <row r="225" ht="14.25" customHeight="1">
      <c r="A225" s="8"/>
      <c r="B225" s="81" t="s">
        <v>455</v>
      </c>
      <c r="C225" s="46"/>
      <c r="D225" s="46"/>
      <c r="E225" s="54"/>
      <c r="F225" s="83"/>
      <c r="G225" s="56"/>
      <c r="H225" s="57"/>
      <c r="I225" s="47" t="s">
        <v>343</v>
      </c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53">
        <f t="shared" si="18"/>
        <v>0</v>
      </c>
      <c r="W225" s="8"/>
      <c r="X225" s="8"/>
      <c r="Y225" s="8"/>
      <c r="Z225" s="8"/>
    </row>
    <row r="226" ht="14.25" customHeight="1">
      <c r="A226" s="8"/>
      <c r="B226" s="81" t="s">
        <v>456</v>
      </c>
      <c r="C226" s="46"/>
      <c r="D226" s="46"/>
      <c r="E226" s="48"/>
      <c r="F226" s="83">
        <v>9.0</v>
      </c>
      <c r="G226" s="71" t="s">
        <v>404</v>
      </c>
      <c r="H226" s="34"/>
      <c r="I226" s="47" t="s">
        <v>342</v>
      </c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53">
        <f t="shared" si="18"/>
        <v>0</v>
      </c>
      <c r="W226" s="8"/>
      <c r="X226" s="8"/>
      <c r="Y226" s="8"/>
      <c r="Z226" s="8"/>
    </row>
    <row r="227" ht="14.25" customHeight="1">
      <c r="A227" s="8"/>
      <c r="B227" s="81" t="s">
        <v>456</v>
      </c>
      <c r="C227" s="63"/>
      <c r="D227" s="46"/>
      <c r="E227" s="47"/>
      <c r="F227" s="33"/>
      <c r="G227" s="33"/>
      <c r="H227" s="34"/>
      <c r="I227" s="47" t="s">
        <v>343</v>
      </c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53">
        <f t="shared" si="18"/>
        <v>0</v>
      </c>
      <c r="W227" s="8"/>
      <c r="X227" s="8"/>
      <c r="Y227" s="8"/>
      <c r="Z227" s="8"/>
    </row>
    <row r="228" ht="14.25" customHeight="1">
      <c r="A228" s="8"/>
      <c r="B228" s="81"/>
      <c r="C228" s="63"/>
      <c r="D228" s="46">
        <v>2.0</v>
      </c>
      <c r="E228" s="47" t="s">
        <v>374</v>
      </c>
      <c r="F228" s="33"/>
      <c r="G228" s="33"/>
      <c r="H228" s="34"/>
      <c r="I228" s="47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8"/>
      <c r="X228" s="8"/>
      <c r="Y228" s="8"/>
      <c r="Z228" s="8"/>
    </row>
    <row r="229" ht="14.25" customHeight="1">
      <c r="A229" s="8"/>
      <c r="B229" s="81"/>
      <c r="C229" s="46"/>
      <c r="D229" s="46"/>
      <c r="E229" s="48">
        <v>1.0</v>
      </c>
      <c r="F229" s="47" t="s">
        <v>339</v>
      </c>
      <c r="G229" s="33"/>
      <c r="H229" s="34"/>
      <c r="I229" s="44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8"/>
      <c r="X229" s="8"/>
      <c r="Y229" s="8"/>
      <c r="Z229" s="8"/>
    </row>
    <row r="230" ht="14.25" customHeight="1">
      <c r="A230" s="8"/>
      <c r="B230" s="81" t="s">
        <v>457</v>
      </c>
      <c r="C230" s="46"/>
      <c r="D230" s="46"/>
      <c r="E230" s="48"/>
      <c r="F230" s="48">
        <v>1.0</v>
      </c>
      <c r="G230" s="47" t="s">
        <v>341</v>
      </c>
      <c r="H230" s="34"/>
      <c r="I230" s="47" t="s">
        <v>342</v>
      </c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53">
        <f t="shared" ref="V230:V247" si="19">SUM(J230:U230)</f>
        <v>0</v>
      </c>
      <c r="W230" s="8"/>
      <c r="X230" s="8"/>
      <c r="Y230" s="8"/>
      <c r="Z230" s="8"/>
    </row>
    <row r="231" ht="14.25" customHeight="1">
      <c r="A231" s="8"/>
      <c r="B231" s="81" t="s">
        <v>457</v>
      </c>
      <c r="C231" s="46"/>
      <c r="D231" s="46"/>
      <c r="E231" s="54"/>
      <c r="F231" s="55"/>
      <c r="G231" s="56"/>
      <c r="H231" s="57"/>
      <c r="I231" s="47" t="s">
        <v>343</v>
      </c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53">
        <f t="shared" si="19"/>
        <v>0</v>
      </c>
      <c r="W231" s="8"/>
      <c r="X231" s="8"/>
      <c r="Y231" s="8"/>
      <c r="Z231" s="8"/>
    </row>
    <row r="232" ht="14.25" customHeight="1">
      <c r="A232" s="8"/>
      <c r="B232" s="81" t="s">
        <v>458</v>
      </c>
      <c r="C232" s="46"/>
      <c r="D232" s="46"/>
      <c r="E232" s="48"/>
      <c r="F232" s="48">
        <v>2.0</v>
      </c>
      <c r="G232" s="47" t="s">
        <v>345</v>
      </c>
      <c r="H232" s="34"/>
      <c r="I232" s="47" t="s">
        <v>342</v>
      </c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53">
        <f t="shared" si="19"/>
        <v>0</v>
      </c>
      <c r="W232" s="8"/>
      <c r="X232" s="8"/>
      <c r="Y232" s="8"/>
      <c r="Z232" s="8"/>
    </row>
    <row r="233" ht="14.25" customHeight="1">
      <c r="A233" s="8"/>
      <c r="B233" s="81" t="s">
        <v>458</v>
      </c>
      <c r="C233" s="46"/>
      <c r="D233" s="46"/>
      <c r="E233" s="46"/>
      <c r="F233" s="55"/>
      <c r="G233" s="56"/>
      <c r="H233" s="57"/>
      <c r="I233" s="47" t="s">
        <v>343</v>
      </c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53">
        <f t="shared" si="19"/>
        <v>0</v>
      </c>
      <c r="W233" s="8"/>
      <c r="X233" s="8"/>
      <c r="Y233" s="8"/>
      <c r="Z233" s="8"/>
    </row>
    <row r="234" ht="14.25" customHeight="1">
      <c r="A234" s="8"/>
      <c r="B234" s="81" t="s">
        <v>459</v>
      </c>
      <c r="C234" s="46"/>
      <c r="D234" s="46"/>
      <c r="E234" s="54"/>
      <c r="F234" s="48">
        <v>3.0</v>
      </c>
      <c r="G234" s="47" t="s">
        <v>347</v>
      </c>
      <c r="H234" s="34"/>
      <c r="I234" s="47" t="s">
        <v>342</v>
      </c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53">
        <f t="shared" si="19"/>
        <v>0</v>
      </c>
      <c r="W234" s="8"/>
      <c r="X234" s="8"/>
      <c r="Y234" s="8"/>
      <c r="Z234" s="8"/>
    </row>
    <row r="235" ht="14.25" customHeight="1">
      <c r="A235" s="8"/>
      <c r="B235" s="81" t="s">
        <v>459</v>
      </c>
      <c r="C235" s="46"/>
      <c r="D235" s="46"/>
      <c r="E235" s="54"/>
      <c r="F235" s="55"/>
      <c r="G235" s="56"/>
      <c r="H235" s="57"/>
      <c r="I235" s="47" t="s">
        <v>343</v>
      </c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53">
        <f t="shared" si="19"/>
        <v>0</v>
      </c>
      <c r="W235" s="8"/>
      <c r="X235" s="8"/>
      <c r="Y235" s="8"/>
      <c r="Z235" s="8"/>
    </row>
    <row r="236" ht="14.25" customHeight="1">
      <c r="A236" s="8"/>
      <c r="B236" s="81" t="s">
        <v>460</v>
      </c>
      <c r="C236" s="46"/>
      <c r="D236" s="46"/>
      <c r="E236" s="48"/>
      <c r="F236" s="48">
        <v>4.0</v>
      </c>
      <c r="G236" s="47" t="s">
        <v>349</v>
      </c>
      <c r="H236" s="34"/>
      <c r="I236" s="47" t="s">
        <v>342</v>
      </c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53">
        <f t="shared" si="19"/>
        <v>0</v>
      </c>
      <c r="W236" s="8"/>
      <c r="X236" s="8"/>
      <c r="Y236" s="8"/>
      <c r="Z236" s="8"/>
    </row>
    <row r="237" ht="14.25" customHeight="1">
      <c r="A237" s="8"/>
      <c r="B237" s="81" t="s">
        <v>460</v>
      </c>
      <c r="C237" s="46"/>
      <c r="D237" s="46"/>
      <c r="E237" s="46"/>
      <c r="F237" s="55"/>
      <c r="G237" s="56"/>
      <c r="H237" s="57"/>
      <c r="I237" s="47" t="s">
        <v>343</v>
      </c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53">
        <f t="shared" si="19"/>
        <v>0</v>
      </c>
      <c r="W237" s="8"/>
      <c r="X237" s="8"/>
      <c r="Y237" s="8"/>
      <c r="Z237" s="8"/>
    </row>
    <row r="238" ht="14.25" customHeight="1">
      <c r="A238" s="8"/>
      <c r="B238" s="81" t="s">
        <v>461</v>
      </c>
      <c r="C238" s="46"/>
      <c r="D238" s="46"/>
      <c r="E238" s="48"/>
      <c r="F238" s="48">
        <v>5.0</v>
      </c>
      <c r="G238" s="47" t="s">
        <v>351</v>
      </c>
      <c r="H238" s="34"/>
      <c r="I238" s="47" t="s">
        <v>342</v>
      </c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53">
        <f t="shared" si="19"/>
        <v>0</v>
      </c>
      <c r="W238" s="8"/>
      <c r="X238" s="8"/>
      <c r="Y238" s="8"/>
      <c r="Z238" s="8"/>
    </row>
    <row r="239" ht="14.25" customHeight="1">
      <c r="A239" s="8"/>
      <c r="B239" s="81" t="s">
        <v>461</v>
      </c>
      <c r="C239" s="46"/>
      <c r="D239" s="46"/>
      <c r="E239" s="64"/>
      <c r="F239" s="55"/>
      <c r="G239" s="56"/>
      <c r="H239" s="57"/>
      <c r="I239" s="47" t="s">
        <v>343</v>
      </c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53">
        <f t="shared" si="19"/>
        <v>0</v>
      </c>
      <c r="W239" s="8"/>
      <c r="X239" s="8"/>
      <c r="Y239" s="8"/>
      <c r="Z239" s="8"/>
    </row>
    <row r="240" ht="14.25" customHeight="1">
      <c r="A240" s="8"/>
      <c r="B240" s="81" t="s">
        <v>462</v>
      </c>
      <c r="C240" s="46"/>
      <c r="D240" s="46"/>
      <c r="E240" s="48"/>
      <c r="F240" s="48">
        <v>6.0</v>
      </c>
      <c r="G240" s="47" t="s">
        <v>353</v>
      </c>
      <c r="H240" s="34"/>
      <c r="I240" s="47" t="s">
        <v>342</v>
      </c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53">
        <f t="shared" si="19"/>
        <v>0</v>
      </c>
      <c r="W240" s="8"/>
      <c r="X240" s="8"/>
      <c r="Y240" s="8"/>
      <c r="Z240" s="8"/>
    </row>
    <row r="241" ht="14.25" customHeight="1">
      <c r="A241" s="8"/>
      <c r="B241" s="81" t="s">
        <v>462</v>
      </c>
      <c r="C241" s="46"/>
      <c r="D241" s="46"/>
      <c r="E241" s="64"/>
      <c r="F241" s="55"/>
      <c r="G241" s="56"/>
      <c r="H241" s="57"/>
      <c r="I241" s="47" t="s">
        <v>343</v>
      </c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53">
        <f t="shared" si="19"/>
        <v>0</v>
      </c>
      <c r="W241" s="8"/>
      <c r="X241" s="8"/>
      <c r="Y241" s="8"/>
      <c r="Z241" s="8"/>
    </row>
    <row r="242" ht="14.25" customHeight="1">
      <c r="A242" s="8"/>
      <c r="B242" s="81" t="s">
        <v>463</v>
      </c>
      <c r="C242" s="46"/>
      <c r="D242" s="46"/>
      <c r="E242" s="48"/>
      <c r="F242" s="82">
        <v>7.0</v>
      </c>
      <c r="G242" s="47" t="s">
        <v>355</v>
      </c>
      <c r="H242" s="34"/>
      <c r="I242" s="47" t="s">
        <v>342</v>
      </c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53">
        <f t="shared" si="19"/>
        <v>0</v>
      </c>
      <c r="W242" s="8"/>
      <c r="X242" s="8"/>
      <c r="Y242" s="8"/>
      <c r="Z242" s="8"/>
    </row>
    <row r="243" ht="14.25" customHeight="1">
      <c r="A243" s="8"/>
      <c r="B243" s="81" t="s">
        <v>463</v>
      </c>
      <c r="C243" s="46"/>
      <c r="D243" s="46"/>
      <c r="E243" s="48"/>
      <c r="F243" s="55"/>
      <c r="G243" s="56"/>
      <c r="H243" s="57"/>
      <c r="I243" s="47" t="s">
        <v>343</v>
      </c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53">
        <f t="shared" si="19"/>
        <v>0</v>
      </c>
      <c r="W243" s="8"/>
      <c r="X243" s="8"/>
      <c r="Y243" s="8"/>
      <c r="Z243" s="8"/>
    </row>
    <row r="244" ht="14.25" customHeight="1">
      <c r="A244" s="8"/>
      <c r="B244" s="81" t="s">
        <v>464</v>
      </c>
      <c r="C244" s="46"/>
      <c r="D244" s="46"/>
      <c r="E244" s="54"/>
      <c r="F244" s="83">
        <v>8.0</v>
      </c>
      <c r="G244" s="56" t="s">
        <v>415</v>
      </c>
      <c r="H244" s="34"/>
      <c r="I244" s="47" t="s">
        <v>342</v>
      </c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53">
        <f t="shared" si="19"/>
        <v>0</v>
      </c>
      <c r="W244" s="8"/>
      <c r="X244" s="8"/>
      <c r="Y244" s="8"/>
      <c r="Z244" s="8"/>
    </row>
    <row r="245" ht="14.25" customHeight="1">
      <c r="A245" s="8"/>
      <c r="B245" s="81" t="s">
        <v>464</v>
      </c>
      <c r="C245" s="46"/>
      <c r="D245" s="46"/>
      <c r="E245" s="54"/>
      <c r="F245" s="83"/>
      <c r="G245" s="56"/>
      <c r="H245" s="57"/>
      <c r="I245" s="47" t="s">
        <v>343</v>
      </c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53">
        <f t="shared" si="19"/>
        <v>0</v>
      </c>
      <c r="W245" s="8"/>
      <c r="X245" s="8"/>
      <c r="Y245" s="8"/>
      <c r="Z245" s="8"/>
    </row>
    <row r="246" ht="14.25" customHeight="1">
      <c r="A246" s="8"/>
      <c r="B246" s="81" t="s">
        <v>465</v>
      </c>
      <c r="C246" s="46"/>
      <c r="D246" s="46"/>
      <c r="E246" s="48"/>
      <c r="F246" s="83">
        <v>9.0</v>
      </c>
      <c r="G246" s="71" t="s">
        <v>404</v>
      </c>
      <c r="H246" s="34"/>
      <c r="I246" s="47" t="s">
        <v>342</v>
      </c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53">
        <f t="shared" si="19"/>
        <v>0</v>
      </c>
      <c r="W246" s="8"/>
      <c r="X246" s="8"/>
      <c r="Y246" s="8"/>
      <c r="Z246" s="8"/>
    </row>
    <row r="247" ht="14.25" customHeight="1">
      <c r="A247" s="8"/>
      <c r="B247" s="81" t="s">
        <v>465</v>
      </c>
      <c r="C247" s="63"/>
      <c r="D247" s="46"/>
      <c r="E247" s="75"/>
      <c r="F247" s="84"/>
      <c r="G247" s="68"/>
      <c r="H247" s="69"/>
      <c r="I247" s="47" t="s">
        <v>343</v>
      </c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53">
        <f t="shared" si="19"/>
        <v>0</v>
      </c>
      <c r="W247" s="8"/>
      <c r="X247" s="8"/>
      <c r="Y247" s="8"/>
      <c r="Z247" s="8"/>
    </row>
    <row r="248" ht="14.25" customHeight="1">
      <c r="A248" s="8"/>
      <c r="B248" s="81"/>
      <c r="C248" s="63"/>
      <c r="D248" s="46"/>
      <c r="E248" s="47"/>
      <c r="F248" s="33"/>
      <c r="G248" s="33"/>
      <c r="H248" s="34"/>
      <c r="I248" s="47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8"/>
      <c r="X248" s="8"/>
      <c r="Y248" s="8"/>
      <c r="Z248" s="8"/>
    </row>
    <row r="249" ht="14.25" customHeight="1">
      <c r="A249" s="8"/>
      <c r="B249" s="81"/>
      <c r="C249" s="63"/>
      <c r="D249" s="77" t="s">
        <v>466</v>
      </c>
      <c r="E249" s="20"/>
      <c r="F249" s="20"/>
      <c r="G249" s="20"/>
      <c r="H249" s="21"/>
      <c r="I249" s="47" t="s">
        <v>342</v>
      </c>
      <c r="J249" s="53">
        <f t="shared" ref="J249:V249" si="20">SUMIF($I$210:$V$247,$I249,J$210:J$247)</f>
        <v>0</v>
      </c>
      <c r="K249" s="53">
        <f t="shared" si="20"/>
        <v>0</v>
      </c>
      <c r="L249" s="53">
        <f t="shared" si="20"/>
        <v>0</v>
      </c>
      <c r="M249" s="53">
        <f t="shared" si="20"/>
        <v>0</v>
      </c>
      <c r="N249" s="53">
        <f t="shared" si="20"/>
        <v>0</v>
      </c>
      <c r="O249" s="53">
        <f t="shared" si="20"/>
        <v>0</v>
      </c>
      <c r="P249" s="53">
        <f t="shared" si="20"/>
        <v>0</v>
      </c>
      <c r="Q249" s="53">
        <f t="shared" si="20"/>
        <v>0</v>
      </c>
      <c r="R249" s="53">
        <f t="shared" si="20"/>
        <v>0</v>
      </c>
      <c r="S249" s="53">
        <f t="shared" si="20"/>
        <v>0</v>
      </c>
      <c r="T249" s="53">
        <f t="shared" si="20"/>
        <v>0</v>
      </c>
      <c r="U249" s="53">
        <f t="shared" si="20"/>
        <v>0</v>
      </c>
      <c r="V249" s="53">
        <f t="shared" si="20"/>
        <v>0</v>
      </c>
      <c r="W249" s="8"/>
      <c r="X249" s="8"/>
      <c r="Y249" s="8"/>
      <c r="Z249" s="8"/>
    </row>
    <row r="250" ht="14.25" customHeight="1">
      <c r="A250" s="8"/>
      <c r="B250" s="81"/>
      <c r="C250" s="63"/>
      <c r="D250" s="28"/>
      <c r="E250" s="29"/>
      <c r="F250" s="29"/>
      <c r="G250" s="29"/>
      <c r="H250" s="30"/>
      <c r="I250" s="47" t="s">
        <v>343</v>
      </c>
      <c r="J250" s="53">
        <f t="shared" ref="J250:V250" si="21">SUMIF($I$210:$V$247,$I250,J$210:J$247)</f>
        <v>0</v>
      </c>
      <c r="K250" s="53">
        <f t="shared" si="21"/>
        <v>0</v>
      </c>
      <c r="L250" s="53">
        <f t="shared" si="21"/>
        <v>0</v>
      </c>
      <c r="M250" s="53">
        <f t="shared" si="21"/>
        <v>0</v>
      </c>
      <c r="N250" s="53">
        <f t="shared" si="21"/>
        <v>0</v>
      </c>
      <c r="O250" s="53">
        <f t="shared" si="21"/>
        <v>0</v>
      </c>
      <c r="P250" s="53">
        <f t="shared" si="21"/>
        <v>0</v>
      </c>
      <c r="Q250" s="53">
        <f t="shared" si="21"/>
        <v>0</v>
      </c>
      <c r="R250" s="53">
        <f t="shared" si="21"/>
        <v>0</v>
      </c>
      <c r="S250" s="53">
        <f t="shared" si="21"/>
        <v>0</v>
      </c>
      <c r="T250" s="53">
        <f t="shared" si="21"/>
        <v>0</v>
      </c>
      <c r="U250" s="53">
        <f t="shared" si="21"/>
        <v>0</v>
      </c>
      <c r="V250" s="53">
        <f t="shared" si="21"/>
        <v>0</v>
      </c>
      <c r="W250" s="8"/>
      <c r="X250" s="8"/>
      <c r="Y250" s="8"/>
      <c r="Z250" s="8"/>
    </row>
    <row r="251" ht="14.25" customHeight="1">
      <c r="A251" s="8"/>
      <c r="B251" s="81"/>
      <c r="C251" s="63"/>
      <c r="D251" s="78"/>
      <c r="E251" s="79"/>
      <c r="F251" s="79"/>
      <c r="G251" s="79"/>
      <c r="H251" s="80"/>
      <c r="I251" s="47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8"/>
      <c r="X251" s="8"/>
      <c r="Y251" s="8"/>
      <c r="Z251" s="8"/>
    </row>
    <row r="252" ht="14.25" customHeight="1">
      <c r="A252" s="8"/>
      <c r="C252" s="77" t="s">
        <v>467</v>
      </c>
      <c r="D252" s="20"/>
      <c r="E252" s="20"/>
      <c r="F252" s="20"/>
      <c r="G252" s="20"/>
      <c r="H252" s="21"/>
      <c r="I252" s="47" t="s">
        <v>342</v>
      </c>
      <c r="J252" s="53">
        <f t="shared" ref="J252:V252" si="22">J114+J159+J204+J249</f>
        <v>325</v>
      </c>
      <c r="K252" s="53">
        <f t="shared" si="22"/>
        <v>385</v>
      </c>
      <c r="L252" s="53">
        <f t="shared" si="22"/>
        <v>622</v>
      </c>
      <c r="M252" s="53">
        <f t="shared" si="22"/>
        <v>401</v>
      </c>
      <c r="N252" s="53">
        <f t="shared" si="22"/>
        <v>415</v>
      </c>
      <c r="O252" s="53">
        <f t="shared" si="22"/>
        <v>432</v>
      </c>
      <c r="P252" s="53">
        <f t="shared" si="22"/>
        <v>0</v>
      </c>
      <c r="Q252" s="53">
        <f t="shared" si="22"/>
        <v>0</v>
      </c>
      <c r="R252" s="53">
        <f t="shared" si="22"/>
        <v>0</v>
      </c>
      <c r="S252" s="53">
        <f t="shared" si="22"/>
        <v>0</v>
      </c>
      <c r="T252" s="53">
        <f t="shared" si="22"/>
        <v>0</v>
      </c>
      <c r="U252" s="53">
        <f t="shared" si="22"/>
        <v>0</v>
      </c>
      <c r="V252" s="53">
        <f t="shared" si="22"/>
        <v>2580</v>
      </c>
      <c r="W252" s="8"/>
      <c r="X252" s="8"/>
      <c r="Y252" s="8"/>
      <c r="Z252" s="8"/>
    </row>
    <row r="253" ht="14.25" customHeight="1">
      <c r="A253" s="8"/>
      <c r="C253" s="28"/>
      <c r="D253" s="29"/>
      <c r="E253" s="29"/>
      <c r="F253" s="29"/>
      <c r="G253" s="29"/>
      <c r="H253" s="30"/>
      <c r="I253" s="47" t="s">
        <v>343</v>
      </c>
      <c r="J253" s="53">
        <f t="shared" ref="J253:V253" si="23">J115+J160+J205+J250</f>
        <v>4073215</v>
      </c>
      <c r="K253" s="53">
        <f t="shared" si="23"/>
        <v>3323766</v>
      </c>
      <c r="L253" s="53">
        <f t="shared" si="23"/>
        <v>5234297</v>
      </c>
      <c r="M253" s="53">
        <f t="shared" si="23"/>
        <v>3144433</v>
      </c>
      <c r="N253" s="53">
        <f t="shared" si="23"/>
        <v>3289484</v>
      </c>
      <c r="O253" s="53">
        <f t="shared" si="23"/>
        <v>3406493</v>
      </c>
      <c r="P253" s="53">
        <f t="shared" si="23"/>
        <v>0</v>
      </c>
      <c r="Q253" s="53">
        <f t="shared" si="23"/>
        <v>0</v>
      </c>
      <c r="R253" s="53">
        <f t="shared" si="23"/>
        <v>0</v>
      </c>
      <c r="S253" s="53">
        <f t="shared" si="23"/>
        <v>0</v>
      </c>
      <c r="T253" s="53">
        <f t="shared" si="23"/>
        <v>0</v>
      </c>
      <c r="U253" s="53">
        <f t="shared" si="23"/>
        <v>0</v>
      </c>
      <c r="V253" s="53">
        <f t="shared" si="23"/>
        <v>22471688</v>
      </c>
      <c r="W253" s="8"/>
      <c r="X253" s="8"/>
      <c r="Y253" s="8"/>
      <c r="Z253" s="8"/>
    </row>
    <row r="254" ht="14.25" customHeight="1">
      <c r="A254" s="8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8"/>
      <c r="X254" s="8"/>
      <c r="Y254" s="8"/>
      <c r="Z254" s="8"/>
    </row>
    <row r="255" ht="14.25" customHeight="1">
      <c r="A255" s="16">
        <v>2.0</v>
      </c>
      <c r="B255" s="17"/>
      <c r="C255" s="16" t="s">
        <v>468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8"/>
      <c r="X255" s="8"/>
      <c r="Y255" s="8"/>
      <c r="Z255" s="8"/>
    </row>
    <row r="256" ht="14.25" customHeight="1">
      <c r="A256" s="8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8"/>
      <c r="X256" s="8"/>
      <c r="Y256" s="8"/>
      <c r="Z256" s="8"/>
    </row>
    <row r="257" ht="14.25" customHeight="1">
      <c r="A257" s="8"/>
      <c r="C257" s="18" t="s">
        <v>321</v>
      </c>
      <c r="D257" s="19" t="s">
        <v>322</v>
      </c>
      <c r="E257" s="20"/>
      <c r="F257" s="20"/>
      <c r="G257" s="20"/>
      <c r="H257" s="21"/>
      <c r="I257" s="22" t="s">
        <v>323</v>
      </c>
      <c r="J257" s="23">
        <f>$H$2</f>
        <v>2026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1"/>
      <c r="W257" s="8"/>
      <c r="X257" s="8"/>
      <c r="Y257" s="8"/>
      <c r="Z257" s="8"/>
    </row>
    <row r="258" ht="14.25" customHeight="1">
      <c r="A258" s="8"/>
      <c r="C258" s="24"/>
      <c r="D258" s="25"/>
      <c r="H258" s="26"/>
      <c r="I258" s="24"/>
      <c r="J258" s="25"/>
      <c r="V258" s="26"/>
      <c r="W258" s="8"/>
      <c r="X258" s="8"/>
      <c r="Y258" s="8"/>
      <c r="Z258" s="8"/>
    </row>
    <row r="259" ht="14.25" customHeight="1">
      <c r="A259" s="8"/>
      <c r="C259" s="27"/>
      <c r="D259" s="28"/>
      <c r="E259" s="29"/>
      <c r="F259" s="29"/>
      <c r="G259" s="29"/>
      <c r="H259" s="30"/>
      <c r="I259" s="27"/>
      <c r="J259" s="31" t="s">
        <v>324</v>
      </c>
      <c r="K259" s="31" t="s">
        <v>325</v>
      </c>
      <c r="L259" s="31" t="s">
        <v>326</v>
      </c>
      <c r="M259" s="31" t="s">
        <v>327</v>
      </c>
      <c r="N259" s="31" t="s">
        <v>328</v>
      </c>
      <c r="O259" s="31" t="s">
        <v>329</v>
      </c>
      <c r="P259" s="31" t="s">
        <v>330</v>
      </c>
      <c r="Q259" s="31" t="s">
        <v>331</v>
      </c>
      <c r="R259" s="31" t="s">
        <v>332</v>
      </c>
      <c r="S259" s="31" t="s">
        <v>333</v>
      </c>
      <c r="T259" s="31" t="s">
        <v>334</v>
      </c>
      <c r="U259" s="31" t="s">
        <v>335</v>
      </c>
      <c r="V259" s="31" t="s">
        <v>336</v>
      </c>
      <c r="W259" s="8"/>
      <c r="X259" s="8"/>
      <c r="Y259" s="8"/>
      <c r="Z259" s="8"/>
    </row>
    <row r="260" ht="14.25" customHeight="1">
      <c r="A260" s="8"/>
      <c r="C260" s="31">
        <v>1.0</v>
      </c>
      <c r="D260" s="32">
        <v>2.0</v>
      </c>
      <c r="E260" s="33"/>
      <c r="F260" s="33"/>
      <c r="G260" s="33"/>
      <c r="H260" s="34"/>
      <c r="I260" s="35">
        <v>3.0</v>
      </c>
      <c r="J260" s="36">
        <v>4.0</v>
      </c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8"/>
      <c r="V260" s="39">
        <v>5.0</v>
      </c>
      <c r="W260" s="8"/>
      <c r="X260" s="8"/>
      <c r="Y260" s="8"/>
      <c r="Z260" s="8"/>
    </row>
    <row r="261" ht="14.25" customHeight="1">
      <c r="A261" s="8"/>
      <c r="C261" s="40"/>
      <c r="D261" s="48"/>
      <c r="E261" s="88"/>
      <c r="F261" s="88"/>
      <c r="G261" s="88"/>
      <c r="H261" s="89"/>
      <c r="I261" s="48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8"/>
      <c r="X261" s="8"/>
      <c r="Y261" s="8"/>
      <c r="Z261" s="8"/>
    </row>
    <row r="262" ht="14.25" customHeight="1">
      <c r="A262" s="8"/>
      <c r="C262" s="64">
        <v>1.0</v>
      </c>
      <c r="D262" s="47" t="s">
        <v>469</v>
      </c>
      <c r="E262" s="33"/>
      <c r="F262" s="33"/>
      <c r="G262" s="33"/>
      <c r="H262" s="34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8"/>
      <c r="X262" s="8"/>
      <c r="Y262" s="8"/>
      <c r="Z262" s="8"/>
    </row>
    <row r="263" ht="14.25" customHeight="1">
      <c r="A263" s="8"/>
      <c r="C263" s="46"/>
      <c r="D263" s="46">
        <v>1.0</v>
      </c>
      <c r="E263" s="47" t="s">
        <v>470</v>
      </c>
      <c r="F263" s="33"/>
      <c r="G263" s="33"/>
      <c r="H263" s="34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8"/>
      <c r="X263" s="8"/>
      <c r="Y263" s="8"/>
      <c r="Z263" s="8"/>
    </row>
    <row r="264" ht="14.25" customHeight="1">
      <c r="A264" s="8"/>
      <c r="C264" s="46"/>
      <c r="D264" s="46"/>
      <c r="E264" s="46">
        <v>1.0</v>
      </c>
      <c r="F264" s="47" t="s">
        <v>471</v>
      </c>
      <c r="G264" s="33"/>
      <c r="H264" s="34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8"/>
      <c r="X264" s="8"/>
      <c r="Y264" s="8"/>
      <c r="Z264" s="8"/>
    </row>
    <row r="265" ht="14.25" customHeight="1">
      <c r="A265" s="8"/>
      <c r="C265" s="46"/>
      <c r="D265" s="46"/>
      <c r="E265" s="46"/>
      <c r="F265" s="46">
        <v>1.0</v>
      </c>
      <c r="G265" s="47" t="s">
        <v>472</v>
      </c>
      <c r="H265" s="34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8"/>
      <c r="X265" s="8"/>
      <c r="Y265" s="8"/>
      <c r="Z265" s="8"/>
    </row>
    <row r="266" ht="14.25" customHeight="1">
      <c r="A266" s="8"/>
      <c r="B266" s="7" t="s">
        <v>473</v>
      </c>
      <c r="C266" s="46"/>
      <c r="D266" s="46"/>
      <c r="E266" s="46"/>
      <c r="F266" s="46"/>
      <c r="G266" s="64">
        <v>1.0</v>
      </c>
      <c r="H266" s="70">
        <v>20.0</v>
      </c>
      <c r="I266" s="47" t="s">
        <v>474</v>
      </c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53">
        <f t="shared" ref="V266:V270" si="24">SUM(J266:U266)</f>
        <v>0</v>
      </c>
      <c r="W266" s="8"/>
      <c r="X266" s="8"/>
      <c r="Y266" s="8"/>
      <c r="Z266" s="8"/>
    </row>
    <row r="267" ht="14.25" customHeight="1">
      <c r="A267" s="8"/>
      <c r="B267" s="7" t="s">
        <v>475</v>
      </c>
      <c r="C267" s="46"/>
      <c r="D267" s="46"/>
      <c r="E267" s="46"/>
      <c r="F267" s="46"/>
      <c r="G267" s="64">
        <v>2.0</v>
      </c>
      <c r="H267" s="70">
        <v>40.0</v>
      </c>
      <c r="I267" s="47" t="s">
        <v>474</v>
      </c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53">
        <f t="shared" si="24"/>
        <v>0</v>
      </c>
      <c r="W267" s="8"/>
      <c r="X267" s="8"/>
      <c r="Y267" s="8"/>
      <c r="Z267" s="8"/>
    </row>
    <row r="268" ht="14.25" customHeight="1">
      <c r="A268" s="8"/>
      <c r="B268" s="7" t="s">
        <v>476</v>
      </c>
      <c r="C268" s="46"/>
      <c r="D268" s="46"/>
      <c r="E268" s="46"/>
      <c r="F268" s="46"/>
      <c r="G268" s="64">
        <v>3.0</v>
      </c>
      <c r="H268" s="70">
        <v>45.0</v>
      </c>
      <c r="I268" s="47" t="s">
        <v>474</v>
      </c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53">
        <f t="shared" si="24"/>
        <v>0</v>
      </c>
      <c r="W268" s="8"/>
      <c r="X268" s="8"/>
      <c r="Y268" s="8"/>
      <c r="Z268" s="8"/>
    </row>
    <row r="269" ht="14.25" customHeight="1">
      <c r="A269" s="8"/>
      <c r="B269" s="7" t="s">
        <v>477</v>
      </c>
      <c r="C269" s="46"/>
      <c r="D269" s="46"/>
      <c r="E269" s="46"/>
      <c r="F269" s="46"/>
      <c r="G269" s="64">
        <v>4.0</v>
      </c>
      <c r="H269" s="70" t="s">
        <v>478</v>
      </c>
      <c r="I269" s="47" t="s">
        <v>474</v>
      </c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53">
        <f t="shared" si="24"/>
        <v>0</v>
      </c>
      <c r="W269" s="8"/>
      <c r="X269" s="8"/>
      <c r="Y269" s="8"/>
      <c r="Z269" s="8"/>
    </row>
    <row r="270" ht="14.25" customHeight="1">
      <c r="A270" s="8"/>
      <c r="B270" s="7" t="s">
        <v>479</v>
      </c>
      <c r="C270" s="46"/>
      <c r="D270" s="46"/>
      <c r="E270" s="46"/>
      <c r="F270" s="46"/>
      <c r="G270" s="64">
        <v>5.0</v>
      </c>
      <c r="H270" s="70" t="s">
        <v>480</v>
      </c>
      <c r="I270" s="47" t="s">
        <v>474</v>
      </c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53">
        <f t="shared" si="24"/>
        <v>0</v>
      </c>
      <c r="W270" s="8"/>
      <c r="X270" s="8"/>
      <c r="Y270" s="8"/>
      <c r="Z270" s="8"/>
    </row>
    <row r="271" ht="14.25" customHeight="1">
      <c r="A271" s="8"/>
      <c r="C271" s="46"/>
      <c r="D271" s="46"/>
      <c r="E271" s="46"/>
      <c r="F271" s="46"/>
      <c r="G271" s="70"/>
      <c r="H271" s="70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8"/>
      <c r="X271" s="8"/>
      <c r="Y271" s="8"/>
      <c r="Z271" s="8"/>
    </row>
    <row r="272" ht="14.25" customHeight="1">
      <c r="A272" s="8"/>
      <c r="C272" s="46"/>
      <c r="D272" s="46"/>
      <c r="E272" s="46"/>
      <c r="F272" s="46">
        <v>2.0</v>
      </c>
      <c r="G272" s="47" t="s">
        <v>481</v>
      </c>
      <c r="H272" s="34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8"/>
      <c r="X272" s="8"/>
      <c r="Y272" s="8"/>
      <c r="Z272" s="8"/>
    </row>
    <row r="273" ht="14.25" customHeight="1">
      <c r="A273" s="8"/>
      <c r="B273" s="7" t="s">
        <v>482</v>
      </c>
      <c r="C273" s="46"/>
      <c r="D273" s="46"/>
      <c r="E273" s="46"/>
      <c r="F273" s="46"/>
      <c r="G273" s="64">
        <v>1.0</v>
      </c>
      <c r="H273" s="70">
        <v>20.0</v>
      </c>
      <c r="I273" s="47" t="s">
        <v>474</v>
      </c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53">
        <f t="shared" ref="V273:V275" si="25">SUM(J273:U273)</f>
        <v>0</v>
      </c>
      <c r="W273" s="8"/>
      <c r="X273" s="8"/>
      <c r="Y273" s="8"/>
      <c r="Z273" s="8"/>
    </row>
    <row r="274" ht="14.25" customHeight="1">
      <c r="A274" s="8"/>
      <c r="B274" s="7" t="s">
        <v>483</v>
      </c>
      <c r="C274" s="46"/>
      <c r="D274" s="46"/>
      <c r="E274" s="46"/>
      <c r="F274" s="46"/>
      <c r="G274" s="64">
        <v>2.0</v>
      </c>
      <c r="H274" s="70">
        <v>40.0</v>
      </c>
      <c r="I274" s="47" t="s">
        <v>474</v>
      </c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53">
        <f t="shared" si="25"/>
        <v>0</v>
      </c>
      <c r="W274" s="8"/>
      <c r="X274" s="8"/>
      <c r="Y274" s="8"/>
      <c r="Z274" s="8"/>
    </row>
    <row r="275" ht="14.25" customHeight="1">
      <c r="A275" s="8"/>
      <c r="B275" s="7" t="s">
        <v>484</v>
      </c>
      <c r="C275" s="46"/>
      <c r="D275" s="46"/>
      <c r="E275" s="46"/>
      <c r="F275" s="46"/>
      <c r="G275" s="64">
        <v>3.0</v>
      </c>
      <c r="H275" s="70">
        <v>45.0</v>
      </c>
      <c r="I275" s="47" t="s">
        <v>474</v>
      </c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53">
        <f t="shared" si="25"/>
        <v>0</v>
      </c>
      <c r="W275" s="8"/>
      <c r="X275" s="8"/>
      <c r="Y275" s="8"/>
      <c r="Z275" s="8"/>
    </row>
    <row r="276" ht="14.25" customHeight="1">
      <c r="A276" s="8"/>
      <c r="C276" s="46"/>
      <c r="D276" s="46"/>
      <c r="E276" s="46"/>
      <c r="F276" s="46"/>
      <c r="G276" s="90"/>
      <c r="H276" s="90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8"/>
      <c r="X276" s="8"/>
      <c r="Y276" s="8"/>
      <c r="Z276" s="8"/>
    </row>
    <row r="277" ht="14.25" customHeight="1">
      <c r="A277" s="8"/>
      <c r="C277" s="46"/>
      <c r="D277" s="46"/>
      <c r="E277" s="46"/>
      <c r="F277" s="46">
        <v>3.0</v>
      </c>
      <c r="G277" s="47" t="s">
        <v>485</v>
      </c>
      <c r="H277" s="34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8"/>
      <c r="X277" s="8"/>
      <c r="Y277" s="8"/>
      <c r="Z277" s="8"/>
    </row>
    <row r="278" ht="14.25" customHeight="1">
      <c r="A278" s="8"/>
      <c r="B278" s="7" t="s">
        <v>486</v>
      </c>
      <c r="C278" s="46"/>
      <c r="D278" s="46"/>
      <c r="E278" s="46"/>
      <c r="F278" s="46"/>
      <c r="G278" s="64">
        <v>1.0</v>
      </c>
      <c r="H278" s="70">
        <v>20.0</v>
      </c>
      <c r="I278" s="47" t="s">
        <v>474</v>
      </c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53">
        <f t="shared" ref="V278:V280" si="26">SUM(J278:U278)</f>
        <v>0</v>
      </c>
      <c r="W278" s="8"/>
      <c r="X278" s="8"/>
      <c r="Y278" s="8"/>
      <c r="Z278" s="8"/>
    </row>
    <row r="279" ht="14.25" customHeight="1">
      <c r="A279" s="8"/>
      <c r="B279" s="7" t="s">
        <v>487</v>
      </c>
      <c r="C279" s="46"/>
      <c r="D279" s="46"/>
      <c r="E279" s="46"/>
      <c r="F279" s="46"/>
      <c r="G279" s="64">
        <v>2.0</v>
      </c>
      <c r="H279" s="70">
        <v>40.0</v>
      </c>
      <c r="I279" s="47" t="s">
        <v>474</v>
      </c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53">
        <f t="shared" si="26"/>
        <v>0</v>
      </c>
      <c r="W279" s="8"/>
      <c r="X279" s="8"/>
      <c r="Y279" s="8"/>
      <c r="Z279" s="8"/>
    </row>
    <row r="280" ht="14.25" customHeight="1">
      <c r="A280" s="8"/>
      <c r="B280" s="7" t="s">
        <v>488</v>
      </c>
      <c r="C280" s="46"/>
      <c r="D280" s="46"/>
      <c r="E280" s="46"/>
      <c r="F280" s="46"/>
      <c r="G280" s="64">
        <v>3.0</v>
      </c>
      <c r="H280" s="70">
        <v>45.0</v>
      </c>
      <c r="I280" s="47" t="s">
        <v>474</v>
      </c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53">
        <f t="shared" si="26"/>
        <v>0</v>
      </c>
      <c r="W280" s="8"/>
      <c r="X280" s="8"/>
      <c r="Y280" s="8"/>
      <c r="Z280" s="8"/>
    </row>
    <row r="281" ht="14.25" customHeight="1">
      <c r="A281" s="8"/>
      <c r="C281" s="46"/>
      <c r="D281" s="46"/>
      <c r="E281" s="46"/>
      <c r="F281" s="46"/>
      <c r="G281" s="70"/>
      <c r="H281" s="70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8"/>
      <c r="X281" s="8"/>
      <c r="Y281" s="8"/>
      <c r="Z281" s="8"/>
    </row>
    <row r="282" ht="14.25" customHeight="1">
      <c r="A282" s="8"/>
      <c r="B282" s="7" t="s">
        <v>489</v>
      </c>
      <c r="C282" s="46"/>
      <c r="D282" s="46"/>
      <c r="E282" s="46"/>
      <c r="F282" s="46">
        <v>4.0</v>
      </c>
      <c r="G282" s="47" t="s">
        <v>490</v>
      </c>
      <c r="H282" s="34"/>
      <c r="I282" s="47" t="s">
        <v>491</v>
      </c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53">
        <f>SUM(J282:U282)</f>
        <v>0</v>
      </c>
      <c r="W282" s="8"/>
      <c r="X282" s="8"/>
      <c r="Y282" s="8"/>
      <c r="Z282" s="8"/>
    </row>
    <row r="283" ht="14.25" customHeight="1">
      <c r="A283" s="8"/>
      <c r="C283" s="46"/>
      <c r="D283" s="46"/>
      <c r="E283" s="46"/>
      <c r="F283" s="46"/>
      <c r="G283" s="47"/>
      <c r="H283" s="72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8"/>
      <c r="X283" s="8"/>
      <c r="Y283" s="8"/>
      <c r="Z283" s="8"/>
    </row>
    <row r="284" ht="14.25" customHeight="1">
      <c r="A284" s="8"/>
      <c r="C284" s="46"/>
      <c r="D284" s="46"/>
      <c r="E284" s="46">
        <v>2.0</v>
      </c>
      <c r="F284" s="76" t="s">
        <v>492</v>
      </c>
      <c r="G284" s="33"/>
      <c r="H284" s="34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8"/>
      <c r="X284" s="8"/>
      <c r="Y284" s="8"/>
      <c r="Z284" s="8"/>
    </row>
    <row r="285" ht="14.25" customHeight="1">
      <c r="A285" s="8"/>
      <c r="B285" s="7" t="s">
        <v>493</v>
      </c>
      <c r="C285" s="46"/>
      <c r="D285" s="46"/>
      <c r="E285" s="46"/>
      <c r="F285" s="46"/>
      <c r="G285" s="64">
        <v>1.0</v>
      </c>
      <c r="H285" s="70">
        <v>20.0</v>
      </c>
      <c r="I285" s="47" t="s">
        <v>474</v>
      </c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53">
        <f t="shared" ref="V285:V287" si="27">SUM(J285:U285)</f>
        <v>0</v>
      </c>
      <c r="W285" s="8"/>
      <c r="X285" s="8"/>
      <c r="Y285" s="8"/>
      <c r="Z285" s="8"/>
    </row>
    <row r="286" ht="14.25" customHeight="1">
      <c r="A286" s="8"/>
      <c r="B286" s="7" t="s">
        <v>494</v>
      </c>
      <c r="C286" s="46"/>
      <c r="D286" s="46"/>
      <c r="E286" s="46"/>
      <c r="F286" s="46"/>
      <c r="G286" s="64">
        <v>2.0</v>
      </c>
      <c r="H286" s="70">
        <v>40.0</v>
      </c>
      <c r="I286" s="47" t="s">
        <v>474</v>
      </c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53">
        <f t="shared" si="27"/>
        <v>0</v>
      </c>
      <c r="W286" s="8"/>
      <c r="X286" s="8"/>
      <c r="Y286" s="8"/>
      <c r="Z286" s="8"/>
    </row>
    <row r="287" ht="14.25" customHeight="1">
      <c r="A287" s="8"/>
      <c r="B287" s="7" t="s">
        <v>495</v>
      </c>
      <c r="C287" s="46"/>
      <c r="D287" s="46"/>
      <c r="E287" s="46"/>
      <c r="F287" s="46"/>
      <c r="G287" s="64">
        <v>3.0</v>
      </c>
      <c r="H287" s="70">
        <v>45.0</v>
      </c>
      <c r="I287" s="47" t="s">
        <v>474</v>
      </c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53">
        <f t="shared" si="27"/>
        <v>0</v>
      </c>
      <c r="W287" s="8"/>
      <c r="X287" s="8"/>
      <c r="Y287" s="8"/>
      <c r="Z287" s="8"/>
    </row>
    <row r="288" ht="14.25" customHeight="1">
      <c r="A288" s="8"/>
      <c r="C288" s="75"/>
      <c r="D288" s="68"/>
      <c r="E288" s="68"/>
      <c r="F288" s="68"/>
      <c r="G288" s="68"/>
      <c r="H288" s="68"/>
      <c r="I288" s="68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8"/>
      <c r="X288" s="8"/>
      <c r="Y288" s="8"/>
      <c r="Z288" s="8"/>
    </row>
    <row r="289" ht="14.25" customHeight="1">
      <c r="A289" s="8"/>
      <c r="C289" s="46"/>
      <c r="D289" s="46">
        <v>2.0</v>
      </c>
      <c r="E289" s="47" t="s">
        <v>496</v>
      </c>
      <c r="F289" s="33"/>
      <c r="G289" s="33"/>
      <c r="H289" s="34"/>
      <c r="I289" s="44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8"/>
      <c r="X289" s="8"/>
      <c r="Y289" s="8"/>
      <c r="Z289" s="8"/>
    </row>
    <row r="290" ht="14.25" customHeight="1">
      <c r="A290" s="8"/>
      <c r="C290" s="46"/>
      <c r="D290" s="46"/>
      <c r="E290" s="46">
        <v>1.0</v>
      </c>
      <c r="F290" s="47" t="s">
        <v>471</v>
      </c>
      <c r="G290" s="33"/>
      <c r="H290" s="34"/>
      <c r="I290" s="44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8"/>
      <c r="X290" s="8"/>
      <c r="Y290" s="8"/>
      <c r="Z290" s="8"/>
    </row>
    <row r="291" ht="14.25" customHeight="1">
      <c r="A291" s="8"/>
      <c r="C291" s="46"/>
      <c r="D291" s="46"/>
      <c r="E291" s="46"/>
      <c r="F291" s="46">
        <v>1.0</v>
      </c>
      <c r="G291" s="47" t="s">
        <v>472</v>
      </c>
      <c r="H291" s="34"/>
      <c r="I291" s="44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8"/>
      <c r="X291" s="8"/>
      <c r="Y291" s="8"/>
      <c r="Z291" s="8"/>
    </row>
    <row r="292" ht="14.25" customHeight="1">
      <c r="A292" s="8"/>
      <c r="B292" s="7" t="s">
        <v>497</v>
      </c>
      <c r="C292" s="46"/>
      <c r="D292" s="46"/>
      <c r="E292" s="46"/>
      <c r="F292" s="46"/>
      <c r="G292" s="64">
        <v>1.0</v>
      </c>
      <c r="H292" s="70">
        <v>20.0</v>
      </c>
      <c r="I292" s="47" t="s">
        <v>474</v>
      </c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53">
        <f t="shared" ref="V292:V296" si="28">SUM(J292:U292)</f>
        <v>0</v>
      </c>
      <c r="W292" s="8"/>
      <c r="X292" s="8"/>
      <c r="Y292" s="8"/>
      <c r="Z292" s="8"/>
    </row>
    <row r="293" ht="14.25" customHeight="1">
      <c r="A293" s="8"/>
      <c r="B293" s="7" t="s">
        <v>498</v>
      </c>
      <c r="C293" s="46"/>
      <c r="D293" s="46"/>
      <c r="E293" s="46"/>
      <c r="F293" s="46"/>
      <c r="G293" s="64">
        <v>2.0</v>
      </c>
      <c r="H293" s="70">
        <v>40.0</v>
      </c>
      <c r="I293" s="47" t="s">
        <v>474</v>
      </c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53">
        <f t="shared" si="28"/>
        <v>0</v>
      </c>
      <c r="W293" s="8"/>
      <c r="X293" s="8"/>
      <c r="Y293" s="8"/>
      <c r="Z293" s="8"/>
    </row>
    <row r="294" ht="14.25" customHeight="1">
      <c r="A294" s="8"/>
      <c r="B294" s="7" t="s">
        <v>499</v>
      </c>
      <c r="C294" s="46"/>
      <c r="D294" s="46"/>
      <c r="E294" s="46"/>
      <c r="F294" s="46"/>
      <c r="G294" s="64">
        <v>3.0</v>
      </c>
      <c r="H294" s="70">
        <v>45.0</v>
      </c>
      <c r="I294" s="47" t="s">
        <v>474</v>
      </c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53">
        <f t="shared" si="28"/>
        <v>0</v>
      </c>
      <c r="W294" s="8"/>
      <c r="X294" s="8"/>
      <c r="Y294" s="8"/>
      <c r="Z294" s="8"/>
    </row>
    <row r="295" ht="14.25" customHeight="1">
      <c r="A295" s="8"/>
      <c r="B295" s="7" t="s">
        <v>500</v>
      </c>
      <c r="C295" s="46"/>
      <c r="D295" s="46"/>
      <c r="E295" s="46"/>
      <c r="F295" s="46"/>
      <c r="G295" s="64">
        <v>4.0</v>
      </c>
      <c r="H295" s="70" t="s">
        <v>478</v>
      </c>
      <c r="I295" s="47" t="s">
        <v>474</v>
      </c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53">
        <f t="shared" si="28"/>
        <v>0</v>
      </c>
      <c r="W295" s="8"/>
      <c r="X295" s="8"/>
      <c r="Y295" s="8"/>
      <c r="Z295" s="8"/>
    </row>
    <row r="296" ht="14.25" customHeight="1">
      <c r="A296" s="8"/>
      <c r="B296" s="7" t="s">
        <v>501</v>
      </c>
      <c r="C296" s="46"/>
      <c r="D296" s="46"/>
      <c r="E296" s="46"/>
      <c r="F296" s="46"/>
      <c r="G296" s="64">
        <v>5.0</v>
      </c>
      <c r="H296" s="70" t="s">
        <v>480</v>
      </c>
      <c r="I296" s="47" t="s">
        <v>474</v>
      </c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53">
        <f t="shared" si="28"/>
        <v>0</v>
      </c>
      <c r="W296" s="8"/>
      <c r="X296" s="8"/>
      <c r="Y296" s="8"/>
      <c r="Z296" s="8"/>
    </row>
    <row r="297" ht="14.25" customHeight="1">
      <c r="A297" s="8"/>
      <c r="C297" s="46"/>
      <c r="D297" s="46"/>
      <c r="E297" s="46"/>
      <c r="F297" s="46"/>
      <c r="G297" s="70"/>
      <c r="H297" s="70"/>
      <c r="I297" s="44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8"/>
      <c r="X297" s="8"/>
      <c r="Y297" s="8"/>
      <c r="Z297" s="8"/>
    </row>
    <row r="298" ht="14.25" customHeight="1">
      <c r="A298" s="8"/>
      <c r="C298" s="46"/>
      <c r="D298" s="46"/>
      <c r="E298" s="46"/>
      <c r="F298" s="46">
        <v>2.0</v>
      </c>
      <c r="G298" s="47" t="s">
        <v>481</v>
      </c>
      <c r="H298" s="34"/>
      <c r="I298" s="44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8"/>
      <c r="X298" s="8"/>
      <c r="Y298" s="8"/>
      <c r="Z298" s="8"/>
    </row>
    <row r="299" ht="14.25" customHeight="1">
      <c r="A299" s="8"/>
      <c r="B299" s="7" t="s">
        <v>502</v>
      </c>
      <c r="C299" s="46"/>
      <c r="D299" s="46"/>
      <c r="E299" s="46"/>
      <c r="F299" s="46"/>
      <c r="G299" s="64">
        <v>1.0</v>
      </c>
      <c r="H299" s="70">
        <v>20.0</v>
      </c>
      <c r="I299" s="47" t="s">
        <v>474</v>
      </c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53">
        <f t="shared" ref="V299:V301" si="29">SUM(J299:U299)</f>
        <v>0</v>
      </c>
      <c r="W299" s="8"/>
      <c r="X299" s="8"/>
      <c r="Y299" s="8"/>
      <c r="Z299" s="8"/>
    </row>
    <row r="300" ht="14.25" customHeight="1">
      <c r="A300" s="8"/>
      <c r="B300" s="7" t="s">
        <v>503</v>
      </c>
      <c r="C300" s="46"/>
      <c r="D300" s="46"/>
      <c r="E300" s="46"/>
      <c r="F300" s="46"/>
      <c r="G300" s="64">
        <v>2.0</v>
      </c>
      <c r="H300" s="70">
        <v>40.0</v>
      </c>
      <c r="I300" s="47" t="s">
        <v>474</v>
      </c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53">
        <f t="shared" si="29"/>
        <v>0</v>
      </c>
      <c r="W300" s="8"/>
      <c r="X300" s="8"/>
      <c r="Y300" s="8"/>
      <c r="Z300" s="8"/>
    </row>
    <row r="301" ht="14.25" customHeight="1">
      <c r="A301" s="8"/>
      <c r="B301" s="7" t="s">
        <v>504</v>
      </c>
      <c r="C301" s="46"/>
      <c r="D301" s="46"/>
      <c r="E301" s="46"/>
      <c r="F301" s="46"/>
      <c r="G301" s="64">
        <v>3.0</v>
      </c>
      <c r="H301" s="70">
        <v>45.0</v>
      </c>
      <c r="I301" s="47" t="s">
        <v>474</v>
      </c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53">
        <f t="shared" si="29"/>
        <v>0</v>
      </c>
      <c r="W301" s="8"/>
      <c r="X301" s="8"/>
      <c r="Y301" s="8"/>
      <c r="Z301" s="8"/>
    </row>
    <row r="302" ht="14.25" customHeight="1">
      <c r="A302" s="8"/>
      <c r="C302" s="46"/>
      <c r="D302" s="46"/>
      <c r="E302" s="46"/>
      <c r="F302" s="46"/>
      <c r="G302" s="90"/>
      <c r="H302" s="90"/>
      <c r="I302" s="44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8"/>
      <c r="X302" s="8"/>
      <c r="Y302" s="8"/>
      <c r="Z302" s="8"/>
    </row>
    <row r="303" ht="14.25" customHeight="1">
      <c r="A303" s="8"/>
      <c r="C303" s="46"/>
      <c r="D303" s="46"/>
      <c r="E303" s="46"/>
      <c r="F303" s="46">
        <v>3.0</v>
      </c>
      <c r="G303" s="47" t="s">
        <v>485</v>
      </c>
      <c r="H303" s="34"/>
      <c r="I303" s="44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8"/>
      <c r="X303" s="8"/>
      <c r="Y303" s="8"/>
      <c r="Z303" s="8"/>
    </row>
    <row r="304" ht="14.25" customHeight="1">
      <c r="A304" s="8"/>
      <c r="B304" s="7" t="s">
        <v>505</v>
      </c>
      <c r="C304" s="46"/>
      <c r="D304" s="46"/>
      <c r="E304" s="46"/>
      <c r="F304" s="46"/>
      <c r="G304" s="64">
        <v>1.0</v>
      </c>
      <c r="H304" s="70">
        <v>20.0</v>
      </c>
      <c r="I304" s="47" t="s">
        <v>474</v>
      </c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53">
        <f t="shared" ref="V304:V306" si="30">SUM(J304:U304)</f>
        <v>0</v>
      </c>
      <c r="W304" s="8"/>
      <c r="X304" s="8"/>
      <c r="Y304" s="8"/>
      <c r="Z304" s="8"/>
    </row>
    <row r="305" ht="14.25" customHeight="1">
      <c r="A305" s="8"/>
      <c r="B305" s="7" t="s">
        <v>506</v>
      </c>
      <c r="C305" s="46"/>
      <c r="D305" s="46"/>
      <c r="E305" s="46"/>
      <c r="F305" s="46"/>
      <c r="G305" s="64">
        <v>2.0</v>
      </c>
      <c r="H305" s="70">
        <v>40.0</v>
      </c>
      <c r="I305" s="47" t="s">
        <v>474</v>
      </c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53">
        <f t="shared" si="30"/>
        <v>0</v>
      </c>
      <c r="W305" s="8"/>
      <c r="X305" s="8"/>
      <c r="Y305" s="8"/>
      <c r="Z305" s="8"/>
    </row>
    <row r="306" ht="14.25" customHeight="1">
      <c r="A306" s="8"/>
      <c r="B306" s="7" t="s">
        <v>507</v>
      </c>
      <c r="C306" s="46"/>
      <c r="D306" s="46"/>
      <c r="E306" s="46"/>
      <c r="F306" s="46"/>
      <c r="G306" s="64">
        <v>3.0</v>
      </c>
      <c r="H306" s="70">
        <v>45.0</v>
      </c>
      <c r="I306" s="47" t="s">
        <v>474</v>
      </c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53">
        <f t="shared" si="30"/>
        <v>0</v>
      </c>
      <c r="W306" s="8"/>
      <c r="X306" s="8"/>
      <c r="Y306" s="8"/>
      <c r="Z306" s="8"/>
    </row>
    <row r="307" ht="14.25" customHeight="1">
      <c r="A307" s="8"/>
      <c r="C307" s="46"/>
      <c r="D307" s="46"/>
      <c r="E307" s="46"/>
      <c r="F307" s="46"/>
      <c r="G307" s="70"/>
      <c r="H307" s="70"/>
      <c r="I307" s="44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8"/>
      <c r="X307" s="8"/>
      <c r="Y307" s="8"/>
      <c r="Z307" s="8"/>
    </row>
    <row r="308" ht="14.25" customHeight="1">
      <c r="A308" s="8"/>
      <c r="B308" s="7" t="s">
        <v>508</v>
      </c>
      <c r="C308" s="46"/>
      <c r="D308" s="46"/>
      <c r="E308" s="46"/>
      <c r="F308" s="46">
        <v>4.0</v>
      </c>
      <c r="G308" s="47" t="s">
        <v>490</v>
      </c>
      <c r="H308" s="34"/>
      <c r="I308" s="47" t="s">
        <v>491</v>
      </c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53">
        <f>SUM(J308:U308)</f>
        <v>0</v>
      </c>
      <c r="W308" s="8"/>
      <c r="X308" s="8"/>
      <c r="Y308" s="8"/>
      <c r="Z308" s="8"/>
    </row>
    <row r="309" ht="14.25" customHeight="1">
      <c r="A309" s="8"/>
      <c r="C309" s="46"/>
      <c r="D309" s="46"/>
      <c r="E309" s="46"/>
      <c r="F309" s="46"/>
      <c r="G309" s="47"/>
      <c r="H309" s="72"/>
      <c r="I309" s="44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8"/>
      <c r="X309" s="8"/>
      <c r="Y309" s="8"/>
      <c r="Z309" s="8"/>
    </row>
    <row r="310" ht="14.25" customHeight="1">
      <c r="A310" s="8"/>
      <c r="C310" s="46"/>
      <c r="D310" s="46"/>
      <c r="E310" s="46">
        <v>2.0</v>
      </c>
      <c r="F310" s="76" t="s">
        <v>492</v>
      </c>
      <c r="G310" s="33"/>
      <c r="H310" s="34"/>
      <c r="I310" s="44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8"/>
      <c r="X310" s="8"/>
      <c r="Y310" s="8"/>
      <c r="Z310" s="8"/>
    </row>
    <row r="311" ht="14.25" customHeight="1">
      <c r="A311" s="8"/>
      <c r="B311" s="7" t="s">
        <v>509</v>
      </c>
      <c r="C311" s="46"/>
      <c r="D311" s="46"/>
      <c r="E311" s="46"/>
      <c r="F311" s="46"/>
      <c r="G311" s="64">
        <v>1.0</v>
      </c>
      <c r="H311" s="70">
        <v>20.0</v>
      </c>
      <c r="I311" s="47" t="s">
        <v>474</v>
      </c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53">
        <f t="shared" ref="V311:V313" si="31">SUM(J311:U311)</f>
        <v>0</v>
      </c>
      <c r="W311" s="8"/>
      <c r="X311" s="8"/>
      <c r="Y311" s="8"/>
      <c r="Z311" s="8"/>
    </row>
    <row r="312" ht="14.25" customHeight="1">
      <c r="A312" s="8"/>
      <c r="B312" s="7" t="s">
        <v>510</v>
      </c>
      <c r="C312" s="46"/>
      <c r="D312" s="46"/>
      <c r="E312" s="46"/>
      <c r="F312" s="46"/>
      <c r="G312" s="64">
        <v>2.0</v>
      </c>
      <c r="H312" s="70">
        <v>40.0</v>
      </c>
      <c r="I312" s="47" t="s">
        <v>474</v>
      </c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53">
        <f t="shared" si="31"/>
        <v>0</v>
      </c>
      <c r="W312" s="8"/>
      <c r="X312" s="8"/>
      <c r="Y312" s="8"/>
      <c r="Z312" s="8"/>
    </row>
    <row r="313" ht="14.25" customHeight="1">
      <c r="A313" s="8"/>
      <c r="B313" s="7" t="s">
        <v>511</v>
      </c>
      <c r="C313" s="46"/>
      <c r="D313" s="46"/>
      <c r="E313" s="46"/>
      <c r="F313" s="46"/>
      <c r="G313" s="64">
        <v>3.0</v>
      </c>
      <c r="H313" s="70">
        <v>45.0</v>
      </c>
      <c r="I313" s="47" t="s">
        <v>474</v>
      </c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53">
        <f t="shared" si="31"/>
        <v>0</v>
      </c>
      <c r="W313" s="8"/>
      <c r="X313" s="8"/>
      <c r="Y313" s="8"/>
      <c r="Z313" s="8"/>
    </row>
    <row r="314" ht="14.25" customHeight="1">
      <c r="A314" s="8"/>
      <c r="C314" s="75"/>
      <c r="D314" s="68"/>
      <c r="E314" s="68"/>
      <c r="F314" s="68"/>
      <c r="G314" s="68"/>
      <c r="H314" s="68"/>
      <c r="I314" s="68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8"/>
      <c r="X314" s="8"/>
      <c r="Y314" s="8"/>
      <c r="Z314" s="8"/>
    </row>
    <row r="315" ht="14.25" customHeight="1">
      <c r="A315" s="8"/>
      <c r="C315" s="46"/>
      <c r="D315" s="46">
        <v>3.0</v>
      </c>
      <c r="E315" s="76" t="s">
        <v>512</v>
      </c>
      <c r="F315" s="33"/>
      <c r="G315" s="33"/>
      <c r="H315" s="34"/>
      <c r="I315" s="44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8"/>
      <c r="X315" s="8"/>
      <c r="Y315" s="8"/>
      <c r="Z315" s="8"/>
    </row>
    <row r="316" ht="14.25" customHeight="1">
      <c r="A316" s="8"/>
      <c r="C316" s="46"/>
      <c r="D316" s="46"/>
      <c r="E316" s="46">
        <v>1.0</v>
      </c>
      <c r="F316" s="47" t="s">
        <v>471</v>
      </c>
      <c r="G316" s="33"/>
      <c r="H316" s="34"/>
      <c r="I316" s="44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8"/>
      <c r="X316" s="8"/>
      <c r="Y316" s="8"/>
      <c r="Z316" s="8"/>
    </row>
    <row r="317" ht="14.25" customHeight="1">
      <c r="A317" s="8"/>
      <c r="C317" s="46"/>
      <c r="D317" s="46"/>
      <c r="E317" s="46"/>
      <c r="F317" s="46">
        <v>1.0</v>
      </c>
      <c r="G317" s="47" t="s">
        <v>472</v>
      </c>
      <c r="H317" s="34"/>
      <c r="I317" s="44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8"/>
      <c r="X317" s="8"/>
      <c r="Y317" s="8"/>
      <c r="Z317" s="8"/>
    </row>
    <row r="318" ht="14.25" customHeight="1">
      <c r="A318" s="8"/>
      <c r="B318" s="7" t="s">
        <v>513</v>
      </c>
      <c r="C318" s="46"/>
      <c r="D318" s="46"/>
      <c r="E318" s="46"/>
      <c r="F318" s="46"/>
      <c r="G318" s="64">
        <v>1.0</v>
      </c>
      <c r="H318" s="70">
        <v>20.0</v>
      </c>
      <c r="I318" s="47" t="s">
        <v>474</v>
      </c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53">
        <f t="shared" ref="V318:V322" si="32">SUM(J318:U318)</f>
        <v>0</v>
      </c>
      <c r="W318" s="8"/>
      <c r="X318" s="8"/>
      <c r="Y318" s="8"/>
      <c r="Z318" s="8"/>
    </row>
    <row r="319" ht="14.25" customHeight="1">
      <c r="A319" s="8"/>
      <c r="B319" s="7" t="s">
        <v>514</v>
      </c>
      <c r="C319" s="46"/>
      <c r="D319" s="46"/>
      <c r="E319" s="46"/>
      <c r="F319" s="46"/>
      <c r="G319" s="64">
        <v>2.0</v>
      </c>
      <c r="H319" s="70">
        <v>40.0</v>
      </c>
      <c r="I319" s="47" t="s">
        <v>474</v>
      </c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53">
        <f t="shared" si="32"/>
        <v>0</v>
      </c>
      <c r="W319" s="8"/>
      <c r="X319" s="8"/>
      <c r="Y319" s="8"/>
      <c r="Z319" s="8"/>
    </row>
    <row r="320" ht="14.25" customHeight="1">
      <c r="A320" s="8"/>
      <c r="B320" s="7" t="s">
        <v>515</v>
      </c>
      <c r="C320" s="46"/>
      <c r="D320" s="46"/>
      <c r="E320" s="46"/>
      <c r="F320" s="46"/>
      <c r="G320" s="64">
        <v>3.0</v>
      </c>
      <c r="H320" s="70">
        <v>45.0</v>
      </c>
      <c r="I320" s="47" t="s">
        <v>474</v>
      </c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53">
        <f t="shared" si="32"/>
        <v>0</v>
      </c>
      <c r="W320" s="8"/>
      <c r="X320" s="8"/>
      <c r="Y320" s="8"/>
      <c r="Z320" s="8"/>
    </row>
    <row r="321" ht="14.25" customHeight="1">
      <c r="A321" s="8"/>
      <c r="B321" s="7" t="s">
        <v>516</v>
      </c>
      <c r="C321" s="46"/>
      <c r="D321" s="46"/>
      <c r="E321" s="46"/>
      <c r="F321" s="46"/>
      <c r="G321" s="64">
        <v>4.0</v>
      </c>
      <c r="H321" s="70" t="s">
        <v>478</v>
      </c>
      <c r="I321" s="47" t="s">
        <v>474</v>
      </c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53">
        <f t="shared" si="32"/>
        <v>0</v>
      </c>
      <c r="W321" s="8"/>
      <c r="X321" s="8"/>
      <c r="Y321" s="8"/>
      <c r="Z321" s="8"/>
    </row>
    <row r="322" ht="14.25" customHeight="1">
      <c r="A322" s="8"/>
      <c r="B322" s="7" t="s">
        <v>517</v>
      </c>
      <c r="C322" s="46"/>
      <c r="D322" s="46"/>
      <c r="E322" s="46"/>
      <c r="F322" s="46"/>
      <c r="G322" s="64">
        <v>5.0</v>
      </c>
      <c r="H322" s="70" t="s">
        <v>480</v>
      </c>
      <c r="I322" s="47" t="s">
        <v>474</v>
      </c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53">
        <f t="shared" si="32"/>
        <v>0</v>
      </c>
      <c r="W322" s="8"/>
      <c r="X322" s="8"/>
      <c r="Y322" s="8"/>
      <c r="Z322" s="8"/>
    </row>
    <row r="323" ht="14.25" customHeight="1">
      <c r="A323" s="8"/>
      <c r="C323" s="46"/>
      <c r="D323" s="46"/>
      <c r="E323" s="46"/>
      <c r="F323" s="46"/>
      <c r="G323" s="70"/>
      <c r="H323" s="70"/>
      <c r="I323" s="44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8"/>
      <c r="X323" s="8"/>
      <c r="Y323" s="8"/>
      <c r="Z323" s="8"/>
    </row>
    <row r="324" ht="14.25" customHeight="1">
      <c r="A324" s="8"/>
      <c r="C324" s="46"/>
      <c r="D324" s="46"/>
      <c r="E324" s="46"/>
      <c r="F324" s="46">
        <v>2.0</v>
      </c>
      <c r="G324" s="47" t="s">
        <v>481</v>
      </c>
      <c r="H324" s="34"/>
      <c r="I324" s="44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8"/>
      <c r="X324" s="8"/>
      <c r="Y324" s="8"/>
      <c r="Z324" s="8"/>
    </row>
    <row r="325" ht="14.25" customHeight="1">
      <c r="A325" s="8"/>
      <c r="B325" s="7" t="s">
        <v>518</v>
      </c>
      <c r="C325" s="46"/>
      <c r="D325" s="46"/>
      <c r="E325" s="46"/>
      <c r="F325" s="46"/>
      <c r="G325" s="64">
        <v>1.0</v>
      </c>
      <c r="H325" s="70">
        <v>20.0</v>
      </c>
      <c r="I325" s="47" t="s">
        <v>474</v>
      </c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53">
        <f t="shared" ref="V325:V327" si="33">SUM(J325:U325)</f>
        <v>0</v>
      </c>
      <c r="W325" s="8"/>
      <c r="X325" s="8"/>
      <c r="Y325" s="8"/>
      <c r="Z325" s="8"/>
    </row>
    <row r="326" ht="14.25" customHeight="1">
      <c r="A326" s="8"/>
      <c r="B326" s="7" t="s">
        <v>519</v>
      </c>
      <c r="C326" s="46"/>
      <c r="D326" s="46"/>
      <c r="E326" s="46"/>
      <c r="F326" s="46"/>
      <c r="G326" s="64">
        <v>2.0</v>
      </c>
      <c r="H326" s="70">
        <v>40.0</v>
      </c>
      <c r="I326" s="47" t="s">
        <v>474</v>
      </c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53">
        <f t="shared" si="33"/>
        <v>0</v>
      </c>
      <c r="W326" s="8"/>
      <c r="X326" s="8"/>
      <c r="Y326" s="8"/>
      <c r="Z326" s="8"/>
    </row>
    <row r="327" ht="14.25" customHeight="1">
      <c r="A327" s="8"/>
      <c r="B327" s="7" t="s">
        <v>520</v>
      </c>
      <c r="C327" s="46"/>
      <c r="D327" s="46"/>
      <c r="E327" s="46"/>
      <c r="F327" s="46"/>
      <c r="G327" s="64">
        <v>3.0</v>
      </c>
      <c r="H327" s="70">
        <v>45.0</v>
      </c>
      <c r="I327" s="47" t="s">
        <v>474</v>
      </c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53">
        <f t="shared" si="33"/>
        <v>0</v>
      </c>
      <c r="W327" s="8"/>
      <c r="X327" s="8"/>
      <c r="Y327" s="8"/>
      <c r="Z327" s="8"/>
    </row>
    <row r="328" ht="14.25" customHeight="1">
      <c r="A328" s="8"/>
      <c r="C328" s="46"/>
      <c r="D328" s="46"/>
      <c r="E328" s="46"/>
      <c r="F328" s="46"/>
      <c r="G328" s="90"/>
      <c r="H328" s="90"/>
      <c r="I328" s="44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8"/>
      <c r="X328" s="8"/>
      <c r="Y328" s="8"/>
      <c r="Z328" s="8"/>
    </row>
    <row r="329" ht="14.25" customHeight="1">
      <c r="A329" s="8"/>
      <c r="C329" s="46"/>
      <c r="D329" s="46"/>
      <c r="E329" s="46"/>
      <c r="F329" s="46">
        <v>3.0</v>
      </c>
      <c r="G329" s="47" t="s">
        <v>485</v>
      </c>
      <c r="H329" s="34"/>
      <c r="I329" s="44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8"/>
      <c r="X329" s="8"/>
      <c r="Y329" s="8"/>
      <c r="Z329" s="8"/>
    </row>
    <row r="330" ht="14.25" customHeight="1">
      <c r="A330" s="8"/>
      <c r="B330" s="7" t="s">
        <v>521</v>
      </c>
      <c r="C330" s="46"/>
      <c r="D330" s="46"/>
      <c r="E330" s="46"/>
      <c r="F330" s="46"/>
      <c r="G330" s="64">
        <v>1.0</v>
      </c>
      <c r="H330" s="70">
        <v>20.0</v>
      </c>
      <c r="I330" s="47" t="s">
        <v>474</v>
      </c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53">
        <f t="shared" ref="V330:V332" si="34">SUM(J330:U330)</f>
        <v>0</v>
      </c>
      <c r="W330" s="8"/>
      <c r="X330" s="8"/>
      <c r="Y330" s="8"/>
      <c r="Z330" s="8"/>
    </row>
    <row r="331" ht="14.25" customHeight="1">
      <c r="A331" s="8"/>
      <c r="B331" s="7" t="s">
        <v>522</v>
      </c>
      <c r="C331" s="46"/>
      <c r="D331" s="46"/>
      <c r="E331" s="46"/>
      <c r="F331" s="46"/>
      <c r="G331" s="64">
        <v>2.0</v>
      </c>
      <c r="H331" s="70">
        <v>40.0</v>
      </c>
      <c r="I331" s="47" t="s">
        <v>474</v>
      </c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53">
        <f t="shared" si="34"/>
        <v>0</v>
      </c>
      <c r="W331" s="8"/>
      <c r="X331" s="8"/>
      <c r="Y331" s="8"/>
      <c r="Z331" s="8"/>
    </row>
    <row r="332" ht="14.25" customHeight="1">
      <c r="A332" s="8"/>
      <c r="B332" s="7" t="s">
        <v>523</v>
      </c>
      <c r="C332" s="46"/>
      <c r="D332" s="46"/>
      <c r="E332" s="46"/>
      <c r="F332" s="46"/>
      <c r="G332" s="64">
        <v>3.0</v>
      </c>
      <c r="H332" s="70">
        <v>45.0</v>
      </c>
      <c r="I332" s="47" t="s">
        <v>474</v>
      </c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53">
        <f t="shared" si="34"/>
        <v>0</v>
      </c>
      <c r="W332" s="8"/>
      <c r="X332" s="8"/>
      <c r="Y332" s="8"/>
      <c r="Z332" s="8"/>
    </row>
    <row r="333" ht="14.25" customHeight="1">
      <c r="A333" s="8"/>
      <c r="C333" s="46"/>
      <c r="D333" s="46"/>
      <c r="E333" s="46"/>
      <c r="F333" s="46"/>
      <c r="G333" s="70"/>
      <c r="H333" s="70"/>
      <c r="I333" s="44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8"/>
      <c r="X333" s="8"/>
      <c r="Y333" s="8"/>
      <c r="Z333" s="8"/>
    </row>
    <row r="334" ht="14.25" customHeight="1">
      <c r="A334" s="8"/>
      <c r="B334" s="7" t="s">
        <v>524</v>
      </c>
      <c r="C334" s="46"/>
      <c r="D334" s="46"/>
      <c r="E334" s="46"/>
      <c r="F334" s="46">
        <v>4.0</v>
      </c>
      <c r="G334" s="47" t="s">
        <v>490</v>
      </c>
      <c r="H334" s="34"/>
      <c r="I334" s="47" t="s">
        <v>491</v>
      </c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53">
        <f>SUM(J334:U334)</f>
        <v>0</v>
      </c>
      <c r="W334" s="8"/>
      <c r="X334" s="8"/>
      <c r="Y334" s="8"/>
      <c r="Z334" s="8"/>
    </row>
    <row r="335" ht="14.25" customHeight="1">
      <c r="A335" s="8"/>
      <c r="C335" s="46"/>
      <c r="D335" s="46"/>
      <c r="E335" s="46"/>
      <c r="F335" s="46"/>
      <c r="G335" s="47"/>
      <c r="H335" s="72"/>
      <c r="I335" s="44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8"/>
      <c r="X335" s="8"/>
      <c r="Y335" s="8"/>
      <c r="Z335" s="8"/>
    </row>
    <row r="336" ht="14.25" customHeight="1">
      <c r="A336" s="8"/>
      <c r="C336" s="46"/>
      <c r="D336" s="46"/>
      <c r="E336" s="46">
        <v>2.0</v>
      </c>
      <c r="F336" s="76" t="s">
        <v>492</v>
      </c>
      <c r="G336" s="33"/>
      <c r="H336" s="34"/>
      <c r="I336" s="44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8"/>
      <c r="X336" s="8"/>
      <c r="Y336" s="8"/>
      <c r="Z336" s="8"/>
    </row>
    <row r="337" ht="14.25" customHeight="1">
      <c r="A337" s="8"/>
      <c r="B337" s="7" t="s">
        <v>525</v>
      </c>
      <c r="C337" s="46"/>
      <c r="D337" s="46"/>
      <c r="E337" s="46"/>
      <c r="F337" s="46"/>
      <c r="G337" s="64">
        <v>1.0</v>
      </c>
      <c r="H337" s="70">
        <v>20.0</v>
      </c>
      <c r="I337" s="47" t="s">
        <v>474</v>
      </c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53">
        <f t="shared" ref="V337:V339" si="35">SUM(J337:U337)</f>
        <v>0</v>
      </c>
      <c r="W337" s="8"/>
      <c r="X337" s="8"/>
      <c r="Y337" s="8"/>
      <c r="Z337" s="8"/>
    </row>
    <row r="338" ht="14.25" customHeight="1">
      <c r="A338" s="8"/>
      <c r="B338" s="7" t="s">
        <v>526</v>
      </c>
      <c r="C338" s="46"/>
      <c r="D338" s="46"/>
      <c r="E338" s="46"/>
      <c r="F338" s="46"/>
      <c r="G338" s="64">
        <v>2.0</v>
      </c>
      <c r="H338" s="70">
        <v>40.0</v>
      </c>
      <c r="I338" s="47" t="s">
        <v>474</v>
      </c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53">
        <f t="shared" si="35"/>
        <v>0</v>
      </c>
      <c r="W338" s="8"/>
      <c r="X338" s="8"/>
      <c r="Y338" s="8"/>
      <c r="Z338" s="8"/>
    </row>
    <row r="339" ht="14.25" customHeight="1">
      <c r="A339" s="8"/>
      <c r="B339" s="7" t="s">
        <v>527</v>
      </c>
      <c r="C339" s="46"/>
      <c r="D339" s="46"/>
      <c r="E339" s="46"/>
      <c r="F339" s="46"/>
      <c r="G339" s="64">
        <v>3.0</v>
      </c>
      <c r="H339" s="70">
        <v>45.0</v>
      </c>
      <c r="I339" s="47" t="s">
        <v>474</v>
      </c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53">
        <f t="shared" si="35"/>
        <v>0</v>
      </c>
      <c r="W339" s="8"/>
      <c r="X339" s="8"/>
      <c r="Y339" s="8"/>
      <c r="Z339" s="8"/>
    </row>
    <row r="340" ht="14.25" customHeight="1">
      <c r="A340" s="8"/>
      <c r="C340" s="75"/>
      <c r="D340" s="68"/>
      <c r="E340" s="68"/>
      <c r="F340" s="68"/>
      <c r="G340" s="68"/>
      <c r="H340" s="68"/>
      <c r="I340" s="68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8"/>
      <c r="X340" s="8"/>
      <c r="Y340" s="8"/>
      <c r="Z340" s="8"/>
    </row>
    <row r="341" ht="14.25" customHeight="1">
      <c r="A341" s="8"/>
      <c r="C341" s="46"/>
      <c r="D341" s="77" t="s">
        <v>528</v>
      </c>
      <c r="E341" s="20"/>
      <c r="F341" s="20"/>
      <c r="G341" s="20"/>
      <c r="H341" s="21"/>
      <c r="I341" s="47" t="s">
        <v>474</v>
      </c>
      <c r="J341" s="53">
        <f t="shared" ref="J341:V341" si="36">SUMIF($I$266:$V$339,$I341,J$266:J$339)</f>
        <v>0</v>
      </c>
      <c r="K341" s="53">
        <f t="shared" si="36"/>
        <v>0</v>
      </c>
      <c r="L341" s="53">
        <f t="shared" si="36"/>
        <v>0</v>
      </c>
      <c r="M341" s="53">
        <f t="shared" si="36"/>
        <v>0</v>
      </c>
      <c r="N341" s="53">
        <f t="shared" si="36"/>
        <v>0</v>
      </c>
      <c r="O341" s="53">
        <f t="shared" si="36"/>
        <v>0</v>
      </c>
      <c r="P341" s="53">
        <f t="shared" si="36"/>
        <v>0</v>
      </c>
      <c r="Q341" s="53">
        <f t="shared" si="36"/>
        <v>0</v>
      </c>
      <c r="R341" s="53">
        <f t="shared" si="36"/>
        <v>0</v>
      </c>
      <c r="S341" s="53">
        <f t="shared" si="36"/>
        <v>0</v>
      </c>
      <c r="T341" s="53">
        <f t="shared" si="36"/>
        <v>0</v>
      </c>
      <c r="U341" s="53">
        <f t="shared" si="36"/>
        <v>0</v>
      </c>
      <c r="V341" s="53">
        <f t="shared" si="36"/>
        <v>0</v>
      </c>
      <c r="W341" s="8"/>
      <c r="X341" s="8"/>
      <c r="Y341" s="8"/>
      <c r="Z341" s="8"/>
    </row>
    <row r="342" ht="14.25" customHeight="1">
      <c r="A342" s="8"/>
      <c r="C342" s="46"/>
      <c r="D342" s="28"/>
      <c r="E342" s="29"/>
      <c r="F342" s="29"/>
      <c r="G342" s="29"/>
      <c r="H342" s="30"/>
      <c r="I342" s="47" t="s">
        <v>529</v>
      </c>
      <c r="J342" s="53">
        <f t="shared" ref="J342:V342" si="37">(J266+J269+J273+J278+J285+J292+J295+J299+J304+J311+J318+J321+J325+J330+J337) + ((J267+J270+J274+J279+J286+J293+J296+J300+J305+J312+J319+J322+J326+J331+J338)*2) + ((J268+J275+J280+J287+J294+J301+J306+J313+J320+J327+J332+J339)*2.25)</f>
        <v>0</v>
      </c>
      <c r="K342" s="53">
        <f t="shared" si="37"/>
        <v>0</v>
      </c>
      <c r="L342" s="53">
        <f t="shared" si="37"/>
        <v>0</v>
      </c>
      <c r="M342" s="53">
        <f t="shared" si="37"/>
        <v>0</v>
      </c>
      <c r="N342" s="53">
        <f t="shared" si="37"/>
        <v>0</v>
      </c>
      <c r="O342" s="53">
        <f t="shared" si="37"/>
        <v>0</v>
      </c>
      <c r="P342" s="53">
        <f t="shared" si="37"/>
        <v>0</v>
      </c>
      <c r="Q342" s="53">
        <f t="shared" si="37"/>
        <v>0</v>
      </c>
      <c r="R342" s="53">
        <f t="shared" si="37"/>
        <v>0</v>
      </c>
      <c r="S342" s="53">
        <f t="shared" si="37"/>
        <v>0</v>
      </c>
      <c r="T342" s="53">
        <f t="shared" si="37"/>
        <v>0</v>
      </c>
      <c r="U342" s="53">
        <f t="shared" si="37"/>
        <v>0</v>
      </c>
      <c r="V342" s="53">
        <f t="shared" si="37"/>
        <v>0</v>
      </c>
      <c r="W342" s="8"/>
      <c r="X342" s="8"/>
      <c r="Y342" s="8"/>
      <c r="Z342" s="8"/>
    </row>
    <row r="343" ht="14.25" customHeight="1">
      <c r="A343" s="8"/>
      <c r="C343" s="75"/>
      <c r="D343" s="68"/>
      <c r="E343" s="68"/>
      <c r="F343" s="68"/>
      <c r="G343" s="68"/>
      <c r="H343" s="68"/>
      <c r="I343" s="68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8"/>
      <c r="X343" s="8"/>
      <c r="Y343" s="8"/>
      <c r="Z343" s="8"/>
    </row>
    <row r="344" ht="14.25" customHeight="1">
      <c r="A344" s="8"/>
      <c r="C344" s="64">
        <v>2.0</v>
      </c>
      <c r="D344" s="47" t="s">
        <v>530</v>
      </c>
      <c r="E344" s="33"/>
      <c r="F344" s="33"/>
      <c r="G344" s="33"/>
      <c r="H344" s="34"/>
      <c r="I344" s="44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8"/>
      <c r="X344" s="8"/>
      <c r="Y344" s="8"/>
      <c r="Z344" s="8"/>
    </row>
    <row r="345" ht="14.25" customHeight="1">
      <c r="A345" s="8"/>
      <c r="C345" s="46"/>
      <c r="D345" s="46">
        <v>1.0</v>
      </c>
      <c r="E345" s="47" t="s">
        <v>531</v>
      </c>
      <c r="F345" s="33"/>
      <c r="G345" s="33"/>
      <c r="H345" s="34"/>
      <c r="I345" s="44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8"/>
      <c r="X345" s="8"/>
      <c r="Y345" s="8"/>
      <c r="Z345" s="8"/>
    </row>
    <row r="346" ht="14.25" customHeight="1">
      <c r="A346" s="8"/>
      <c r="C346" s="46"/>
      <c r="D346" s="46"/>
      <c r="E346" s="46">
        <v>1.0</v>
      </c>
      <c r="F346" s="47" t="s">
        <v>471</v>
      </c>
      <c r="G346" s="33"/>
      <c r="H346" s="34"/>
      <c r="I346" s="44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8"/>
      <c r="X346" s="8"/>
      <c r="Y346" s="8"/>
      <c r="Z346" s="8"/>
    </row>
    <row r="347" ht="14.25" customHeight="1">
      <c r="A347" s="8"/>
      <c r="C347" s="46"/>
      <c r="D347" s="46"/>
      <c r="E347" s="46"/>
      <c r="F347" s="46">
        <v>1.0</v>
      </c>
      <c r="G347" s="47" t="s">
        <v>472</v>
      </c>
      <c r="H347" s="34"/>
      <c r="I347" s="44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8"/>
      <c r="X347" s="8"/>
      <c r="Y347" s="8"/>
      <c r="Z347" s="8"/>
    </row>
    <row r="348" ht="14.25" customHeight="1">
      <c r="A348" s="8"/>
      <c r="B348" s="7" t="s">
        <v>532</v>
      </c>
      <c r="C348" s="46"/>
      <c r="D348" s="46"/>
      <c r="E348" s="46"/>
      <c r="F348" s="46"/>
      <c r="G348" s="64">
        <v>1.0</v>
      </c>
      <c r="H348" s="70">
        <v>20.0</v>
      </c>
      <c r="I348" s="47" t="s">
        <v>474</v>
      </c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53">
        <f t="shared" ref="V348:V352" si="38">SUM(J348:U348)</f>
        <v>0</v>
      </c>
      <c r="W348" s="8"/>
      <c r="X348" s="8"/>
      <c r="Y348" s="8"/>
      <c r="Z348" s="8"/>
    </row>
    <row r="349" ht="14.25" customHeight="1">
      <c r="A349" s="8"/>
      <c r="B349" s="7" t="s">
        <v>533</v>
      </c>
      <c r="C349" s="46"/>
      <c r="D349" s="46"/>
      <c r="E349" s="46"/>
      <c r="F349" s="46"/>
      <c r="G349" s="64">
        <v>2.0</v>
      </c>
      <c r="H349" s="70">
        <v>40.0</v>
      </c>
      <c r="I349" s="47" t="s">
        <v>474</v>
      </c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53">
        <f t="shared" si="38"/>
        <v>0</v>
      </c>
      <c r="W349" s="8"/>
      <c r="X349" s="8"/>
      <c r="Y349" s="8"/>
      <c r="Z349" s="8"/>
    </row>
    <row r="350" ht="14.25" customHeight="1">
      <c r="A350" s="8"/>
      <c r="B350" s="7" t="s">
        <v>534</v>
      </c>
      <c r="C350" s="46"/>
      <c r="D350" s="46"/>
      <c r="E350" s="46"/>
      <c r="F350" s="46"/>
      <c r="G350" s="64">
        <v>3.0</v>
      </c>
      <c r="H350" s="70">
        <v>45.0</v>
      </c>
      <c r="I350" s="47" t="s">
        <v>474</v>
      </c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53">
        <f t="shared" si="38"/>
        <v>0</v>
      </c>
      <c r="W350" s="8"/>
      <c r="X350" s="8"/>
      <c r="Y350" s="8"/>
      <c r="Z350" s="8"/>
    </row>
    <row r="351" ht="14.25" customHeight="1">
      <c r="A351" s="8"/>
      <c r="B351" s="7" t="s">
        <v>535</v>
      </c>
      <c r="C351" s="46"/>
      <c r="D351" s="46"/>
      <c r="E351" s="46"/>
      <c r="F351" s="46"/>
      <c r="G351" s="64">
        <v>4.0</v>
      </c>
      <c r="H351" s="70" t="s">
        <v>478</v>
      </c>
      <c r="I351" s="47" t="s">
        <v>474</v>
      </c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53">
        <f t="shared" si="38"/>
        <v>0</v>
      </c>
      <c r="W351" s="8"/>
      <c r="X351" s="8"/>
      <c r="Y351" s="8"/>
      <c r="Z351" s="8"/>
    </row>
    <row r="352" ht="14.25" customHeight="1">
      <c r="A352" s="8"/>
      <c r="B352" s="7" t="s">
        <v>536</v>
      </c>
      <c r="C352" s="46"/>
      <c r="D352" s="46"/>
      <c r="E352" s="46"/>
      <c r="F352" s="46"/>
      <c r="G352" s="64">
        <v>5.0</v>
      </c>
      <c r="H352" s="70" t="s">
        <v>480</v>
      </c>
      <c r="I352" s="47" t="s">
        <v>474</v>
      </c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53">
        <f t="shared" si="38"/>
        <v>0</v>
      </c>
      <c r="W352" s="8"/>
      <c r="X352" s="8"/>
      <c r="Y352" s="8"/>
      <c r="Z352" s="8"/>
    </row>
    <row r="353" ht="14.25" customHeight="1">
      <c r="A353" s="8"/>
      <c r="C353" s="46"/>
      <c r="D353" s="46"/>
      <c r="E353" s="46"/>
      <c r="F353" s="46"/>
      <c r="G353" s="70"/>
      <c r="H353" s="70"/>
      <c r="I353" s="44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8"/>
      <c r="X353" s="8"/>
      <c r="Y353" s="8"/>
      <c r="Z353" s="8"/>
    </row>
    <row r="354" ht="14.25" customHeight="1">
      <c r="A354" s="8"/>
      <c r="C354" s="46"/>
      <c r="D354" s="46"/>
      <c r="E354" s="46"/>
      <c r="F354" s="46">
        <v>2.0</v>
      </c>
      <c r="G354" s="47" t="s">
        <v>481</v>
      </c>
      <c r="H354" s="34"/>
      <c r="I354" s="44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8"/>
      <c r="X354" s="8"/>
      <c r="Y354" s="8"/>
      <c r="Z354" s="8"/>
    </row>
    <row r="355" ht="14.25" customHeight="1">
      <c r="A355" s="8"/>
      <c r="B355" s="7" t="s">
        <v>537</v>
      </c>
      <c r="C355" s="46"/>
      <c r="D355" s="46"/>
      <c r="E355" s="46"/>
      <c r="F355" s="46"/>
      <c r="G355" s="64">
        <v>1.0</v>
      </c>
      <c r="H355" s="70">
        <v>20.0</v>
      </c>
      <c r="I355" s="47" t="s">
        <v>474</v>
      </c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53">
        <f t="shared" ref="V355:V357" si="39">SUM(J355:U355)</f>
        <v>0</v>
      </c>
      <c r="W355" s="8"/>
      <c r="X355" s="8"/>
      <c r="Y355" s="8"/>
      <c r="Z355" s="8"/>
    </row>
    <row r="356" ht="14.25" customHeight="1">
      <c r="A356" s="8"/>
      <c r="B356" s="7" t="s">
        <v>538</v>
      </c>
      <c r="C356" s="46"/>
      <c r="D356" s="46"/>
      <c r="E356" s="46"/>
      <c r="F356" s="46"/>
      <c r="G356" s="64">
        <v>2.0</v>
      </c>
      <c r="H356" s="70">
        <v>40.0</v>
      </c>
      <c r="I356" s="47" t="s">
        <v>474</v>
      </c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53">
        <f t="shared" si="39"/>
        <v>0</v>
      </c>
      <c r="W356" s="8"/>
      <c r="X356" s="8"/>
      <c r="Y356" s="8"/>
      <c r="Z356" s="8"/>
    </row>
    <row r="357" ht="14.25" customHeight="1">
      <c r="A357" s="8"/>
      <c r="B357" s="7" t="s">
        <v>539</v>
      </c>
      <c r="C357" s="46"/>
      <c r="D357" s="46"/>
      <c r="E357" s="46"/>
      <c r="F357" s="46"/>
      <c r="G357" s="64">
        <v>3.0</v>
      </c>
      <c r="H357" s="70">
        <v>45.0</v>
      </c>
      <c r="I357" s="47" t="s">
        <v>474</v>
      </c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53">
        <f t="shared" si="39"/>
        <v>0</v>
      </c>
      <c r="W357" s="8"/>
      <c r="X357" s="8"/>
      <c r="Y357" s="8"/>
      <c r="Z357" s="8"/>
    </row>
    <row r="358" ht="14.25" customHeight="1">
      <c r="A358" s="8"/>
      <c r="C358" s="46"/>
      <c r="D358" s="46"/>
      <c r="E358" s="46"/>
      <c r="F358" s="46"/>
      <c r="G358" s="90"/>
      <c r="H358" s="90"/>
      <c r="I358" s="44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8"/>
      <c r="X358" s="8"/>
      <c r="Y358" s="8"/>
      <c r="Z358" s="8"/>
    </row>
    <row r="359" ht="14.25" customHeight="1">
      <c r="A359" s="8"/>
      <c r="C359" s="46"/>
      <c r="D359" s="46"/>
      <c r="E359" s="46"/>
      <c r="F359" s="46">
        <v>3.0</v>
      </c>
      <c r="G359" s="47" t="s">
        <v>485</v>
      </c>
      <c r="H359" s="34"/>
      <c r="I359" s="44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8"/>
      <c r="X359" s="8"/>
      <c r="Y359" s="8"/>
      <c r="Z359" s="8"/>
    </row>
    <row r="360" ht="14.25" customHeight="1">
      <c r="A360" s="8"/>
      <c r="B360" s="7" t="s">
        <v>540</v>
      </c>
      <c r="C360" s="46"/>
      <c r="D360" s="46"/>
      <c r="E360" s="46"/>
      <c r="F360" s="46"/>
      <c r="G360" s="64">
        <v>1.0</v>
      </c>
      <c r="H360" s="70">
        <v>20.0</v>
      </c>
      <c r="I360" s="47" t="s">
        <v>474</v>
      </c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53">
        <f t="shared" ref="V360:V362" si="40">SUM(J360:U360)</f>
        <v>0</v>
      </c>
      <c r="W360" s="8"/>
      <c r="X360" s="8"/>
      <c r="Y360" s="8"/>
      <c r="Z360" s="8"/>
    </row>
    <row r="361" ht="14.25" customHeight="1">
      <c r="A361" s="8"/>
      <c r="B361" s="7" t="s">
        <v>541</v>
      </c>
      <c r="C361" s="46"/>
      <c r="D361" s="46"/>
      <c r="E361" s="46"/>
      <c r="F361" s="46"/>
      <c r="G361" s="64">
        <v>2.0</v>
      </c>
      <c r="H361" s="70">
        <v>40.0</v>
      </c>
      <c r="I361" s="47" t="s">
        <v>474</v>
      </c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53">
        <f t="shared" si="40"/>
        <v>0</v>
      </c>
      <c r="W361" s="8"/>
      <c r="X361" s="8"/>
      <c r="Y361" s="8"/>
      <c r="Z361" s="8"/>
    </row>
    <row r="362" ht="14.25" customHeight="1">
      <c r="A362" s="8"/>
      <c r="B362" s="7" t="s">
        <v>542</v>
      </c>
      <c r="C362" s="46"/>
      <c r="D362" s="46"/>
      <c r="E362" s="46"/>
      <c r="F362" s="46"/>
      <c r="G362" s="64">
        <v>3.0</v>
      </c>
      <c r="H362" s="70">
        <v>45.0</v>
      </c>
      <c r="I362" s="47" t="s">
        <v>474</v>
      </c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53">
        <f t="shared" si="40"/>
        <v>0</v>
      </c>
      <c r="W362" s="8"/>
      <c r="X362" s="8"/>
      <c r="Y362" s="8"/>
      <c r="Z362" s="8"/>
    </row>
    <row r="363" ht="14.25" customHeight="1">
      <c r="A363" s="8"/>
      <c r="C363" s="46"/>
      <c r="D363" s="46"/>
      <c r="E363" s="46"/>
      <c r="F363" s="46"/>
      <c r="G363" s="70"/>
      <c r="H363" s="70"/>
      <c r="I363" s="44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8"/>
      <c r="X363" s="8"/>
      <c r="Y363" s="8"/>
      <c r="Z363" s="8"/>
    </row>
    <row r="364" ht="14.25" customHeight="1">
      <c r="A364" s="8"/>
      <c r="B364" s="7" t="s">
        <v>543</v>
      </c>
      <c r="C364" s="46"/>
      <c r="D364" s="46"/>
      <c r="E364" s="46"/>
      <c r="F364" s="46">
        <v>4.0</v>
      </c>
      <c r="G364" s="47" t="s">
        <v>490</v>
      </c>
      <c r="H364" s="34"/>
      <c r="I364" s="47" t="s">
        <v>491</v>
      </c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53">
        <f>SUM(J364:U364)</f>
        <v>0</v>
      </c>
      <c r="W364" s="8"/>
      <c r="X364" s="8"/>
      <c r="Y364" s="8"/>
      <c r="Z364" s="8"/>
    </row>
    <row r="365" ht="14.25" customHeight="1">
      <c r="A365" s="8"/>
      <c r="C365" s="46"/>
      <c r="D365" s="46"/>
      <c r="E365" s="46"/>
      <c r="F365" s="46"/>
      <c r="G365" s="47"/>
      <c r="H365" s="72"/>
      <c r="I365" s="44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8"/>
      <c r="X365" s="8"/>
      <c r="Y365" s="8"/>
      <c r="Z365" s="8"/>
    </row>
    <row r="366" ht="14.25" customHeight="1">
      <c r="A366" s="8"/>
      <c r="C366" s="46"/>
      <c r="D366" s="46"/>
      <c r="E366" s="46">
        <v>2.0</v>
      </c>
      <c r="F366" s="76" t="s">
        <v>492</v>
      </c>
      <c r="G366" s="33"/>
      <c r="H366" s="34"/>
      <c r="I366" s="44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8"/>
      <c r="X366" s="8"/>
      <c r="Y366" s="8"/>
      <c r="Z366" s="8"/>
    </row>
    <row r="367" ht="14.25" customHeight="1">
      <c r="A367" s="8"/>
      <c r="B367" s="7" t="s">
        <v>544</v>
      </c>
      <c r="C367" s="46"/>
      <c r="D367" s="46"/>
      <c r="E367" s="46"/>
      <c r="F367" s="46"/>
      <c r="G367" s="64">
        <v>1.0</v>
      </c>
      <c r="H367" s="70">
        <v>20.0</v>
      </c>
      <c r="I367" s="47" t="s">
        <v>474</v>
      </c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53">
        <f t="shared" ref="V367:V369" si="41">SUM(J367:U367)</f>
        <v>0</v>
      </c>
      <c r="W367" s="8"/>
      <c r="X367" s="8"/>
      <c r="Y367" s="8"/>
      <c r="Z367" s="8"/>
    </row>
    <row r="368" ht="14.25" customHeight="1">
      <c r="A368" s="8"/>
      <c r="B368" s="7" t="s">
        <v>545</v>
      </c>
      <c r="C368" s="46"/>
      <c r="D368" s="46"/>
      <c r="E368" s="46"/>
      <c r="F368" s="46"/>
      <c r="G368" s="64">
        <v>2.0</v>
      </c>
      <c r="H368" s="70">
        <v>40.0</v>
      </c>
      <c r="I368" s="47" t="s">
        <v>474</v>
      </c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53">
        <f t="shared" si="41"/>
        <v>0</v>
      </c>
      <c r="W368" s="8"/>
      <c r="X368" s="8"/>
      <c r="Y368" s="8"/>
      <c r="Z368" s="8"/>
    </row>
    <row r="369" ht="14.25" customHeight="1">
      <c r="A369" s="8"/>
      <c r="B369" s="7" t="s">
        <v>546</v>
      </c>
      <c r="C369" s="46"/>
      <c r="D369" s="46"/>
      <c r="E369" s="46"/>
      <c r="F369" s="46"/>
      <c r="G369" s="64">
        <v>3.0</v>
      </c>
      <c r="H369" s="70">
        <v>45.0</v>
      </c>
      <c r="I369" s="47" t="s">
        <v>474</v>
      </c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53">
        <f t="shared" si="41"/>
        <v>0</v>
      </c>
      <c r="W369" s="8"/>
      <c r="X369" s="8"/>
      <c r="Y369" s="8"/>
      <c r="Z369" s="8"/>
    </row>
    <row r="370" ht="14.25" customHeight="1">
      <c r="A370" s="8"/>
      <c r="C370" s="75"/>
      <c r="D370" s="68"/>
      <c r="E370" s="68"/>
      <c r="F370" s="68"/>
      <c r="G370" s="68"/>
      <c r="H370" s="68"/>
      <c r="I370" s="68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8"/>
      <c r="X370" s="8"/>
      <c r="Y370" s="8"/>
      <c r="Z370" s="8"/>
    </row>
    <row r="371" ht="14.25" customHeight="1">
      <c r="A371" s="8"/>
      <c r="C371" s="46"/>
      <c r="D371" s="46">
        <v>2.0</v>
      </c>
      <c r="E371" s="47" t="s">
        <v>547</v>
      </c>
      <c r="F371" s="33"/>
      <c r="G371" s="33"/>
      <c r="H371" s="34"/>
      <c r="I371" s="44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8"/>
      <c r="X371" s="8"/>
      <c r="Y371" s="8"/>
      <c r="Z371" s="8"/>
    </row>
    <row r="372" ht="14.25" customHeight="1">
      <c r="A372" s="8"/>
      <c r="C372" s="46"/>
      <c r="D372" s="46"/>
      <c r="E372" s="46">
        <v>1.0</v>
      </c>
      <c r="F372" s="47" t="s">
        <v>471</v>
      </c>
      <c r="G372" s="33"/>
      <c r="H372" s="34"/>
      <c r="I372" s="44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8"/>
      <c r="X372" s="8"/>
      <c r="Y372" s="8"/>
      <c r="Z372" s="8"/>
    </row>
    <row r="373" ht="14.25" customHeight="1">
      <c r="A373" s="8"/>
      <c r="C373" s="46"/>
      <c r="D373" s="46"/>
      <c r="E373" s="46"/>
      <c r="F373" s="46">
        <v>1.0</v>
      </c>
      <c r="G373" s="47" t="s">
        <v>472</v>
      </c>
      <c r="H373" s="34"/>
      <c r="I373" s="44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8"/>
      <c r="X373" s="8"/>
      <c r="Y373" s="8"/>
      <c r="Z373" s="8"/>
    </row>
    <row r="374" ht="14.25" customHeight="1">
      <c r="A374" s="8"/>
      <c r="B374" s="7" t="s">
        <v>548</v>
      </c>
      <c r="C374" s="46"/>
      <c r="D374" s="46"/>
      <c r="E374" s="46"/>
      <c r="F374" s="46"/>
      <c r="G374" s="64">
        <v>1.0</v>
      </c>
      <c r="H374" s="70">
        <v>20.0</v>
      </c>
      <c r="I374" s="47" t="s">
        <v>474</v>
      </c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53">
        <f t="shared" ref="V374:V378" si="42">SUM(J374:U374)</f>
        <v>0</v>
      </c>
      <c r="W374" s="8"/>
      <c r="X374" s="8"/>
      <c r="Y374" s="8"/>
      <c r="Z374" s="8"/>
    </row>
    <row r="375" ht="14.25" customHeight="1">
      <c r="A375" s="8"/>
      <c r="B375" s="7" t="s">
        <v>549</v>
      </c>
      <c r="C375" s="46"/>
      <c r="D375" s="46"/>
      <c r="E375" s="46"/>
      <c r="F375" s="46"/>
      <c r="G375" s="64">
        <v>2.0</v>
      </c>
      <c r="H375" s="70">
        <v>40.0</v>
      </c>
      <c r="I375" s="47" t="s">
        <v>474</v>
      </c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53">
        <f t="shared" si="42"/>
        <v>0</v>
      </c>
      <c r="W375" s="8"/>
      <c r="X375" s="8"/>
      <c r="Y375" s="8"/>
      <c r="Z375" s="8"/>
    </row>
    <row r="376" ht="14.25" customHeight="1">
      <c r="A376" s="8"/>
      <c r="B376" s="7" t="s">
        <v>550</v>
      </c>
      <c r="C376" s="46"/>
      <c r="D376" s="46"/>
      <c r="E376" s="46"/>
      <c r="F376" s="46"/>
      <c r="G376" s="64">
        <v>3.0</v>
      </c>
      <c r="H376" s="70">
        <v>45.0</v>
      </c>
      <c r="I376" s="47" t="s">
        <v>474</v>
      </c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53">
        <f t="shared" si="42"/>
        <v>0</v>
      </c>
      <c r="W376" s="8"/>
      <c r="X376" s="8"/>
      <c r="Y376" s="8"/>
      <c r="Z376" s="8"/>
    </row>
    <row r="377" ht="14.25" customHeight="1">
      <c r="A377" s="8"/>
      <c r="B377" s="7" t="s">
        <v>551</v>
      </c>
      <c r="C377" s="46"/>
      <c r="D377" s="46"/>
      <c r="E377" s="46"/>
      <c r="F377" s="46"/>
      <c r="G377" s="64">
        <v>4.0</v>
      </c>
      <c r="H377" s="70" t="s">
        <v>478</v>
      </c>
      <c r="I377" s="47" t="s">
        <v>474</v>
      </c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53">
        <f t="shared" si="42"/>
        <v>0</v>
      </c>
      <c r="W377" s="8"/>
      <c r="X377" s="8"/>
      <c r="Y377" s="8"/>
      <c r="Z377" s="8"/>
    </row>
    <row r="378" ht="14.25" customHeight="1">
      <c r="A378" s="8"/>
      <c r="B378" s="7" t="s">
        <v>552</v>
      </c>
      <c r="C378" s="46"/>
      <c r="D378" s="46"/>
      <c r="E378" s="46"/>
      <c r="F378" s="46"/>
      <c r="G378" s="64">
        <v>5.0</v>
      </c>
      <c r="H378" s="70" t="s">
        <v>480</v>
      </c>
      <c r="I378" s="47" t="s">
        <v>474</v>
      </c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53">
        <f t="shared" si="42"/>
        <v>0</v>
      </c>
      <c r="W378" s="8"/>
      <c r="X378" s="8"/>
      <c r="Y378" s="8"/>
      <c r="Z378" s="8"/>
    </row>
    <row r="379" ht="14.25" customHeight="1">
      <c r="A379" s="8"/>
      <c r="C379" s="46"/>
      <c r="D379" s="46"/>
      <c r="E379" s="46"/>
      <c r="F379" s="46"/>
      <c r="G379" s="70"/>
      <c r="H379" s="70"/>
      <c r="I379" s="44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8"/>
      <c r="X379" s="8"/>
      <c r="Y379" s="8"/>
      <c r="Z379" s="8"/>
    </row>
    <row r="380" ht="14.25" customHeight="1">
      <c r="A380" s="8"/>
      <c r="C380" s="46"/>
      <c r="D380" s="46"/>
      <c r="E380" s="46"/>
      <c r="F380" s="46">
        <v>2.0</v>
      </c>
      <c r="G380" s="47" t="s">
        <v>481</v>
      </c>
      <c r="H380" s="34"/>
      <c r="I380" s="44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8"/>
      <c r="X380" s="8"/>
      <c r="Y380" s="8"/>
      <c r="Z380" s="8"/>
    </row>
    <row r="381" ht="14.25" customHeight="1">
      <c r="A381" s="8"/>
      <c r="B381" s="7" t="s">
        <v>553</v>
      </c>
      <c r="C381" s="46"/>
      <c r="D381" s="46"/>
      <c r="E381" s="46"/>
      <c r="F381" s="46"/>
      <c r="G381" s="64">
        <v>1.0</v>
      </c>
      <c r="H381" s="70">
        <v>20.0</v>
      </c>
      <c r="I381" s="47" t="s">
        <v>474</v>
      </c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53">
        <f t="shared" ref="V381:V383" si="43">SUM(J381:U381)</f>
        <v>0</v>
      </c>
      <c r="W381" s="8"/>
      <c r="X381" s="8"/>
      <c r="Y381" s="8"/>
      <c r="Z381" s="8"/>
    </row>
    <row r="382" ht="14.25" customHeight="1">
      <c r="A382" s="8"/>
      <c r="B382" s="7" t="s">
        <v>554</v>
      </c>
      <c r="C382" s="46"/>
      <c r="D382" s="46"/>
      <c r="E382" s="46"/>
      <c r="F382" s="46"/>
      <c r="G382" s="64">
        <v>2.0</v>
      </c>
      <c r="H382" s="70">
        <v>40.0</v>
      </c>
      <c r="I382" s="47" t="s">
        <v>474</v>
      </c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53">
        <f t="shared" si="43"/>
        <v>0</v>
      </c>
      <c r="W382" s="8"/>
      <c r="X382" s="8"/>
      <c r="Y382" s="8"/>
      <c r="Z382" s="8"/>
    </row>
    <row r="383" ht="14.25" customHeight="1">
      <c r="A383" s="8"/>
      <c r="B383" s="7" t="s">
        <v>555</v>
      </c>
      <c r="C383" s="46"/>
      <c r="D383" s="46"/>
      <c r="E383" s="46"/>
      <c r="F383" s="46"/>
      <c r="G383" s="64">
        <v>3.0</v>
      </c>
      <c r="H383" s="70">
        <v>45.0</v>
      </c>
      <c r="I383" s="47" t="s">
        <v>474</v>
      </c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53">
        <f t="shared" si="43"/>
        <v>0</v>
      </c>
      <c r="W383" s="8"/>
      <c r="X383" s="8"/>
      <c r="Y383" s="8"/>
      <c r="Z383" s="8"/>
    </row>
    <row r="384" ht="14.25" customHeight="1">
      <c r="A384" s="8"/>
      <c r="C384" s="46"/>
      <c r="D384" s="46"/>
      <c r="E384" s="46"/>
      <c r="F384" s="46"/>
      <c r="G384" s="90"/>
      <c r="H384" s="90"/>
      <c r="I384" s="44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8"/>
      <c r="X384" s="8"/>
      <c r="Y384" s="8"/>
      <c r="Z384" s="8"/>
    </row>
    <row r="385" ht="14.25" customHeight="1">
      <c r="A385" s="8"/>
      <c r="C385" s="46"/>
      <c r="D385" s="46"/>
      <c r="E385" s="46"/>
      <c r="F385" s="46">
        <v>3.0</v>
      </c>
      <c r="G385" s="47" t="s">
        <v>485</v>
      </c>
      <c r="H385" s="34"/>
      <c r="I385" s="44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8"/>
      <c r="X385" s="8"/>
      <c r="Y385" s="8"/>
      <c r="Z385" s="8"/>
    </row>
    <row r="386" ht="14.25" customHeight="1">
      <c r="A386" s="8"/>
      <c r="B386" s="7" t="s">
        <v>556</v>
      </c>
      <c r="C386" s="46"/>
      <c r="D386" s="46"/>
      <c r="E386" s="46"/>
      <c r="F386" s="46"/>
      <c r="G386" s="64">
        <v>1.0</v>
      </c>
      <c r="H386" s="70">
        <v>20.0</v>
      </c>
      <c r="I386" s="47" t="s">
        <v>474</v>
      </c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53">
        <f t="shared" ref="V386:V388" si="44">SUM(J386:U386)</f>
        <v>0</v>
      </c>
      <c r="W386" s="8"/>
      <c r="X386" s="8"/>
      <c r="Y386" s="8"/>
      <c r="Z386" s="8"/>
    </row>
    <row r="387" ht="14.25" customHeight="1">
      <c r="A387" s="8"/>
      <c r="B387" s="7" t="s">
        <v>557</v>
      </c>
      <c r="C387" s="46"/>
      <c r="D387" s="46"/>
      <c r="E387" s="46"/>
      <c r="F387" s="46"/>
      <c r="G387" s="64">
        <v>2.0</v>
      </c>
      <c r="H387" s="70">
        <v>40.0</v>
      </c>
      <c r="I387" s="47" t="s">
        <v>474</v>
      </c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53">
        <f t="shared" si="44"/>
        <v>0</v>
      </c>
      <c r="W387" s="8"/>
      <c r="X387" s="8"/>
      <c r="Y387" s="8"/>
      <c r="Z387" s="8"/>
    </row>
    <row r="388" ht="14.25" customHeight="1">
      <c r="A388" s="8"/>
      <c r="B388" s="7" t="s">
        <v>558</v>
      </c>
      <c r="C388" s="46"/>
      <c r="D388" s="46"/>
      <c r="E388" s="46"/>
      <c r="F388" s="46"/>
      <c r="G388" s="64">
        <v>3.0</v>
      </c>
      <c r="H388" s="70">
        <v>45.0</v>
      </c>
      <c r="I388" s="47" t="s">
        <v>474</v>
      </c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53">
        <f t="shared" si="44"/>
        <v>0</v>
      </c>
      <c r="W388" s="8"/>
      <c r="X388" s="8"/>
      <c r="Y388" s="8"/>
      <c r="Z388" s="8"/>
    </row>
    <row r="389" ht="14.25" customHeight="1">
      <c r="A389" s="8"/>
      <c r="C389" s="46"/>
      <c r="D389" s="46"/>
      <c r="E389" s="46"/>
      <c r="F389" s="46"/>
      <c r="G389" s="70"/>
      <c r="H389" s="70"/>
      <c r="I389" s="44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8"/>
      <c r="X389" s="8"/>
      <c r="Y389" s="8"/>
      <c r="Z389" s="8"/>
    </row>
    <row r="390" ht="14.25" customHeight="1">
      <c r="A390" s="8"/>
      <c r="B390" s="7" t="s">
        <v>559</v>
      </c>
      <c r="C390" s="46"/>
      <c r="D390" s="46"/>
      <c r="E390" s="46"/>
      <c r="F390" s="46">
        <v>4.0</v>
      </c>
      <c r="G390" s="47" t="s">
        <v>490</v>
      </c>
      <c r="H390" s="34"/>
      <c r="I390" s="47" t="s">
        <v>491</v>
      </c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53">
        <f>SUM(J390:U390)</f>
        <v>0</v>
      </c>
      <c r="W390" s="8"/>
      <c r="X390" s="8"/>
      <c r="Y390" s="8"/>
      <c r="Z390" s="8"/>
    </row>
    <row r="391" ht="14.25" customHeight="1">
      <c r="A391" s="8"/>
      <c r="C391" s="46"/>
      <c r="D391" s="46"/>
      <c r="E391" s="46"/>
      <c r="F391" s="46"/>
      <c r="G391" s="47"/>
      <c r="H391" s="72"/>
      <c r="I391" s="44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8"/>
      <c r="X391" s="8"/>
      <c r="Y391" s="8"/>
      <c r="Z391" s="8"/>
    </row>
    <row r="392" ht="14.25" customHeight="1">
      <c r="A392" s="8"/>
      <c r="C392" s="46"/>
      <c r="D392" s="46"/>
      <c r="E392" s="46">
        <v>2.0</v>
      </c>
      <c r="F392" s="76" t="s">
        <v>492</v>
      </c>
      <c r="G392" s="33"/>
      <c r="H392" s="34"/>
      <c r="I392" s="44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8"/>
      <c r="X392" s="8"/>
      <c r="Y392" s="8"/>
      <c r="Z392" s="8"/>
    </row>
    <row r="393" ht="14.25" customHeight="1">
      <c r="A393" s="8"/>
      <c r="B393" s="7" t="s">
        <v>560</v>
      </c>
      <c r="C393" s="46"/>
      <c r="D393" s="46"/>
      <c r="E393" s="46"/>
      <c r="F393" s="46"/>
      <c r="G393" s="64">
        <v>1.0</v>
      </c>
      <c r="H393" s="70">
        <v>20.0</v>
      </c>
      <c r="I393" s="47" t="s">
        <v>474</v>
      </c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53">
        <f t="shared" ref="V393:V395" si="45">SUM(J393:U393)</f>
        <v>0</v>
      </c>
      <c r="W393" s="8"/>
      <c r="X393" s="8"/>
      <c r="Y393" s="8"/>
      <c r="Z393" s="8"/>
    </row>
    <row r="394" ht="14.25" customHeight="1">
      <c r="A394" s="8"/>
      <c r="B394" s="7" t="s">
        <v>561</v>
      </c>
      <c r="C394" s="46"/>
      <c r="D394" s="46"/>
      <c r="E394" s="46"/>
      <c r="F394" s="46"/>
      <c r="G394" s="64">
        <v>2.0</v>
      </c>
      <c r="H394" s="70">
        <v>40.0</v>
      </c>
      <c r="I394" s="47" t="s">
        <v>474</v>
      </c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53">
        <f t="shared" si="45"/>
        <v>0</v>
      </c>
      <c r="W394" s="8"/>
      <c r="X394" s="8"/>
      <c r="Y394" s="8"/>
      <c r="Z394" s="8"/>
    </row>
    <row r="395" ht="14.25" customHeight="1">
      <c r="A395" s="8"/>
      <c r="B395" s="7" t="s">
        <v>562</v>
      </c>
      <c r="C395" s="46"/>
      <c r="D395" s="46"/>
      <c r="E395" s="46"/>
      <c r="F395" s="46"/>
      <c r="G395" s="64">
        <v>3.0</v>
      </c>
      <c r="H395" s="70">
        <v>45.0</v>
      </c>
      <c r="I395" s="47" t="s">
        <v>474</v>
      </c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53">
        <f t="shared" si="45"/>
        <v>0</v>
      </c>
      <c r="W395" s="8"/>
      <c r="X395" s="8"/>
      <c r="Y395" s="8"/>
      <c r="Z395" s="8"/>
    </row>
    <row r="396" ht="14.25" customHeight="1">
      <c r="A396" s="8"/>
      <c r="C396" s="75"/>
      <c r="D396" s="68"/>
      <c r="E396" s="68"/>
      <c r="F396" s="68"/>
      <c r="G396" s="68"/>
      <c r="H396" s="68"/>
      <c r="I396" s="68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8"/>
      <c r="X396" s="8"/>
      <c r="Y396" s="8"/>
      <c r="Z396" s="8"/>
    </row>
    <row r="397" ht="14.25" customHeight="1">
      <c r="A397" s="8"/>
      <c r="C397" s="46"/>
      <c r="D397" s="46">
        <v>3.0</v>
      </c>
      <c r="E397" s="76" t="s">
        <v>512</v>
      </c>
      <c r="F397" s="33"/>
      <c r="G397" s="33"/>
      <c r="H397" s="34"/>
      <c r="I397" s="44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8"/>
      <c r="X397" s="8"/>
      <c r="Y397" s="8"/>
      <c r="Z397" s="8"/>
    </row>
    <row r="398" ht="14.25" customHeight="1">
      <c r="A398" s="8"/>
      <c r="C398" s="46"/>
      <c r="D398" s="46"/>
      <c r="E398" s="46">
        <v>1.0</v>
      </c>
      <c r="F398" s="47" t="s">
        <v>471</v>
      </c>
      <c r="G398" s="33"/>
      <c r="H398" s="34"/>
      <c r="I398" s="44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8"/>
      <c r="X398" s="8"/>
      <c r="Y398" s="8"/>
      <c r="Z398" s="8"/>
    </row>
    <row r="399" ht="14.25" customHeight="1">
      <c r="A399" s="8"/>
      <c r="C399" s="46"/>
      <c r="D399" s="46"/>
      <c r="E399" s="46"/>
      <c r="F399" s="46">
        <v>1.0</v>
      </c>
      <c r="G399" s="47" t="s">
        <v>472</v>
      </c>
      <c r="H399" s="34"/>
      <c r="I399" s="44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8"/>
      <c r="X399" s="8"/>
      <c r="Y399" s="8"/>
      <c r="Z399" s="8"/>
    </row>
    <row r="400" ht="14.25" customHeight="1">
      <c r="A400" s="8"/>
      <c r="B400" s="7" t="s">
        <v>563</v>
      </c>
      <c r="C400" s="46"/>
      <c r="D400" s="46"/>
      <c r="E400" s="46"/>
      <c r="F400" s="46"/>
      <c r="G400" s="64">
        <v>1.0</v>
      </c>
      <c r="H400" s="70">
        <v>20.0</v>
      </c>
      <c r="I400" s="47" t="s">
        <v>474</v>
      </c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53">
        <f t="shared" ref="V400:V404" si="46">SUM(J400:U400)</f>
        <v>0</v>
      </c>
      <c r="W400" s="8"/>
      <c r="X400" s="8"/>
      <c r="Y400" s="8"/>
      <c r="Z400" s="8"/>
    </row>
    <row r="401" ht="14.25" customHeight="1">
      <c r="A401" s="8"/>
      <c r="B401" s="7" t="s">
        <v>564</v>
      </c>
      <c r="C401" s="46"/>
      <c r="D401" s="46"/>
      <c r="E401" s="46"/>
      <c r="F401" s="46"/>
      <c r="G401" s="64">
        <v>2.0</v>
      </c>
      <c r="H401" s="70">
        <v>40.0</v>
      </c>
      <c r="I401" s="47" t="s">
        <v>474</v>
      </c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53">
        <f t="shared" si="46"/>
        <v>0</v>
      </c>
      <c r="W401" s="8"/>
      <c r="X401" s="8"/>
      <c r="Y401" s="8"/>
      <c r="Z401" s="8"/>
    </row>
    <row r="402" ht="14.25" customHeight="1">
      <c r="A402" s="8"/>
      <c r="B402" s="7" t="s">
        <v>565</v>
      </c>
      <c r="C402" s="46"/>
      <c r="D402" s="46"/>
      <c r="E402" s="46"/>
      <c r="F402" s="46"/>
      <c r="G402" s="64">
        <v>3.0</v>
      </c>
      <c r="H402" s="70">
        <v>45.0</v>
      </c>
      <c r="I402" s="47" t="s">
        <v>474</v>
      </c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53">
        <f t="shared" si="46"/>
        <v>0</v>
      </c>
      <c r="W402" s="8"/>
      <c r="X402" s="8"/>
      <c r="Y402" s="8"/>
      <c r="Z402" s="8"/>
    </row>
    <row r="403" ht="14.25" customHeight="1">
      <c r="A403" s="8"/>
      <c r="B403" s="7" t="s">
        <v>566</v>
      </c>
      <c r="C403" s="46"/>
      <c r="D403" s="46"/>
      <c r="E403" s="46"/>
      <c r="F403" s="46"/>
      <c r="G403" s="64">
        <v>4.0</v>
      </c>
      <c r="H403" s="70" t="s">
        <v>478</v>
      </c>
      <c r="I403" s="47" t="s">
        <v>474</v>
      </c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53">
        <f t="shared" si="46"/>
        <v>0</v>
      </c>
      <c r="W403" s="8"/>
      <c r="X403" s="8"/>
      <c r="Y403" s="8"/>
      <c r="Z403" s="8"/>
    </row>
    <row r="404" ht="14.25" customHeight="1">
      <c r="A404" s="8"/>
      <c r="B404" s="7" t="s">
        <v>567</v>
      </c>
      <c r="C404" s="46"/>
      <c r="D404" s="46"/>
      <c r="E404" s="46"/>
      <c r="F404" s="46"/>
      <c r="G404" s="64">
        <v>5.0</v>
      </c>
      <c r="H404" s="70" t="s">
        <v>480</v>
      </c>
      <c r="I404" s="47" t="s">
        <v>474</v>
      </c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53">
        <f t="shared" si="46"/>
        <v>0</v>
      </c>
      <c r="W404" s="8"/>
      <c r="X404" s="8"/>
      <c r="Y404" s="8"/>
      <c r="Z404" s="8"/>
    </row>
    <row r="405" ht="14.25" customHeight="1">
      <c r="A405" s="8"/>
      <c r="C405" s="46"/>
      <c r="D405" s="46"/>
      <c r="E405" s="46"/>
      <c r="F405" s="46"/>
      <c r="G405" s="70"/>
      <c r="H405" s="70"/>
      <c r="I405" s="44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8"/>
      <c r="X405" s="8"/>
      <c r="Y405" s="8"/>
      <c r="Z405" s="8"/>
    </row>
    <row r="406" ht="14.25" customHeight="1">
      <c r="A406" s="8"/>
      <c r="C406" s="46"/>
      <c r="D406" s="46"/>
      <c r="E406" s="46"/>
      <c r="F406" s="46">
        <v>2.0</v>
      </c>
      <c r="G406" s="47" t="s">
        <v>481</v>
      </c>
      <c r="H406" s="34"/>
      <c r="I406" s="44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8"/>
      <c r="X406" s="8"/>
      <c r="Y406" s="8"/>
      <c r="Z406" s="8"/>
    </row>
    <row r="407" ht="14.25" customHeight="1">
      <c r="A407" s="8"/>
      <c r="B407" s="7" t="s">
        <v>568</v>
      </c>
      <c r="C407" s="46"/>
      <c r="D407" s="46"/>
      <c r="E407" s="46"/>
      <c r="F407" s="46"/>
      <c r="G407" s="64">
        <v>1.0</v>
      </c>
      <c r="H407" s="70">
        <v>20.0</v>
      </c>
      <c r="I407" s="47" t="s">
        <v>474</v>
      </c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53">
        <f t="shared" ref="V407:V409" si="47">SUM(J407:U407)</f>
        <v>0</v>
      </c>
      <c r="W407" s="8"/>
      <c r="X407" s="8"/>
      <c r="Y407" s="8"/>
      <c r="Z407" s="8"/>
    </row>
    <row r="408" ht="14.25" customHeight="1">
      <c r="A408" s="8"/>
      <c r="B408" s="7" t="s">
        <v>569</v>
      </c>
      <c r="C408" s="46"/>
      <c r="D408" s="46"/>
      <c r="E408" s="46"/>
      <c r="F408" s="46"/>
      <c r="G408" s="64">
        <v>2.0</v>
      </c>
      <c r="H408" s="70">
        <v>40.0</v>
      </c>
      <c r="I408" s="47" t="s">
        <v>474</v>
      </c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53">
        <f t="shared" si="47"/>
        <v>0</v>
      </c>
      <c r="W408" s="8"/>
      <c r="X408" s="8"/>
      <c r="Y408" s="8"/>
      <c r="Z408" s="8"/>
    </row>
    <row r="409" ht="14.25" customHeight="1">
      <c r="A409" s="8"/>
      <c r="B409" s="7" t="s">
        <v>570</v>
      </c>
      <c r="C409" s="46"/>
      <c r="D409" s="46"/>
      <c r="E409" s="46"/>
      <c r="F409" s="46"/>
      <c r="G409" s="64">
        <v>3.0</v>
      </c>
      <c r="H409" s="70">
        <v>45.0</v>
      </c>
      <c r="I409" s="47" t="s">
        <v>474</v>
      </c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53">
        <f t="shared" si="47"/>
        <v>0</v>
      </c>
      <c r="W409" s="8"/>
      <c r="X409" s="8"/>
      <c r="Y409" s="8"/>
      <c r="Z409" s="8"/>
    </row>
    <row r="410" ht="14.25" customHeight="1">
      <c r="A410" s="8"/>
      <c r="C410" s="46"/>
      <c r="D410" s="46"/>
      <c r="E410" s="46"/>
      <c r="F410" s="46"/>
      <c r="G410" s="90"/>
      <c r="H410" s="90"/>
      <c r="I410" s="44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8"/>
      <c r="X410" s="8"/>
      <c r="Y410" s="8"/>
      <c r="Z410" s="8"/>
    </row>
    <row r="411" ht="14.25" customHeight="1">
      <c r="A411" s="8"/>
      <c r="C411" s="46"/>
      <c r="D411" s="46"/>
      <c r="E411" s="46"/>
      <c r="F411" s="46">
        <v>3.0</v>
      </c>
      <c r="G411" s="47" t="s">
        <v>485</v>
      </c>
      <c r="H411" s="34"/>
      <c r="I411" s="44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8"/>
      <c r="X411" s="8"/>
      <c r="Y411" s="8"/>
      <c r="Z411" s="8"/>
    </row>
    <row r="412" ht="14.25" customHeight="1">
      <c r="A412" s="8"/>
      <c r="B412" s="7" t="s">
        <v>571</v>
      </c>
      <c r="C412" s="46"/>
      <c r="D412" s="46"/>
      <c r="E412" s="46"/>
      <c r="F412" s="46"/>
      <c r="G412" s="64">
        <v>1.0</v>
      </c>
      <c r="H412" s="70">
        <v>20.0</v>
      </c>
      <c r="I412" s="47" t="s">
        <v>474</v>
      </c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53">
        <f t="shared" ref="V412:V414" si="48">SUM(J412:U412)</f>
        <v>0</v>
      </c>
      <c r="W412" s="8"/>
      <c r="X412" s="8"/>
      <c r="Y412" s="8"/>
      <c r="Z412" s="8"/>
    </row>
    <row r="413" ht="14.25" customHeight="1">
      <c r="A413" s="8"/>
      <c r="B413" s="7" t="s">
        <v>572</v>
      </c>
      <c r="C413" s="46"/>
      <c r="D413" s="46"/>
      <c r="E413" s="46"/>
      <c r="F413" s="46"/>
      <c r="G413" s="64">
        <v>2.0</v>
      </c>
      <c r="H413" s="70">
        <v>40.0</v>
      </c>
      <c r="I413" s="47" t="s">
        <v>474</v>
      </c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53">
        <f t="shared" si="48"/>
        <v>0</v>
      </c>
      <c r="W413" s="8"/>
      <c r="X413" s="8"/>
      <c r="Y413" s="8"/>
      <c r="Z413" s="8"/>
    </row>
    <row r="414" ht="14.25" customHeight="1">
      <c r="A414" s="8"/>
      <c r="B414" s="7" t="s">
        <v>573</v>
      </c>
      <c r="C414" s="46"/>
      <c r="D414" s="46"/>
      <c r="E414" s="46"/>
      <c r="F414" s="46"/>
      <c r="G414" s="64">
        <v>3.0</v>
      </c>
      <c r="H414" s="70">
        <v>45.0</v>
      </c>
      <c r="I414" s="47" t="s">
        <v>474</v>
      </c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53">
        <f t="shared" si="48"/>
        <v>0</v>
      </c>
      <c r="W414" s="8"/>
      <c r="X414" s="8"/>
      <c r="Y414" s="8"/>
      <c r="Z414" s="8"/>
    </row>
    <row r="415" ht="14.25" customHeight="1">
      <c r="A415" s="8"/>
      <c r="C415" s="46"/>
      <c r="D415" s="46"/>
      <c r="E415" s="46"/>
      <c r="F415" s="46"/>
      <c r="G415" s="70"/>
      <c r="H415" s="70"/>
      <c r="I415" s="44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8"/>
      <c r="X415" s="8"/>
      <c r="Y415" s="8"/>
      <c r="Z415" s="8"/>
    </row>
    <row r="416" ht="14.25" customHeight="1">
      <c r="A416" s="8"/>
      <c r="B416" s="7" t="s">
        <v>574</v>
      </c>
      <c r="C416" s="46"/>
      <c r="D416" s="46"/>
      <c r="E416" s="46"/>
      <c r="F416" s="46">
        <v>4.0</v>
      </c>
      <c r="G416" s="47" t="s">
        <v>490</v>
      </c>
      <c r="H416" s="34"/>
      <c r="I416" s="47" t="s">
        <v>491</v>
      </c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53">
        <f>SUM(J416:U416)</f>
        <v>0</v>
      </c>
      <c r="W416" s="8"/>
      <c r="X416" s="8"/>
      <c r="Y416" s="8"/>
      <c r="Z416" s="8"/>
    </row>
    <row r="417" ht="14.25" customHeight="1">
      <c r="A417" s="8"/>
      <c r="C417" s="46"/>
      <c r="D417" s="46"/>
      <c r="E417" s="46"/>
      <c r="F417" s="46"/>
      <c r="G417" s="47"/>
      <c r="H417" s="72"/>
      <c r="I417" s="44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8"/>
      <c r="X417" s="8"/>
      <c r="Y417" s="8"/>
      <c r="Z417" s="8"/>
    </row>
    <row r="418" ht="14.25" customHeight="1">
      <c r="A418" s="8"/>
      <c r="C418" s="46"/>
      <c r="D418" s="46"/>
      <c r="E418" s="46">
        <v>2.0</v>
      </c>
      <c r="F418" s="76" t="s">
        <v>492</v>
      </c>
      <c r="G418" s="33"/>
      <c r="H418" s="34"/>
      <c r="I418" s="44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8"/>
      <c r="X418" s="8"/>
      <c r="Y418" s="8"/>
      <c r="Z418" s="8"/>
    </row>
    <row r="419" ht="14.25" customHeight="1">
      <c r="A419" s="8"/>
      <c r="B419" s="7" t="s">
        <v>575</v>
      </c>
      <c r="C419" s="46"/>
      <c r="D419" s="46"/>
      <c r="E419" s="46"/>
      <c r="F419" s="46"/>
      <c r="G419" s="64">
        <v>1.0</v>
      </c>
      <c r="H419" s="70">
        <v>20.0</v>
      </c>
      <c r="I419" s="47" t="s">
        <v>474</v>
      </c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53">
        <f t="shared" ref="V419:V421" si="49">SUM(J419:U419)</f>
        <v>0</v>
      </c>
      <c r="W419" s="8"/>
      <c r="X419" s="8"/>
      <c r="Y419" s="8"/>
      <c r="Z419" s="8"/>
    </row>
    <row r="420" ht="14.25" customHeight="1">
      <c r="A420" s="8"/>
      <c r="B420" s="7" t="s">
        <v>576</v>
      </c>
      <c r="C420" s="46"/>
      <c r="D420" s="46"/>
      <c r="E420" s="46"/>
      <c r="F420" s="46"/>
      <c r="G420" s="64">
        <v>2.0</v>
      </c>
      <c r="H420" s="70">
        <v>40.0</v>
      </c>
      <c r="I420" s="47" t="s">
        <v>474</v>
      </c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53">
        <f t="shared" si="49"/>
        <v>0</v>
      </c>
      <c r="W420" s="8"/>
      <c r="X420" s="8"/>
      <c r="Y420" s="8"/>
      <c r="Z420" s="8"/>
    </row>
    <row r="421" ht="14.25" customHeight="1">
      <c r="A421" s="8"/>
      <c r="B421" s="7" t="s">
        <v>577</v>
      </c>
      <c r="C421" s="46"/>
      <c r="D421" s="46"/>
      <c r="E421" s="46"/>
      <c r="F421" s="46"/>
      <c r="G421" s="64">
        <v>3.0</v>
      </c>
      <c r="H421" s="70">
        <v>45.0</v>
      </c>
      <c r="I421" s="47" t="s">
        <v>474</v>
      </c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53">
        <f t="shared" si="49"/>
        <v>0</v>
      </c>
      <c r="W421" s="8"/>
      <c r="X421" s="8"/>
      <c r="Y421" s="8"/>
      <c r="Z421" s="8"/>
    </row>
    <row r="422" ht="14.25" customHeight="1">
      <c r="A422" s="8"/>
      <c r="C422" s="75"/>
      <c r="D422" s="68"/>
      <c r="E422" s="68"/>
      <c r="F422" s="68"/>
      <c r="G422" s="68"/>
      <c r="H422" s="68"/>
      <c r="I422" s="68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8"/>
      <c r="X422" s="8"/>
      <c r="Y422" s="8"/>
      <c r="Z422" s="8"/>
    </row>
    <row r="423" ht="14.25" customHeight="1">
      <c r="A423" s="8"/>
      <c r="C423" s="46"/>
      <c r="D423" s="77" t="s">
        <v>578</v>
      </c>
      <c r="E423" s="20"/>
      <c r="F423" s="20"/>
      <c r="G423" s="20"/>
      <c r="H423" s="21"/>
      <c r="I423" s="47" t="s">
        <v>474</v>
      </c>
      <c r="J423" s="53">
        <f t="shared" ref="J423:V423" si="50">SUMIF($I$348:$V$421,$I423,J$348:J$421)</f>
        <v>0</v>
      </c>
      <c r="K423" s="53">
        <f t="shared" si="50"/>
        <v>0</v>
      </c>
      <c r="L423" s="53">
        <f t="shared" si="50"/>
        <v>0</v>
      </c>
      <c r="M423" s="53">
        <f t="shared" si="50"/>
        <v>0</v>
      </c>
      <c r="N423" s="53">
        <f t="shared" si="50"/>
        <v>0</v>
      </c>
      <c r="O423" s="53">
        <f t="shared" si="50"/>
        <v>0</v>
      </c>
      <c r="P423" s="53">
        <f t="shared" si="50"/>
        <v>0</v>
      </c>
      <c r="Q423" s="53">
        <f t="shared" si="50"/>
        <v>0</v>
      </c>
      <c r="R423" s="53">
        <f t="shared" si="50"/>
        <v>0</v>
      </c>
      <c r="S423" s="53">
        <f t="shared" si="50"/>
        <v>0</v>
      </c>
      <c r="T423" s="53">
        <f t="shared" si="50"/>
        <v>0</v>
      </c>
      <c r="U423" s="53">
        <f t="shared" si="50"/>
        <v>0</v>
      </c>
      <c r="V423" s="53">
        <f t="shared" si="50"/>
        <v>0</v>
      </c>
      <c r="W423" s="8"/>
      <c r="X423" s="8"/>
      <c r="Y423" s="8"/>
      <c r="Z423" s="8"/>
    </row>
    <row r="424" ht="14.25" customHeight="1">
      <c r="A424" s="8"/>
      <c r="C424" s="46"/>
      <c r="D424" s="28"/>
      <c r="E424" s="29"/>
      <c r="F424" s="29"/>
      <c r="G424" s="29"/>
      <c r="H424" s="30"/>
      <c r="I424" s="47" t="s">
        <v>529</v>
      </c>
      <c r="J424" s="53">
        <f t="shared" ref="J424:V424" si="51">(J348+J351+J355+J360+J367+J374+J377+J381+J386+J393+J400+J403+J407+J412+J419) + ((J349+J352+J356+J361+J368+J375+J378+J382+J387+J394+J401+J404+J408+J413+J420)*2) + ((J350+J357+J362+J369+J376+J383+J388+J395+J402+J409+J414+J421)*2.25)</f>
        <v>0</v>
      </c>
      <c r="K424" s="53">
        <f t="shared" si="51"/>
        <v>0</v>
      </c>
      <c r="L424" s="53">
        <f t="shared" si="51"/>
        <v>0</v>
      </c>
      <c r="M424" s="53">
        <f t="shared" si="51"/>
        <v>0</v>
      </c>
      <c r="N424" s="53">
        <f t="shared" si="51"/>
        <v>0</v>
      </c>
      <c r="O424" s="53">
        <f t="shared" si="51"/>
        <v>0</v>
      </c>
      <c r="P424" s="53">
        <f t="shared" si="51"/>
        <v>0</v>
      </c>
      <c r="Q424" s="53">
        <f t="shared" si="51"/>
        <v>0</v>
      </c>
      <c r="R424" s="53">
        <f t="shared" si="51"/>
        <v>0</v>
      </c>
      <c r="S424" s="53">
        <f t="shared" si="51"/>
        <v>0</v>
      </c>
      <c r="T424" s="53">
        <f t="shared" si="51"/>
        <v>0</v>
      </c>
      <c r="U424" s="53">
        <f t="shared" si="51"/>
        <v>0</v>
      </c>
      <c r="V424" s="53">
        <f t="shared" si="51"/>
        <v>0</v>
      </c>
      <c r="W424" s="8"/>
      <c r="X424" s="8"/>
      <c r="Y424" s="8"/>
      <c r="Z424" s="8"/>
    </row>
    <row r="425" ht="14.25" customHeight="1">
      <c r="A425" s="8"/>
      <c r="C425" s="75"/>
      <c r="D425" s="68"/>
      <c r="E425" s="68"/>
      <c r="F425" s="68"/>
      <c r="G425" s="68"/>
      <c r="H425" s="68"/>
      <c r="I425" s="68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8"/>
      <c r="X425" s="8"/>
      <c r="Y425" s="8"/>
      <c r="Z425" s="8"/>
    </row>
    <row r="426" ht="14.25" customHeight="1">
      <c r="A426" s="8"/>
      <c r="C426" s="77" t="s">
        <v>579</v>
      </c>
      <c r="D426" s="20"/>
      <c r="E426" s="20"/>
      <c r="F426" s="20"/>
      <c r="G426" s="20"/>
      <c r="H426" s="21"/>
      <c r="I426" s="47" t="s">
        <v>474</v>
      </c>
      <c r="J426" s="53">
        <f t="shared" ref="J426:V426" si="52">J423+J341</f>
        <v>0</v>
      </c>
      <c r="K426" s="53">
        <f t="shared" si="52"/>
        <v>0</v>
      </c>
      <c r="L426" s="53">
        <f t="shared" si="52"/>
        <v>0</v>
      </c>
      <c r="M426" s="53">
        <f t="shared" si="52"/>
        <v>0</v>
      </c>
      <c r="N426" s="53">
        <f t="shared" si="52"/>
        <v>0</v>
      </c>
      <c r="O426" s="53">
        <f t="shared" si="52"/>
        <v>0</v>
      </c>
      <c r="P426" s="53">
        <f t="shared" si="52"/>
        <v>0</v>
      </c>
      <c r="Q426" s="53">
        <f t="shared" si="52"/>
        <v>0</v>
      </c>
      <c r="R426" s="53">
        <f t="shared" si="52"/>
        <v>0</v>
      </c>
      <c r="S426" s="53">
        <f t="shared" si="52"/>
        <v>0</v>
      </c>
      <c r="T426" s="53">
        <f t="shared" si="52"/>
        <v>0</v>
      </c>
      <c r="U426" s="53">
        <f t="shared" si="52"/>
        <v>0</v>
      </c>
      <c r="V426" s="53">
        <f t="shared" si="52"/>
        <v>0</v>
      </c>
      <c r="W426" s="8"/>
      <c r="X426" s="8"/>
      <c r="Y426" s="8"/>
      <c r="Z426" s="8"/>
    </row>
    <row r="427" ht="14.25" customHeight="1">
      <c r="A427" s="8"/>
      <c r="C427" s="28"/>
      <c r="D427" s="29"/>
      <c r="E427" s="29"/>
      <c r="F427" s="29"/>
      <c r="G427" s="29"/>
      <c r="H427" s="30"/>
      <c r="I427" s="47" t="s">
        <v>529</v>
      </c>
      <c r="J427" s="53">
        <f t="shared" ref="J427:V427" si="53">J342+J424</f>
        <v>0</v>
      </c>
      <c r="K427" s="53">
        <f t="shared" si="53"/>
        <v>0</v>
      </c>
      <c r="L427" s="53">
        <f t="shared" si="53"/>
        <v>0</v>
      </c>
      <c r="M427" s="53">
        <f t="shared" si="53"/>
        <v>0</v>
      </c>
      <c r="N427" s="53">
        <f t="shared" si="53"/>
        <v>0</v>
      </c>
      <c r="O427" s="53">
        <f t="shared" si="53"/>
        <v>0</v>
      </c>
      <c r="P427" s="53">
        <f t="shared" si="53"/>
        <v>0</v>
      </c>
      <c r="Q427" s="53">
        <f t="shared" si="53"/>
        <v>0</v>
      </c>
      <c r="R427" s="53">
        <f t="shared" si="53"/>
        <v>0</v>
      </c>
      <c r="S427" s="53">
        <f t="shared" si="53"/>
        <v>0</v>
      </c>
      <c r="T427" s="53">
        <f t="shared" si="53"/>
        <v>0</v>
      </c>
      <c r="U427" s="53">
        <f t="shared" si="53"/>
        <v>0</v>
      </c>
      <c r="V427" s="53">
        <f t="shared" si="53"/>
        <v>0</v>
      </c>
      <c r="W427" s="8"/>
      <c r="X427" s="8"/>
      <c r="Y427" s="8"/>
      <c r="Z427" s="8"/>
    </row>
    <row r="428" ht="14.25" customHeight="1">
      <c r="A428" s="8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8"/>
      <c r="X428" s="8"/>
      <c r="Y428" s="8"/>
      <c r="Z428" s="8"/>
    </row>
    <row r="429" ht="14.25" customHeight="1">
      <c r="A429" s="16">
        <v>3.0</v>
      </c>
      <c r="B429" s="17"/>
      <c r="C429" s="16" t="s">
        <v>580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8"/>
      <c r="X429" s="8"/>
      <c r="Y429" s="8"/>
      <c r="Z429" s="8"/>
    </row>
    <row r="430" ht="14.25" customHeight="1">
      <c r="A430" s="8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8"/>
      <c r="X430" s="8"/>
      <c r="Y430" s="8"/>
      <c r="Z430" s="8"/>
    </row>
    <row r="431" ht="14.25" customHeight="1">
      <c r="A431" s="8"/>
      <c r="C431" s="18" t="s">
        <v>321</v>
      </c>
      <c r="D431" s="19" t="s">
        <v>322</v>
      </c>
      <c r="E431" s="20"/>
      <c r="F431" s="20"/>
      <c r="G431" s="20"/>
      <c r="H431" s="21"/>
      <c r="I431" s="22" t="s">
        <v>323</v>
      </c>
      <c r="J431" s="23">
        <f>$H$2</f>
        <v>2026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1"/>
      <c r="W431" s="8"/>
      <c r="X431" s="8"/>
      <c r="Y431" s="8"/>
      <c r="Z431" s="8"/>
    </row>
    <row r="432" ht="14.25" customHeight="1">
      <c r="A432" s="8"/>
      <c r="C432" s="24"/>
      <c r="D432" s="25"/>
      <c r="H432" s="26"/>
      <c r="I432" s="24"/>
      <c r="J432" s="25"/>
      <c r="V432" s="26"/>
      <c r="W432" s="8"/>
      <c r="X432" s="8"/>
      <c r="Y432" s="8"/>
      <c r="Z432" s="8"/>
    </row>
    <row r="433" ht="14.25" customHeight="1">
      <c r="A433" s="8"/>
      <c r="C433" s="27"/>
      <c r="D433" s="28"/>
      <c r="E433" s="29"/>
      <c r="F433" s="29"/>
      <c r="G433" s="29"/>
      <c r="H433" s="30"/>
      <c r="I433" s="27"/>
      <c r="J433" s="31" t="s">
        <v>324</v>
      </c>
      <c r="K433" s="31" t="s">
        <v>325</v>
      </c>
      <c r="L433" s="31" t="s">
        <v>326</v>
      </c>
      <c r="M433" s="31" t="s">
        <v>327</v>
      </c>
      <c r="N433" s="31" t="s">
        <v>328</v>
      </c>
      <c r="O433" s="31" t="s">
        <v>329</v>
      </c>
      <c r="P433" s="31" t="s">
        <v>330</v>
      </c>
      <c r="Q433" s="31" t="s">
        <v>331</v>
      </c>
      <c r="R433" s="31" t="s">
        <v>332</v>
      </c>
      <c r="S433" s="31" t="s">
        <v>333</v>
      </c>
      <c r="T433" s="31" t="s">
        <v>334</v>
      </c>
      <c r="U433" s="31" t="s">
        <v>335</v>
      </c>
      <c r="V433" s="31" t="s">
        <v>336</v>
      </c>
      <c r="W433" s="8"/>
      <c r="X433" s="8"/>
      <c r="Y433" s="8"/>
      <c r="Z433" s="8"/>
    </row>
    <row r="434" ht="14.25" customHeight="1">
      <c r="A434" s="8"/>
      <c r="C434" s="31">
        <v>1.0</v>
      </c>
      <c r="D434" s="32">
        <v>2.0</v>
      </c>
      <c r="E434" s="33"/>
      <c r="F434" s="33"/>
      <c r="G434" s="33"/>
      <c r="H434" s="34"/>
      <c r="I434" s="35">
        <v>3.0</v>
      </c>
      <c r="J434" s="36">
        <v>4.0</v>
      </c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8"/>
      <c r="V434" s="39">
        <v>5.0</v>
      </c>
      <c r="W434" s="8"/>
      <c r="X434" s="8"/>
      <c r="Y434" s="8"/>
      <c r="Z434" s="8"/>
    </row>
    <row r="435" ht="14.25" customHeight="1">
      <c r="A435" s="8"/>
      <c r="C435" s="40"/>
      <c r="D435" s="48"/>
      <c r="E435" s="88"/>
      <c r="F435" s="88"/>
      <c r="G435" s="88"/>
      <c r="H435" s="89"/>
      <c r="I435" s="48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8"/>
      <c r="X435" s="8"/>
      <c r="Y435" s="8"/>
      <c r="Z435" s="8"/>
    </row>
    <row r="436" ht="14.25" customHeight="1">
      <c r="A436" s="8"/>
      <c r="C436" s="64">
        <v>1.0</v>
      </c>
      <c r="D436" s="47" t="s">
        <v>469</v>
      </c>
      <c r="E436" s="33"/>
      <c r="F436" s="33"/>
      <c r="G436" s="33"/>
      <c r="H436" s="34"/>
      <c r="I436" s="44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8"/>
      <c r="X436" s="8"/>
      <c r="Y436" s="8"/>
      <c r="Z436" s="8"/>
    </row>
    <row r="437" ht="14.25" customHeight="1">
      <c r="A437" s="8"/>
      <c r="C437" s="46"/>
      <c r="D437" s="46">
        <v>1.0</v>
      </c>
      <c r="E437" s="47" t="s">
        <v>470</v>
      </c>
      <c r="F437" s="33"/>
      <c r="G437" s="33"/>
      <c r="H437" s="34"/>
      <c r="I437" s="44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8"/>
      <c r="X437" s="8"/>
      <c r="Y437" s="8"/>
      <c r="Z437" s="8"/>
    </row>
    <row r="438" ht="14.25" customHeight="1">
      <c r="A438" s="8"/>
      <c r="B438" s="7" t="s">
        <v>581</v>
      </c>
      <c r="C438" s="46"/>
      <c r="D438" s="46"/>
      <c r="E438" s="46">
        <v>1.0</v>
      </c>
      <c r="F438" s="47" t="s">
        <v>341</v>
      </c>
      <c r="G438" s="33"/>
      <c r="H438" s="34"/>
      <c r="I438" s="47" t="s">
        <v>582</v>
      </c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53">
        <f t="shared" ref="V438:V448" si="54">SUM(J438:U438)</f>
        <v>0</v>
      </c>
      <c r="W438" s="8"/>
      <c r="X438" s="8"/>
      <c r="Y438" s="8"/>
      <c r="Z438" s="8"/>
    </row>
    <row r="439" ht="14.25" customHeight="1">
      <c r="A439" s="8"/>
      <c r="B439" s="7" t="s">
        <v>581</v>
      </c>
      <c r="C439" s="46"/>
      <c r="D439" s="46"/>
      <c r="E439" s="46"/>
      <c r="F439" s="47"/>
      <c r="G439" s="33"/>
      <c r="H439" s="34"/>
      <c r="I439" s="47" t="s">
        <v>583</v>
      </c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53">
        <f t="shared" si="54"/>
        <v>0</v>
      </c>
      <c r="W439" s="8"/>
      <c r="X439" s="8"/>
      <c r="Y439" s="8"/>
      <c r="Z439" s="8"/>
    </row>
    <row r="440" ht="14.25" customHeight="1">
      <c r="A440" s="8"/>
      <c r="B440" s="7" t="s">
        <v>584</v>
      </c>
      <c r="C440" s="46"/>
      <c r="D440" s="46"/>
      <c r="E440" s="46">
        <v>2.0</v>
      </c>
      <c r="F440" s="47" t="s">
        <v>585</v>
      </c>
      <c r="G440" s="33"/>
      <c r="H440" s="34"/>
      <c r="I440" s="47" t="s">
        <v>582</v>
      </c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53">
        <f t="shared" si="54"/>
        <v>0</v>
      </c>
      <c r="W440" s="8"/>
      <c r="X440" s="8"/>
      <c r="Y440" s="8"/>
      <c r="Z440" s="8"/>
    </row>
    <row r="441" ht="14.25" customHeight="1">
      <c r="A441" s="8"/>
      <c r="B441" s="7" t="s">
        <v>586</v>
      </c>
      <c r="C441" s="46"/>
      <c r="D441" s="46"/>
      <c r="E441" s="46">
        <v>3.0</v>
      </c>
      <c r="F441" s="47" t="s">
        <v>587</v>
      </c>
      <c r="G441" s="33"/>
      <c r="H441" s="34"/>
      <c r="I441" s="47" t="s">
        <v>582</v>
      </c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53">
        <f t="shared" si="54"/>
        <v>0</v>
      </c>
      <c r="W441" s="8"/>
      <c r="X441" s="8"/>
      <c r="Y441" s="8"/>
      <c r="Z441" s="8"/>
    </row>
    <row r="442" ht="14.25" customHeight="1">
      <c r="A442" s="8"/>
      <c r="B442" s="7" t="s">
        <v>588</v>
      </c>
      <c r="C442" s="46"/>
      <c r="D442" s="46"/>
      <c r="E442" s="46">
        <v>4.0</v>
      </c>
      <c r="F442" s="47" t="s">
        <v>351</v>
      </c>
      <c r="G442" s="33"/>
      <c r="H442" s="34"/>
      <c r="I442" s="47" t="s">
        <v>582</v>
      </c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53">
        <f t="shared" si="54"/>
        <v>0</v>
      </c>
      <c r="W442" s="8"/>
      <c r="X442" s="8"/>
      <c r="Y442" s="8"/>
      <c r="Z442" s="8"/>
    </row>
    <row r="443" ht="14.25" customHeight="1">
      <c r="A443" s="8"/>
      <c r="B443" s="7" t="s">
        <v>589</v>
      </c>
      <c r="C443" s="46"/>
      <c r="D443" s="46"/>
      <c r="E443" s="46">
        <v>5.0</v>
      </c>
      <c r="F443" s="47" t="s">
        <v>347</v>
      </c>
      <c r="G443" s="33"/>
      <c r="H443" s="34"/>
      <c r="I443" s="47" t="s">
        <v>582</v>
      </c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53">
        <f t="shared" si="54"/>
        <v>0</v>
      </c>
      <c r="W443" s="8"/>
      <c r="X443" s="8"/>
      <c r="Y443" s="8"/>
      <c r="Z443" s="8"/>
    </row>
    <row r="444" ht="14.25" customHeight="1">
      <c r="A444" s="8"/>
      <c r="B444" s="7" t="s">
        <v>589</v>
      </c>
      <c r="C444" s="46"/>
      <c r="D444" s="46"/>
      <c r="E444" s="46"/>
      <c r="F444" s="47"/>
      <c r="G444" s="71"/>
      <c r="H444" s="72"/>
      <c r="I444" s="47" t="s">
        <v>590</v>
      </c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53">
        <f t="shared" si="54"/>
        <v>0</v>
      </c>
      <c r="W444" s="8"/>
      <c r="X444" s="8"/>
      <c r="Y444" s="8"/>
      <c r="Z444" s="8"/>
    </row>
    <row r="445" ht="14.25" customHeight="1">
      <c r="A445" s="8"/>
      <c r="B445" s="7" t="s">
        <v>591</v>
      </c>
      <c r="C445" s="46"/>
      <c r="D445" s="46"/>
      <c r="E445" s="46">
        <v>6.0</v>
      </c>
      <c r="F445" s="47" t="s">
        <v>592</v>
      </c>
      <c r="G445" s="33"/>
      <c r="H445" s="34"/>
      <c r="I445" s="47" t="s">
        <v>582</v>
      </c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53">
        <f t="shared" si="54"/>
        <v>0</v>
      </c>
      <c r="W445" s="8"/>
      <c r="X445" s="8"/>
      <c r="Y445" s="8"/>
      <c r="Z445" s="8"/>
    </row>
    <row r="446" ht="14.25" customHeight="1">
      <c r="A446" s="8"/>
      <c r="B446" s="7" t="s">
        <v>591</v>
      </c>
      <c r="C446" s="46"/>
      <c r="D446" s="46"/>
      <c r="E446" s="46"/>
      <c r="F446" s="47"/>
      <c r="G446" s="33"/>
      <c r="H446" s="34"/>
      <c r="I446" s="47" t="s">
        <v>491</v>
      </c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53">
        <f t="shared" si="54"/>
        <v>0</v>
      </c>
      <c r="W446" s="8"/>
      <c r="X446" s="8"/>
      <c r="Y446" s="8"/>
      <c r="Z446" s="8"/>
    </row>
    <row r="447" ht="14.25" customHeight="1">
      <c r="A447" s="8"/>
      <c r="B447" s="7" t="s">
        <v>593</v>
      </c>
      <c r="C447" s="46"/>
      <c r="D447" s="46"/>
      <c r="E447" s="46">
        <v>7.0</v>
      </c>
      <c r="F447" s="47" t="s">
        <v>357</v>
      </c>
      <c r="G447" s="33"/>
      <c r="H447" s="34"/>
      <c r="I447" s="47" t="s">
        <v>582</v>
      </c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53">
        <f t="shared" si="54"/>
        <v>0</v>
      </c>
      <c r="W447" s="8"/>
      <c r="X447" s="8"/>
      <c r="Y447" s="8"/>
      <c r="Z447" s="8"/>
    </row>
    <row r="448" ht="14.25" customHeight="1">
      <c r="A448" s="8"/>
      <c r="B448" s="7" t="s">
        <v>593</v>
      </c>
      <c r="C448" s="46"/>
      <c r="D448" s="46"/>
      <c r="E448" s="46"/>
      <c r="F448" s="54"/>
      <c r="G448" s="33"/>
      <c r="H448" s="34"/>
      <c r="I448" s="47" t="s">
        <v>594</v>
      </c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53">
        <f t="shared" si="54"/>
        <v>0</v>
      </c>
      <c r="W448" s="8"/>
      <c r="X448" s="8"/>
      <c r="Y448" s="8"/>
      <c r="Z448" s="8"/>
    </row>
    <row r="449" ht="14.25" customHeight="1">
      <c r="A449" s="8"/>
      <c r="C449" s="46"/>
      <c r="D449" s="46"/>
      <c r="E449" s="85"/>
      <c r="F449" s="91"/>
      <c r="G449" s="91"/>
      <c r="H449" s="91"/>
      <c r="I449" s="92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8"/>
      <c r="X449" s="8"/>
      <c r="Y449" s="8"/>
      <c r="Z449" s="8"/>
    </row>
    <row r="450" ht="14.25" customHeight="1">
      <c r="A450" s="8"/>
      <c r="C450" s="46"/>
      <c r="D450" s="46">
        <v>2.0</v>
      </c>
      <c r="E450" s="47" t="s">
        <v>496</v>
      </c>
      <c r="F450" s="33"/>
      <c r="G450" s="33"/>
      <c r="H450" s="34"/>
      <c r="I450" s="44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8"/>
      <c r="X450" s="8"/>
      <c r="Y450" s="8"/>
      <c r="Z450" s="8"/>
    </row>
    <row r="451" ht="14.25" customHeight="1">
      <c r="A451" s="8"/>
      <c r="B451" s="7" t="s">
        <v>595</v>
      </c>
      <c r="C451" s="46"/>
      <c r="D451" s="46"/>
      <c r="E451" s="46">
        <v>1.0</v>
      </c>
      <c r="F451" s="47" t="s">
        <v>341</v>
      </c>
      <c r="G451" s="33"/>
      <c r="H451" s="34"/>
      <c r="I451" s="47" t="s">
        <v>582</v>
      </c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53">
        <f t="shared" ref="V451:V461" si="55">SUM(J451:U451)</f>
        <v>0</v>
      </c>
      <c r="W451" s="8"/>
      <c r="X451" s="8"/>
      <c r="Y451" s="8"/>
      <c r="Z451" s="8"/>
    </row>
    <row r="452" ht="14.25" customHeight="1">
      <c r="A452" s="8"/>
      <c r="B452" s="7" t="s">
        <v>595</v>
      </c>
      <c r="C452" s="46"/>
      <c r="D452" s="46"/>
      <c r="E452" s="46"/>
      <c r="F452" s="47"/>
      <c r="G452" s="33"/>
      <c r="H452" s="34"/>
      <c r="I452" s="47" t="s">
        <v>583</v>
      </c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53">
        <f t="shared" si="55"/>
        <v>0</v>
      </c>
      <c r="W452" s="8"/>
      <c r="X452" s="8"/>
      <c r="Y452" s="8"/>
      <c r="Z452" s="8"/>
    </row>
    <row r="453" ht="14.25" customHeight="1">
      <c r="A453" s="8"/>
      <c r="B453" s="7" t="s">
        <v>596</v>
      </c>
      <c r="C453" s="46"/>
      <c r="D453" s="46"/>
      <c r="E453" s="46">
        <v>2.0</v>
      </c>
      <c r="F453" s="47" t="s">
        <v>585</v>
      </c>
      <c r="G453" s="33"/>
      <c r="H453" s="34"/>
      <c r="I453" s="47" t="s">
        <v>582</v>
      </c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53">
        <f t="shared" si="55"/>
        <v>0</v>
      </c>
      <c r="W453" s="8"/>
      <c r="X453" s="8"/>
      <c r="Y453" s="8"/>
      <c r="Z453" s="8"/>
    </row>
    <row r="454" ht="14.25" customHeight="1">
      <c r="A454" s="8"/>
      <c r="B454" s="7" t="s">
        <v>597</v>
      </c>
      <c r="C454" s="46"/>
      <c r="D454" s="46"/>
      <c r="E454" s="46">
        <v>3.0</v>
      </c>
      <c r="F454" s="47" t="s">
        <v>587</v>
      </c>
      <c r="G454" s="33"/>
      <c r="H454" s="34"/>
      <c r="I454" s="47" t="s">
        <v>582</v>
      </c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53">
        <f t="shared" si="55"/>
        <v>0</v>
      </c>
      <c r="W454" s="8"/>
      <c r="X454" s="8"/>
      <c r="Y454" s="8"/>
      <c r="Z454" s="8"/>
    </row>
    <row r="455" ht="14.25" customHeight="1">
      <c r="A455" s="8"/>
      <c r="B455" s="7" t="s">
        <v>598</v>
      </c>
      <c r="C455" s="46"/>
      <c r="D455" s="46"/>
      <c r="E455" s="46">
        <v>4.0</v>
      </c>
      <c r="F455" s="47" t="s">
        <v>351</v>
      </c>
      <c r="G455" s="33"/>
      <c r="H455" s="34"/>
      <c r="I455" s="47" t="s">
        <v>582</v>
      </c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53">
        <f t="shared" si="55"/>
        <v>0</v>
      </c>
      <c r="W455" s="8"/>
      <c r="X455" s="8"/>
      <c r="Y455" s="8"/>
      <c r="Z455" s="8"/>
    </row>
    <row r="456" ht="14.25" customHeight="1">
      <c r="A456" s="8"/>
      <c r="B456" s="7" t="s">
        <v>599</v>
      </c>
      <c r="C456" s="46"/>
      <c r="D456" s="46"/>
      <c r="E456" s="46">
        <v>5.0</v>
      </c>
      <c r="F456" s="47" t="s">
        <v>347</v>
      </c>
      <c r="G456" s="33"/>
      <c r="H456" s="34"/>
      <c r="I456" s="47" t="s">
        <v>582</v>
      </c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53">
        <f t="shared" si="55"/>
        <v>0</v>
      </c>
      <c r="W456" s="8"/>
      <c r="X456" s="8"/>
      <c r="Y456" s="8"/>
      <c r="Z456" s="8"/>
    </row>
    <row r="457" ht="14.25" customHeight="1">
      <c r="A457" s="8"/>
      <c r="B457" s="7" t="s">
        <v>599</v>
      </c>
      <c r="C457" s="46"/>
      <c r="D457" s="46"/>
      <c r="E457" s="46"/>
      <c r="F457" s="47"/>
      <c r="G457" s="71"/>
      <c r="H457" s="72"/>
      <c r="I457" s="47" t="s">
        <v>590</v>
      </c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53">
        <f t="shared" si="55"/>
        <v>0</v>
      </c>
      <c r="W457" s="8"/>
      <c r="X457" s="8"/>
      <c r="Y457" s="8"/>
      <c r="Z457" s="8"/>
    </row>
    <row r="458" ht="14.25" customHeight="1">
      <c r="A458" s="8"/>
      <c r="B458" s="7" t="s">
        <v>600</v>
      </c>
      <c r="C458" s="46"/>
      <c r="D458" s="46"/>
      <c r="E458" s="46">
        <v>6.0</v>
      </c>
      <c r="F458" s="47" t="s">
        <v>592</v>
      </c>
      <c r="G458" s="33"/>
      <c r="H458" s="34"/>
      <c r="I458" s="47" t="s">
        <v>582</v>
      </c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53">
        <f t="shared" si="55"/>
        <v>0</v>
      </c>
      <c r="W458" s="8"/>
      <c r="X458" s="8"/>
      <c r="Y458" s="8"/>
      <c r="Z458" s="8"/>
    </row>
    <row r="459" ht="14.25" customHeight="1">
      <c r="A459" s="8"/>
      <c r="B459" s="7" t="s">
        <v>600</v>
      </c>
      <c r="C459" s="46"/>
      <c r="D459" s="46"/>
      <c r="E459" s="46"/>
      <c r="F459" s="47"/>
      <c r="G459" s="33"/>
      <c r="H459" s="34"/>
      <c r="I459" s="47" t="s">
        <v>491</v>
      </c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53">
        <f t="shared" si="55"/>
        <v>0</v>
      </c>
      <c r="W459" s="8"/>
      <c r="X459" s="8"/>
      <c r="Y459" s="8"/>
      <c r="Z459" s="8"/>
    </row>
    <row r="460" ht="14.25" customHeight="1">
      <c r="A460" s="8"/>
      <c r="B460" s="7" t="s">
        <v>601</v>
      </c>
      <c r="C460" s="46"/>
      <c r="D460" s="46"/>
      <c r="E460" s="46">
        <v>7.0</v>
      </c>
      <c r="F460" s="47" t="s">
        <v>357</v>
      </c>
      <c r="G460" s="33"/>
      <c r="H460" s="34"/>
      <c r="I460" s="47" t="s">
        <v>582</v>
      </c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53">
        <f t="shared" si="55"/>
        <v>0</v>
      </c>
      <c r="W460" s="8"/>
      <c r="X460" s="8"/>
      <c r="Y460" s="8"/>
      <c r="Z460" s="8"/>
    </row>
    <row r="461" ht="14.25" customHeight="1">
      <c r="A461" s="8"/>
      <c r="B461" s="7" t="s">
        <v>601</v>
      </c>
      <c r="C461" s="46"/>
      <c r="D461" s="46"/>
      <c r="E461" s="46"/>
      <c r="F461" s="47"/>
      <c r="G461" s="33"/>
      <c r="H461" s="34"/>
      <c r="I461" s="47" t="s">
        <v>594</v>
      </c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53">
        <f t="shared" si="55"/>
        <v>0</v>
      </c>
      <c r="W461" s="8"/>
      <c r="X461" s="8"/>
      <c r="Y461" s="8"/>
      <c r="Z461" s="8"/>
    </row>
    <row r="462" ht="14.25" customHeight="1">
      <c r="A462" s="8"/>
      <c r="C462" s="46"/>
      <c r="D462" s="46"/>
      <c r="E462" s="75"/>
      <c r="F462" s="42"/>
      <c r="G462" s="42"/>
      <c r="H462" s="42"/>
      <c r="I462" s="42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8"/>
      <c r="X462" s="8"/>
      <c r="Y462" s="8"/>
      <c r="Z462" s="8"/>
    </row>
    <row r="463" ht="14.25" customHeight="1">
      <c r="A463" s="8"/>
      <c r="C463" s="46"/>
      <c r="D463" s="77" t="s">
        <v>602</v>
      </c>
      <c r="E463" s="20"/>
      <c r="F463" s="20"/>
      <c r="G463" s="20"/>
      <c r="H463" s="21"/>
      <c r="I463" s="47" t="s">
        <v>582</v>
      </c>
      <c r="J463" s="53">
        <f t="shared" ref="J463:V463" si="56">(SUMIF($I$438:$V$448,$I463,J$438:J$448))+(SUMIF($I$451:$V$461,$I463,J$451:J$461))</f>
        <v>0</v>
      </c>
      <c r="K463" s="53">
        <f t="shared" si="56"/>
        <v>0</v>
      </c>
      <c r="L463" s="53">
        <f t="shared" si="56"/>
        <v>0</v>
      </c>
      <c r="M463" s="53">
        <f t="shared" si="56"/>
        <v>0</v>
      </c>
      <c r="N463" s="53">
        <f t="shared" si="56"/>
        <v>0</v>
      </c>
      <c r="O463" s="53">
        <f t="shared" si="56"/>
        <v>0</v>
      </c>
      <c r="P463" s="53">
        <f t="shared" si="56"/>
        <v>0</v>
      </c>
      <c r="Q463" s="53">
        <f t="shared" si="56"/>
        <v>0</v>
      </c>
      <c r="R463" s="53">
        <f t="shared" si="56"/>
        <v>0</v>
      </c>
      <c r="S463" s="53">
        <f t="shared" si="56"/>
        <v>0</v>
      </c>
      <c r="T463" s="53">
        <f t="shared" si="56"/>
        <v>0</v>
      </c>
      <c r="U463" s="53">
        <f t="shared" si="56"/>
        <v>0</v>
      </c>
      <c r="V463" s="53">
        <f t="shared" si="56"/>
        <v>0</v>
      </c>
      <c r="W463" s="8"/>
      <c r="X463" s="8"/>
      <c r="Y463" s="8"/>
      <c r="Z463" s="8"/>
    </row>
    <row r="464" ht="14.25" customHeight="1">
      <c r="A464" s="8"/>
      <c r="C464" s="46"/>
      <c r="D464" s="25"/>
      <c r="H464" s="26"/>
      <c r="I464" s="47" t="s">
        <v>583</v>
      </c>
      <c r="J464" s="53">
        <f t="shared" ref="J464:V464" si="57">(SUMIF($I$438:$V$448,$I464,J$438:J$448))+(SUMIF($I$451:$V$461,$I464,J$451:J$461))</f>
        <v>0</v>
      </c>
      <c r="K464" s="53">
        <f t="shared" si="57"/>
        <v>0</v>
      </c>
      <c r="L464" s="53">
        <f t="shared" si="57"/>
        <v>0</v>
      </c>
      <c r="M464" s="53">
        <f t="shared" si="57"/>
        <v>0</v>
      </c>
      <c r="N464" s="53">
        <f t="shared" si="57"/>
        <v>0</v>
      </c>
      <c r="O464" s="53">
        <f t="shared" si="57"/>
        <v>0</v>
      </c>
      <c r="P464" s="53">
        <f t="shared" si="57"/>
        <v>0</v>
      </c>
      <c r="Q464" s="53">
        <f t="shared" si="57"/>
        <v>0</v>
      </c>
      <c r="R464" s="53">
        <f t="shared" si="57"/>
        <v>0</v>
      </c>
      <c r="S464" s="53">
        <f t="shared" si="57"/>
        <v>0</v>
      </c>
      <c r="T464" s="53">
        <f t="shared" si="57"/>
        <v>0</v>
      </c>
      <c r="U464" s="53">
        <f t="shared" si="57"/>
        <v>0</v>
      </c>
      <c r="V464" s="53">
        <f t="shared" si="57"/>
        <v>0</v>
      </c>
      <c r="W464" s="8"/>
      <c r="X464" s="8"/>
      <c r="Y464" s="8"/>
      <c r="Z464" s="8"/>
    </row>
    <row r="465" ht="14.25" customHeight="1">
      <c r="A465" s="8"/>
      <c r="C465" s="46"/>
      <c r="D465" s="25"/>
      <c r="H465" s="26"/>
      <c r="I465" s="47" t="s">
        <v>590</v>
      </c>
      <c r="J465" s="53">
        <f t="shared" ref="J465:V465" si="58">(SUMIF($I$438:$V$448,$I465,J$438:J$448))+(SUMIF($I$451:$V$461,$I465,J$451:J$461))</f>
        <v>0</v>
      </c>
      <c r="K465" s="53">
        <f t="shared" si="58"/>
        <v>0</v>
      </c>
      <c r="L465" s="53">
        <f t="shared" si="58"/>
        <v>0</v>
      </c>
      <c r="M465" s="53">
        <f t="shared" si="58"/>
        <v>0</v>
      </c>
      <c r="N465" s="53">
        <f t="shared" si="58"/>
        <v>0</v>
      </c>
      <c r="O465" s="53">
        <f t="shared" si="58"/>
        <v>0</v>
      </c>
      <c r="P465" s="53">
        <f t="shared" si="58"/>
        <v>0</v>
      </c>
      <c r="Q465" s="53">
        <f t="shared" si="58"/>
        <v>0</v>
      </c>
      <c r="R465" s="53">
        <f t="shared" si="58"/>
        <v>0</v>
      </c>
      <c r="S465" s="53">
        <f t="shared" si="58"/>
        <v>0</v>
      </c>
      <c r="T465" s="53">
        <f t="shared" si="58"/>
        <v>0</v>
      </c>
      <c r="U465" s="53">
        <f t="shared" si="58"/>
        <v>0</v>
      </c>
      <c r="V465" s="53">
        <f t="shared" si="58"/>
        <v>0</v>
      </c>
      <c r="W465" s="8"/>
      <c r="X465" s="8"/>
      <c r="Y465" s="8"/>
      <c r="Z465" s="8"/>
    </row>
    <row r="466" ht="14.25" customHeight="1">
      <c r="A466" s="8"/>
      <c r="C466" s="46"/>
      <c r="D466" s="25"/>
      <c r="H466" s="26"/>
      <c r="I466" s="47" t="s">
        <v>491</v>
      </c>
      <c r="J466" s="53">
        <f t="shared" ref="J466:V466" si="59">(SUMIF($I$438:$V$448,$I466,J$438:J$448))+(SUMIF($I$451:$V$461,$I466,J$451:J$461))</f>
        <v>0</v>
      </c>
      <c r="K466" s="53">
        <f t="shared" si="59"/>
        <v>0</v>
      </c>
      <c r="L466" s="53">
        <f t="shared" si="59"/>
        <v>0</v>
      </c>
      <c r="M466" s="53">
        <f t="shared" si="59"/>
        <v>0</v>
      </c>
      <c r="N466" s="53">
        <f t="shared" si="59"/>
        <v>0</v>
      </c>
      <c r="O466" s="53">
        <f t="shared" si="59"/>
        <v>0</v>
      </c>
      <c r="P466" s="53">
        <f t="shared" si="59"/>
        <v>0</v>
      </c>
      <c r="Q466" s="53">
        <f t="shared" si="59"/>
        <v>0</v>
      </c>
      <c r="R466" s="53">
        <f t="shared" si="59"/>
        <v>0</v>
      </c>
      <c r="S466" s="53">
        <f t="shared" si="59"/>
        <v>0</v>
      </c>
      <c r="T466" s="53">
        <f t="shared" si="59"/>
        <v>0</v>
      </c>
      <c r="U466" s="53">
        <f t="shared" si="59"/>
        <v>0</v>
      </c>
      <c r="V466" s="53">
        <f t="shared" si="59"/>
        <v>0</v>
      </c>
      <c r="W466" s="8"/>
      <c r="X466" s="8"/>
      <c r="Y466" s="8"/>
      <c r="Z466" s="8"/>
    </row>
    <row r="467" ht="14.25" customHeight="1">
      <c r="A467" s="8"/>
      <c r="C467" s="46"/>
      <c r="D467" s="28"/>
      <c r="E467" s="29"/>
      <c r="F467" s="29"/>
      <c r="G467" s="29"/>
      <c r="H467" s="30"/>
      <c r="I467" s="47" t="s">
        <v>594</v>
      </c>
      <c r="J467" s="53">
        <f t="shared" ref="J467:V467" si="60">(SUMIF($I$438:$V$448,$I467,J$438:J$448))+(SUMIF($I$451:$V$461,$I467,J$451:J$461))</f>
        <v>0</v>
      </c>
      <c r="K467" s="53">
        <f t="shared" si="60"/>
        <v>0</v>
      </c>
      <c r="L467" s="53">
        <f t="shared" si="60"/>
        <v>0</v>
      </c>
      <c r="M467" s="53">
        <f t="shared" si="60"/>
        <v>0</v>
      </c>
      <c r="N467" s="53">
        <f t="shared" si="60"/>
        <v>0</v>
      </c>
      <c r="O467" s="53">
        <f t="shared" si="60"/>
        <v>0</v>
      </c>
      <c r="P467" s="53">
        <f t="shared" si="60"/>
        <v>0</v>
      </c>
      <c r="Q467" s="53">
        <f t="shared" si="60"/>
        <v>0</v>
      </c>
      <c r="R467" s="53">
        <f t="shared" si="60"/>
        <v>0</v>
      </c>
      <c r="S467" s="53">
        <f t="shared" si="60"/>
        <v>0</v>
      </c>
      <c r="T467" s="53">
        <f t="shared" si="60"/>
        <v>0</v>
      </c>
      <c r="U467" s="53">
        <f t="shared" si="60"/>
        <v>0</v>
      </c>
      <c r="V467" s="53">
        <f t="shared" si="60"/>
        <v>0</v>
      </c>
      <c r="W467" s="8"/>
      <c r="X467" s="8"/>
      <c r="Y467" s="8"/>
      <c r="Z467" s="8"/>
    </row>
    <row r="468" ht="14.25" customHeight="1">
      <c r="A468" s="8"/>
      <c r="C468" s="46"/>
      <c r="D468" s="48"/>
      <c r="E468" s="88"/>
      <c r="F468" s="88"/>
      <c r="G468" s="88"/>
      <c r="H468" s="89"/>
      <c r="I468" s="48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8"/>
      <c r="X468" s="8"/>
      <c r="Y468" s="8"/>
      <c r="Z468" s="8"/>
    </row>
    <row r="469" ht="14.25" customHeight="1">
      <c r="A469" s="8"/>
      <c r="C469" s="64">
        <v>2.0</v>
      </c>
      <c r="D469" s="47" t="s">
        <v>530</v>
      </c>
      <c r="E469" s="33"/>
      <c r="F469" s="33"/>
      <c r="G469" s="33"/>
      <c r="H469" s="34"/>
      <c r="I469" s="44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8"/>
      <c r="X469" s="8"/>
      <c r="Y469" s="8"/>
      <c r="Z469" s="8"/>
    </row>
    <row r="470" ht="14.25" customHeight="1">
      <c r="A470" s="8"/>
      <c r="C470" s="46"/>
      <c r="D470" s="46">
        <v>1.0</v>
      </c>
      <c r="E470" s="47" t="s">
        <v>531</v>
      </c>
      <c r="F470" s="33"/>
      <c r="G470" s="33"/>
      <c r="H470" s="34"/>
      <c r="I470" s="44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8"/>
      <c r="X470" s="8"/>
      <c r="Y470" s="8"/>
      <c r="Z470" s="8"/>
    </row>
    <row r="471" ht="14.25" customHeight="1">
      <c r="A471" s="8"/>
      <c r="B471" s="7" t="s">
        <v>603</v>
      </c>
      <c r="C471" s="46"/>
      <c r="D471" s="46"/>
      <c r="E471" s="46">
        <v>1.0</v>
      </c>
      <c r="F471" s="47" t="s">
        <v>341</v>
      </c>
      <c r="G471" s="33"/>
      <c r="H471" s="34"/>
      <c r="I471" s="47" t="s">
        <v>582</v>
      </c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53">
        <f t="shared" ref="V471:V481" si="61">SUM(J471:U471)</f>
        <v>0</v>
      </c>
      <c r="W471" s="8"/>
      <c r="X471" s="8"/>
      <c r="Y471" s="8"/>
      <c r="Z471" s="8"/>
    </row>
    <row r="472" ht="14.25" customHeight="1">
      <c r="A472" s="8"/>
      <c r="B472" s="7" t="s">
        <v>603</v>
      </c>
      <c r="C472" s="46"/>
      <c r="D472" s="46"/>
      <c r="E472" s="46"/>
      <c r="F472" s="47"/>
      <c r="G472" s="33"/>
      <c r="H472" s="34"/>
      <c r="I472" s="47" t="s">
        <v>583</v>
      </c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53">
        <f t="shared" si="61"/>
        <v>0</v>
      </c>
      <c r="W472" s="8"/>
      <c r="X472" s="8"/>
      <c r="Y472" s="8"/>
      <c r="Z472" s="8"/>
    </row>
    <row r="473" ht="14.25" customHeight="1">
      <c r="A473" s="8"/>
      <c r="B473" s="7" t="s">
        <v>604</v>
      </c>
      <c r="C473" s="46"/>
      <c r="D473" s="46"/>
      <c r="E473" s="46">
        <v>2.0</v>
      </c>
      <c r="F473" s="47" t="s">
        <v>585</v>
      </c>
      <c r="G473" s="33"/>
      <c r="H473" s="34"/>
      <c r="I473" s="47" t="s">
        <v>582</v>
      </c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53">
        <f t="shared" si="61"/>
        <v>0</v>
      </c>
      <c r="W473" s="8"/>
      <c r="X473" s="8"/>
      <c r="Y473" s="8"/>
      <c r="Z473" s="8"/>
    </row>
    <row r="474" ht="14.25" customHeight="1">
      <c r="A474" s="8"/>
      <c r="B474" s="7" t="s">
        <v>605</v>
      </c>
      <c r="C474" s="46"/>
      <c r="D474" s="46"/>
      <c r="E474" s="46">
        <v>3.0</v>
      </c>
      <c r="F474" s="47" t="s">
        <v>587</v>
      </c>
      <c r="G474" s="33"/>
      <c r="H474" s="34"/>
      <c r="I474" s="47" t="s">
        <v>582</v>
      </c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53">
        <f t="shared" si="61"/>
        <v>0</v>
      </c>
      <c r="W474" s="8"/>
      <c r="X474" s="8"/>
      <c r="Y474" s="8"/>
      <c r="Z474" s="8"/>
    </row>
    <row r="475" ht="14.25" customHeight="1">
      <c r="A475" s="8"/>
      <c r="B475" s="7" t="s">
        <v>606</v>
      </c>
      <c r="C475" s="46"/>
      <c r="D475" s="46"/>
      <c r="E475" s="46">
        <v>4.0</v>
      </c>
      <c r="F475" s="47" t="s">
        <v>351</v>
      </c>
      <c r="G475" s="33"/>
      <c r="H475" s="34"/>
      <c r="I475" s="47" t="s">
        <v>582</v>
      </c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53">
        <f t="shared" si="61"/>
        <v>0</v>
      </c>
      <c r="W475" s="8"/>
      <c r="X475" s="8"/>
      <c r="Y475" s="8"/>
      <c r="Z475" s="8"/>
    </row>
    <row r="476" ht="14.25" customHeight="1">
      <c r="A476" s="8"/>
      <c r="B476" s="7" t="s">
        <v>607</v>
      </c>
      <c r="C476" s="46"/>
      <c r="D476" s="46"/>
      <c r="E476" s="46">
        <v>5.0</v>
      </c>
      <c r="F476" s="47" t="s">
        <v>347</v>
      </c>
      <c r="G476" s="33"/>
      <c r="H476" s="34"/>
      <c r="I476" s="47" t="s">
        <v>582</v>
      </c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53">
        <f t="shared" si="61"/>
        <v>0</v>
      </c>
      <c r="W476" s="8"/>
      <c r="X476" s="8"/>
      <c r="Y476" s="8"/>
      <c r="Z476" s="8"/>
    </row>
    <row r="477" ht="14.25" customHeight="1">
      <c r="A477" s="8"/>
      <c r="B477" s="7" t="s">
        <v>607</v>
      </c>
      <c r="C477" s="46"/>
      <c r="D477" s="46"/>
      <c r="E477" s="46"/>
      <c r="F477" s="47"/>
      <c r="G477" s="71"/>
      <c r="H477" s="72"/>
      <c r="I477" s="47" t="s">
        <v>590</v>
      </c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53">
        <f t="shared" si="61"/>
        <v>0</v>
      </c>
      <c r="W477" s="8"/>
      <c r="X477" s="8"/>
      <c r="Y477" s="8"/>
      <c r="Z477" s="8"/>
    </row>
    <row r="478" ht="14.25" customHeight="1">
      <c r="A478" s="8"/>
      <c r="B478" s="7" t="s">
        <v>608</v>
      </c>
      <c r="C478" s="46"/>
      <c r="D478" s="46"/>
      <c r="E478" s="46">
        <v>6.0</v>
      </c>
      <c r="F478" s="47" t="s">
        <v>592</v>
      </c>
      <c r="G478" s="33"/>
      <c r="H478" s="34"/>
      <c r="I478" s="47" t="s">
        <v>582</v>
      </c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53">
        <f t="shared" si="61"/>
        <v>0</v>
      </c>
      <c r="W478" s="8"/>
      <c r="X478" s="8"/>
      <c r="Y478" s="8"/>
      <c r="Z478" s="8"/>
    </row>
    <row r="479" ht="14.25" customHeight="1">
      <c r="A479" s="8"/>
      <c r="B479" s="7" t="s">
        <v>608</v>
      </c>
      <c r="C479" s="46"/>
      <c r="D479" s="46"/>
      <c r="E479" s="46"/>
      <c r="F479" s="47"/>
      <c r="G479" s="33"/>
      <c r="H479" s="34"/>
      <c r="I479" s="47" t="s">
        <v>491</v>
      </c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53">
        <f t="shared" si="61"/>
        <v>0</v>
      </c>
      <c r="W479" s="8"/>
      <c r="X479" s="8"/>
      <c r="Y479" s="8"/>
      <c r="Z479" s="8"/>
    </row>
    <row r="480" ht="14.25" customHeight="1">
      <c r="A480" s="8"/>
      <c r="B480" s="7" t="s">
        <v>609</v>
      </c>
      <c r="C480" s="46"/>
      <c r="D480" s="46"/>
      <c r="E480" s="46">
        <v>7.0</v>
      </c>
      <c r="F480" s="47" t="s">
        <v>357</v>
      </c>
      <c r="G480" s="33"/>
      <c r="H480" s="34"/>
      <c r="I480" s="47" t="s">
        <v>582</v>
      </c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53">
        <f t="shared" si="61"/>
        <v>0</v>
      </c>
      <c r="W480" s="8"/>
      <c r="X480" s="8"/>
      <c r="Y480" s="8"/>
      <c r="Z480" s="8"/>
    </row>
    <row r="481" ht="14.25" customHeight="1">
      <c r="A481" s="8"/>
      <c r="B481" s="7" t="s">
        <v>609</v>
      </c>
      <c r="C481" s="46"/>
      <c r="D481" s="46"/>
      <c r="E481" s="46"/>
      <c r="F481" s="54"/>
      <c r="G481" s="33"/>
      <c r="H481" s="34"/>
      <c r="I481" s="47" t="s">
        <v>594</v>
      </c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53">
        <f t="shared" si="61"/>
        <v>0</v>
      </c>
      <c r="W481" s="8"/>
      <c r="X481" s="8"/>
      <c r="Y481" s="8"/>
      <c r="Z481" s="8"/>
    </row>
    <row r="482" ht="14.25" customHeight="1">
      <c r="A482" s="8"/>
      <c r="C482" s="46"/>
      <c r="D482" s="46"/>
      <c r="E482" s="75"/>
      <c r="F482" s="42"/>
      <c r="G482" s="42"/>
      <c r="H482" s="42"/>
      <c r="I482" s="42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8"/>
      <c r="X482" s="8"/>
      <c r="Y482" s="8"/>
      <c r="Z482" s="8"/>
    </row>
    <row r="483" ht="14.25" customHeight="1">
      <c r="A483" s="8"/>
      <c r="C483" s="46"/>
      <c r="D483" s="46">
        <v>2.0</v>
      </c>
      <c r="E483" s="47" t="s">
        <v>547</v>
      </c>
      <c r="F483" s="33"/>
      <c r="G483" s="33"/>
      <c r="H483" s="34"/>
      <c r="I483" s="44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8"/>
      <c r="X483" s="8"/>
      <c r="Y483" s="8"/>
      <c r="Z483" s="8"/>
    </row>
    <row r="484" ht="14.25" customHeight="1">
      <c r="A484" s="8"/>
      <c r="B484" s="7" t="s">
        <v>610</v>
      </c>
      <c r="C484" s="46"/>
      <c r="D484" s="46"/>
      <c r="E484" s="46">
        <v>1.0</v>
      </c>
      <c r="F484" s="47" t="s">
        <v>341</v>
      </c>
      <c r="G484" s="33"/>
      <c r="H484" s="34"/>
      <c r="I484" s="47" t="s">
        <v>582</v>
      </c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53">
        <f t="shared" ref="V484:V494" si="62">SUM(J484:U484)</f>
        <v>0</v>
      </c>
      <c r="W484" s="8"/>
      <c r="X484" s="8"/>
      <c r="Y484" s="8"/>
      <c r="Z484" s="8"/>
    </row>
    <row r="485" ht="14.25" customHeight="1">
      <c r="A485" s="8"/>
      <c r="B485" s="7" t="s">
        <v>610</v>
      </c>
      <c r="C485" s="46"/>
      <c r="D485" s="46"/>
      <c r="E485" s="46"/>
      <c r="F485" s="47"/>
      <c r="G485" s="33"/>
      <c r="H485" s="34"/>
      <c r="I485" s="47" t="s">
        <v>583</v>
      </c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53">
        <f t="shared" si="62"/>
        <v>0</v>
      </c>
      <c r="W485" s="8"/>
      <c r="X485" s="8"/>
      <c r="Y485" s="8"/>
      <c r="Z485" s="8"/>
    </row>
    <row r="486" ht="14.25" customHeight="1">
      <c r="A486" s="8"/>
      <c r="B486" s="7" t="s">
        <v>611</v>
      </c>
      <c r="C486" s="46"/>
      <c r="D486" s="46"/>
      <c r="E486" s="46">
        <v>2.0</v>
      </c>
      <c r="F486" s="47" t="s">
        <v>585</v>
      </c>
      <c r="G486" s="33"/>
      <c r="H486" s="34"/>
      <c r="I486" s="47" t="s">
        <v>582</v>
      </c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53">
        <f t="shared" si="62"/>
        <v>0</v>
      </c>
      <c r="W486" s="8"/>
      <c r="X486" s="8"/>
      <c r="Y486" s="8"/>
      <c r="Z486" s="8"/>
    </row>
    <row r="487" ht="14.25" customHeight="1">
      <c r="A487" s="8"/>
      <c r="B487" s="7" t="s">
        <v>612</v>
      </c>
      <c r="C487" s="46"/>
      <c r="D487" s="46"/>
      <c r="E487" s="46">
        <v>3.0</v>
      </c>
      <c r="F487" s="47" t="s">
        <v>587</v>
      </c>
      <c r="G487" s="33"/>
      <c r="H487" s="34"/>
      <c r="I487" s="47" t="s">
        <v>582</v>
      </c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53">
        <f t="shared" si="62"/>
        <v>0</v>
      </c>
      <c r="W487" s="8"/>
      <c r="X487" s="8"/>
      <c r="Y487" s="8"/>
      <c r="Z487" s="8"/>
    </row>
    <row r="488" ht="14.25" customHeight="1">
      <c r="A488" s="8"/>
      <c r="B488" s="7" t="s">
        <v>613</v>
      </c>
      <c r="C488" s="46"/>
      <c r="D488" s="46"/>
      <c r="E488" s="46">
        <v>4.0</v>
      </c>
      <c r="F488" s="47" t="s">
        <v>351</v>
      </c>
      <c r="G488" s="33"/>
      <c r="H488" s="34"/>
      <c r="I488" s="47" t="s">
        <v>582</v>
      </c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53">
        <f t="shared" si="62"/>
        <v>0</v>
      </c>
      <c r="W488" s="8"/>
      <c r="X488" s="8"/>
      <c r="Y488" s="8"/>
      <c r="Z488" s="8"/>
    </row>
    <row r="489" ht="14.25" customHeight="1">
      <c r="A489" s="8"/>
      <c r="B489" s="7" t="s">
        <v>614</v>
      </c>
      <c r="C489" s="46"/>
      <c r="D489" s="46"/>
      <c r="E489" s="46">
        <v>5.0</v>
      </c>
      <c r="F489" s="47" t="s">
        <v>347</v>
      </c>
      <c r="G489" s="33"/>
      <c r="H489" s="34"/>
      <c r="I489" s="47" t="s">
        <v>582</v>
      </c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53">
        <f t="shared" si="62"/>
        <v>0</v>
      </c>
      <c r="W489" s="8"/>
      <c r="X489" s="8"/>
      <c r="Y489" s="8"/>
      <c r="Z489" s="8"/>
    </row>
    <row r="490" ht="14.25" customHeight="1">
      <c r="A490" s="8"/>
      <c r="B490" s="7" t="s">
        <v>614</v>
      </c>
      <c r="C490" s="46"/>
      <c r="D490" s="46"/>
      <c r="E490" s="46"/>
      <c r="F490" s="47"/>
      <c r="G490" s="71"/>
      <c r="H490" s="72"/>
      <c r="I490" s="47" t="s">
        <v>590</v>
      </c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53">
        <f t="shared" si="62"/>
        <v>0</v>
      </c>
      <c r="W490" s="8"/>
      <c r="X490" s="8"/>
      <c r="Y490" s="8"/>
      <c r="Z490" s="8"/>
    </row>
    <row r="491" ht="14.25" customHeight="1">
      <c r="A491" s="8"/>
      <c r="B491" s="7" t="s">
        <v>615</v>
      </c>
      <c r="C491" s="46"/>
      <c r="D491" s="46"/>
      <c r="E491" s="46">
        <v>6.0</v>
      </c>
      <c r="F491" s="47" t="s">
        <v>592</v>
      </c>
      <c r="G491" s="33"/>
      <c r="H491" s="34"/>
      <c r="I491" s="47" t="s">
        <v>582</v>
      </c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53">
        <f t="shared" si="62"/>
        <v>0</v>
      </c>
      <c r="W491" s="8"/>
      <c r="X491" s="8"/>
      <c r="Y491" s="8"/>
      <c r="Z491" s="8"/>
    </row>
    <row r="492" ht="14.25" customHeight="1">
      <c r="A492" s="8"/>
      <c r="B492" s="7" t="s">
        <v>615</v>
      </c>
      <c r="C492" s="46"/>
      <c r="D492" s="46"/>
      <c r="E492" s="46"/>
      <c r="F492" s="47"/>
      <c r="G492" s="33"/>
      <c r="H492" s="34"/>
      <c r="I492" s="47" t="s">
        <v>491</v>
      </c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53">
        <f t="shared" si="62"/>
        <v>0</v>
      </c>
      <c r="W492" s="8"/>
      <c r="X492" s="8"/>
      <c r="Y492" s="8"/>
      <c r="Z492" s="8"/>
    </row>
    <row r="493" ht="14.25" customHeight="1">
      <c r="A493" s="8"/>
      <c r="B493" s="7" t="s">
        <v>616</v>
      </c>
      <c r="C493" s="46"/>
      <c r="D493" s="46"/>
      <c r="E493" s="46">
        <v>7.0</v>
      </c>
      <c r="F493" s="47" t="s">
        <v>357</v>
      </c>
      <c r="G493" s="33"/>
      <c r="H493" s="34"/>
      <c r="I493" s="47" t="s">
        <v>582</v>
      </c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53">
        <f t="shared" si="62"/>
        <v>0</v>
      </c>
      <c r="W493" s="8"/>
      <c r="X493" s="8"/>
      <c r="Y493" s="8"/>
      <c r="Z493" s="8"/>
    </row>
    <row r="494" ht="14.25" customHeight="1">
      <c r="A494" s="8"/>
      <c r="B494" s="7" t="s">
        <v>616</v>
      </c>
      <c r="C494" s="46"/>
      <c r="D494" s="46"/>
      <c r="E494" s="46"/>
      <c r="F494" s="54"/>
      <c r="G494" s="33"/>
      <c r="H494" s="34"/>
      <c r="I494" s="47" t="s">
        <v>594</v>
      </c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53">
        <f t="shared" si="62"/>
        <v>0</v>
      </c>
      <c r="W494" s="8"/>
      <c r="X494" s="8"/>
      <c r="Y494" s="8"/>
      <c r="Z494" s="8"/>
    </row>
    <row r="495" ht="14.25" customHeight="1">
      <c r="A495" s="8"/>
      <c r="C495" s="46"/>
      <c r="D495" s="46"/>
      <c r="E495" s="75"/>
      <c r="F495" s="42"/>
      <c r="G495" s="42"/>
      <c r="H495" s="42"/>
      <c r="I495" s="42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8"/>
      <c r="X495" s="8"/>
      <c r="Y495" s="8"/>
      <c r="Z495" s="8"/>
    </row>
    <row r="496" ht="14.25" customHeight="1">
      <c r="A496" s="8"/>
      <c r="C496" s="46"/>
      <c r="D496" s="77" t="s">
        <v>617</v>
      </c>
      <c r="E496" s="20"/>
      <c r="F496" s="20"/>
      <c r="G496" s="20"/>
      <c r="H496" s="21"/>
      <c r="I496" s="47" t="s">
        <v>582</v>
      </c>
      <c r="J496" s="53">
        <f t="shared" ref="J496:V496" si="63">(SUMIF($I$471:$V$481,$I496,J$471:J$481))+(SUMIF($I$484:$V$494,$I496,J$484:J$494))</f>
        <v>0</v>
      </c>
      <c r="K496" s="53">
        <f t="shared" si="63"/>
        <v>0</v>
      </c>
      <c r="L496" s="53">
        <f t="shared" si="63"/>
        <v>0</v>
      </c>
      <c r="M496" s="53">
        <f t="shared" si="63"/>
        <v>0</v>
      </c>
      <c r="N496" s="53">
        <f t="shared" si="63"/>
        <v>0</v>
      </c>
      <c r="O496" s="53">
        <f t="shared" si="63"/>
        <v>0</v>
      </c>
      <c r="P496" s="53">
        <f t="shared" si="63"/>
        <v>0</v>
      </c>
      <c r="Q496" s="53">
        <f t="shared" si="63"/>
        <v>0</v>
      </c>
      <c r="R496" s="53">
        <f t="shared" si="63"/>
        <v>0</v>
      </c>
      <c r="S496" s="53">
        <f t="shared" si="63"/>
        <v>0</v>
      </c>
      <c r="T496" s="53">
        <f t="shared" si="63"/>
        <v>0</v>
      </c>
      <c r="U496" s="53">
        <f t="shared" si="63"/>
        <v>0</v>
      </c>
      <c r="V496" s="53">
        <f t="shared" si="63"/>
        <v>0</v>
      </c>
      <c r="W496" s="8"/>
      <c r="X496" s="8"/>
      <c r="Y496" s="8"/>
      <c r="Z496" s="8"/>
    </row>
    <row r="497" ht="14.25" customHeight="1">
      <c r="A497" s="8"/>
      <c r="C497" s="46"/>
      <c r="D497" s="25"/>
      <c r="H497" s="26"/>
      <c r="I497" s="47" t="s">
        <v>583</v>
      </c>
      <c r="J497" s="53">
        <f t="shared" ref="J497:V497" si="64">(SUMIF($I$471:$V$481,$I497,J$471:J$481))+(SUMIF($I$484:$V$494,$I497,J$484:J$494))</f>
        <v>0</v>
      </c>
      <c r="K497" s="53">
        <f t="shared" si="64"/>
        <v>0</v>
      </c>
      <c r="L497" s="53">
        <f t="shared" si="64"/>
        <v>0</v>
      </c>
      <c r="M497" s="53">
        <f t="shared" si="64"/>
        <v>0</v>
      </c>
      <c r="N497" s="53">
        <f t="shared" si="64"/>
        <v>0</v>
      </c>
      <c r="O497" s="53">
        <f t="shared" si="64"/>
        <v>0</v>
      </c>
      <c r="P497" s="53">
        <f t="shared" si="64"/>
        <v>0</v>
      </c>
      <c r="Q497" s="53">
        <f t="shared" si="64"/>
        <v>0</v>
      </c>
      <c r="R497" s="53">
        <f t="shared" si="64"/>
        <v>0</v>
      </c>
      <c r="S497" s="53">
        <f t="shared" si="64"/>
        <v>0</v>
      </c>
      <c r="T497" s="53">
        <f t="shared" si="64"/>
        <v>0</v>
      </c>
      <c r="U497" s="53">
        <f t="shared" si="64"/>
        <v>0</v>
      </c>
      <c r="V497" s="53">
        <f t="shared" si="64"/>
        <v>0</v>
      </c>
      <c r="W497" s="8"/>
      <c r="X497" s="8"/>
      <c r="Y497" s="8"/>
      <c r="Z497" s="8"/>
    </row>
    <row r="498" ht="14.25" customHeight="1">
      <c r="A498" s="8"/>
      <c r="C498" s="46"/>
      <c r="D498" s="25"/>
      <c r="H498" s="26"/>
      <c r="I498" s="47" t="s">
        <v>590</v>
      </c>
      <c r="J498" s="53">
        <f t="shared" ref="J498:V498" si="65">(SUMIF($I$471:$V$481,$I498,J$471:J$481))+(SUMIF($I$484:$V$494,$I498,J$484:J$494))</f>
        <v>0</v>
      </c>
      <c r="K498" s="53">
        <f t="shared" si="65"/>
        <v>0</v>
      </c>
      <c r="L498" s="53">
        <f t="shared" si="65"/>
        <v>0</v>
      </c>
      <c r="M498" s="53">
        <f t="shared" si="65"/>
        <v>0</v>
      </c>
      <c r="N498" s="53">
        <f t="shared" si="65"/>
        <v>0</v>
      </c>
      <c r="O498" s="53">
        <f t="shared" si="65"/>
        <v>0</v>
      </c>
      <c r="P498" s="53">
        <f t="shared" si="65"/>
        <v>0</v>
      </c>
      <c r="Q498" s="53">
        <f t="shared" si="65"/>
        <v>0</v>
      </c>
      <c r="R498" s="53">
        <f t="shared" si="65"/>
        <v>0</v>
      </c>
      <c r="S498" s="53">
        <f t="shared" si="65"/>
        <v>0</v>
      </c>
      <c r="T498" s="53">
        <f t="shared" si="65"/>
        <v>0</v>
      </c>
      <c r="U498" s="53">
        <f t="shared" si="65"/>
        <v>0</v>
      </c>
      <c r="V498" s="53">
        <f t="shared" si="65"/>
        <v>0</v>
      </c>
      <c r="W498" s="8"/>
      <c r="X498" s="8"/>
      <c r="Y498" s="8"/>
      <c r="Z498" s="8"/>
    </row>
    <row r="499" ht="14.25" customHeight="1">
      <c r="A499" s="8"/>
      <c r="C499" s="46"/>
      <c r="D499" s="25"/>
      <c r="H499" s="26"/>
      <c r="I499" s="47" t="s">
        <v>491</v>
      </c>
      <c r="J499" s="53">
        <f t="shared" ref="J499:V499" si="66">(SUMIF($I$471:$V$481,$I499,J$471:J$481))+(SUMIF($I$484:$V$494,$I499,J$484:J$494))</f>
        <v>0</v>
      </c>
      <c r="K499" s="53">
        <f t="shared" si="66"/>
        <v>0</v>
      </c>
      <c r="L499" s="53">
        <f t="shared" si="66"/>
        <v>0</v>
      </c>
      <c r="M499" s="53">
        <f t="shared" si="66"/>
        <v>0</v>
      </c>
      <c r="N499" s="53">
        <f t="shared" si="66"/>
        <v>0</v>
      </c>
      <c r="O499" s="53">
        <f t="shared" si="66"/>
        <v>0</v>
      </c>
      <c r="P499" s="53">
        <f t="shared" si="66"/>
        <v>0</v>
      </c>
      <c r="Q499" s="53">
        <f t="shared" si="66"/>
        <v>0</v>
      </c>
      <c r="R499" s="53">
        <f t="shared" si="66"/>
        <v>0</v>
      </c>
      <c r="S499" s="53">
        <f t="shared" si="66"/>
        <v>0</v>
      </c>
      <c r="T499" s="53">
        <f t="shared" si="66"/>
        <v>0</v>
      </c>
      <c r="U499" s="53">
        <f t="shared" si="66"/>
        <v>0</v>
      </c>
      <c r="V499" s="53">
        <f t="shared" si="66"/>
        <v>0</v>
      </c>
      <c r="W499" s="8"/>
      <c r="X499" s="8"/>
      <c r="Y499" s="8"/>
      <c r="Z499" s="8"/>
    </row>
    <row r="500" ht="14.25" customHeight="1">
      <c r="A500" s="8"/>
      <c r="C500" s="46"/>
      <c r="D500" s="28"/>
      <c r="E500" s="29"/>
      <c r="F500" s="29"/>
      <c r="G500" s="29"/>
      <c r="H500" s="30"/>
      <c r="I500" s="47" t="s">
        <v>594</v>
      </c>
      <c r="J500" s="53">
        <f t="shared" ref="J500:V500" si="67">(SUMIF($I$471:$V$481,$I500,J$471:J$481))+(SUMIF($I$484:$V$494,$I500,J$484:J$494))</f>
        <v>0</v>
      </c>
      <c r="K500" s="53">
        <f t="shared" si="67"/>
        <v>0</v>
      </c>
      <c r="L500" s="53">
        <f t="shared" si="67"/>
        <v>0</v>
      </c>
      <c r="M500" s="53">
        <f t="shared" si="67"/>
        <v>0</v>
      </c>
      <c r="N500" s="53">
        <f t="shared" si="67"/>
        <v>0</v>
      </c>
      <c r="O500" s="53">
        <f t="shared" si="67"/>
        <v>0</v>
      </c>
      <c r="P500" s="53">
        <f t="shared" si="67"/>
        <v>0</v>
      </c>
      <c r="Q500" s="53">
        <f t="shared" si="67"/>
        <v>0</v>
      </c>
      <c r="R500" s="53">
        <f t="shared" si="67"/>
        <v>0</v>
      </c>
      <c r="S500" s="53">
        <f t="shared" si="67"/>
        <v>0</v>
      </c>
      <c r="T500" s="53">
        <f t="shared" si="67"/>
        <v>0</v>
      </c>
      <c r="U500" s="53">
        <f t="shared" si="67"/>
        <v>0</v>
      </c>
      <c r="V500" s="53">
        <f t="shared" si="67"/>
        <v>0</v>
      </c>
      <c r="W500" s="8"/>
      <c r="X500" s="8"/>
      <c r="Y500" s="8"/>
      <c r="Z500" s="8"/>
    </row>
    <row r="501" ht="14.25" customHeight="1">
      <c r="A501" s="8"/>
      <c r="C501" s="54"/>
      <c r="D501" s="33"/>
      <c r="E501" s="33"/>
      <c r="F501" s="33"/>
      <c r="G501" s="33"/>
      <c r="H501" s="34"/>
      <c r="I501" s="44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8"/>
      <c r="X501" s="8"/>
      <c r="Y501" s="8"/>
      <c r="Z501" s="8"/>
    </row>
    <row r="502" ht="14.25" customHeight="1">
      <c r="A502" s="8"/>
      <c r="C502" s="77" t="s">
        <v>618</v>
      </c>
      <c r="D502" s="20"/>
      <c r="E502" s="20"/>
      <c r="F502" s="20"/>
      <c r="G502" s="20"/>
      <c r="H502" s="21"/>
      <c r="I502" s="47" t="s">
        <v>582</v>
      </c>
      <c r="J502" s="53">
        <f t="shared" ref="J502:V502" si="68">J463+J496</f>
        <v>0</v>
      </c>
      <c r="K502" s="53">
        <f t="shared" si="68"/>
        <v>0</v>
      </c>
      <c r="L502" s="53">
        <f t="shared" si="68"/>
        <v>0</v>
      </c>
      <c r="M502" s="53">
        <f t="shared" si="68"/>
        <v>0</v>
      </c>
      <c r="N502" s="53">
        <f t="shared" si="68"/>
        <v>0</v>
      </c>
      <c r="O502" s="53">
        <f t="shared" si="68"/>
        <v>0</v>
      </c>
      <c r="P502" s="53">
        <f t="shared" si="68"/>
        <v>0</v>
      </c>
      <c r="Q502" s="53">
        <f t="shared" si="68"/>
        <v>0</v>
      </c>
      <c r="R502" s="53">
        <f t="shared" si="68"/>
        <v>0</v>
      </c>
      <c r="S502" s="53">
        <f t="shared" si="68"/>
        <v>0</v>
      </c>
      <c r="T502" s="53">
        <f t="shared" si="68"/>
        <v>0</v>
      </c>
      <c r="U502" s="53">
        <f t="shared" si="68"/>
        <v>0</v>
      </c>
      <c r="V502" s="53">
        <f t="shared" si="68"/>
        <v>0</v>
      </c>
      <c r="W502" s="8"/>
      <c r="X502" s="8"/>
      <c r="Y502" s="8"/>
      <c r="Z502" s="8"/>
    </row>
    <row r="503" ht="14.25" customHeight="1">
      <c r="A503" s="8"/>
      <c r="C503" s="25"/>
      <c r="H503" s="26"/>
      <c r="I503" s="47" t="s">
        <v>583</v>
      </c>
      <c r="J503" s="53">
        <f t="shared" ref="J503:V503" si="69">J464+J497</f>
        <v>0</v>
      </c>
      <c r="K503" s="53">
        <f t="shared" si="69"/>
        <v>0</v>
      </c>
      <c r="L503" s="53">
        <f t="shared" si="69"/>
        <v>0</v>
      </c>
      <c r="M503" s="53">
        <f t="shared" si="69"/>
        <v>0</v>
      </c>
      <c r="N503" s="53">
        <f t="shared" si="69"/>
        <v>0</v>
      </c>
      <c r="O503" s="53">
        <f t="shared" si="69"/>
        <v>0</v>
      </c>
      <c r="P503" s="53">
        <f t="shared" si="69"/>
        <v>0</v>
      </c>
      <c r="Q503" s="53">
        <f t="shared" si="69"/>
        <v>0</v>
      </c>
      <c r="R503" s="53">
        <f t="shared" si="69"/>
        <v>0</v>
      </c>
      <c r="S503" s="53">
        <f t="shared" si="69"/>
        <v>0</v>
      </c>
      <c r="T503" s="53">
        <f t="shared" si="69"/>
        <v>0</v>
      </c>
      <c r="U503" s="53">
        <f t="shared" si="69"/>
        <v>0</v>
      </c>
      <c r="V503" s="53">
        <f t="shared" si="69"/>
        <v>0</v>
      </c>
      <c r="W503" s="8"/>
      <c r="X503" s="8"/>
      <c r="Y503" s="8"/>
      <c r="Z503" s="8"/>
    </row>
    <row r="504" ht="14.25" customHeight="1">
      <c r="A504" s="8"/>
      <c r="C504" s="25"/>
      <c r="H504" s="26"/>
      <c r="I504" s="47" t="s">
        <v>590</v>
      </c>
      <c r="J504" s="53">
        <f t="shared" ref="J504:V504" si="70">J465+J498</f>
        <v>0</v>
      </c>
      <c r="K504" s="53">
        <f t="shared" si="70"/>
        <v>0</v>
      </c>
      <c r="L504" s="53">
        <f t="shared" si="70"/>
        <v>0</v>
      </c>
      <c r="M504" s="53">
        <f t="shared" si="70"/>
        <v>0</v>
      </c>
      <c r="N504" s="53">
        <f t="shared" si="70"/>
        <v>0</v>
      </c>
      <c r="O504" s="53">
        <f t="shared" si="70"/>
        <v>0</v>
      </c>
      <c r="P504" s="53">
        <f t="shared" si="70"/>
        <v>0</v>
      </c>
      <c r="Q504" s="53">
        <f t="shared" si="70"/>
        <v>0</v>
      </c>
      <c r="R504" s="53">
        <f t="shared" si="70"/>
        <v>0</v>
      </c>
      <c r="S504" s="53">
        <f t="shared" si="70"/>
        <v>0</v>
      </c>
      <c r="T504" s="53">
        <f t="shared" si="70"/>
        <v>0</v>
      </c>
      <c r="U504" s="53">
        <f t="shared" si="70"/>
        <v>0</v>
      </c>
      <c r="V504" s="53">
        <f t="shared" si="70"/>
        <v>0</v>
      </c>
      <c r="W504" s="8"/>
      <c r="X504" s="8"/>
      <c r="Y504" s="8"/>
      <c r="Z504" s="8"/>
    </row>
    <row r="505" ht="14.25" customHeight="1">
      <c r="A505" s="8"/>
      <c r="C505" s="25"/>
      <c r="H505" s="26"/>
      <c r="I505" s="47" t="s">
        <v>491</v>
      </c>
      <c r="J505" s="53">
        <f t="shared" ref="J505:V505" si="71">J466+J499</f>
        <v>0</v>
      </c>
      <c r="K505" s="53">
        <f t="shared" si="71"/>
        <v>0</v>
      </c>
      <c r="L505" s="53">
        <f t="shared" si="71"/>
        <v>0</v>
      </c>
      <c r="M505" s="53">
        <f t="shared" si="71"/>
        <v>0</v>
      </c>
      <c r="N505" s="53">
        <f t="shared" si="71"/>
        <v>0</v>
      </c>
      <c r="O505" s="53">
        <f t="shared" si="71"/>
        <v>0</v>
      </c>
      <c r="P505" s="53">
        <f t="shared" si="71"/>
        <v>0</v>
      </c>
      <c r="Q505" s="53">
        <f t="shared" si="71"/>
        <v>0</v>
      </c>
      <c r="R505" s="53">
        <f t="shared" si="71"/>
        <v>0</v>
      </c>
      <c r="S505" s="53">
        <f t="shared" si="71"/>
        <v>0</v>
      </c>
      <c r="T505" s="53">
        <f t="shared" si="71"/>
        <v>0</v>
      </c>
      <c r="U505" s="53">
        <f t="shared" si="71"/>
        <v>0</v>
      </c>
      <c r="V505" s="53">
        <f t="shared" si="71"/>
        <v>0</v>
      </c>
      <c r="W505" s="8"/>
      <c r="X505" s="8"/>
      <c r="Y505" s="8"/>
      <c r="Z505" s="8"/>
    </row>
    <row r="506" ht="14.25" customHeight="1">
      <c r="A506" s="8"/>
      <c r="C506" s="28"/>
      <c r="D506" s="29"/>
      <c r="E506" s="29"/>
      <c r="F506" s="29"/>
      <c r="G506" s="29"/>
      <c r="H506" s="30"/>
      <c r="I506" s="47" t="s">
        <v>594</v>
      </c>
      <c r="J506" s="53">
        <f t="shared" ref="J506:V506" si="72">J467+J500</f>
        <v>0</v>
      </c>
      <c r="K506" s="53">
        <f t="shared" si="72"/>
        <v>0</v>
      </c>
      <c r="L506" s="53">
        <f t="shared" si="72"/>
        <v>0</v>
      </c>
      <c r="M506" s="53">
        <f t="shared" si="72"/>
        <v>0</v>
      </c>
      <c r="N506" s="53">
        <f t="shared" si="72"/>
        <v>0</v>
      </c>
      <c r="O506" s="53">
        <f t="shared" si="72"/>
        <v>0</v>
      </c>
      <c r="P506" s="53">
        <f t="shared" si="72"/>
        <v>0</v>
      </c>
      <c r="Q506" s="53">
        <f t="shared" si="72"/>
        <v>0</v>
      </c>
      <c r="R506" s="53">
        <f t="shared" si="72"/>
        <v>0</v>
      </c>
      <c r="S506" s="53">
        <f t="shared" si="72"/>
        <v>0</v>
      </c>
      <c r="T506" s="53">
        <f t="shared" si="72"/>
        <v>0</v>
      </c>
      <c r="U506" s="53">
        <f t="shared" si="72"/>
        <v>0</v>
      </c>
      <c r="V506" s="53">
        <f t="shared" si="72"/>
        <v>0</v>
      </c>
      <c r="W506" s="8"/>
      <c r="X506" s="8"/>
      <c r="Y506" s="8"/>
      <c r="Z506" s="8"/>
    </row>
    <row r="507" ht="14.25" customHeight="1">
      <c r="A507" s="8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8"/>
      <c r="X507" s="8"/>
      <c r="Y507" s="8"/>
      <c r="Z507" s="8"/>
    </row>
    <row r="508" ht="14.25" customHeight="1">
      <c r="A508" s="16">
        <v>4.0</v>
      </c>
      <c r="B508" s="17"/>
      <c r="C508" s="16" t="s">
        <v>619</v>
      </c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8"/>
      <c r="X508" s="8"/>
      <c r="Y508" s="8"/>
      <c r="Z508" s="8"/>
    </row>
    <row r="509" ht="14.25" customHeight="1">
      <c r="A509" s="8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8"/>
      <c r="X509" s="8"/>
      <c r="Y509" s="8"/>
      <c r="Z509" s="8"/>
    </row>
    <row r="510" ht="14.25" customHeight="1">
      <c r="A510" s="8"/>
      <c r="C510" s="18" t="s">
        <v>321</v>
      </c>
      <c r="D510" s="19" t="s">
        <v>322</v>
      </c>
      <c r="E510" s="20"/>
      <c r="F510" s="20"/>
      <c r="G510" s="20"/>
      <c r="H510" s="21"/>
      <c r="I510" s="22" t="s">
        <v>323</v>
      </c>
      <c r="J510" s="23">
        <f>$H$2</f>
        <v>2026</v>
      </c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1"/>
      <c r="W510" s="8"/>
      <c r="X510" s="8"/>
      <c r="Y510" s="8"/>
      <c r="Z510" s="8"/>
    </row>
    <row r="511" ht="14.25" customHeight="1">
      <c r="A511" s="8"/>
      <c r="C511" s="24"/>
      <c r="D511" s="25"/>
      <c r="H511" s="26"/>
      <c r="I511" s="24"/>
      <c r="J511" s="25"/>
      <c r="V511" s="26"/>
      <c r="W511" s="8"/>
      <c r="X511" s="8"/>
      <c r="Y511" s="8"/>
      <c r="Z511" s="8"/>
    </row>
    <row r="512" ht="14.25" customHeight="1">
      <c r="A512" s="8"/>
      <c r="C512" s="27"/>
      <c r="D512" s="28"/>
      <c r="E512" s="29"/>
      <c r="F512" s="29"/>
      <c r="G512" s="29"/>
      <c r="H512" s="30"/>
      <c r="I512" s="27"/>
      <c r="J512" s="31" t="s">
        <v>324</v>
      </c>
      <c r="K512" s="31" t="s">
        <v>325</v>
      </c>
      <c r="L512" s="31" t="s">
        <v>326</v>
      </c>
      <c r="M512" s="31" t="s">
        <v>327</v>
      </c>
      <c r="N512" s="31" t="s">
        <v>328</v>
      </c>
      <c r="O512" s="31" t="s">
        <v>329</v>
      </c>
      <c r="P512" s="31" t="s">
        <v>330</v>
      </c>
      <c r="Q512" s="31" t="s">
        <v>331</v>
      </c>
      <c r="R512" s="31" t="s">
        <v>332</v>
      </c>
      <c r="S512" s="31" t="s">
        <v>333</v>
      </c>
      <c r="T512" s="31" t="s">
        <v>334</v>
      </c>
      <c r="U512" s="31" t="s">
        <v>335</v>
      </c>
      <c r="V512" s="31" t="s">
        <v>336</v>
      </c>
      <c r="W512" s="8"/>
      <c r="X512" s="8"/>
      <c r="Y512" s="8"/>
      <c r="Z512" s="8"/>
    </row>
    <row r="513" ht="14.25" customHeight="1">
      <c r="A513" s="8"/>
      <c r="C513" s="31">
        <v>1.0</v>
      </c>
      <c r="D513" s="32">
        <v>2.0</v>
      </c>
      <c r="E513" s="33"/>
      <c r="F513" s="33"/>
      <c r="G513" s="33"/>
      <c r="H513" s="34"/>
      <c r="I513" s="35">
        <v>3.0</v>
      </c>
      <c r="J513" s="36">
        <v>4.0</v>
      </c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8"/>
      <c r="V513" s="39">
        <v>5.0</v>
      </c>
      <c r="W513" s="8"/>
      <c r="X513" s="8"/>
      <c r="Y513" s="8"/>
      <c r="Z513" s="8"/>
    </row>
    <row r="514" ht="14.25" customHeight="1">
      <c r="A514" s="8"/>
      <c r="C514" s="40"/>
      <c r="D514" s="48"/>
      <c r="E514" s="88"/>
      <c r="F514" s="88"/>
      <c r="G514" s="88"/>
      <c r="H514" s="89"/>
      <c r="I514" s="48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8"/>
      <c r="X514" s="8"/>
      <c r="Y514" s="8"/>
      <c r="Z514" s="8"/>
    </row>
    <row r="515" ht="14.25" customHeight="1">
      <c r="A515" s="8"/>
      <c r="C515" s="64">
        <v>1.0</v>
      </c>
      <c r="D515" s="47" t="s">
        <v>469</v>
      </c>
      <c r="E515" s="33"/>
      <c r="F515" s="33"/>
      <c r="G515" s="33"/>
      <c r="H515" s="34"/>
      <c r="I515" s="44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8"/>
      <c r="X515" s="8"/>
      <c r="Y515" s="8"/>
      <c r="Z515" s="8"/>
    </row>
    <row r="516" ht="14.25" customHeight="1">
      <c r="A516" s="8"/>
      <c r="C516" s="46"/>
      <c r="D516" s="46">
        <v>1.0</v>
      </c>
      <c r="E516" s="47" t="s">
        <v>470</v>
      </c>
      <c r="F516" s="33"/>
      <c r="G516" s="33"/>
      <c r="H516" s="34"/>
      <c r="I516" s="44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8"/>
      <c r="X516" s="8"/>
      <c r="Y516" s="8"/>
      <c r="Z516" s="8"/>
    </row>
    <row r="517" ht="14.25" customHeight="1">
      <c r="A517" s="8"/>
      <c r="B517" s="7" t="s">
        <v>620</v>
      </c>
      <c r="C517" s="46"/>
      <c r="D517" s="46"/>
      <c r="E517" s="46">
        <v>1.0</v>
      </c>
      <c r="F517" s="47" t="s">
        <v>341</v>
      </c>
      <c r="G517" s="33"/>
      <c r="H517" s="34"/>
      <c r="I517" s="47" t="s">
        <v>582</v>
      </c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53">
        <f t="shared" ref="V517:V527" si="73">SUM(J517:U517)</f>
        <v>0</v>
      </c>
      <c r="W517" s="8"/>
      <c r="X517" s="8"/>
      <c r="Y517" s="8"/>
      <c r="Z517" s="8"/>
    </row>
    <row r="518" ht="14.25" customHeight="1">
      <c r="A518" s="8"/>
      <c r="B518" s="7" t="s">
        <v>620</v>
      </c>
      <c r="C518" s="46"/>
      <c r="D518" s="46"/>
      <c r="E518" s="46"/>
      <c r="F518" s="47"/>
      <c r="G518" s="33"/>
      <c r="H518" s="34"/>
      <c r="I518" s="47" t="s">
        <v>583</v>
      </c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53">
        <f t="shared" si="73"/>
        <v>0</v>
      </c>
      <c r="W518" s="8"/>
      <c r="X518" s="8"/>
      <c r="Y518" s="8"/>
      <c r="Z518" s="8"/>
    </row>
    <row r="519" ht="14.25" customHeight="1">
      <c r="A519" s="8"/>
      <c r="B519" s="7" t="s">
        <v>621</v>
      </c>
      <c r="C519" s="46"/>
      <c r="D519" s="46"/>
      <c r="E519" s="46">
        <v>2.0</v>
      </c>
      <c r="F519" s="47" t="s">
        <v>585</v>
      </c>
      <c r="G519" s="33"/>
      <c r="H519" s="34"/>
      <c r="I519" s="47" t="s">
        <v>582</v>
      </c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53">
        <f t="shared" si="73"/>
        <v>0</v>
      </c>
      <c r="W519" s="8"/>
      <c r="X519" s="8"/>
      <c r="Y519" s="8"/>
      <c r="Z519" s="8"/>
    </row>
    <row r="520" ht="14.25" customHeight="1">
      <c r="A520" s="8"/>
      <c r="B520" s="7" t="s">
        <v>622</v>
      </c>
      <c r="C520" s="46"/>
      <c r="D520" s="46"/>
      <c r="E520" s="46">
        <v>3.0</v>
      </c>
      <c r="F520" s="47" t="s">
        <v>587</v>
      </c>
      <c r="G520" s="33"/>
      <c r="H520" s="34"/>
      <c r="I520" s="47" t="s">
        <v>582</v>
      </c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53">
        <f t="shared" si="73"/>
        <v>0</v>
      </c>
      <c r="W520" s="8"/>
      <c r="X520" s="8"/>
      <c r="Y520" s="8"/>
      <c r="Z520" s="8"/>
    </row>
    <row r="521" ht="14.25" customHeight="1">
      <c r="A521" s="8"/>
      <c r="B521" s="7" t="s">
        <v>623</v>
      </c>
      <c r="C521" s="46"/>
      <c r="D521" s="46"/>
      <c r="E521" s="46">
        <v>4.0</v>
      </c>
      <c r="F521" s="47" t="s">
        <v>351</v>
      </c>
      <c r="G521" s="33"/>
      <c r="H521" s="34"/>
      <c r="I521" s="47" t="s">
        <v>582</v>
      </c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53">
        <f t="shared" si="73"/>
        <v>0</v>
      </c>
      <c r="W521" s="8"/>
      <c r="X521" s="8"/>
      <c r="Y521" s="8"/>
      <c r="Z521" s="8"/>
    </row>
    <row r="522" ht="14.25" customHeight="1">
      <c r="A522" s="8"/>
      <c r="B522" s="7" t="s">
        <v>624</v>
      </c>
      <c r="C522" s="46"/>
      <c r="D522" s="46"/>
      <c r="E522" s="46">
        <v>5.0</v>
      </c>
      <c r="F522" s="47" t="s">
        <v>347</v>
      </c>
      <c r="G522" s="33"/>
      <c r="H522" s="34"/>
      <c r="I522" s="47" t="s">
        <v>582</v>
      </c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53">
        <f t="shared" si="73"/>
        <v>0</v>
      </c>
      <c r="W522" s="8"/>
      <c r="X522" s="8"/>
      <c r="Y522" s="8"/>
      <c r="Z522" s="8"/>
    </row>
    <row r="523" ht="14.25" customHeight="1">
      <c r="A523" s="8"/>
      <c r="B523" s="7" t="s">
        <v>624</v>
      </c>
      <c r="C523" s="46"/>
      <c r="D523" s="46"/>
      <c r="E523" s="46"/>
      <c r="F523" s="47"/>
      <c r="G523" s="71"/>
      <c r="H523" s="72"/>
      <c r="I523" s="47" t="s">
        <v>590</v>
      </c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53">
        <f t="shared" si="73"/>
        <v>0</v>
      </c>
      <c r="W523" s="8"/>
      <c r="X523" s="8"/>
      <c r="Y523" s="8"/>
      <c r="Z523" s="8"/>
    </row>
    <row r="524" ht="14.25" customHeight="1">
      <c r="A524" s="8"/>
      <c r="B524" s="7" t="s">
        <v>625</v>
      </c>
      <c r="C524" s="46"/>
      <c r="D524" s="46"/>
      <c r="E524" s="46">
        <v>6.0</v>
      </c>
      <c r="F524" s="47" t="s">
        <v>592</v>
      </c>
      <c r="G524" s="33"/>
      <c r="H524" s="34"/>
      <c r="I524" s="47" t="s">
        <v>582</v>
      </c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53">
        <f t="shared" si="73"/>
        <v>0</v>
      </c>
      <c r="W524" s="8"/>
      <c r="X524" s="8"/>
      <c r="Y524" s="8"/>
      <c r="Z524" s="8"/>
    </row>
    <row r="525" ht="14.25" customHeight="1">
      <c r="A525" s="8"/>
      <c r="B525" s="7" t="s">
        <v>625</v>
      </c>
      <c r="C525" s="46"/>
      <c r="D525" s="46"/>
      <c r="E525" s="46"/>
      <c r="F525" s="47"/>
      <c r="G525" s="33"/>
      <c r="H525" s="34"/>
      <c r="I525" s="47" t="s">
        <v>491</v>
      </c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53">
        <f t="shared" si="73"/>
        <v>0</v>
      </c>
      <c r="W525" s="8"/>
      <c r="X525" s="8"/>
      <c r="Y525" s="8"/>
      <c r="Z525" s="8"/>
    </row>
    <row r="526" ht="14.25" customHeight="1">
      <c r="A526" s="8"/>
      <c r="B526" s="7" t="s">
        <v>626</v>
      </c>
      <c r="C526" s="46"/>
      <c r="D526" s="46"/>
      <c r="E526" s="46">
        <v>7.0</v>
      </c>
      <c r="F526" s="47" t="s">
        <v>357</v>
      </c>
      <c r="G526" s="33"/>
      <c r="H526" s="34"/>
      <c r="I526" s="47" t="s">
        <v>582</v>
      </c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53">
        <f t="shared" si="73"/>
        <v>0</v>
      </c>
      <c r="W526" s="8"/>
      <c r="X526" s="8"/>
      <c r="Y526" s="8"/>
      <c r="Z526" s="8"/>
    </row>
    <row r="527" ht="14.25" customHeight="1">
      <c r="A527" s="8"/>
      <c r="B527" s="7" t="s">
        <v>626</v>
      </c>
      <c r="C527" s="46"/>
      <c r="D527" s="46"/>
      <c r="E527" s="46"/>
      <c r="F527" s="54"/>
      <c r="G527" s="33"/>
      <c r="H527" s="34"/>
      <c r="I527" s="47" t="s">
        <v>594</v>
      </c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53">
        <f t="shared" si="73"/>
        <v>0</v>
      </c>
      <c r="W527" s="8"/>
      <c r="X527" s="8"/>
      <c r="Y527" s="8"/>
      <c r="Z527" s="8"/>
    </row>
    <row r="528" ht="14.25" customHeight="1">
      <c r="A528" s="8"/>
      <c r="C528" s="46"/>
      <c r="D528" s="46"/>
      <c r="E528" s="85"/>
      <c r="F528" s="91"/>
      <c r="G528" s="91"/>
      <c r="H528" s="91"/>
      <c r="I528" s="92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8"/>
      <c r="X528" s="8"/>
      <c r="Y528" s="8"/>
      <c r="Z528" s="8"/>
    </row>
    <row r="529" ht="14.25" customHeight="1">
      <c r="A529" s="8"/>
      <c r="C529" s="46"/>
      <c r="D529" s="46">
        <v>2.0</v>
      </c>
      <c r="E529" s="47" t="s">
        <v>496</v>
      </c>
      <c r="F529" s="33"/>
      <c r="G529" s="33"/>
      <c r="H529" s="34"/>
      <c r="I529" s="44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8"/>
      <c r="X529" s="8"/>
      <c r="Y529" s="8"/>
      <c r="Z529" s="8"/>
    </row>
    <row r="530" ht="14.25" customHeight="1">
      <c r="A530" s="8"/>
      <c r="B530" s="7" t="s">
        <v>627</v>
      </c>
      <c r="C530" s="46"/>
      <c r="D530" s="46"/>
      <c r="E530" s="46">
        <v>1.0</v>
      </c>
      <c r="F530" s="47" t="s">
        <v>341</v>
      </c>
      <c r="G530" s="33"/>
      <c r="H530" s="34"/>
      <c r="I530" s="47" t="s">
        <v>582</v>
      </c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53">
        <f t="shared" ref="V530:V540" si="74">SUM(J530:U530)</f>
        <v>0</v>
      </c>
      <c r="W530" s="8"/>
      <c r="X530" s="8"/>
      <c r="Y530" s="8"/>
      <c r="Z530" s="8"/>
    </row>
    <row r="531" ht="14.25" customHeight="1">
      <c r="A531" s="8"/>
      <c r="B531" s="7" t="s">
        <v>627</v>
      </c>
      <c r="C531" s="46"/>
      <c r="D531" s="46"/>
      <c r="E531" s="46"/>
      <c r="F531" s="47"/>
      <c r="G531" s="33"/>
      <c r="H531" s="34"/>
      <c r="I531" s="47" t="s">
        <v>583</v>
      </c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53">
        <f t="shared" si="74"/>
        <v>0</v>
      </c>
      <c r="W531" s="8"/>
      <c r="X531" s="8"/>
      <c r="Y531" s="8"/>
      <c r="Z531" s="8"/>
    </row>
    <row r="532" ht="14.25" customHeight="1">
      <c r="A532" s="8"/>
      <c r="B532" s="7" t="s">
        <v>628</v>
      </c>
      <c r="C532" s="46"/>
      <c r="D532" s="46"/>
      <c r="E532" s="46">
        <v>2.0</v>
      </c>
      <c r="F532" s="47" t="s">
        <v>585</v>
      </c>
      <c r="G532" s="33"/>
      <c r="H532" s="34"/>
      <c r="I532" s="47" t="s">
        <v>582</v>
      </c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53">
        <f t="shared" si="74"/>
        <v>0</v>
      </c>
      <c r="W532" s="8"/>
      <c r="X532" s="8"/>
      <c r="Y532" s="8"/>
      <c r="Z532" s="8"/>
    </row>
    <row r="533" ht="14.25" customHeight="1">
      <c r="A533" s="8"/>
      <c r="B533" s="7" t="s">
        <v>629</v>
      </c>
      <c r="C533" s="46"/>
      <c r="D533" s="46"/>
      <c r="E533" s="46">
        <v>3.0</v>
      </c>
      <c r="F533" s="47" t="s">
        <v>587</v>
      </c>
      <c r="G533" s="33"/>
      <c r="H533" s="34"/>
      <c r="I533" s="47" t="s">
        <v>582</v>
      </c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53">
        <f t="shared" si="74"/>
        <v>0</v>
      </c>
      <c r="W533" s="8"/>
      <c r="X533" s="8"/>
      <c r="Y533" s="8"/>
      <c r="Z533" s="8"/>
    </row>
    <row r="534" ht="14.25" customHeight="1">
      <c r="A534" s="8"/>
      <c r="B534" s="7" t="s">
        <v>630</v>
      </c>
      <c r="C534" s="46"/>
      <c r="D534" s="46"/>
      <c r="E534" s="46">
        <v>4.0</v>
      </c>
      <c r="F534" s="47" t="s">
        <v>351</v>
      </c>
      <c r="G534" s="33"/>
      <c r="H534" s="34"/>
      <c r="I534" s="47" t="s">
        <v>582</v>
      </c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53">
        <f t="shared" si="74"/>
        <v>0</v>
      </c>
      <c r="W534" s="8"/>
      <c r="X534" s="8"/>
      <c r="Y534" s="8"/>
      <c r="Z534" s="8"/>
    </row>
    <row r="535" ht="14.25" customHeight="1">
      <c r="A535" s="8"/>
      <c r="B535" s="7" t="s">
        <v>631</v>
      </c>
      <c r="C535" s="46"/>
      <c r="D535" s="46"/>
      <c r="E535" s="46">
        <v>5.0</v>
      </c>
      <c r="F535" s="47" t="s">
        <v>347</v>
      </c>
      <c r="G535" s="33"/>
      <c r="H535" s="34"/>
      <c r="I535" s="47" t="s">
        <v>582</v>
      </c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53">
        <f t="shared" si="74"/>
        <v>0</v>
      </c>
      <c r="W535" s="8"/>
      <c r="X535" s="8"/>
      <c r="Y535" s="8"/>
      <c r="Z535" s="8"/>
    </row>
    <row r="536" ht="14.25" customHeight="1">
      <c r="A536" s="8"/>
      <c r="B536" s="7" t="s">
        <v>631</v>
      </c>
      <c r="C536" s="46"/>
      <c r="D536" s="46"/>
      <c r="E536" s="46"/>
      <c r="F536" s="47"/>
      <c r="G536" s="71"/>
      <c r="H536" s="72"/>
      <c r="I536" s="47" t="s">
        <v>590</v>
      </c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53">
        <f t="shared" si="74"/>
        <v>0</v>
      </c>
      <c r="W536" s="8"/>
      <c r="X536" s="8"/>
      <c r="Y536" s="8"/>
      <c r="Z536" s="8"/>
    </row>
    <row r="537" ht="14.25" customHeight="1">
      <c r="A537" s="8"/>
      <c r="B537" s="7" t="s">
        <v>632</v>
      </c>
      <c r="C537" s="46"/>
      <c r="D537" s="46"/>
      <c r="E537" s="46">
        <v>6.0</v>
      </c>
      <c r="F537" s="47" t="s">
        <v>592</v>
      </c>
      <c r="G537" s="33"/>
      <c r="H537" s="34"/>
      <c r="I537" s="47" t="s">
        <v>582</v>
      </c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53">
        <f t="shared" si="74"/>
        <v>0</v>
      </c>
      <c r="W537" s="8"/>
      <c r="X537" s="8"/>
      <c r="Y537" s="8"/>
      <c r="Z537" s="8"/>
    </row>
    <row r="538" ht="14.25" customHeight="1">
      <c r="A538" s="8"/>
      <c r="B538" s="7" t="s">
        <v>632</v>
      </c>
      <c r="C538" s="46"/>
      <c r="D538" s="46"/>
      <c r="E538" s="46"/>
      <c r="F538" s="47"/>
      <c r="G538" s="33"/>
      <c r="H538" s="34"/>
      <c r="I538" s="47" t="s">
        <v>491</v>
      </c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53">
        <f t="shared" si="74"/>
        <v>0</v>
      </c>
      <c r="W538" s="8"/>
      <c r="X538" s="8"/>
      <c r="Y538" s="8"/>
      <c r="Z538" s="8"/>
    </row>
    <row r="539" ht="14.25" customHeight="1">
      <c r="A539" s="8"/>
      <c r="B539" s="7" t="s">
        <v>633</v>
      </c>
      <c r="C539" s="46"/>
      <c r="D539" s="46"/>
      <c r="E539" s="46">
        <v>7.0</v>
      </c>
      <c r="F539" s="47" t="s">
        <v>357</v>
      </c>
      <c r="G539" s="33"/>
      <c r="H539" s="34"/>
      <c r="I539" s="47" t="s">
        <v>582</v>
      </c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53">
        <f t="shared" si="74"/>
        <v>0</v>
      </c>
      <c r="W539" s="8"/>
      <c r="X539" s="8"/>
      <c r="Y539" s="8"/>
      <c r="Z539" s="8"/>
    </row>
    <row r="540" ht="14.25" customHeight="1">
      <c r="A540" s="8"/>
      <c r="B540" s="7" t="s">
        <v>633</v>
      </c>
      <c r="C540" s="46"/>
      <c r="D540" s="46"/>
      <c r="E540" s="46"/>
      <c r="F540" s="47"/>
      <c r="G540" s="33"/>
      <c r="H540" s="34"/>
      <c r="I540" s="47" t="s">
        <v>594</v>
      </c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53">
        <f t="shared" si="74"/>
        <v>0</v>
      </c>
      <c r="W540" s="8"/>
      <c r="X540" s="8"/>
      <c r="Y540" s="8"/>
      <c r="Z540" s="8"/>
    </row>
    <row r="541" ht="14.25" customHeight="1">
      <c r="A541" s="8"/>
      <c r="C541" s="46"/>
      <c r="D541" s="46"/>
      <c r="E541" s="75"/>
      <c r="F541" s="42"/>
      <c r="G541" s="42"/>
      <c r="H541" s="42"/>
      <c r="I541" s="42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8"/>
      <c r="X541" s="8"/>
      <c r="Y541" s="8"/>
      <c r="Z541" s="8"/>
    </row>
    <row r="542" ht="14.25" customHeight="1">
      <c r="A542" s="8"/>
      <c r="C542" s="46"/>
      <c r="D542" s="77" t="s">
        <v>602</v>
      </c>
      <c r="E542" s="20"/>
      <c r="F542" s="20"/>
      <c r="G542" s="20"/>
      <c r="H542" s="21"/>
      <c r="I542" s="47" t="s">
        <v>582</v>
      </c>
      <c r="J542" s="53">
        <f t="shared" ref="J542:V542" si="75">(SUMIF($I$517:$V$527,$I542,J$517:J$527))+(SUMIF($I$530:$V$540,$I542,J$530:J$540))</f>
        <v>0</v>
      </c>
      <c r="K542" s="53">
        <f t="shared" si="75"/>
        <v>0</v>
      </c>
      <c r="L542" s="53">
        <f t="shared" si="75"/>
        <v>0</v>
      </c>
      <c r="M542" s="53">
        <f t="shared" si="75"/>
        <v>0</v>
      </c>
      <c r="N542" s="53">
        <f t="shared" si="75"/>
        <v>0</v>
      </c>
      <c r="O542" s="53">
        <f t="shared" si="75"/>
        <v>0</v>
      </c>
      <c r="P542" s="53">
        <f t="shared" si="75"/>
        <v>0</v>
      </c>
      <c r="Q542" s="53">
        <f t="shared" si="75"/>
        <v>0</v>
      </c>
      <c r="R542" s="53">
        <f t="shared" si="75"/>
        <v>0</v>
      </c>
      <c r="S542" s="53">
        <f t="shared" si="75"/>
        <v>0</v>
      </c>
      <c r="T542" s="53">
        <f t="shared" si="75"/>
        <v>0</v>
      </c>
      <c r="U542" s="53">
        <f t="shared" si="75"/>
        <v>0</v>
      </c>
      <c r="V542" s="53">
        <f t="shared" si="75"/>
        <v>0</v>
      </c>
      <c r="W542" s="8"/>
      <c r="X542" s="8"/>
      <c r="Y542" s="8"/>
      <c r="Z542" s="8"/>
    </row>
    <row r="543" ht="14.25" customHeight="1">
      <c r="A543" s="8"/>
      <c r="C543" s="46"/>
      <c r="D543" s="25"/>
      <c r="H543" s="26"/>
      <c r="I543" s="47" t="s">
        <v>583</v>
      </c>
      <c r="J543" s="53">
        <f t="shared" ref="J543:V543" si="76">(SUMIF($I$517:$V$527,$I543,J$517:J$527))+(SUMIF($I$530:$V$540,$I543,J$530:J$540))</f>
        <v>0</v>
      </c>
      <c r="K543" s="53">
        <f t="shared" si="76"/>
        <v>0</v>
      </c>
      <c r="L543" s="53">
        <f t="shared" si="76"/>
        <v>0</v>
      </c>
      <c r="M543" s="53">
        <f t="shared" si="76"/>
        <v>0</v>
      </c>
      <c r="N543" s="53">
        <f t="shared" si="76"/>
        <v>0</v>
      </c>
      <c r="O543" s="53">
        <f t="shared" si="76"/>
        <v>0</v>
      </c>
      <c r="P543" s="53">
        <f t="shared" si="76"/>
        <v>0</v>
      </c>
      <c r="Q543" s="53">
        <f t="shared" si="76"/>
        <v>0</v>
      </c>
      <c r="R543" s="53">
        <f t="shared" si="76"/>
        <v>0</v>
      </c>
      <c r="S543" s="53">
        <f t="shared" si="76"/>
        <v>0</v>
      </c>
      <c r="T543" s="53">
        <f t="shared" si="76"/>
        <v>0</v>
      </c>
      <c r="U543" s="53">
        <f t="shared" si="76"/>
        <v>0</v>
      </c>
      <c r="V543" s="53">
        <f t="shared" si="76"/>
        <v>0</v>
      </c>
      <c r="W543" s="8"/>
      <c r="X543" s="8"/>
      <c r="Y543" s="8"/>
      <c r="Z543" s="8"/>
    </row>
    <row r="544" ht="14.25" customHeight="1">
      <c r="A544" s="8"/>
      <c r="C544" s="46"/>
      <c r="D544" s="25"/>
      <c r="H544" s="26"/>
      <c r="I544" s="47" t="s">
        <v>590</v>
      </c>
      <c r="J544" s="53">
        <f t="shared" ref="J544:V544" si="77">(SUMIF($I$517:$V$527,$I544,J$517:J$527))+(SUMIF($I$530:$V$540,$I544,J$530:J$540))</f>
        <v>0</v>
      </c>
      <c r="K544" s="53">
        <f t="shared" si="77"/>
        <v>0</v>
      </c>
      <c r="L544" s="53">
        <f t="shared" si="77"/>
        <v>0</v>
      </c>
      <c r="M544" s="53">
        <f t="shared" si="77"/>
        <v>0</v>
      </c>
      <c r="N544" s="53">
        <f t="shared" si="77"/>
        <v>0</v>
      </c>
      <c r="O544" s="53">
        <f t="shared" si="77"/>
        <v>0</v>
      </c>
      <c r="P544" s="53">
        <f t="shared" si="77"/>
        <v>0</v>
      </c>
      <c r="Q544" s="53">
        <f t="shared" si="77"/>
        <v>0</v>
      </c>
      <c r="R544" s="53">
        <f t="shared" si="77"/>
        <v>0</v>
      </c>
      <c r="S544" s="53">
        <f t="shared" si="77"/>
        <v>0</v>
      </c>
      <c r="T544" s="53">
        <f t="shared" si="77"/>
        <v>0</v>
      </c>
      <c r="U544" s="53">
        <f t="shared" si="77"/>
        <v>0</v>
      </c>
      <c r="V544" s="53">
        <f t="shared" si="77"/>
        <v>0</v>
      </c>
      <c r="W544" s="8"/>
      <c r="X544" s="8"/>
      <c r="Y544" s="8"/>
      <c r="Z544" s="8"/>
    </row>
    <row r="545" ht="14.25" customHeight="1">
      <c r="A545" s="8"/>
      <c r="C545" s="46"/>
      <c r="D545" s="25"/>
      <c r="H545" s="26"/>
      <c r="I545" s="47" t="s">
        <v>491</v>
      </c>
      <c r="J545" s="53">
        <f t="shared" ref="J545:V545" si="78">(SUMIF($I$517:$V$527,$I545,J$517:J$527))+(SUMIF($I$530:$V$540,$I545,J$530:J$540))</f>
        <v>0</v>
      </c>
      <c r="K545" s="53">
        <f t="shared" si="78"/>
        <v>0</v>
      </c>
      <c r="L545" s="53">
        <f t="shared" si="78"/>
        <v>0</v>
      </c>
      <c r="M545" s="53">
        <f t="shared" si="78"/>
        <v>0</v>
      </c>
      <c r="N545" s="53">
        <f t="shared" si="78"/>
        <v>0</v>
      </c>
      <c r="O545" s="53">
        <f t="shared" si="78"/>
        <v>0</v>
      </c>
      <c r="P545" s="53">
        <f t="shared" si="78"/>
        <v>0</v>
      </c>
      <c r="Q545" s="53">
        <f t="shared" si="78"/>
        <v>0</v>
      </c>
      <c r="R545" s="53">
        <f t="shared" si="78"/>
        <v>0</v>
      </c>
      <c r="S545" s="53">
        <f t="shared" si="78"/>
        <v>0</v>
      </c>
      <c r="T545" s="53">
        <f t="shared" si="78"/>
        <v>0</v>
      </c>
      <c r="U545" s="53">
        <f t="shared" si="78"/>
        <v>0</v>
      </c>
      <c r="V545" s="53">
        <f t="shared" si="78"/>
        <v>0</v>
      </c>
      <c r="W545" s="8"/>
      <c r="X545" s="8"/>
      <c r="Y545" s="8"/>
      <c r="Z545" s="8"/>
    </row>
    <row r="546" ht="14.25" customHeight="1">
      <c r="A546" s="8"/>
      <c r="C546" s="46"/>
      <c r="D546" s="28"/>
      <c r="E546" s="29"/>
      <c r="F546" s="29"/>
      <c r="G546" s="29"/>
      <c r="H546" s="30"/>
      <c r="I546" s="47" t="s">
        <v>594</v>
      </c>
      <c r="J546" s="53">
        <f t="shared" ref="J546:V546" si="79">(SUMIF($I$517:$V$527,$I546,J$517:J$527))+(SUMIF($I$530:$V$540,$I546,J$530:J$540))</f>
        <v>0</v>
      </c>
      <c r="K546" s="53">
        <f t="shared" si="79"/>
        <v>0</v>
      </c>
      <c r="L546" s="53">
        <f t="shared" si="79"/>
        <v>0</v>
      </c>
      <c r="M546" s="53">
        <f t="shared" si="79"/>
        <v>0</v>
      </c>
      <c r="N546" s="53">
        <f t="shared" si="79"/>
        <v>0</v>
      </c>
      <c r="O546" s="53">
        <f t="shared" si="79"/>
        <v>0</v>
      </c>
      <c r="P546" s="53">
        <f t="shared" si="79"/>
        <v>0</v>
      </c>
      <c r="Q546" s="53">
        <f t="shared" si="79"/>
        <v>0</v>
      </c>
      <c r="R546" s="53">
        <f t="shared" si="79"/>
        <v>0</v>
      </c>
      <c r="S546" s="53">
        <f t="shared" si="79"/>
        <v>0</v>
      </c>
      <c r="T546" s="53">
        <f t="shared" si="79"/>
        <v>0</v>
      </c>
      <c r="U546" s="53">
        <f t="shared" si="79"/>
        <v>0</v>
      </c>
      <c r="V546" s="53">
        <f t="shared" si="79"/>
        <v>0</v>
      </c>
      <c r="W546" s="8"/>
      <c r="X546" s="8"/>
      <c r="Y546" s="8"/>
      <c r="Z546" s="8"/>
    </row>
    <row r="547" ht="14.25" customHeight="1">
      <c r="A547" s="8"/>
      <c r="C547" s="46"/>
      <c r="D547" s="48"/>
      <c r="E547" s="88"/>
      <c r="F547" s="88"/>
      <c r="G547" s="88"/>
      <c r="H547" s="89"/>
      <c r="I547" s="48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8"/>
      <c r="X547" s="8"/>
      <c r="Y547" s="8"/>
      <c r="Z547" s="8"/>
    </row>
    <row r="548" ht="14.25" customHeight="1">
      <c r="A548" s="8"/>
      <c r="C548" s="64">
        <v>2.0</v>
      </c>
      <c r="D548" s="47" t="s">
        <v>530</v>
      </c>
      <c r="E548" s="33"/>
      <c r="F548" s="33"/>
      <c r="G548" s="33"/>
      <c r="H548" s="34"/>
      <c r="I548" s="44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8"/>
      <c r="X548" s="8"/>
      <c r="Y548" s="8"/>
      <c r="Z548" s="8"/>
    </row>
    <row r="549" ht="14.25" customHeight="1">
      <c r="A549" s="8"/>
      <c r="C549" s="46"/>
      <c r="D549" s="46">
        <v>1.0</v>
      </c>
      <c r="E549" s="47" t="s">
        <v>531</v>
      </c>
      <c r="F549" s="33"/>
      <c r="G549" s="33"/>
      <c r="H549" s="34"/>
      <c r="I549" s="44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8"/>
      <c r="X549" s="8"/>
      <c r="Y549" s="8"/>
      <c r="Z549" s="8"/>
    </row>
    <row r="550" ht="14.25" customHeight="1">
      <c r="A550" s="8"/>
      <c r="B550" s="7" t="s">
        <v>634</v>
      </c>
      <c r="C550" s="46"/>
      <c r="D550" s="46"/>
      <c r="E550" s="46">
        <v>1.0</v>
      </c>
      <c r="F550" s="47" t="s">
        <v>341</v>
      </c>
      <c r="G550" s="33"/>
      <c r="H550" s="34"/>
      <c r="I550" s="47" t="s">
        <v>582</v>
      </c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53">
        <f t="shared" ref="V550:V560" si="80">SUM(J550:U550)</f>
        <v>0</v>
      </c>
      <c r="W550" s="8"/>
      <c r="X550" s="8"/>
      <c r="Y550" s="8"/>
      <c r="Z550" s="8"/>
    </row>
    <row r="551" ht="14.25" customHeight="1">
      <c r="A551" s="8"/>
      <c r="B551" s="7" t="s">
        <v>634</v>
      </c>
      <c r="C551" s="46"/>
      <c r="D551" s="46"/>
      <c r="E551" s="46"/>
      <c r="F551" s="47"/>
      <c r="G551" s="33"/>
      <c r="H551" s="34"/>
      <c r="I551" s="47" t="s">
        <v>583</v>
      </c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53">
        <f t="shared" si="80"/>
        <v>0</v>
      </c>
      <c r="W551" s="8"/>
      <c r="X551" s="8"/>
      <c r="Y551" s="8"/>
      <c r="Z551" s="8"/>
    </row>
    <row r="552" ht="14.25" customHeight="1">
      <c r="A552" s="8"/>
      <c r="B552" s="7" t="s">
        <v>635</v>
      </c>
      <c r="C552" s="46"/>
      <c r="D552" s="46"/>
      <c r="E552" s="46">
        <v>2.0</v>
      </c>
      <c r="F552" s="47" t="s">
        <v>585</v>
      </c>
      <c r="G552" s="33"/>
      <c r="H552" s="34"/>
      <c r="I552" s="47" t="s">
        <v>582</v>
      </c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53">
        <f t="shared" si="80"/>
        <v>0</v>
      </c>
      <c r="W552" s="8"/>
      <c r="X552" s="8"/>
      <c r="Y552" s="8"/>
      <c r="Z552" s="8"/>
    </row>
    <row r="553" ht="14.25" customHeight="1">
      <c r="A553" s="8"/>
      <c r="B553" s="7" t="s">
        <v>636</v>
      </c>
      <c r="C553" s="46"/>
      <c r="D553" s="46"/>
      <c r="E553" s="46">
        <v>3.0</v>
      </c>
      <c r="F553" s="47" t="s">
        <v>587</v>
      </c>
      <c r="G553" s="33"/>
      <c r="H553" s="34"/>
      <c r="I553" s="47" t="s">
        <v>582</v>
      </c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53">
        <f t="shared" si="80"/>
        <v>0</v>
      </c>
      <c r="W553" s="8"/>
      <c r="X553" s="8"/>
      <c r="Y553" s="8"/>
      <c r="Z553" s="8"/>
    </row>
    <row r="554" ht="14.25" customHeight="1">
      <c r="A554" s="8"/>
      <c r="B554" s="7" t="s">
        <v>637</v>
      </c>
      <c r="C554" s="46"/>
      <c r="D554" s="46"/>
      <c r="E554" s="46">
        <v>4.0</v>
      </c>
      <c r="F554" s="47" t="s">
        <v>351</v>
      </c>
      <c r="G554" s="33"/>
      <c r="H554" s="34"/>
      <c r="I554" s="47" t="s">
        <v>582</v>
      </c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53">
        <f t="shared" si="80"/>
        <v>0</v>
      </c>
      <c r="W554" s="8"/>
      <c r="X554" s="8"/>
      <c r="Y554" s="8"/>
      <c r="Z554" s="8"/>
    </row>
    <row r="555" ht="14.25" customHeight="1">
      <c r="A555" s="8"/>
      <c r="B555" s="7" t="s">
        <v>638</v>
      </c>
      <c r="C555" s="46"/>
      <c r="D555" s="46"/>
      <c r="E555" s="46">
        <v>5.0</v>
      </c>
      <c r="F555" s="47" t="s">
        <v>347</v>
      </c>
      <c r="G555" s="33"/>
      <c r="H555" s="34"/>
      <c r="I555" s="47" t="s">
        <v>582</v>
      </c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53">
        <f t="shared" si="80"/>
        <v>0</v>
      </c>
      <c r="W555" s="8"/>
      <c r="X555" s="8"/>
      <c r="Y555" s="8"/>
      <c r="Z555" s="8"/>
    </row>
    <row r="556" ht="14.25" customHeight="1">
      <c r="A556" s="8"/>
      <c r="B556" s="7" t="s">
        <v>638</v>
      </c>
      <c r="C556" s="46"/>
      <c r="D556" s="46"/>
      <c r="E556" s="46"/>
      <c r="F556" s="47"/>
      <c r="G556" s="71"/>
      <c r="H556" s="72"/>
      <c r="I556" s="47" t="s">
        <v>590</v>
      </c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53">
        <f t="shared" si="80"/>
        <v>0</v>
      </c>
      <c r="W556" s="8"/>
      <c r="X556" s="8"/>
      <c r="Y556" s="8"/>
      <c r="Z556" s="8"/>
    </row>
    <row r="557" ht="14.25" customHeight="1">
      <c r="A557" s="8"/>
      <c r="B557" s="7" t="s">
        <v>639</v>
      </c>
      <c r="C557" s="46"/>
      <c r="D557" s="46"/>
      <c r="E557" s="46">
        <v>6.0</v>
      </c>
      <c r="F557" s="47" t="s">
        <v>592</v>
      </c>
      <c r="G557" s="33"/>
      <c r="H557" s="34"/>
      <c r="I557" s="47" t="s">
        <v>582</v>
      </c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53">
        <f t="shared" si="80"/>
        <v>0</v>
      </c>
      <c r="W557" s="8"/>
      <c r="X557" s="8"/>
      <c r="Y557" s="8"/>
      <c r="Z557" s="8"/>
    </row>
    <row r="558" ht="14.25" customHeight="1">
      <c r="A558" s="8"/>
      <c r="B558" s="7" t="s">
        <v>639</v>
      </c>
      <c r="C558" s="46"/>
      <c r="D558" s="46"/>
      <c r="E558" s="46"/>
      <c r="F558" s="47"/>
      <c r="G558" s="33"/>
      <c r="H558" s="34"/>
      <c r="I558" s="47" t="s">
        <v>491</v>
      </c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53">
        <f t="shared" si="80"/>
        <v>0</v>
      </c>
      <c r="W558" s="8"/>
      <c r="X558" s="8"/>
      <c r="Y558" s="8"/>
      <c r="Z558" s="8"/>
    </row>
    <row r="559" ht="14.25" customHeight="1">
      <c r="A559" s="8"/>
      <c r="B559" s="7" t="s">
        <v>640</v>
      </c>
      <c r="C559" s="46"/>
      <c r="D559" s="46"/>
      <c r="E559" s="46">
        <v>7.0</v>
      </c>
      <c r="F559" s="47" t="s">
        <v>357</v>
      </c>
      <c r="G559" s="33"/>
      <c r="H559" s="34"/>
      <c r="I559" s="47" t="s">
        <v>582</v>
      </c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53">
        <f t="shared" si="80"/>
        <v>0</v>
      </c>
      <c r="W559" s="8"/>
      <c r="X559" s="8"/>
      <c r="Y559" s="8"/>
      <c r="Z559" s="8"/>
    </row>
    <row r="560" ht="14.25" customHeight="1">
      <c r="A560" s="8"/>
      <c r="B560" s="7" t="s">
        <v>640</v>
      </c>
      <c r="C560" s="46"/>
      <c r="D560" s="46"/>
      <c r="E560" s="46"/>
      <c r="F560" s="54"/>
      <c r="G560" s="33"/>
      <c r="H560" s="34"/>
      <c r="I560" s="47" t="s">
        <v>594</v>
      </c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53">
        <f t="shared" si="80"/>
        <v>0</v>
      </c>
      <c r="W560" s="8"/>
      <c r="X560" s="8"/>
      <c r="Y560" s="8"/>
      <c r="Z560" s="8"/>
    </row>
    <row r="561" ht="14.25" customHeight="1">
      <c r="A561" s="8"/>
      <c r="C561" s="46"/>
      <c r="D561" s="46"/>
      <c r="E561" s="75"/>
      <c r="F561" s="42"/>
      <c r="G561" s="42"/>
      <c r="H561" s="42"/>
      <c r="I561" s="42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8"/>
      <c r="X561" s="8"/>
      <c r="Y561" s="8"/>
      <c r="Z561" s="8"/>
    </row>
    <row r="562" ht="14.25" customHeight="1">
      <c r="A562" s="8"/>
      <c r="C562" s="46"/>
      <c r="D562" s="46">
        <v>2.0</v>
      </c>
      <c r="E562" s="47" t="s">
        <v>547</v>
      </c>
      <c r="F562" s="33"/>
      <c r="G562" s="33"/>
      <c r="H562" s="34"/>
      <c r="I562" s="44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8"/>
      <c r="X562" s="8"/>
      <c r="Y562" s="8"/>
      <c r="Z562" s="8"/>
    </row>
    <row r="563" ht="14.25" customHeight="1">
      <c r="A563" s="8"/>
      <c r="B563" s="7" t="s">
        <v>641</v>
      </c>
      <c r="C563" s="46"/>
      <c r="D563" s="46"/>
      <c r="E563" s="46">
        <v>1.0</v>
      </c>
      <c r="F563" s="47" t="s">
        <v>341</v>
      </c>
      <c r="G563" s="33"/>
      <c r="H563" s="34"/>
      <c r="I563" s="47" t="s">
        <v>582</v>
      </c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53">
        <f t="shared" ref="V563:V573" si="81">SUM(J563:U563)</f>
        <v>0</v>
      </c>
      <c r="W563" s="8"/>
      <c r="X563" s="8"/>
      <c r="Y563" s="8"/>
      <c r="Z563" s="8"/>
    </row>
    <row r="564" ht="14.25" customHeight="1">
      <c r="A564" s="8"/>
      <c r="B564" s="7" t="s">
        <v>641</v>
      </c>
      <c r="C564" s="46"/>
      <c r="D564" s="46"/>
      <c r="E564" s="46"/>
      <c r="F564" s="47"/>
      <c r="G564" s="33"/>
      <c r="H564" s="34"/>
      <c r="I564" s="47" t="s">
        <v>583</v>
      </c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53">
        <f t="shared" si="81"/>
        <v>0</v>
      </c>
      <c r="W564" s="8"/>
      <c r="X564" s="8"/>
      <c r="Y564" s="8"/>
      <c r="Z564" s="8"/>
    </row>
    <row r="565" ht="14.25" customHeight="1">
      <c r="A565" s="8"/>
      <c r="B565" s="7" t="s">
        <v>642</v>
      </c>
      <c r="C565" s="46"/>
      <c r="D565" s="46"/>
      <c r="E565" s="46">
        <v>2.0</v>
      </c>
      <c r="F565" s="47" t="s">
        <v>585</v>
      </c>
      <c r="G565" s="33"/>
      <c r="H565" s="34"/>
      <c r="I565" s="47" t="s">
        <v>582</v>
      </c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53">
        <f t="shared" si="81"/>
        <v>0</v>
      </c>
      <c r="W565" s="8"/>
      <c r="X565" s="8"/>
      <c r="Y565" s="8"/>
      <c r="Z565" s="8"/>
    </row>
    <row r="566" ht="14.25" customHeight="1">
      <c r="A566" s="8"/>
      <c r="B566" s="7" t="s">
        <v>643</v>
      </c>
      <c r="C566" s="46"/>
      <c r="D566" s="46"/>
      <c r="E566" s="46">
        <v>3.0</v>
      </c>
      <c r="F566" s="47" t="s">
        <v>587</v>
      </c>
      <c r="G566" s="33"/>
      <c r="H566" s="34"/>
      <c r="I566" s="47" t="s">
        <v>582</v>
      </c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53">
        <f t="shared" si="81"/>
        <v>0</v>
      </c>
      <c r="W566" s="8"/>
      <c r="X566" s="8"/>
      <c r="Y566" s="8"/>
      <c r="Z566" s="8"/>
    </row>
    <row r="567" ht="14.25" customHeight="1">
      <c r="A567" s="8"/>
      <c r="B567" s="7" t="s">
        <v>644</v>
      </c>
      <c r="C567" s="46"/>
      <c r="D567" s="46"/>
      <c r="E567" s="46">
        <v>4.0</v>
      </c>
      <c r="F567" s="47" t="s">
        <v>351</v>
      </c>
      <c r="G567" s="33"/>
      <c r="H567" s="34"/>
      <c r="I567" s="47" t="s">
        <v>582</v>
      </c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53">
        <f t="shared" si="81"/>
        <v>0</v>
      </c>
      <c r="W567" s="8"/>
      <c r="X567" s="8"/>
      <c r="Y567" s="8"/>
      <c r="Z567" s="8"/>
    </row>
    <row r="568" ht="14.25" customHeight="1">
      <c r="A568" s="8"/>
      <c r="B568" s="7" t="s">
        <v>645</v>
      </c>
      <c r="C568" s="46"/>
      <c r="D568" s="46"/>
      <c r="E568" s="46">
        <v>5.0</v>
      </c>
      <c r="F568" s="47" t="s">
        <v>347</v>
      </c>
      <c r="G568" s="33"/>
      <c r="H568" s="34"/>
      <c r="I568" s="47" t="s">
        <v>582</v>
      </c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53">
        <f t="shared" si="81"/>
        <v>0</v>
      </c>
      <c r="W568" s="8"/>
      <c r="X568" s="8"/>
      <c r="Y568" s="8"/>
      <c r="Z568" s="8"/>
    </row>
    <row r="569" ht="14.25" customHeight="1">
      <c r="A569" s="8"/>
      <c r="B569" s="7" t="s">
        <v>645</v>
      </c>
      <c r="C569" s="46"/>
      <c r="D569" s="46"/>
      <c r="E569" s="46"/>
      <c r="F569" s="47"/>
      <c r="G569" s="71"/>
      <c r="H569" s="72"/>
      <c r="I569" s="47" t="s">
        <v>590</v>
      </c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53">
        <f t="shared" si="81"/>
        <v>0</v>
      </c>
      <c r="W569" s="8"/>
      <c r="X569" s="8"/>
      <c r="Y569" s="8"/>
      <c r="Z569" s="8"/>
    </row>
    <row r="570" ht="14.25" customHeight="1">
      <c r="A570" s="8"/>
      <c r="B570" s="7" t="s">
        <v>646</v>
      </c>
      <c r="C570" s="46"/>
      <c r="D570" s="46"/>
      <c r="E570" s="46">
        <v>6.0</v>
      </c>
      <c r="F570" s="47" t="s">
        <v>592</v>
      </c>
      <c r="G570" s="33"/>
      <c r="H570" s="34"/>
      <c r="I570" s="47" t="s">
        <v>582</v>
      </c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53">
        <f t="shared" si="81"/>
        <v>0</v>
      </c>
      <c r="W570" s="8"/>
      <c r="X570" s="8"/>
      <c r="Y570" s="8"/>
      <c r="Z570" s="8"/>
    </row>
    <row r="571" ht="14.25" customHeight="1">
      <c r="A571" s="8"/>
      <c r="B571" s="7" t="s">
        <v>646</v>
      </c>
      <c r="C571" s="46"/>
      <c r="D571" s="46"/>
      <c r="E571" s="46"/>
      <c r="F571" s="47"/>
      <c r="G571" s="33"/>
      <c r="H571" s="34"/>
      <c r="I571" s="47" t="s">
        <v>491</v>
      </c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53">
        <f t="shared" si="81"/>
        <v>0</v>
      </c>
      <c r="W571" s="8"/>
      <c r="X571" s="8"/>
      <c r="Y571" s="8"/>
      <c r="Z571" s="8"/>
    </row>
    <row r="572" ht="14.25" customHeight="1">
      <c r="A572" s="8"/>
      <c r="B572" s="7" t="s">
        <v>647</v>
      </c>
      <c r="C572" s="46"/>
      <c r="D572" s="46"/>
      <c r="E572" s="46">
        <v>7.0</v>
      </c>
      <c r="F572" s="47" t="s">
        <v>357</v>
      </c>
      <c r="G572" s="33"/>
      <c r="H572" s="34"/>
      <c r="I572" s="47" t="s">
        <v>582</v>
      </c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53">
        <f t="shared" si="81"/>
        <v>0</v>
      </c>
      <c r="W572" s="8"/>
      <c r="X572" s="8"/>
      <c r="Y572" s="8"/>
      <c r="Z572" s="8"/>
    </row>
    <row r="573" ht="14.25" customHeight="1">
      <c r="A573" s="8"/>
      <c r="B573" s="7" t="s">
        <v>647</v>
      </c>
      <c r="C573" s="46"/>
      <c r="D573" s="46"/>
      <c r="E573" s="46"/>
      <c r="F573" s="54"/>
      <c r="G573" s="33"/>
      <c r="H573" s="34"/>
      <c r="I573" s="47" t="s">
        <v>594</v>
      </c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53">
        <f t="shared" si="81"/>
        <v>0</v>
      </c>
      <c r="W573" s="8"/>
      <c r="X573" s="8"/>
      <c r="Y573" s="8"/>
      <c r="Z573" s="8"/>
    </row>
    <row r="574" ht="14.25" customHeight="1">
      <c r="A574" s="8"/>
      <c r="C574" s="46"/>
      <c r="D574" s="46"/>
      <c r="E574" s="75"/>
      <c r="F574" s="42"/>
      <c r="G574" s="42"/>
      <c r="H574" s="42"/>
      <c r="I574" s="42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8"/>
      <c r="X574" s="8"/>
      <c r="Y574" s="8"/>
      <c r="Z574" s="8"/>
    </row>
    <row r="575" ht="14.25" customHeight="1">
      <c r="A575" s="8"/>
      <c r="C575" s="46"/>
      <c r="D575" s="77" t="s">
        <v>617</v>
      </c>
      <c r="E575" s="20"/>
      <c r="F575" s="20"/>
      <c r="G575" s="20"/>
      <c r="H575" s="21"/>
      <c r="I575" s="47" t="s">
        <v>582</v>
      </c>
      <c r="J575" s="53">
        <f t="shared" ref="J575:V575" si="82">(SUMIF($I$550:$V$560,$I575,J$550:J$560))+(SUMIF($I$563:$V$573,$I575,J$563:J$573))</f>
        <v>0</v>
      </c>
      <c r="K575" s="53">
        <f t="shared" si="82"/>
        <v>0</v>
      </c>
      <c r="L575" s="53">
        <f t="shared" si="82"/>
        <v>0</v>
      </c>
      <c r="M575" s="53">
        <f t="shared" si="82"/>
        <v>0</v>
      </c>
      <c r="N575" s="53">
        <f t="shared" si="82"/>
        <v>0</v>
      </c>
      <c r="O575" s="53">
        <f t="shared" si="82"/>
        <v>0</v>
      </c>
      <c r="P575" s="53">
        <f t="shared" si="82"/>
        <v>0</v>
      </c>
      <c r="Q575" s="53">
        <f t="shared" si="82"/>
        <v>0</v>
      </c>
      <c r="R575" s="53">
        <f t="shared" si="82"/>
        <v>0</v>
      </c>
      <c r="S575" s="53">
        <f t="shared" si="82"/>
        <v>0</v>
      </c>
      <c r="T575" s="53">
        <f t="shared" si="82"/>
        <v>0</v>
      </c>
      <c r="U575" s="53">
        <f t="shared" si="82"/>
        <v>0</v>
      </c>
      <c r="V575" s="53">
        <f t="shared" si="82"/>
        <v>0</v>
      </c>
      <c r="W575" s="8"/>
      <c r="X575" s="8"/>
      <c r="Y575" s="8"/>
      <c r="Z575" s="8"/>
    </row>
    <row r="576" ht="14.25" customHeight="1">
      <c r="A576" s="8"/>
      <c r="C576" s="46"/>
      <c r="D576" s="25"/>
      <c r="H576" s="26"/>
      <c r="I576" s="47" t="s">
        <v>583</v>
      </c>
      <c r="J576" s="53">
        <f t="shared" ref="J576:V576" si="83">(SUMIF($I$550:$V$560,$I576,J$550:J$560))+(SUMIF($I$563:$V$573,$I576,J$563:J$573))</f>
        <v>0</v>
      </c>
      <c r="K576" s="53">
        <f t="shared" si="83"/>
        <v>0</v>
      </c>
      <c r="L576" s="53">
        <f t="shared" si="83"/>
        <v>0</v>
      </c>
      <c r="M576" s="53">
        <f t="shared" si="83"/>
        <v>0</v>
      </c>
      <c r="N576" s="53">
        <f t="shared" si="83"/>
        <v>0</v>
      </c>
      <c r="O576" s="53">
        <f t="shared" si="83"/>
        <v>0</v>
      </c>
      <c r="P576" s="53">
        <f t="shared" si="83"/>
        <v>0</v>
      </c>
      <c r="Q576" s="53">
        <f t="shared" si="83"/>
        <v>0</v>
      </c>
      <c r="R576" s="53">
        <f t="shared" si="83"/>
        <v>0</v>
      </c>
      <c r="S576" s="53">
        <f t="shared" si="83"/>
        <v>0</v>
      </c>
      <c r="T576" s="53">
        <f t="shared" si="83"/>
        <v>0</v>
      </c>
      <c r="U576" s="53">
        <f t="shared" si="83"/>
        <v>0</v>
      </c>
      <c r="V576" s="53">
        <f t="shared" si="83"/>
        <v>0</v>
      </c>
      <c r="W576" s="8"/>
      <c r="X576" s="8"/>
      <c r="Y576" s="8"/>
      <c r="Z576" s="8"/>
    </row>
    <row r="577" ht="14.25" customHeight="1">
      <c r="A577" s="8"/>
      <c r="C577" s="46"/>
      <c r="D577" s="25"/>
      <c r="H577" s="26"/>
      <c r="I577" s="47" t="s">
        <v>590</v>
      </c>
      <c r="J577" s="53">
        <f t="shared" ref="J577:V577" si="84">(SUMIF($I$550:$V$560,$I577,J$550:J$560))+(SUMIF($I$563:$V$573,$I577,J$563:J$573))</f>
        <v>0</v>
      </c>
      <c r="K577" s="53">
        <f t="shared" si="84"/>
        <v>0</v>
      </c>
      <c r="L577" s="53">
        <f t="shared" si="84"/>
        <v>0</v>
      </c>
      <c r="M577" s="53">
        <f t="shared" si="84"/>
        <v>0</v>
      </c>
      <c r="N577" s="53">
        <f t="shared" si="84"/>
        <v>0</v>
      </c>
      <c r="O577" s="53">
        <f t="shared" si="84"/>
        <v>0</v>
      </c>
      <c r="P577" s="53">
        <f t="shared" si="84"/>
        <v>0</v>
      </c>
      <c r="Q577" s="53">
        <f t="shared" si="84"/>
        <v>0</v>
      </c>
      <c r="R577" s="53">
        <f t="shared" si="84"/>
        <v>0</v>
      </c>
      <c r="S577" s="53">
        <f t="shared" si="84"/>
        <v>0</v>
      </c>
      <c r="T577" s="53">
        <f t="shared" si="84"/>
        <v>0</v>
      </c>
      <c r="U577" s="53">
        <f t="shared" si="84"/>
        <v>0</v>
      </c>
      <c r="V577" s="53">
        <f t="shared" si="84"/>
        <v>0</v>
      </c>
      <c r="W577" s="8"/>
      <c r="X577" s="8"/>
      <c r="Y577" s="8"/>
      <c r="Z577" s="8"/>
    </row>
    <row r="578" ht="14.25" customHeight="1">
      <c r="A578" s="8"/>
      <c r="C578" s="46"/>
      <c r="D578" s="25"/>
      <c r="H578" s="26"/>
      <c r="I578" s="47" t="s">
        <v>491</v>
      </c>
      <c r="J578" s="53">
        <f t="shared" ref="J578:V578" si="85">(SUMIF($I$550:$V$560,$I578,J$550:J$560))+(SUMIF($I$563:$V$573,$I578,J$563:J$573))</f>
        <v>0</v>
      </c>
      <c r="K578" s="53">
        <f t="shared" si="85"/>
        <v>0</v>
      </c>
      <c r="L578" s="53">
        <f t="shared" si="85"/>
        <v>0</v>
      </c>
      <c r="M578" s="53">
        <f t="shared" si="85"/>
        <v>0</v>
      </c>
      <c r="N578" s="53">
        <f t="shared" si="85"/>
        <v>0</v>
      </c>
      <c r="O578" s="53">
        <f t="shared" si="85"/>
        <v>0</v>
      </c>
      <c r="P578" s="53">
        <f t="shared" si="85"/>
        <v>0</v>
      </c>
      <c r="Q578" s="53">
        <f t="shared" si="85"/>
        <v>0</v>
      </c>
      <c r="R578" s="53">
        <f t="shared" si="85"/>
        <v>0</v>
      </c>
      <c r="S578" s="53">
        <f t="shared" si="85"/>
        <v>0</v>
      </c>
      <c r="T578" s="53">
        <f t="shared" si="85"/>
        <v>0</v>
      </c>
      <c r="U578" s="53">
        <f t="shared" si="85"/>
        <v>0</v>
      </c>
      <c r="V578" s="53">
        <f t="shared" si="85"/>
        <v>0</v>
      </c>
      <c r="W578" s="8"/>
      <c r="X578" s="8"/>
      <c r="Y578" s="8"/>
      <c r="Z578" s="8"/>
    </row>
    <row r="579" ht="14.25" customHeight="1">
      <c r="A579" s="8"/>
      <c r="C579" s="46"/>
      <c r="D579" s="28"/>
      <c r="E579" s="29"/>
      <c r="F579" s="29"/>
      <c r="G579" s="29"/>
      <c r="H579" s="30"/>
      <c r="I579" s="47" t="s">
        <v>594</v>
      </c>
      <c r="J579" s="53">
        <f t="shared" ref="J579:V579" si="86">(SUMIF($I$550:$V$560,$I579,J$550:J$560))+(SUMIF($I$563:$V$573,$I579,J$563:J$573))</f>
        <v>0</v>
      </c>
      <c r="K579" s="53">
        <f t="shared" si="86"/>
        <v>0</v>
      </c>
      <c r="L579" s="53">
        <f t="shared" si="86"/>
        <v>0</v>
      </c>
      <c r="M579" s="53">
        <f t="shared" si="86"/>
        <v>0</v>
      </c>
      <c r="N579" s="53">
        <f t="shared" si="86"/>
        <v>0</v>
      </c>
      <c r="O579" s="53">
        <f t="shared" si="86"/>
        <v>0</v>
      </c>
      <c r="P579" s="53">
        <f t="shared" si="86"/>
        <v>0</v>
      </c>
      <c r="Q579" s="53">
        <f t="shared" si="86"/>
        <v>0</v>
      </c>
      <c r="R579" s="53">
        <f t="shared" si="86"/>
        <v>0</v>
      </c>
      <c r="S579" s="53">
        <f t="shared" si="86"/>
        <v>0</v>
      </c>
      <c r="T579" s="53">
        <f t="shared" si="86"/>
        <v>0</v>
      </c>
      <c r="U579" s="53">
        <f t="shared" si="86"/>
        <v>0</v>
      </c>
      <c r="V579" s="53">
        <f t="shared" si="86"/>
        <v>0</v>
      </c>
      <c r="W579" s="8"/>
      <c r="X579" s="8"/>
      <c r="Y579" s="8"/>
      <c r="Z579" s="8"/>
    </row>
    <row r="580" ht="14.25" customHeight="1">
      <c r="A580" s="8"/>
      <c r="C580" s="54"/>
      <c r="D580" s="33"/>
      <c r="E580" s="33"/>
      <c r="F580" s="33"/>
      <c r="G580" s="33"/>
      <c r="H580" s="34"/>
      <c r="I580" s="44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8"/>
      <c r="X580" s="8"/>
      <c r="Y580" s="8"/>
      <c r="Z580" s="8"/>
    </row>
    <row r="581" ht="14.25" customHeight="1">
      <c r="A581" s="8"/>
      <c r="C581" s="77" t="s">
        <v>618</v>
      </c>
      <c r="D581" s="20"/>
      <c r="E581" s="20"/>
      <c r="F581" s="20"/>
      <c r="G581" s="20"/>
      <c r="H581" s="21"/>
      <c r="I581" s="47" t="s">
        <v>582</v>
      </c>
      <c r="J581" s="53">
        <f t="shared" ref="J581:V581" si="87">J542+J575</f>
        <v>0</v>
      </c>
      <c r="K581" s="53">
        <f t="shared" si="87"/>
        <v>0</v>
      </c>
      <c r="L581" s="53">
        <f t="shared" si="87"/>
        <v>0</v>
      </c>
      <c r="M581" s="53">
        <f t="shared" si="87"/>
        <v>0</v>
      </c>
      <c r="N581" s="53">
        <f t="shared" si="87"/>
        <v>0</v>
      </c>
      <c r="O581" s="53">
        <f t="shared" si="87"/>
        <v>0</v>
      </c>
      <c r="P581" s="53">
        <f t="shared" si="87"/>
        <v>0</v>
      </c>
      <c r="Q581" s="53">
        <f t="shared" si="87"/>
        <v>0</v>
      </c>
      <c r="R581" s="53">
        <f t="shared" si="87"/>
        <v>0</v>
      </c>
      <c r="S581" s="53">
        <f t="shared" si="87"/>
        <v>0</v>
      </c>
      <c r="T581" s="53">
        <f t="shared" si="87"/>
        <v>0</v>
      </c>
      <c r="U581" s="53">
        <f t="shared" si="87"/>
        <v>0</v>
      </c>
      <c r="V581" s="53">
        <f t="shared" si="87"/>
        <v>0</v>
      </c>
      <c r="W581" s="8"/>
      <c r="X581" s="8"/>
      <c r="Y581" s="8"/>
      <c r="Z581" s="8"/>
    </row>
    <row r="582" ht="14.25" customHeight="1">
      <c r="A582" s="8"/>
      <c r="C582" s="25"/>
      <c r="H582" s="26"/>
      <c r="I582" s="47" t="s">
        <v>583</v>
      </c>
      <c r="J582" s="53">
        <f t="shared" ref="J582:V582" si="88">J543+J576</f>
        <v>0</v>
      </c>
      <c r="K582" s="53">
        <f t="shared" si="88"/>
        <v>0</v>
      </c>
      <c r="L582" s="53">
        <f t="shared" si="88"/>
        <v>0</v>
      </c>
      <c r="M582" s="53">
        <f t="shared" si="88"/>
        <v>0</v>
      </c>
      <c r="N582" s="53">
        <f t="shared" si="88"/>
        <v>0</v>
      </c>
      <c r="O582" s="53">
        <f t="shared" si="88"/>
        <v>0</v>
      </c>
      <c r="P582" s="53">
        <f t="shared" si="88"/>
        <v>0</v>
      </c>
      <c r="Q582" s="53">
        <f t="shared" si="88"/>
        <v>0</v>
      </c>
      <c r="R582" s="53">
        <f t="shared" si="88"/>
        <v>0</v>
      </c>
      <c r="S582" s="53">
        <f t="shared" si="88"/>
        <v>0</v>
      </c>
      <c r="T582" s="53">
        <f t="shared" si="88"/>
        <v>0</v>
      </c>
      <c r="U582" s="53">
        <f t="shared" si="88"/>
        <v>0</v>
      </c>
      <c r="V582" s="53">
        <f t="shared" si="88"/>
        <v>0</v>
      </c>
      <c r="W582" s="8"/>
      <c r="X582" s="8"/>
      <c r="Y582" s="8"/>
      <c r="Z582" s="8"/>
    </row>
    <row r="583" ht="14.25" customHeight="1">
      <c r="A583" s="8"/>
      <c r="C583" s="25"/>
      <c r="H583" s="26"/>
      <c r="I583" s="47" t="s">
        <v>590</v>
      </c>
      <c r="J583" s="53">
        <f t="shared" ref="J583:V583" si="89">J544+J577</f>
        <v>0</v>
      </c>
      <c r="K583" s="53">
        <f t="shared" si="89"/>
        <v>0</v>
      </c>
      <c r="L583" s="53">
        <f t="shared" si="89"/>
        <v>0</v>
      </c>
      <c r="M583" s="53">
        <f t="shared" si="89"/>
        <v>0</v>
      </c>
      <c r="N583" s="53">
        <f t="shared" si="89"/>
        <v>0</v>
      </c>
      <c r="O583" s="53">
        <f t="shared" si="89"/>
        <v>0</v>
      </c>
      <c r="P583" s="53">
        <f t="shared" si="89"/>
        <v>0</v>
      </c>
      <c r="Q583" s="53">
        <f t="shared" si="89"/>
        <v>0</v>
      </c>
      <c r="R583" s="53">
        <f t="shared" si="89"/>
        <v>0</v>
      </c>
      <c r="S583" s="53">
        <f t="shared" si="89"/>
        <v>0</v>
      </c>
      <c r="T583" s="53">
        <f t="shared" si="89"/>
        <v>0</v>
      </c>
      <c r="U583" s="53">
        <f t="shared" si="89"/>
        <v>0</v>
      </c>
      <c r="V583" s="53">
        <f t="shared" si="89"/>
        <v>0</v>
      </c>
      <c r="W583" s="8"/>
      <c r="X583" s="8"/>
      <c r="Y583" s="8"/>
      <c r="Z583" s="8"/>
    </row>
    <row r="584" ht="14.25" customHeight="1">
      <c r="A584" s="8"/>
      <c r="C584" s="25"/>
      <c r="H584" s="26"/>
      <c r="I584" s="47" t="s">
        <v>491</v>
      </c>
      <c r="J584" s="53">
        <f t="shared" ref="J584:V584" si="90">J545+J578</f>
        <v>0</v>
      </c>
      <c r="K584" s="53">
        <f t="shared" si="90"/>
        <v>0</v>
      </c>
      <c r="L584" s="53">
        <f t="shared" si="90"/>
        <v>0</v>
      </c>
      <c r="M584" s="53">
        <f t="shared" si="90"/>
        <v>0</v>
      </c>
      <c r="N584" s="53">
        <f t="shared" si="90"/>
        <v>0</v>
      </c>
      <c r="O584" s="53">
        <f t="shared" si="90"/>
        <v>0</v>
      </c>
      <c r="P584" s="53">
        <f t="shared" si="90"/>
        <v>0</v>
      </c>
      <c r="Q584" s="53">
        <f t="shared" si="90"/>
        <v>0</v>
      </c>
      <c r="R584" s="53">
        <f t="shared" si="90"/>
        <v>0</v>
      </c>
      <c r="S584" s="53">
        <f t="shared" si="90"/>
        <v>0</v>
      </c>
      <c r="T584" s="53">
        <f t="shared" si="90"/>
        <v>0</v>
      </c>
      <c r="U584" s="53">
        <f t="shared" si="90"/>
        <v>0</v>
      </c>
      <c r="V584" s="53">
        <f t="shared" si="90"/>
        <v>0</v>
      </c>
      <c r="W584" s="8"/>
      <c r="X584" s="8"/>
      <c r="Y584" s="8"/>
      <c r="Z584" s="8"/>
    </row>
    <row r="585" ht="14.25" customHeight="1">
      <c r="A585" s="8"/>
      <c r="C585" s="28"/>
      <c r="D585" s="29"/>
      <c r="E585" s="29"/>
      <c r="F585" s="29"/>
      <c r="G585" s="29"/>
      <c r="H585" s="30"/>
      <c r="I585" s="47" t="s">
        <v>594</v>
      </c>
      <c r="J585" s="53">
        <f t="shared" ref="J585:V585" si="91">J546+J579</f>
        <v>0</v>
      </c>
      <c r="K585" s="53">
        <f t="shared" si="91"/>
        <v>0</v>
      </c>
      <c r="L585" s="53">
        <f t="shared" si="91"/>
        <v>0</v>
      </c>
      <c r="M585" s="53">
        <f t="shared" si="91"/>
        <v>0</v>
      </c>
      <c r="N585" s="53">
        <f t="shared" si="91"/>
        <v>0</v>
      </c>
      <c r="O585" s="53">
        <f t="shared" si="91"/>
        <v>0</v>
      </c>
      <c r="P585" s="53">
        <f t="shared" si="91"/>
        <v>0</v>
      </c>
      <c r="Q585" s="53">
        <f t="shared" si="91"/>
        <v>0</v>
      </c>
      <c r="R585" s="53">
        <f t="shared" si="91"/>
        <v>0</v>
      </c>
      <c r="S585" s="53">
        <f t="shared" si="91"/>
        <v>0</v>
      </c>
      <c r="T585" s="53">
        <f t="shared" si="91"/>
        <v>0</v>
      </c>
      <c r="U585" s="53">
        <f t="shared" si="91"/>
        <v>0</v>
      </c>
      <c r="V585" s="53">
        <f t="shared" si="91"/>
        <v>0</v>
      </c>
      <c r="W585" s="8"/>
      <c r="X585" s="8"/>
      <c r="Y585" s="8"/>
      <c r="Z585" s="8"/>
    </row>
    <row r="586" ht="14.25" customHeight="1">
      <c r="A586" s="8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8"/>
      <c r="X586" s="8"/>
      <c r="Y586" s="8"/>
      <c r="Z586" s="8"/>
    </row>
    <row r="587" ht="14.25" customHeight="1">
      <c r="A587" s="16">
        <v>5.0</v>
      </c>
      <c r="B587" s="17"/>
      <c r="C587" s="16" t="s">
        <v>648</v>
      </c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8"/>
      <c r="X587" s="8"/>
      <c r="Y587" s="8"/>
      <c r="Z587" s="8"/>
    </row>
    <row r="588" ht="14.25" customHeight="1">
      <c r="A588" s="8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8"/>
      <c r="X588" s="8"/>
      <c r="Y588" s="8"/>
      <c r="Z588" s="8"/>
    </row>
    <row r="589" ht="14.25" customHeight="1">
      <c r="A589" s="8"/>
      <c r="C589" s="18" t="s">
        <v>321</v>
      </c>
      <c r="D589" s="19" t="s">
        <v>322</v>
      </c>
      <c r="E589" s="20"/>
      <c r="F589" s="20"/>
      <c r="G589" s="20"/>
      <c r="H589" s="21"/>
      <c r="I589" s="22" t="s">
        <v>323</v>
      </c>
      <c r="J589" s="23">
        <f>$H$2</f>
        <v>2026</v>
      </c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1"/>
      <c r="W589" s="8"/>
      <c r="X589" s="8"/>
      <c r="Y589" s="8"/>
      <c r="Z589" s="8"/>
    </row>
    <row r="590" ht="14.25" customHeight="1">
      <c r="A590" s="8"/>
      <c r="C590" s="24"/>
      <c r="D590" s="25"/>
      <c r="H590" s="26"/>
      <c r="I590" s="24"/>
      <c r="J590" s="25"/>
      <c r="V590" s="26"/>
      <c r="W590" s="8"/>
      <c r="X590" s="8"/>
      <c r="Y590" s="8"/>
      <c r="Z590" s="8"/>
    </row>
    <row r="591" ht="14.25" customHeight="1">
      <c r="A591" s="8"/>
      <c r="C591" s="27"/>
      <c r="D591" s="28"/>
      <c r="E591" s="29"/>
      <c r="F591" s="29"/>
      <c r="G591" s="29"/>
      <c r="H591" s="30"/>
      <c r="I591" s="27"/>
      <c r="J591" s="31" t="s">
        <v>324</v>
      </c>
      <c r="K591" s="31" t="s">
        <v>325</v>
      </c>
      <c r="L591" s="31" t="s">
        <v>326</v>
      </c>
      <c r="M591" s="31" t="s">
        <v>327</v>
      </c>
      <c r="N591" s="31" t="s">
        <v>328</v>
      </c>
      <c r="O591" s="31" t="s">
        <v>329</v>
      </c>
      <c r="P591" s="31" t="s">
        <v>330</v>
      </c>
      <c r="Q591" s="31" t="s">
        <v>331</v>
      </c>
      <c r="R591" s="31" t="s">
        <v>332</v>
      </c>
      <c r="S591" s="31" t="s">
        <v>333</v>
      </c>
      <c r="T591" s="31" t="s">
        <v>334</v>
      </c>
      <c r="U591" s="31" t="s">
        <v>335</v>
      </c>
      <c r="V591" s="31" t="s">
        <v>336</v>
      </c>
      <c r="W591" s="8"/>
      <c r="X591" s="8"/>
      <c r="Y591" s="8"/>
      <c r="Z591" s="8"/>
    </row>
    <row r="592" ht="14.25" customHeight="1">
      <c r="A592" s="8"/>
      <c r="C592" s="31">
        <v>1.0</v>
      </c>
      <c r="D592" s="32">
        <v>2.0</v>
      </c>
      <c r="E592" s="33"/>
      <c r="F592" s="33"/>
      <c r="G592" s="33"/>
      <c r="H592" s="34"/>
      <c r="I592" s="35">
        <v>3.0</v>
      </c>
      <c r="J592" s="36">
        <v>4.0</v>
      </c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8"/>
      <c r="V592" s="39">
        <v>5.0</v>
      </c>
      <c r="W592" s="8"/>
      <c r="X592" s="8"/>
      <c r="Y592" s="8"/>
      <c r="Z592" s="8"/>
    </row>
    <row r="593" ht="14.25" customHeight="1">
      <c r="A593" s="8"/>
      <c r="C593" s="40"/>
      <c r="D593" s="48"/>
      <c r="E593" s="88"/>
      <c r="F593" s="88"/>
      <c r="G593" s="88"/>
      <c r="H593" s="89"/>
      <c r="I593" s="48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8"/>
      <c r="X593" s="8"/>
      <c r="Y593" s="8"/>
      <c r="Z593" s="8"/>
    </row>
    <row r="594" ht="14.25" customHeight="1">
      <c r="A594" s="8"/>
      <c r="C594" s="64">
        <v>1.0</v>
      </c>
      <c r="D594" s="47" t="s">
        <v>469</v>
      </c>
      <c r="E594" s="33"/>
      <c r="F594" s="33"/>
      <c r="G594" s="33"/>
      <c r="H594" s="34"/>
      <c r="I594" s="44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8"/>
      <c r="X594" s="8"/>
      <c r="Y594" s="8"/>
      <c r="Z594" s="8"/>
    </row>
    <row r="595" ht="14.25" customHeight="1">
      <c r="A595" s="8"/>
      <c r="B595" s="7" t="s">
        <v>649</v>
      </c>
      <c r="C595" s="46"/>
      <c r="D595" s="46">
        <v>1.0</v>
      </c>
      <c r="E595" s="76" t="s">
        <v>650</v>
      </c>
      <c r="F595" s="33"/>
      <c r="G595" s="33"/>
      <c r="H595" s="34"/>
      <c r="I595" s="47" t="s">
        <v>651</v>
      </c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53">
        <f t="shared" ref="V595:V596" si="92">SUM(J595:U595)</f>
        <v>0</v>
      </c>
      <c r="W595" s="8"/>
      <c r="X595" s="8"/>
      <c r="Y595" s="8"/>
      <c r="Z595" s="8"/>
    </row>
    <row r="596" ht="14.25" customHeight="1">
      <c r="A596" s="8"/>
      <c r="B596" s="7" t="s">
        <v>652</v>
      </c>
      <c r="C596" s="46"/>
      <c r="D596" s="46">
        <v>2.0</v>
      </c>
      <c r="E596" s="76" t="s">
        <v>653</v>
      </c>
      <c r="F596" s="33"/>
      <c r="G596" s="33"/>
      <c r="H596" s="34"/>
      <c r="I596" s="47" t="s">
        <v>651</v>
      </c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53">
        <f t="shared" si="92"/>
        <v>0</v>
      </c>
      <c r="W596" s="8"/>
      <c r="X596" s="8"/>
      <c r="Y596" s="8"/>
      <c r="Z596" s="8"/>
    </row>
    <row r="597" ht="14.25" customHeight="1">
      <c r="A597" s="8"/>
      <c r="C597" s="46"/>
      <c r="D597" s="54"/>
      <c r="E597" s="33"/>
      <c r="F597" s="33"/>
      <c r="G597" s="33"/>
      <c r="H597" s="34"/>
      <c r="I597" s="44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8"/>
      <c r="X597" s="8"/>
      <c r="Y597" s="8"/>
      <c r="Z597" s="8"/>
    </row>
    <row r="598" ht="14.25" customHeight="1">
      <c r="A598" s="8"/>
      <c r="C598" s="46"/>
      <c r="D598" s="77" t="s">
        <v>654</v>
      </c>
      <c r="E598" s="20"/>
      <c r="F598" s="20"/>
      <c r="G598" s="20"/>
      <c r="H598" s="21"/>
      <c r="I598" s="47" t="s">
        <v>651</v>
      </c>
      <c r="J598" s="53">
        <f t="shared" ref="J598:V598" si="93">SUM(J595:J596)</f>
        <v>0</v>
      </c>
      <c r="K598" s="53">
        <f t="shared" si="93"/>
        <v>0</v>
      </c>
      <c r="L598" s="53">
        <f t="shared" si="93"/>
        <v>0</v>
      </c>
      <c r="M598" s="53">
        <f t="shared" si="93"/>
        <v>0</v>
      </c>
      <c r="N598" s="53">
        <f t="shared" si="93"/>
        <v>0</v>
      </c>
      <c r="O598" s="53">
        <f t="shared" si="93"/>
        <v>0</v>
      </c>
      <c r="P598" s="53">
        <f t="shared" si="93"/>
        <v>0</v>
      </c>
      <c r="Q598" s="53">
        <f t="shared" si="93"/>
        <v>0</v>
      </c>
      <c r="R598" s="53">
        <f t="shared" si="93"/>
        <v>0</v>
      </c>
      <c r="S598" s="53">
        <f t="shared" si="93"/>
        <v>0</v>
      </c>
      <c r="T598" s="53">
        <f t="shared" si="93"/>
        <v>0</v>
      </c>
      <c r="U598" s="53">
        <f t="shared" si="93"/>
        <v>0</v>
      </c>
      <c r="V598" s="53">
        <f t="shared" si="93"/>
        <v>0</v>
      </c>
      <c r="W598" s="8"/>
      <c r="X598" s="8"/>
      <c r="Y598" s="8"/>
      <c r="Z598" s="8"/>
    </row>
    <row r="599" ht="14.25" customHeight="1">
      <c r="A599" s="8"/>
      <c r="C599" s="46"/>
      <c r="D599" s="54"/>
      <c r="E599" s="33"/>
      <c r="F599" s="33"/>
      <c r="G599" s="33"/>
      <c r="H599" s="34"/>
      <c r="I599" s="44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8"/>
      <c r="X599" s="8"/>
      <c r="Y599" s="8"/>
      <c r="Z599" s="8"/>
    </row>
    <row r="600" ht="14.25" customHeight="1">
      <c r="A600" s="8"/>
      <c r="C600" s="46">
        <v>2.0</v>
      </c>
      <c r="D600" s="47" t="s">
        <v>530</v>
      </c>
      <c r="E600" s="33"/>
      <c r="F600" s="33"/>
      <c r="G600" s="33"/>
      <c r="H600" s="34"/>
      <c r="I600" s="44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8"/>
      <c r="X600" s="8"/>
      <c r="Y600" s="8"/>
      <c r="Z600" s="8"/>
    </row>
    <row r="601" ht="14.25" customHeight="1">
      <c r="A601" s="8"/>
      <c r="B601" s="7" t="s">
        <v>655</v>
      </c>
      <c r="C601" s="46"/>
      <c r="D601" s="46">
        <v>1.0</v>
      </c>
      <c r="E601" s="76" t="s">
        <v>650</v>
      </c>
      <c r="F601" s="33"/>
      <c r="G601" s="33"/>
      <c r="H601" s="34"/>
      <c r="I601" s="47" t="s">
        <v>651</v>
      </c>
      <c r="J601" s="60"/>
      <c r="K601" s="60"/>
      <c r="L601" s="60">
        <v>135002.0</v>
      </c>
      <c r="M601" s="60"/>
      <c r="N601" s="60"/>
      <c r="O601" s="60"/>
      <c r="P601" s="60"/>
      <c r="Q601" s="60"/>
      <c r="R601" s="60"/>
      <c r="S601" s="60"/>
      <c r="T601" s="60"/>
      <c r="U601" s="60"/>
      <c r="V601" s="53">
        <f t="shared" ref="V601:V602" si="94">SUM(J601:U601)</f>
        <v>135002</v>
      </c>
      <c r="W601" s="8"/>
      <c r="X601" s="8"/>
      <c r="Y601" s="8"/>
      <c r="Z601" s="8"/>
    </row>
    <row r="602" ht="14.25" customHeight="1">
      <c r="A602" s="8"/>
      <c r="B602" s="7" t="s">
        <v>656</v>
      </c>
      <c r="C602" s="46"/>
      <c r="D602" s="46">
        <v>2.0</v>
      </c>
      <c r="E602" s="76" t="s">
        <v>653</v>
      </c>
      <c r="F602" s="33"/>
      <c r="G602" s="33"/>
      <c r="H602" s="34"/>
      <c r="I602" s="47" t="s">
        <v>651</v>
      </c>
      <c r="J602" s="60"/>
      <c r="K602" s="60"/>
      <c r="L602" s="60">
        <v>255.0</v>
      </c>
      <c r="M602" s="60"/>
      <c r="N602" s="60"/>
      <c r="O602" s="60"/>
      <c r="P602" s="60"/>
      <c r="Q602" s="60"/>
      <c r="R602" s="60"/>
      <c r="S602" s="60"/>
      <c r="T602" s="60"/>
      <c r="U602" s="60"/>
      <c r="V602" s="53">
        <f t="shared" si="94"/>
        <v>255</v>
      </c>
      <c r="W602" s="8"/>
      <c r="X602" s="8"/>
      <c r="Y602" s="8"/>
      <c r="Z602" s="8"/>
    </row>
    <row r="603" ht="14.25" customHeight="1">
      <c r="A603" s="8"/>
      <c r="C603" s="93"/>
      <c r="D603" s="54"/>
      <c r="E603" s="33"/>
      <c r="F603" s="33"/>
      <c r="G603" s="33"/>
      <c r="H603" s="34"/>
      <c r="I603" s="44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8"/>
      <c r="X603" s="8"/>
      <c r="Y603" s="8"/>
      <c r="Z603" s="8"/>
    </row>
    <row r="604" ht="14.25" customHeight="1">
      <c r="A604" s="8"/>
      <c r="C604" s="46"/>
      <c r="D604" s="94" t="s">
        <v>657</v>
      </c>
      <c r="E604" s="33"/>
      <c r="F604" s="33"/>
      <c r="G604" s="33"/>
      <c r="H604" s="34"/>
      <c r="I604" s="47" t="s">
        <v>651</v>
      </c>
      <c r="J604" s="53">
        <f t="shared" ref="J604:V604" si="95">SUM(J601:J602)</f>
        <v>0</v>
      </c>
      <c r="K604" s="53">
        <f t="shared" si="95"/>
        <v>0</v>
      </c>
      <c r="L604" s="53">
        <f t="shared" si="95"/>
        <v>135257</v>
      </c>
      <c r="M604" s="53">
        <f t="shared" si="95"/>
        <v>0</v>
      </c>
      <c r="N604" s="53">
        <f t="shared" si="95"/>
        <v>0</v>
      </c>
      <c r="O604" s="53">
        <f t="shared" si="95"/>
        <v>0</v>
      </c>
      <c r="P604" s="53">
        <f t="shared" si="95"/>
        <v>0</v>
      </c>
      <c r="Q604" s="53">
        <f t="shared" si="95"/>
        <v>0</v>
      </c>
      <c r="R604" s="53">
        <f t="shared" si="95"/>
        <v>0</v>
      </c>
      <c r="S604" s="53">
        <f t="shared" si="95"/>
        <v>0</v>
      </c>
      <c r="T604" s="53">
        <f t="shared" si="95"/>
        <v>0</v>
      </c>
      <c r="U604" s="53">
        <f t="shared" si="95"/>
        <v>0</v>
      </c>
      <c r="V604" s="53">
        <f t="shared" si="95"/>
        <v>135257</v>
      </c>
      <c r="W604" s="8"/>
      <c r="X604" s="8"/>
      <c r="Y604" s="8"/>
      <c r="Z604" s="8"/>
    </row>
    <row r="605" ht="14.25" customHeight="1">
      <c r="A605" s="8"/>
      <c r="C605" s="93"/>
      <c r="D605" s="54"/>
      <c r="E605" s="33"/>
      <c r="F605" s="33"/>
      <c r="G605" s="33"/>
      <c r="H605" s="34"/>
      <c r="I605" s="44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8"/>
      <c r="X605" s="8"/>
      <c r="Y605" s="8"/>
      <c r="Z605" s="8"/>
    </row>
    <row r="606" ht="14.25" customHeight="1">
      <c r="A606" s="8"/>
      <c r="C606" s="95" t="s">
        <v>658</v>
      </c>
      <c r="D606" s="33"/>
      <c r="E606" s="33"/>
      <c r="F606" s="33"/>
      <c r="G606" s="33"/>
      <c r="H606" s="34"/>
      <c r="I606" s="47" t="s">
        <v>651</v>
      </c>
      <c r="J606" s="53">
        <f t="shared" ref="J606:V606" si="96">J604+J598</f>
        <v>0</v>
      </c>
      <c r="K606" s="53">
        <f t="shared" si="96"/>
        <v>0</v>
      </c>
      <c r="L606" s="53">
        <f t="shared" si="96"/>
        <v>135257</v>
      </c>
      <c r="M606" s="53">
        <f t="shared" si="96"/>
        <v>0</v>
      </c>
      <c r="N606" s="53">
        <f t="shared" si="96"/>
        <v>0</v>
      </c>
      <c r="O606" s="53">
        <f t="shared" si="96"/>
        <v>0</v>
      </c>
      <c r="P606" s="53">
        <f t="shared" si="96"/>
        <v>0</v>
      </c>
      <c r="Q606" s="53">
        <f t="shared" si="96"/>
        <v>0</v>
      </c>
      <c r="R606" s="53">
        <f t="shared" si="96"/>
        <v>0</v>
      </c>
      <c r="S606" s="53">
        <f t="shared" si="96"/>
        <v>0</v>
      </c>
      <c r="T606" s="53">
        <f t="shared" si="96"/>
        <v>0</v>
      </c>
      <c r="U606" s="53">
        <f t="shared" si="96"/>
        <v>0</v>
      </c>
      <c r="V606" s="53">
        <f t="shared" si="96"/>
        <v>135257</v>
      </c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8"/>
      <c r="X1000" s="8"/>
      <c r="Y1000" s="8"/>
      <c r="Z1000" s="8"/>
    </row>
  </sheetData>
  <mergeCells count="326">
    <mergeCell ref="C1:G1"/>
    <mergeCell ref="C2:G2"/>
    <mergeCell ref="C4:G4"/>
    <mergeCell ref="C6:G6"/>
    <mergeCell ref="C12:C14"/>
    <mergeCell ref="I12:I14"/>
    <mergeCell ref="J12:V13"/>
    <mergeCell ref="J15:U15"/>
    <mergeCell ref="D12:H14"/>
    <mergeCell ref="D15:H15"/>
    <mergeCell ref="D17:H17"/>
    <mergeCell ref="E18:H18"/>
    <mergeCell ref="F19:H19"/>
    <mergeCell ref="G20:H20"/>
    <mergeCell ref="G22:H22"/>
    <mergeCell ref="G24:H24"/>
    <mergeCell ref="G26:H26"/>
    <mergeCell ref="G28:H28"/>
    <mergeCell ref="G30:H30"/>
    <mergeCell ref="G32:H32"/>
    <mergeCell ref="G34:H34"/>
    <mergeCell ref="G36:H36"/>
    <mergeCell ref="G38:H38"/>
    <mergeCell ref="F41:H41"/>
    <mergeCell ref="G42:H42"/>
    <mergeCell ref="G44:H44"/>
    <mergeCell ref="G46:H46"/>
    <mergeCell ref="G48:H48"/>
    <mergeCell ref="G50:H50"/>
    <mergeCell ref="G52:H52"/>
    <mergeCell ref="G54:H54"/>
    <mergeCell ref="G56:H56"/>
    <mergeCell ref="G57:H57"/>
    <mergeCell ref="E58:H58"/>
    <mergeCell ref="E59:H59"/>
    <mergeCell ref="F60:H60"/>
    <mergeCell ref="G61:H61"/>
    <mergeCell ref="G63:H63"/>
    <mergeCell ref="G65:H65"/>
    <mergeCell ref="G67:H67"/>
    <mergeCell ref="G69:H69"/>
    <mergeCell ref="G71:H71"/>
    <mergeCell ref="G73:H73"/>
    <mergeCell ref="G75:H75"/>
    <mergeCell ref="G77:H77"/>
    <mergeCell ref="F80:H80"/>
    <mergeCell ref="G81:H81"/>
    <mergeCell ref="G83:H83"/>
    <mergeCell ref="G85:H85"/>
    <mergeCell ref="G87:H87"/>
    <mergeCell ref="G89:H89"/>
    <mergeCell ref="G91:H91"/>
    <mergeCell ref="G93:H93"/>
    <mergeCell ref="G95:H95"/>
    <mergeCell ref="G96:H96"/>
    <mergeCell ref="E98:H98"/>
    <mergeCell ref="E101:H101"/>
    <mergeCell ref="E104:H104"/>
    <mergeCell ref="F105:H105"/>
    <mergeCell ref="F107:H107"/>
    <mergeCell ref="F109:H109"/>
    <mergeCell ref="F111:H111"/>
    <mergeCell ref="E113:H113"/>
    <mergeCell ref="D114:H115"/>
    <mergeCell ref="D117:H117"/>
    <mergeCell ref="E118:H118"/>
    <mergeCell ref="F119:H119"/>
    <mergeCell ref="G120:H120"/>
    <mergeCell ref="G122:H122"/>
    <mergeCell ref="G124:H124"/>
    <mergeCell ref="G126:H126"/>
    <mergeCell ref="G128:H128"/>
    <mergeCell ref="G130:H130"/>
    <mergeCell ref="G132:H132"/>
    <mergeCell ref="G134:H134"/>
    <mergeCell ref="G136:H136"/>
    <mergeCell ref="E137:H137"/>
    <mergeCell ref="E138:H138"/>
    <mergeCell ref="F139:H139"/>
    <mergeCell ref="G140:H140"/>
    <mergeCell ref="G142:H142"/>
    <mergeCell ref="G144:H144"/>
    <mergeCell ref="G146:H146"/>
    <mergeCell ref="G148:H148"/>
    <mergeCell ref="G150:H150"/>
    <mergeCell ref="G152:H152"/>
    <mergeCell ref="G154:H154"/>
    <mergeCell ref="G156:H156"/>
    <mergeCell ref="D159:H160"/>
    <mergeCell ref="D162:H162"/>
    <mergeCell ref="E163:H163"/>
    <mergeCell ref="F164:H164"/>
    <mergeCell ref="G165:H165"/>
    <mergeCell ref="G167:H167"/>
    <mergeCell ref="G169:H169"/>
    <mergeCell ref="G171:H171"/>
    <mergeCell ref="G173:H173"/>
    <mergeCell ref="G175:H175"/>
    <mergeCell ref="G177:H177"/>
    <mergeCell ref="G179:H179"/>
    <mergeCell ref="G181:H181"/>
    <mergeCell ref="E182:H182"/>
    <mergeCell ref="E183:H183"/>
    <mergeCell ref="F184:H184"/>
    <mergeCell ref="G185:H185"/>
    <mergeCell ref="G187:H187"/>
    <mergeCell ref="G189:H189"/>
    <mergeCell ref="G191:H191"/>
    <mergeCell ref="G193:H193"/>
    <mergeCell ref="G195:H195"/>
    <mergeCell ref="G197:H197"/>
    <mergeCell ref="G199:H199"/>
    <mergeCell ref="G201:H201"/>
    <mergeCell ref="E203:H203"/>
    <mergeCell ref="D204:H205"/>
    <mergeCell ref="D207:H207"/>
    <mergeCell ref="E208:H208"/>
    <mergeCell ref="F209:H209"/>
    <mergeCell ref="G210:H210"/>
    <mergeCell ref="G212:H212"/>
    <mergeCell ref="G214:H214"/>
    <mergeCell ref="G216:H216"/>
    <mergeCell ref="G218:H218"/>
    <mergeCell ref="G220:H220"/>
    <mergeCell ref="G222:H222"/>
    <mergeCell ref="G224:H224"/>
    <mergeCell ref="G226:H226"/>
    <mergeCell ref="E227:H227"/>
    <mergeCell ref="E228:H228"/>
    <mergeCell ref="F229:H229"/>
    <mergeCell ref="G230:H230"/>
    <mergeCell ref="G232:H232"/>
    <mergeCell ref="G234:H234"/>
    <mergeCell ref="G236:H236"/>
    <mergeCell ref="G238:H238"/>
    <mergeCell ref="G240:H240"/>
    <mergeCell ref="G242:H242"/>
    <mergeCell ref="G244:H244"/>
    <mergeCell ref="G246:H246"/>
    <mergeCell ref="E248:H248"/>
    <mergeCell ref="D249:H250"/>
    <mergeCell ref="C252:H253"/>
    <mergeCell ref="C257:C259"/>
    <mergeCell ref="D257:H259"/>
    <mergeCell ref="I257:I259"/>
    <mergeCell ref="J257:V258"/>
    <mergeCell ref="D260:H260"/>
    <mergeCell ref="J260:U260"/>
    <mergeCell ref="D262:H262"/>
    <mergeCell ref="E263:H263"/>
    <mergeCell ref="F264:H264"/>
    <mergeCell ref="G265:H265"/>
    <mergeCell ref="G272:H272"/>
    <mergeCell ref="G277:H277"/>
    <mergeCell ref="G282:H282"/>
    <mergeCell ref="F284:H284"/>
    <mergeCell ref="E289:H289"/>
    <mergeCell ref="F290:H290"/>
    <mergeCell ref="G291:H291"/>
    <mergeCell ref="G298:H298"/>
    <mergeCell ref="G303:H303"/>
    <mergeCell ref="G308:H308"/>
    <mergeCell ref="F310:H310"/>
    <mergeCell ref="E315:H315"/>
    <mergeCell ref="F316:H316"/>
    <mergeCell ref="G317:H317"/>
    <mergeCell ref="G324:H324"/>
    <mergeCell ref="G329:H329"/>
    <mergeCell ref="G334:H334"/>
    <mergeCell ref="F336:H336"/>
    <mergeCell ref="D341:H342"/>
    <mergeCell ref="D344:H344"/>
    <mergeCell ref="E345:H345"/>
    <mergeCell ref="F346:H346"/>
    <mergeCell ref="G347:H347"/>
    <mergeCell ref="G354:H354"/>
    <mergeCell ref="G359:H359"/>
    <mergeCell ref="G364:H364"/>
    <mergeCell ref="F366:H366"/>
    <mergeCell ref="E371:H371"/>
    <mergeCell ref="F372:H372"/>
    <mergeCell ref="G373:H373"/>
    <mergeCell ref="G380:H380"/>
    <mergeCell ref="G385:H385"/>
    <mergeCell ref="G390:H390"/>
    <mergeCell ref="F392:H392"/>
    <mergeCell ref="E397:H397"/>
    <mergeCell ref="F398:H398"/>
    <mergeCell ref="G399:H399"/>
    <mergeCell ref="G406:H406"/>
    <mergeCell ref="I431:I433"/>
    <mergeCell ref="J431:V432"/>
    <mergeCell ref="J434:U434"/>
    <mergeCell ref="F480:H480"/>
    <mergeCell ref="F481:H481"/>
    <mergeCell ref="E483:H483"/>
    <mergeCell ref="F484:H484"/>
    <mergeCell ref="F485:H485"/>
    <mergeCell ref="F486:H486"/>
    <mergeCell ref="F487:H487"/>
    <mergeCell ref="I510:I512"/>
    <mergeCell ref="J510:V511"/>
    <mergeCell ref="J513:U513"/>
    <mergeCell ref="F488:H488"/>
    <mergeCell ref="F489:H489"/>
    <mergeCell ref="F491:H491"/>
    <mergeCell ref="F492:H492"/>
    <mergeCell ref="F493:H493"/>
    <mergeCell ref="F494:H494"/>
    <mergeCell ref="D496:H500"/>
    <mergeCell ref="G411:H411"/>
    <mergeCell ref="G416:H416"/>
    <mergeCell ref="F418:H418"/>
    <mergeCell ref="D423:H424"/>
    <mergeCell ref="C426:H427"/>
    <mergeCell ref="C431:C433"/>
    <mergeCell ref="D431:H433"/>
    <mergeCell ref="D434:H434"/>
    <mergeCell ref="D436:H436"/>
    <mergeCell ref="E437:H437"/>
    <mergeCell ref="F438:H438"/>
    <mergeCell ref="F439:H439"/>
    <mergeCell ref="F440:H440"/>
    <mergeCell ref="F441:H441"/>
    <mergeCell ref="F442:H442"/>
    <mergeCell ref="F443:H443"/>
    <mergeCell ref="F445:H445"/>
    <mergeCell ref="F446:H446"/>
    <mergeCell ref="F447:H447"/>
    <mergeCell ref="F448:H448"/>
    <mergeCell ref="E450:H450"/>
    <mergeCell ref="F451:H451"/>
    <mergeCell ref="F452:H452"/>
    <mergeCell ref="F453:H453"/>
    <mergeCell ref="F454:H454"/>
    <mergeCell ref="F455:H455"/>
    <mergeCell ref="F456:H456"/>
    <mergeCell ref="F458:H458"/>
    <mergeCell ref="F459:H459"/>
    <mergeCell ref="F460:H460"/>
    <mergeCell ref="F461:H461"/>
    <mergeCell ref="D463:H467"/>
    <mergeCell ref="D469:H469"/>
    <mergeCell ref="E470:H470"/>
    <mergeCell ref="F471:H471"/>
    <mergeCell ref="F472:H472"/>
    <mergeCell ref="F473:H473"/>
    <mergeCell ref="F474:H474"/>
    <mergeCell ref="F475:H475"/>
    <mergeCell ref="F476:H476"/>
    <mergeCell ref="F478:H478"/>
    <mergeCell ref="F479:H479"/>
    <mergeCell ref="C501:H501"/>
    <mergeCell ref="C502:H506"/>
    <mergeCell ref="C510:C512"/>
    <mergeCell ref="D510:H512"/>
    <mergeCell ref="D513:H513"/>
    <mergeCell ref="D515:H515"/>
    <mergeCell ref="E516:H516"/>
    <mergeCell ref="F571:H571"/>
    <mergeCell ref="F572:H572"/>
    <mergeCell ref="F573:H573"/>
    <mergeCell ref="D575:H579"/>
    <mergeCell ref="C580:H580"/>
    <mergeCell ref="C581:H585"/>
    <mergeCell ref="C589:C591"/>
    <mergeCell ref="D600:H600"/>
    <mergeCell ref="E601:H601"/>
    <mergeCell ref="E602:H602"/>
    <mergeCell ref="D603:H603"/>
    <mergeCell ref="D604:H604"/>
    <mergeCell ref="D605:H605"/>
    <mergeCell ref="C606:H606"/>
    <mergeCell ref="D592:H592"/>
    <mergeCell ref="D594:H594"/>
    <mergeCell ref="E595:H595"/>
    <mergeCell ref="E596:H596"/>
    <mergeCell ref="D597:H597"/>
    <mergeCell ref="D598:H598"/>
    <mergeCell ref="D599:H599"/>
    <mergeCell ref="F517:H517"/>
    <mergeCell ref="F518:H518"/>
    <mergeCell ref="F519:H519"/>
    <mergeCell ref="F520:H520"/>
    <mergeCell ref="F521:H521"/>
    <mergeCell ref="F522:H522"/>
    <mergeCell ref="F524:H524"/>
    <mergeCell ref="F525:H525"/>
    <mergeCell ref="F526:H526"/>
    <mergeCell ref="F527:H527"/>
    <mergeCell ref="E529:H529"/>
    <mergeCell ref="F530:H530"/>
    <mergeCell ref="F531:H531"/>
    <mergeCell ref="F532:H532"/>
    <mergeCell ref="F533:H533"/>
    <mergeCell ref="F534:H534"/>
    <mergeCell ref="F535:H535"/>
    <mergeCell ref="F537:H537"/>
    <mergeCell ref="F538:H538"/>
    <mergeCell ref="F539:H539"/>
    <mergeCell ref="F540:H540"/>
    <mergeCell ref="D542:H546"/>
    <mergeCell ref="D548:H548"/>
    <mergeCell ref="E549:H549"/>
    <mergeCell ref="F550:H550"/>
    <mergeCell ref="F551:H551"/>
    <mergeCell ref="F552:H552"/>
    <mergeCell ref="F553:H553"/>
    <mergeCell ref="F554:H554"/>
    <mergeCell ref="F555:H555"/>
    <mergeCell ref="F557:H557"/>
    <mergeCell ref="F558:H558"/>
    <mergeCell ref="F559:H559"/>
    <mergeCell ref="F560:H560"/>
    <mergeCell ref="E562:H562"/>
    <mergeCell ref="F563:H563"/>
    <mergeCell ref="F564:H564"/>
    <mergeCell ref="F565:H565"/>
    <mergeCell ref="F566:H566"/>
    <mergeCell ref="F567:H567"/>
    <mergeCell ref="F568:H568"/>
    <mergeCell ref="F570:H570"/>
    <mergeCell ref="D589:H591"/>
    <mergeCell ref="I589:I591"/>
    <mergeCell ref="J589:V590"/>
    <mergeCell ref="J592:U592"/>
  </mergeCells>
  <dataValidations>
    <dataValidation type="decimal" allowBlank="1" showErrorMessage="1" sqref="H2">
      <formula1>2010.0</formula1>
      <formula2>2030.0</formula2>
    </dataValidation>
    <dataValidation type="list" allowBlank="1" showErrorMessage="1" sqref="H4">
      <formula1>Sheet1!$A$3:$A$10</formula1>
    </dataValidation>
    <dataValidation type="list" allowBlank="1" showInputMessage="1" showErrorMessage="1" prompt="Cek - Pilih data yang sesuai" sqref="H6">
      <formula1>INDIRECT(H4)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4.43" defaultRowHeight="15.0"/>
  <cols>
    <col customWidth="1" min="1" max="1" width="2.86"/>
    <col customWidth="1" hidden="1" min="2" max="2" width="15.57"/>
    <col customWidth="1" min="3" max="7" width="6.43"/>
    <col customWidth="1" min="8" max="8" width="16.43"/>
    <col customWidth="1" min="9" max="9" width="7.86"/>
    <col customWidth="1" min="10" max="22" width="15.43"/>
    <col customWidth="1" min="23" max="26" width="8.71"/>
  </cols>
  <sheetData>
    <row r="1" ht="14.25" customHeight="1">
      <c r="A1" s="8"/>
      <c r="B1" s="8"/>
      <c r="C1" s="8"/>
      <c r="D1" s="8"/>
      <c r="E1" s="8"/>
      <c r="F1" s="8"/>
      <c r="G1" s="8"/>
      <c r="H1" s="8"/>
      <c r="I1" s="8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ht="14.25" customHeight="1">
      <c r="A2" s="8"/>
      <c r="B2" s="8"/>
      <c r="C2" s="14" t="s">
        <v>316</v>
      </c>
      <c r="D2" s="12"/>
      <c r="E2" s="12"/>
      <c r="F2" s="12"/>
      <c r="G2" s="12"/>
      <c r="H2" s="15">
        <f>ARUS!H2</f>
        <v>2026</v>
      </c>
      <c r="I2" s="8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ht="14.25" customHeight="1">
      <c r="A3" s="8"/>
      <c r="B3" s="8"/>
      <c r="C3" s="8"/>
      <c r="D3" s="8"/>
      <c r="E3" s="8"/>
      <c r="F3" s="8"/>
      <c r="G3" s="8"/>
      <c r="H3" s="8"/>
      <c r="I3" s="8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ht="14.25" customHeight="1">
      <c r="A4" s="8"/>
      <c r="B4" s="8" t="str">
        <f>ARUS!B4</f>
        <v>002</v>
      </c>
      <c r="C4" s="14" t="s">
        <v>317</v>
      </c>
      <c r="D4" s="12"/>
      <c r="E4" s="12"/>
      <c r="F4" s="12"/>
      <c r="G4" s="12"/>
      <c r="H4" s="7" t="str">
        <f>ARUS!H4</f>
        <v>Regional.2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ht="14.25" customHeight="1">
      <c r="A5" s="8"/>
      <c r="B5" s="8" t="str">
        <f>ARUS!B5</f>
        <v>RegP2</v>
      </c>
      <c r="C5" s="8"/>
      <c r="D5" s="8"/>
      <c r="E5" s="8"/>
      <c r="F5" s="8"/>
      <c r="G5" s="8"/>
      <c r="H5" s="8"/>
      <c r="I5" s="8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ht="14.25" customHeight="1">
      <c r="A6" s="8"/>
      <c r="B6" s="8">
        <f>ARUS!B6</f>
        <v>38</v>
      </c>
      <c r="C6" s="14" t="s">
        <v>318</v>
      </c>
      <c r="D6" s="12"/>
      <c r="E6" s="12"/>
      <c r="F6" s="12"/>
      <c r="G6" s="12"/>
      <c r="H6" s="7" t="str">
        <f>ARUS!H6</f>
        <v>Banten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ht="14.25" customHeight="1">
      <c r="A8" s="16">
        <v>1.0</v>
      </c>
      <c r="B8" s="17"/>
      <c r="C8" s="16" t="s">
        <v>659</v>
      </c>
      <c r="D8" s="8"/>
      <c r="E8" s="8"/>
      <c r="F8" s="8"/>
      <c r="G8" s="8"/>
      <c r="H8" s="8"/>
      <c r="I8" s="8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ht="14.25" hidden="1" customHeight="1">
      <c r="A9" s="17"/>
      <c r="B9" s="17"/>
      <c r="C9" s="16"/>
      <c r="D9" s="8"/>
      <c r="E9" s="8"/>
      <c r="F9" s="8"/>
      <c r="G9" s="8"/>
      <c r="H9" s="8"/>
      <c r="I9" s="8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ht="14.25" hidden="1" customHeight="1">
      <c r="A10" s="17"/>
      <c r="B10" s="17" t="s">
        <v>320</v>
      </c>
      <c r="C10" s="16"/>
      <c r="J10" s="13">
        <v>1.0</v>
      </c>
      <c r="K10" s="13">
        <v>2.0</v>
      </c>
      <c r="L10" s="13">
        <v>3.0</v>
      </c>
      <c r="M10" s="13">
        <v>4.0</v>
      </c>
      <c r="N10" s="13">
        <v>5.0</v>
      </c>
      <c r="O10" s="13">
        <v>6.0</v>
      </c>
      <c r="P10" s="13">
        <v>7.0</v>
      </c>
      <c r="Q10" s="13">
        <v>8.0</v>
      </c>
      <c r="R10" s="13">
        <v>9.0</v>
      </c>
      <c r="S10" s="13">
        <v>10.0</v>
      </c>
      <c r="T10" s="13">
        <v>11.0</v>
      </c>
      <c r="U10" s="13">
        <v>12.0</v>
      </c>
      <c r="V10" s="13"/>
    </row>
    <row r="11" ht="14.25" customHeight="1">
      <c r="A11" s="8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ht="15.0" customHeight="1">
      <c r="A12" s="8"/>
      <c r="B12" s="8"/>
      <c r="C12" s="18" t="s">
        <v>321</v>
      </c>
      <c r="D12" s="19" t="s">
        <v>322</v>
      </c>
      <c r="E12" s="20"/>
      <c r="F12" s="20"/>
      <c r="G12" s="20"/>
      <c r="H12" s="21"/>
      <c r="I12" s="22" t="s">
        <v>323</v>
      </c>
      <c r="J12" s="23">
        <f>$H$2</f>
        <v>2026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</row>
    <row r="13" ht="14.25" customHeight="1">
      <c r="A13" s="8"/>
      <c r="B13" s="8"/>
      <c r="C13" s="24"/>
      <c r="D13" s="25"/>
      <c r="H13" s="26"/>
      <c r="I13" s="24"/>
      <c r="J13" s="28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0"/>
    </row>
    <row r="14" ht="14.25" customHeight="1">
      <c r="A14" s="8"/>
      <c r="B14" s="8"/>
      <c r="C14" s="27"/>
      <c r="D14" s="28"/>
      <c r="E14" s="29"/>
      <c r="F14" s="29"/>
      <c r="G14" s="29"/>
      <c r="H14" s="30"/>
      <c r="I14" s="27"/>
      <c r="J14" s="96" t="s">
        <v>324</v>
      </c>
      <c r="K14" s="96" t="s">
        <v>325</v>
      </c>
      <c r="L14" s="96" t="s">
        <v>326</v>
      </c>
      <c r="M14" s="96" t="s">
        <v>327</v>
      </c>
      <c r="N14" s="96" t="s">
        <v>328</v>
      </c>
      <c r="O14" s="96" t="s">
        <v>329</v>
      </c>
      <c r="P14" s="96" t="s">
        <v>330</v>
      </c>
      <c r="Q14" s="96" t="s">
        <v>331</v>
      </c>
      <c r="R14" s="96" t="s">
        <v>332</v>
      </c>
      <c r="S14" s="96" t="s">
        <v>333</v>
      </c>
      <c r="T14" s="96" t="s">
        <v>334</v>
      </c>
      <c r="U14" s="96" t="s">
        <v>335</v>
      </c>
      <c r="V14" s="96" t="s">
        <v>336</v>
      </c>
    </row>
    <row r="15" ht="14.25" customHeight="1">
      <c r="A15" s="8"/>
      <c r="B15" s="8"/>
      <c r="C15" s="31">
        <v>1.0</v>
      </c>
      <c r="D15" s="32">
        <v>2.0</v>
      </c>
      <c r="E15" s="33"/>
      <c r="F15" s="33"/>
      <c r="G15" s="33"/>
      <c r="H15" s="34"/>
      <c r="I15" s="35">
        <v>3.0</v>
      </c>
      <c r="J15" s="97">
        <v>4.0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  <c r="V15" s="35">
        <v>5.0</v>
      </c>
    </row>
    <row r="16" ht="14.25" customHeight="1">
      <c r="A16" s="8"/>
      <c r="B16" s="8"/>
      <c r="C16" s="46"/>
      <c r="D16" s="54"/>
      <c r="E16" s="33"/>
      <c r="F16" s="33"/>
      <c r="G16" s="33"/>
      <c r="H16" s="34"/>
      <c r="I16" s="64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</row>
    <row r="17" ht="14.25" customHeight="1">
      <c r="A17" s="8"/>
      <c r="B17" s="81"/>
      <c r="C17" s="46">
        <v>1.0</v>
      </c>
      <c r="D17" s="47" t="s">
        <v>469</v>
      </c>
      <c r="E17" s="33"/>
      <c r="F17" s="33"/>
      <c r="G17" s="33"/>
      <c r="H17" s="34"/>
      <c r="I17" s="64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</row>
    <row r="18" ht="14.25" customHeight="1">
      <c r="A18" s="8"/>
      <c r="B18" s="81" t="s">
        <v>660</v>
      </c>
      <c r="C18" s="46"/>
      <c r="D18" s="54">
        <v>1.0</v>
      </c>
      <c r="E18" s="99" t="s">
        <v>661</v>
      </c>
      <c r="F18" s="33"/>
      <c r="G18" s="33"/>
      <c r="H18" s="34"/>
      <c r="I18" s="64" t="s">
        <v>662</v>
      </c>
      <c r="J18" s="49">
        <v>0.0</v>
      </c>
      <c r="K18" s="50">
        <v>0.0</v>
      </c>
      <c r="L18" s="51">
        <v>0.011904761904761904</v>
      </c>
      <c r="M18" s="51">
        <v>0.01</v>
      </c>
      <c r="N18" s="50">
        <v>0.01</v>
      </c>
      <c r="O18" s="50">
        <v>0.019</v>
      </c>
      <c r="P18" s="52"/>
      <c r="Q18" s="52"/>
      <c r="R18" s="52"/>
      <c r="S18" s="52"/>
      <c r="T18" s="52"/>
      <c r="U18" s="52"/>
      <c r="V18" s="53">
        <f t="shared" ref="V18:V22" si="1">IFERROR(AVERAGE(J18:U18),"")</f>
        <v>0.008484126984</v>
      </c>
    </row>
    <row r="19" ht="14.25" customHeight="1">
      <c r="A19" s="8"/>
      <c r="B19" s="81" t="s">
        <v>663</v>
      </c>
      <c r="C19" s="46"/>
      <c r="D19" s="54">
        <v>2.0</v>
      </c>
      <c r="E19" s="99" t="s">
        <v>664</v>
      </c>
      <c r="F19" s="33"/>
      <c r="G19" s="33"/>
      <c r="H19" s="34"/>
      <c r="I19" s="64" t="s">
        <v>662</v>
      </c>
      <c r="J19" s="60"/>
      <c r="K19" s="62"/>
      <c r="L19" s="61"/>
      <c r="M19" s="62"/>
      <c r="N19" s="61"/>
      <c r="O19" s="62"/>
      <c r="P19" s="52"/>
      <c r="Q19" s="52"/>
      <c r="R19" s="52"/>
      <c r="S19" s="52"/>
      <c r="T19" s="52"/>
      <c r="U19" s="52"/>
      <c r="V19" s="53" t="str">
        <f t="shared" si="1"/>
        <v/>
      </c>
    </row>
    <row r="20" ht="14.25" customHeight="1">
      <c r="A20" s="8"/>
      <c r="B20" s="81" t="s">
        <v>665</v>
      </c>
      <c r="C20" s="46"/>
      <c r="D20" s="48">
        <v>3.0</v>
      </c>
      <c r="E20" s="100" t="s">
        <v>666</v>
      </c>
      <c r="F20" s="33"/>
      <c r="G20" s="33"/>
      <c r="H20" s="34"/>
      <c r="I20" s="64" t="s">
        <v>662</v>
      </c>
      <c r="J20" s="60"/>
      <c r="K20" s="62"/>
      <c r="L20" s="61"/>
      <c r="M20" s="62"/>
      <c r="N20" s="61"/>
      <c r="O20" s="62"/>
      <c r="P20" s="52"/>
      <c r="Q20" s="52"/>
      <c r="R20" s="52"/>
      <c r="S20" s="52"/>
      <c r="T20" s="52"/>
      <c r="U20" s="52"/>
      <c r="V20" s="53" t="str">
        <f t="shared" si="1"/>
        <v/>
      </c>
    </row>
    <row r="21" ht="14.25" customHeight="1">
      <c r="A21" s="8"/>
      <c r="B21" s="81" t="s">
        <v>667</v>
      </c>
      <c r="C21" s="46"/>
      <c r="D21" s="54">
        <v>4.0</v>
      </c>
      <c r="E21" s="99" t="s">
        <v>668</v>
      </c>
      <c r="F21" s="33"/>
      <c r="G21" s="33"/>
      <c r="H21" s="34"/>
      <c r="I21" s="64" t="s">
        <v>662</v>
      </c>
      <c r="J21" s="49">
        <v>0.75</v>
      </c>
      <c r="K21" s="58">
        <v>0.77</v>
      </c>
      <c r="L21" s="51">
        <v>0.752777777777778</v>
      </c>
      <c r="M21" s="59">
        <v>0.7898550724637682</v>
      </c>
      <c r="N21" s="50">
        <v>0.69</v>
      </c>
      <c r="O21" s="58">
        <v>0.7133333333333332</v>
      </c>
      <c r="P21" s="52"/>
      <c r="Q21" s="52"/>
      <c r="R21" s="52"/>
      <c r="S21" s="52"/>
      <c r="T21" s="52"/>
      <c r="U21" s="52"/>
      <c r="V21" s="53">
        <f t="shared" si="1"/>
        <v>0.7443276973</v>
      </c>
    </row>
    <row r="22" ht="14.25" customHeight="1">
      <c r="A22" s="8"/>
      <c r="B22" s="81" t="s">
        <v>669</v>
      </c>
      <c r="C22" s="46"/>
      <c r="D22" s="54">
        <v>5.0</v>
      </c>
      <c r="E22" s="99" t="s">
        <v>670</v>
      </c>
      <c r="F22" s="33"/>
      <c r="G22" s="33"/>
      <c r="H22" s="34"/>
      <c r="I22" s="64" t="s">
        <v>662</v>
      </c>
      <c r="J22" s="60"/>
      <c r="K22" s="61"/>
      <c r="L22" s="61"/>
      <c r="M22" s="62"/>
      <c r="N22" s="61"/>
      <c r="O22" s="62"/>
      <c r="P22" s="52"/>
      <c r="Q22" s="52"/>
      <c r="R22" s="52"/>
      <c r="S22" s="52"/>
      <c r="T22" s="52"/>
      <c r="U22" s="52"/>
      <c r="V22" s="53" t="str">
        <f t="shared" si="1"/>
        <v/>
      </c>
    </row>
    <row r="23" ht="14.25" customHeight="1">
      <c r="A23" s="8"/>
      <c r="B23" s="81"/>
      <c r="C23" s="46"/>
      <c r="D23" s="54"/>
      <c r="E23" s="33"/>
      <c r="F23" s="33"/>
      <c r="G23" s="33"/>
      <c r="H23" s="34"/>
      <c r="I23" s="89"/>
      <c r="J23" s="101"/>
      <c r="K23" s="102"/>
      <c r="L23" s="102"/>
      <c r="M23" s="103"/>
      <c r="N23" s="102"/>
      <c r="O23" s="103"/>
      <c r="P23" s="104"/>
      <c r="Q23" s="104"/>
      <c r="R23" s="104"/>
      <c r="S23" s="104"/>
      <c r="T23" s="104"/>
      <c r="U23" s="104"/>
      <c r="V23" s="105"/>
    </row>
    <row r="24" ht="14.25" customHeight="1">
      <c r="A24" s="8"/>
      <c r="B24" s="81"/>
      <c r="C24" s="46">
        <v>2.0</v>
      </c>
      <c r="D24" s="47" t="s">
        <v>530</v>
      </c>
      <c r="E24" s="33"/>
      <c r="F24" s="33"/>
      <c r="G24" s="33"/>
      <c r="H24" s="34"/>
      <c r="I24" s="64"/>
      <c r="J24" s="98"/>
      <c r="K24" s="102"/>
      <c r="L24" s="102"/>
      <c r="M24" s="103"/>
      <c r="N24" s="102"/>
      <c r="O24" s="103"/>
      <c r="P24" s="98"/>
      <c r="Q24" s="98"/>
      <c r="R24" s="98"/>
      <c r="S24" s="98"/>
      <c r="T24" s="98"/>
      <c r="U24" s="98"/>
      <c r="V24" s="105"/>
    </row>
    <row r="25" ht="14.25" customHeight="1">
      <c r="A25" s="8"/>
      <c r="B25" s="81" t="s">
        <v>671</v>
      </c>
      <c r="C25" s="46"/>
      <c r="D25" s="54">
        <v>1.0</v>
      </c>
      <c r="E25" s="99" t="s">
        <v>661</v>
      </c>
      <c r="F25" s="33"/>
      <c r="G25" s="33"/>
      <c r="H25" s="34"/>
      <c r="I25" s="64" t="s">
        <v>662</v>
      </c>
      <c r="J25" s="49">
        <v>0.15</v>
      </c>
      <c r="K25" s="50">
        <v>0.05</v>
      </c>
      <c r="L25" s="51">
        <v>0.041666666666666664</v>
      </c>
      <c r="M25" s="51">
        <v>0.01</v>
      </c>
      <c r="N25" s="50">
        <v>0.01</v>
      </c>
      <c r="O25" s="58">
        <v>0.039944903581267226</v>
      </c>
      <c r="P25" s="52"/>
      <c r="Q25" s="52"/>
      <c r="R25" s="52"/>
      <c r="S25" s="52"/>
      <c r="T25" s="52"/>
      <c r="U25" s="52"/>
      <c r="V25" s="53">
        <f t="shared" ref="V25:V29" si="2">IFERROR(AVERAGE(J25:U25),"")</f>
        <v>0.05026859504</v>
      </c>
    </row>
    <row r="26" ht="14.25" customHeight="1">
      <c r="A26" s="8"/>
      <c r="B26" s="81" t="s">
        <v>672</v>
      </c>
      <c r="C26" s="46"/>
      <c r="D26" s="54">
        <v>2.0</v>
      </c>
      <c r="E26" s="99" t="s">
        <v>664</v>
      </c>
      <c r="F26" s="33"/>
      <c r="G26" s="33"/>
      <c r="H26" s="34"/>
      <c r="I26" s="64" t="s">
        <v>662</v>
      </c>
      <c r="J26" s="60"/>
      <c r="K26" s="62"/>
      <c r="L26" s="61"/>
      <c r="M26" s="62"/>
      <c r="N26" s="61"/>
      <c r="O26" s="62"/>
      <c r="P26" s="52"/>
      <c r="Q26" s="52"/>
      <c r="R26" s="52"/>
      <c r="S26" s="52"/>
      <c r="T26" s="52"/>
      <c r="U26" s="52"/>
      <c r="V26" s="53" t="str">
        <f t="shared" si="2"/>
        <v/>
      </c>
    </row>
    <row r="27" ht="14.25" customHeight="1">
      <c r="A27" s="8"/>
      <c r="B27" s="81" t="s">
        <v>673</v>
      </c>
      <c r="C27" s="46"/>
      <c r="D27" s="48">
        <v>3.0</v>
      </c>
      <c r="E27" s="100" t="s">
        <v>666</v>
      </c>
      <c r="F27" s="33"/>
      <c r="G27" s="33"/>
      <c r="H27" s="34"/>
      <c r="I27" s="64" t="s">
        <v>662</v>
      </c>
      <c r="J27" s="60"/>
      <c r="K27" s="62"/>
      <c r="L27" s="61"/>
      <c r="M27" s="62"/>
      <c r="N27" s="61"/>
      <c r="O27" s="62"/>
      <c r="P27" s="52"/>
      <c r="Q27" s="52"/>
      <c r="R27" s="52"/>
      <c r="S27" s="52"/>
      <c r="T27" s="52"/>
      <c r="U27" s="52"/>
      <c r="V27" s="53" t="str">
        <f t="shared" si="2"/>
        <v/>
      </c>
    </row>
    <row r="28" ht="14.25" customHeight="1">
      <c r="A28" s="8"/>
      <c r="B28" s="81" t="s">
        <v>674</v>
      </c>
      <c r="C28" s="46"/>
      <c r="D28" s="54">
        <v>4.0</v>
      </c>
      <c r="E28" s="99" t="s">
        <v>668</v>
      </c>
      <c r="F28" s="33"/>
      <c r="G28" s="33"/>
      <c r="H28" s="34"/>
      <c r="I28" s="64" t="s">
        <v>662</v>
      </c>
      <c r="J28" s="49">
        <v>0.5</v>
      </c>
      <c r="K28" s="58">
        <v>0.53</v>
      </c>
      <c r="L28" s="51">
        <v>0.4810457516339868</v>
      </c>
      <c r="M28" s="59">
        <v>0.4946483180428134</v>
      </c>
      <c r="N28" s="50">
        <v>0.53</v>
      </c>
      <c r="O28" s="58">
        <v>0.49462809917355366</v>
      </c>
      <c r="P28" s="52"/>
      <c r="Q28" s="52"/>
      <c r="R28" s="52"/>
      <c r="S28" s="52"/>
      <c r="T28" s="52"/>
      <c r="U28" s="52"/>
      <c r="V28" s="53">
        <f t="shared" si="2"/>
        <v>0.5050536948</v>
      </c>
    </row>
    <row r="29" ht="14.25" customHeight="1">
      <c r="A29" s="8"/>
      <c r="B29" s="81" t="s">
        <v>675</v>
      </c>
      <c r="C29" s="46"/>
      <c r="D29" s="54">
        <v>5.0</v>
      </c>
      <c r="E29" s="99" t="s">
        <v>670</v>
      </c>
      <c r="F29" s="33"/>
      <c r="G29" s="33"/>
      <c r="H29" s="34"/>
      <c r="I29" s="64" t="s">
        <v>662</v>
      </c>
      <c r="J29" s="52"/>
      <c r="K29" s="61"/>
      <c r="L29" s="61"/>
      <c r="M29" s="62"/>
      <c r="N29" s="61"/>
      <c r="O29" s="52"/>
      <c r="P29" s="52"/>
      <c r="Q29" s="52"/>
      <c r="R29" s="52"/>
      <c r="S29" s="52"/>
      <c r="T29" s="52"/>
      <c r="U29" s="52"/>
      <c r="V29" s="53" t="str">
        <f t="shared" si="2"/>
        <v/>
      </c>
    </row>
    <row r="30" ht="14.25" customHeight="1">
      <c r="A30" s="8"/>
      <c r="B30" s="81"/>
      <c r="C30" s="46"/>
      <c r="D30" s="54"/>
      <c r="E30" s="33"/>
      <c r="F30" s="33"/>
      <c r="G30" s="33"/>
      <c r="H30" s="34"/>
      <c r="I30" s="89"/>
      <c r="J30" s="104"/>
      <c r="K30" s="102"/>
      <c r="L30" s="102"/>
      <c r="M30" s="103"/>
      <c r="N30" s="102"/>
      <c r="O30" s="104"/>
      <c r="P30" s="104"/>
      <c r="Q30" s="104"/>
      <c r="R30" s="104"/>
      <c r="S30" s="104"/>
      <c r="T30" s="104"/>
      <c r="U30" s="104"/>
      <c r="V30" s="105"/>
    </row>
    <row r="31" ht="14.25" customHeight="1">
      <c r="A31" s="8"/>
      <c r="B31" s="81"/>
      <c r="C31" s="46">
        <v>3.0</v>
      </c>
      <c r="D31" s="47" t="s">
        <v>676</v>
      </c>
      <c r="E31" s="33"/>
      <c r="F31" s="33"/>
      <c r="G31" s="33"/>
      <c r="H31" s="34"/>
      <c r="I31" s="64"/>
      <c r="J31" s="104"/>
      <c r="K31" s="102"/>
      <c r="L31" s="102"/>
      <c r="M31" s="103"/>
      <c r="N31" s="102"/>
      <c r="O31" s="104"/>
      <c r="P31" s="104"/>
      <c r="Q31" s="104"/>
      <c r="R31" s="104"/>
      <c r="S31" s="104"/>
      <c r="T31" s="104"/>
      <c r="U31" s="104"/>
      <c r="V31" s="105"/>
    </row>
    <row r="32" ht="14.25" customHeight="1">
      <c r="A32" s="8"/>
      <c r="B32" s="81" t="s">
        <v>677</v>
      </c>
      <c r="C32" s="46"/>
      <c r="D32" s="54">
        <v>1.0</v>
      </c>
      <c r="E32" s="99" t="s">
        <v>661</v>
      </c>
      <c r="F32" s="33"/>
      <c r="G32" s="33"/>
      <c r="H32" s="34"/>
      <c r="I32" s="64" t="s">
        <v>662</v>
      </c>
      <c r="J32" s="49">
        <v>0.07</v>
      </c>
      <c r="K32" s="50">
        <v>0.03</v>
      </c>
      <c r="L32" s="51">
        <v>0.026785714285714284</v>
      </c>
      <c r="M32" s="51">
        <v>0.01</v>
      </c>
      <c r="N32" s="50">
        <v>0.0</v>
      </c>
      <c r="O32" s="58">
        <v>0.02947245179063361</v>
      </c>
      <c r="P32" s="52"/>
      <c r="Q32" s="52"/>
      <c r="R32" s="52"/>
      <c r="S32" s="52"/>
      <c r="T32" s="52"/>
      <c r="U32" s="52"/>
      <c r="V32" s="53">
        <f t="shared" ref="V32:V36" si="3">IFERROR(AVERAGE(J32:U32),"")</f>
        <v>0.02770969435</v>
      </c>
    </row>
    <row r="33" ht="14.25" customHeight="1">
      <c r="A33" s="8"/>
      <c r="B33" s="81" t="s">
        <v>678</v>
      </c>
      <c r="C33" s="46"/>
      <c r="D33" s="54">
        <v>2.0</v>
      </c>
      <c r="E33" s="99" t="s">
        <v>664</v>
      </c>
      <c r="F33" s="33"/>
      <c r="G33" s="33"/>
      <c r="H33" s="34"/>
      <c r="I33" s="64" t="s">
        <v>662</v>
      </c>
      <c r="J33" s="60"/>
      <c r="K33" s="62"/>
      <c r="L33" s="61"/>
      <c r="M33" s="62"/>
      <c r="N33" s="61"/>
      <c r="O33" s="62"/>
      <c r="P33" s="52"/>
      <c r="Q33" s="52"/>
      <c r="R33" s="52"/>
      <c r="S33" s="52"/>
      <c r="T33" s="52"/>
      <c r="U33" s="52"/>
      <c r="V33" s="53" t="str">
        <f t="shared" si="3"/>
        <v/>
      </c>
    </row>
    <row r="34" ht="14.25" customHeight="1">
      <c r="A34" s="8"/>
      <c r="B34" s="81" t="s">
        <v>679</v>
      </c>
      <c r="C34" s="46"/>
      <c r="D34" s="48">
        <v>3.0</v>
      </c>
      <c r="E34" s="100" t="s">
        <v>666</v>
      </c>
      <c r="F34" s="33"/>
      <c r="G34" s="33"/>
      <c r="H34" s="34"/>
      <c r="I34" s="64" t="s">
        <v>662</v>
      </c>
      <c r="J34" s="60"/>
      <c r="K34" s="62"/>
      <c r="L34" s="61"/>
      <c r="M34" s="62"/>
      <c r="N34" s="61"/>
      <c r="O34" s="62"/>
      <c r="P34" s="52"/>
      <c r="Q34" s="52"/>
      <c r="R34" s="52"/>
      <c r="S34" s="52"/>
      <c r="T34" s="52"/>
      <c r="U34" s="52"/>
      <c r="V34" s="53" t="str">
        <f t="shared" si="3"/>
        <v/>
      </c>
    </row>
    <row r="35" ht="14.25" customHeight="1">
      <c r="A35" s="8"/>
      <c r="B35" s="81" t="s">
        <v>680</v>
      </c>
      <c r="C35" s="46"/>
      <c r="D35" s="54">
        <v>4.0</v>
      </c>
      <c r="E35" s="99" t="s">
        <v>668</v>
      </c>
      <c r="F35" s="33"/>
      <c r="G35" s="33"/>
      <c r="H35" s="34"/>
      <c r="I35" s="64" t="s">
        <v>662</v>
      </c>
      <c r="J35" s="49">
        <v>0.62</v>
      </c>
      <c r="K35" s="58">
        <v>0.65</v>
      </c>
      <c r="L35" s="51">
        <v>0.6169117647058824</v>
      </c>
      <c r="M35" s="59">
        <v>0.6422516952532908</v>
      </c>
      <c r="N35" s="50">
        <v>0.61</v>
      </c>
      <c r="O35" s="58">
        <v>0.6039807162534434</v>
      </c>
      <c r="P35" s="52"/>
      <c r="Q35" s="52"/>
      <c r="R35" s="52"/>
      <c r="S35" s="52"/>
      <c r="T35" s="52"/>
      <c r="U35" s="52"/>
      <c r="V35" s="53">
        <f t="shared" si="3"/>
        <v>0.6238573627</v>
      </c>
    </row>
    <row r="36" ht="14.25" customHeight="1">
      <c r="A36" s="8"/>
      <c r="B36" s="81" t="s">
        <v>681</v>
      </c>
      <c r="C36" s="46"/>
      <c r="D36" s="54">
        <v>5.0</v>
      </c>
      <c r="E36" s="99" t="s">
        <v>670</v>
      </c>
      <c r="F36" s="33"/>
      <c r="G36" s="33"/>
      <c r="H36" s="34"/>
      <c r="I36" s="64" t="s">
        <v>662</v>
      </c>
      <c r="J36" s="60"/>
      <c r="K36" s="61"/>
      <c r="L36" s="52"/>
      <c r="M36" s="62"/>
      <c r="N36" s="61"/>
      <c r="O36" s="62"/>
      <c r="P36" s="52"/>
      <c r="Q36" s="52"/>
      <c r="R36" s="52"/>
      <c r="S36" s="52"/>
      <c r="T36" s="52"/>
      <c r="U36" s="52"/>
      <c r="V36" s="53" t="str">
        <f t="shared" si="3"/>
        <v/>
      </c>
    </row>
    <row r="37" ht="14.25" customHeight="1">
      <c r="A37" s="8"/>
      <c r="B37" s="81"/>
      <c r="C37" s="46"/>
      <c r="D37" s="54"/>
      <c r="E37" s="33"/>
      <c r="F37" s="33"/>
      <c r="G37" s="33"/>
      <c r="H37" s="34"/>
      <c r="I37" s="89"/>
      <c r="J37" s="104"/>
      <c r="K37" s="102"/>
      <c r="L37" s="104"/>
      <c r="M37" s="103"/>
      <c r="N37" s="102"/>
      <c r="O37" s="103"/>
      <c r="P37" s="104"/>
      <c r="Q37" s="104"/>
      <c r="R37" s="104"/>
      <c r="S37" s="104"/>
      <c r="T37" s="104"/>
      <c r="U37" s="104"/>
      <c r="V37" s="105"/>
    </row>
    <row r="38" ht="14.25" customHeight="1">
      <c r="A38" s="8"/>
      <c r="B38" s="81"/>
      <c r="C38" s="46">
        <v>4.0</v>
      </c>
      <c r="D38" s="47" t="s">
        <v>682</v>
      </c>
      <c r="E38" s="33"/>
      <c r="F38" s="33"/>
      <c r="G38" s="33"/>
      <c r="H38" s="34"/>
      <c r="I38" s="64"/>
      <c r="J38" s="104"/>
      <c r="K38" s="102"/>
      <c r="L38" s="104"/>
      <c r="M38" s="103"/>
      <c r="N38" s="102"/>
      <c r="O38" s="103"/>
      <c r="P38" s="104"/>
      <c r="Q38" s="104"/>
      <c r="R38" s="104"/>
      <c r="S38" s="104"/>
      <c r="T38" s="104"/>
      <c r="U38" s="104"/>
      <c r="V38" s="105"/>
    </row>
    <row r="39" ht="14.25" customHeight="1">
      <c r="A39" s="8"/>
      <c r="B39" s="81" t="s">
        <v>683</v>
      </c>
      <c r="C39" s="46"/>
      <c r="D39" s="54">
        <v>1.0</v>
      </c>
      <c r="E39" s="99" t="s">
        <v>661</v>
      </c>
      <c r="F39" s="33"/>
      <c r="G39" s="33"/>
      <c r="H39" s="34"/>
      <c r="I39" s="64" t="s">
        <v>662</v>
      </c>
      <c r="J39" s="49">
        <v>0.2</v>
      </c>
      <c r="K39" s="50">
        <v>0.06</v>
      </c>
      <c r="L39" s="51">
        <v>0.02780577427821522</v>
      </c>
      <c r="M39" s="59">
        <v>0.01380890052356021</v>
      </c>
      <c r="N39" s="50">
        <v>0.03</v>
      </c>
      <c r="O39" s="58">
        <v>0.03273657832144071</v>
      </c>
      <c r="P39" s="52"/>
      <c r="Q39" s="52"/>
      <c r="R39" s="52"/>
      <c r="S39" s="52"/>
      <c r="T39" s="52"/>
      <c r="U39" s="52"/>
      <c r="V39" s="53">
        <f t="shared" ref="V39:V43" si="4">IFERROR(AVERAGE(J39:U39),"")</f>
        <v>0.06072520885</v>
      </c>
    </row>
    <row r="40" ht="14.25" customHeight="1">
      <c r="A40" s="8"/>
      <c r="B40" s="81" t="s">
        <v>684</v>
      </c>
      <c r="C40" s="46"/>
      <c r="D40" s="54">
        <v>2.0</v>
      </c>
      <c r="E40" s="99" t="s">
        <v>664</v>
      </c>
      <c r="F40" s="33"/>
      <c r="G40" s="33"/>
      <c r="H40" s="34"/>
      <c r="I40" s="64" t="s">
        <v>662</v>
      </c>
      <c r="J40" s="60"/>
      <c r="K40" s="62"/>
      <c r="L40" s="61"/>
      <c r="M40" s="52"/>
      <c r="N40" s="61"/>
      <c r="O40" s="62"/>
      <c r="P40" s="52"/>
      <c r="Q40" s="52"/>
      <c r="R40" s="52"/>
      <c r="S40" s="52"/>
      <c r="T40" s="52"/>
      <c r="U40" s="52"/>
      <c r="V40" s="53" t="str">
        <f t="shared" si="4"/>
        <v/>
      </c>
    </row>
    <row r="41" ht="14.25" customHeight="1">
      <c r="A41" s="8"/>
      <c r="B41" s="81" t="s">
        <v>685</v>
      </c>
      <c r="C41" s="46"/>
      <c r="D41" s="48">
        <v>3.0</v>
      </c>
      <c r="E41" s="100" t="s">
        <v>666</v>
      </c>
      <c r="F41" s="33"/>
      <c r="G41" s="33"/>
      <c r="H41" s="34"/>
      <c r="I41" s="64" t="s">
        <v>662</v>
      </c>
      <c r="J41" s="60"/>
      <c r="K41" s="62"/>
      <c r="L41" s="61"/>
      <c r="M41" s="52"/>
      <c r="N41" s="61"/>
      <c r="O41" s="62"/>
      <c r="P41" s="52"/>
      <c r="Q41" s="52"/>
      <c r="R41" s="52"/>
      <c r="S41" s="52"/>
      <c r="T41" s="52"/>
      <c r="U41" s="52"/>
      <c r="V41" s="53" t="str">
        <f t="shared" si="4"/>
        <v/>
      </c>
    </row>
    <row r="42" ht="14.25" customHeight="1">
      <c r="A42" s="8"/>
      <c r="B42" s="81" t="s">
        <v>686</v>
      </c>
      <c r="C42" s="46"/>
      <c r="D42" s="54">
        <v>4.0</v>
      </c>
      <c r="E42" s="99" t="s">
        <v>668</v>
      </c>
      <c r="F42" s="33"/>
      <c r="G42" s="33"/>
      <c r="H42" s="34"/>
      <c r="I42" s="64" t="s">
        <v>662</v>
      </c>
      <c r="J42" s="49">
        <v>0.73</v>
      </c>
      <c r="K42" s="58">
        <v>0.71</v>
      </c>
      <c r="L42" s="51">
        <v>0.7015468066491688</v>
      </c>
      <c r="M42" s="59">
        <v>0.6946226003490406</v>
      </c>
      <c r="N42" s="50">
        <v>0.68</v>
      </c>
      <c r="O42" s="58">
        <v>0.6856554293480899</v>
      </c>
      <c r="P42" s="52"/>
      <c r="Q42" s="52"/>
      <c r="R42" s="52"/>
      <c r="S42" s="52"/>
      <c r="T42" s="52"/>
      <c r="U42" s="52"/>
      <c r="V42" s="53">
        <f t="shared" si="4"/>
        <v>0.7003041394</v>
      </c>
    </row>
    <row r="43" ht="14.25" customHeight="1">
      <c r="A43" s="8"/>
      <c r="B43" s="81" t="s">
        <v>687</v>
      </c>
      <c r="C43" s="46"/>
      <c r="D43" s="54">
        <v>5.0</v>
      </c>
      <c r="E43" s="99" t="s">
        <v>670</v>
      </c>
      <c r="F43" s="33"/>
      <c r="G43" s="33"/>
      <c r="H43" s="34"/>
      <c r="I43" s="64" t="s">
        <v>662</v>
      </c>
      <c r="J43" s="65"/>
      <c r="K43" s="106"/>
      <c r="L43" s="52"/>
      <c r="M43" s="52"/>
      <c r="N43" s="61"/>
      <c r="O43" s="52"/>
      <c r="P43" s="52"/>
      <c r="Q43" s="52"/>
      <c r="R43" s="52"/>
      <c r="S43" s="52"/>
      <c r="T43" s="52"/>
      <c r="U43" s="52"/>
      <c r="V43" s="53" t="str">
        <f t="shared" si="4"/>
        <v/>
      </c>
    </row>
    <row r="44" ht="14.25" customHeight="1">
      <c r="A44" s="8"/>
      <c r="B44" s="8"/>
      <c r="C44" s="107"/>
      <c r="D44" s="107"/>
      <c r="E44" s="107"/>
      <c r="F44" s="108"/>
      <c r="I44" s="108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10"/>
    </row>
    <row r="45" ht="14.25" customHeight="1">
      <c r="A45" s="16">
        <v>2.0</v>
      </c>
      <c r="B45" s="8"/>
      <c r="C45" s="111" t="s">
        <v>688</v>
      </c>
      <c r="D45" s="112"/>
      <c r="E45" s="113"/>
      <c r="F45" s="113"/>
      <c r="G45" s="113"/>
      <c r="H45" s="113"/>
      <c r="I45" s="113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3"/>
    </row>
    <row r="46" ht="14.25" customHeight="1">
      <c r="A46" s="8"/>
      <c r="B46" s="8"/>
      <c r="C46" s="115"/>
      <c r="D46" s="115"/>
      <c r="E46" s="115"/>
      <c r="F46" s="115"/>
      <c r="G46" s="8"/>
      <c r="H46" s="8"/>
      <c r="I46" s="116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8"/>
    </row>
    <row r="47" ht="14.25" customHeight="1">
      <c r="A47" s="8"/>
      <c r="B47" s="8"/>
      <c r="C47" s="18" t="s">
        <v>321</v>
      </c>
      <c r="D47" s="19" t="s">
        <v>322</v>
      </c>
      <c r="E47" s="20"/>
      <c r="F47" s="20"/>
      <c r="G47" s="20"/>
      <c r="H47" s="21"/>
      <c r="I47" s="22" t="s">
        <v>323</v>
      </c>
      <c r="J47" s="23">
        <f>$H$2</f>
        <v>2026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1"/>
    </row>
    <row r="48" ht="14.25" customHeight="1">
      <c r="A48" s="8"/>
      <c r="B48" s="8"/>
      <c r="C48" s="24"/>
      <c r="D48" s="25"/>
      <c r="H48" s="26"/>
      <c r="I48" s="24"/>
      <c r="J48" s="28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30"/>
    </row>
    <row r="49" ht="14.25" customHeight="1">
      <c r="A49" s="8"/>
      <c r="B49" s="8"/>
      <c r="C49" s="27"/>
      <c r="D49" s="28"/>
      <c r="E49" s="29"/>
      <c r="F49" s="29"/>
      <c r="G49" s="29"/>
      <c r="H49" s="30"/>
      <c r="I49" s="27"/>
      <c r="J49" s="96" t="s">
        <v>324</v>
      </c>
      <c r="K49" s="96" t="s">
        <v>325</v>
      </c>
      <c r="L49" s="96" t="s">
        <v>326</v>
      </c>
      <c r="M49" s="96" t="s">
        <v>327</v>
      </c>
      <c r="N49" s="96" t="s">
        <v>328</v>
      </c>
      <c r="O49" s="96" t="s">
        <v>329</v>
      </c>
      <c r="P49" s="96" t="s">
        <v>330</v>
      </c>
      <c r="Q49" s="96" t="s">
        <v>331</v>
      </c>
      <c r="R49" s="96" t="s">
        <v>332</v>
      </c>
      <c r="S49" s="96" t="s">
        <v>333</v>
      </c>
      <c r="T49" s="96" t="s">
        <v>334</v>
      </c>
      <c r="U49" s="96" t="s">
        <v>335</v>
      </c>
      <c r="V49" s="96" t="s">
        <v>336</v>
      </c>
    </row>
    <row r="50" ht="14.25" customHeight="1">
      <c r="A50" s="8"/>
      <c r="B50" s="8"/>
      <c r="C50" s="31">
        <v>1.0</v>
      </c>
      <c r="D50" s="32">
        <v>2.0</v>
      </c>
      <c r="E50" s="33"/>
      <c r="F50" s="33"/>
      <c r="G50" s="33"/>
      <c r="H50" s="34"/>
      <c r="I50" s="35">
        <v>3.0</v>
      </c>
      <c r="J50" s="97">
        <v>4.0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>
        <v>5.0</v>
      </c>
    </row>
    <row r="51" ht="14.25" customHeight="1">
      <c r="A51" s="8"/>
      <c r="B51" s="8"/>
      <c r="C51" s="46"/>
      <c r="D51" s="48"/>
      <c r="E51" s="88"/>
      <c r="F51" s="88"/>
      <c r="G51" s="88"/>
      <c r="H51" s="89"/>
      <c r="I51" s="64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</row>
    <row r="52" ht="14.25" customHeight="1">
      <c r="A52" s="8"/>
      <c r="B52" s="81"/>
      <c r="C52" s="64">
        <v>1.0</v>
      </c>
      <c r="D52" s="47" t="s">
        <v>469</v>
      </c>
      <c r="E52" s="33"/>
      <c r="F52" s="33"/>
      <c r="G52" s="33"/>
      <c r="H52" s="34"/>
      <c r="I52" s="64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</row>
    <row r="53" ht="14.25" customHeight="1">
      <c r="A53" s="8"/>
      <c r="B53" s="81"/>
      <c r="C53" s="46"/>
      <c r="D53" s="46">
        <v>1.0</v>
      </c>
      <c r="E53" s="47" t="s">
        <v>689</v>
      </c>
      <c r="F53" s="33"/>
      <c r="G53" s="33"/>
      <c r="H53" s="34"/>
      <c r="I53" s="6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</row>
    <row r="54" ht="14.25" customHeight="1">
      <c r="A54" s="8"/>
      <c r="B54" s="81" t="s">
        <v>690</v>
      </c>
      <c r="C54" s="46"/>
      <c r="D54" s="46"/>
      <c r="E54" s="54">
        <v>1.0</v>
      </c>
      <c r="F54" s="47" t="s">
        <v>691</v>
      </c>
      <c r="G54" s="33"/>
      <c r="H54" s="34"/>
      <c r="I54" s="64" t="s">
        <v>662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3" t="str">
        <f t="shared" ref="V54:V59" si="5">IFERROR(AVERAGE(J54:U54),"")</f>
        <v/>
      </c>
    </row>
    <row r="55" ht="14.25" customHeight="1">
      <c r="A55" s="8"/>
      <c r="B55" s="81" t="s">
        <v>692</v>
      </c>
      <c r="C55" s="46"/>
      <c r="D55" s="46"/>
      <c r="E55" s="48">
        <v>2.0</v>
      </c>
      <c r="F55" s="76" t="s">
        <v>693</v>
      </c>
      <c r="G55" s="33"/>
      <c r="H55" s="34"/>
      <c r="I55" s="64" t="s">
        <v>662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3" t="str">
        <f t="shared" si="5"/>
        <v/>
      </c>
    </row>
    <row r="56" ht="14.25" customHeight="1">
      <c r="A56" s="8"/>
      <c r="B56" s="81" t="s">
        <v>694</v>
      </c>
      <c r="C56" s="46"/>
      <c r="D56" s="46"/>
      <c r="E56" s="54">
        <v>3.0</v>
      </c>
      <c r="F56" s="76" t="s">
        <v>695</v>
      </c>
      <c r="G56" s="33"/>
      <c r="H56" s="34"/>
      <c r="I56" s="64" t="s">
        <v>662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3" t="str">
        <f t="shared" si="5"/>
        <v/>
      </c>
    </row>
    <row r="57" ht="14.25" customHeight="1">
      <c r="A57" s="8"/>
      <c r="B57" s="81" t="s">
        <v>696</v>
      </c>
      <c r="C57" s="46"/>
      <c r="D57" s="46"/>
      <c r="E57" s="54">
        <v>4.0</v>
      </c>
      <c r="F57" s="76" t="s">
        <v>697</v>
      </c>
      <c r="G57" s="33"/>
      <c r="H57" s="34"/>
      <c r="I57" s="64" t="s">
        <v>662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3" t="str">
        <f t="shared" si="5"/>
        <v/>
      </c>
    </row>
    <row r="58" ht="14.25" customHeight="1">
      <c r="A58" s="8"/>
      <c r="B58" s="81" t="s">
        <v>698</v>
      </c>
      <c r="C58" s="46"/>
      <c r="D58" s="46"/>
      <c r="E58" s="48">
        <v>5.0</v>
      </c>
      <c r="F58" s="76" t="s">
        <v>699</v>
      </c>
      <c r="G58" s="33"/>
      <c r="H58" s="34"/>
      <c r="I58" s="64" t="s">
        <v>662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3" t="str">
        <f t="shared" si="5"/>
        <v/>
      </c>
    </row>
    <row r="59" ht="14.25" customHeight="1">
      <c r="A59" s="8"/>
      <c r="B59" s="81" t="s">
        <v>700</v>
      </c>
      <c r="C59" s="46"/>
      <c r="D59" s="46"/>
      <c r="E59" s="54">
        <v>6.0</v>
      </c>
      <c r="F59" s="47" t="s">
        <v>701</v>
      </c>
      <c r="G59" s="33"/>
      <c r="H59" s="34"/>
      <c r="I59" s="64" t="s">
        <v>702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3" t="str">
        <f t="shared" si="5"/>
        <v/>
      </c>
    </row>
    <row r="60" ht="14.25" customHeight="1">
      <c r="A60" s="8"/>
      <c r="B60" s="8"/>
      <c r="C60" s="63"/>
      <c r="D60" s="46"/>
      <c r="E60" s="48"/>
      <c r="F60" s="71"/>
      <c r="G60" s="71"/>
      <c r="H60" s="72"/>
      <c r="I60" s="6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5"/>
    </row>
    <row r="61" ht="14.25" customHeight="1">
      <c r="A61" s="8"/>
      <c r="B61" s="81"/>
      <c r="C61" s="46"/>
      <c r="D61" s="46">
        <v>2.0</v>
      </c>
      <c r="E61" s="47" t="s">
        <v>703</v>
      </c>
      <c r="F61" s="33"/>
      <c r="G61" s="33"/>
      <c r="H61" s="34"/>
      <c r="I61" s="6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</row>
    <row r="62" ht="14.25" customHeight="1">
      <c r="A62" s="8"/>
      <c r="B62" s="81" t="s">
        <v>704</v>
      </c>
      <c r="C62" s="46"/>
      <c r="D62" s="46"/>
      <c r="E62" s="54">
        <v>1.0</v>
      </c>
      <c r="F62" s="47" t="s">
        <v>691</v>
      </c>
      <c r="G62" s="33"/>
      <c r="H62" s="34"/>
      <c r="I62" s="64" t="s">
        <v>662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119" t="str">
        <f t="shared" ref="V62:V67" si="6">IFERROR(AVERAGE(J62:U62),"")</f>
        <v/>
      </c>
    </row>
    <row r="63" ht="14.25" customHeight="1">
      <c r="A63" s="8"/>
      <c r="B63" s="81" t="s">
        <v>705</v>
      </c>
      <c r="C63" s="46"/>
      <c r="D63" s="46"/>
      <c r="E63" s="48">
        <v>2.0</v>
      </c>
      <c r="F63" s="76" t="s">
        <v>693</v>
      </c>
      <c r="G63" s="33"/>
      <c r="H63" s="34"/>
      <c r="I63" s="64" t="s">
        <v>662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119" t="str">
        <f t="shared" si="6"/>
        <v/>
      </c>
    </row>
    <row r="64" ht="14.25" customHeight="1">
      <c r="A64" s="8"/>
      <c r="B64" s="81" t="s">
        <v>706</v>
      </c>
      <c r="C64" s="46"/>
      <c r="D64" s="46"/>
      <c r="E64" s="54">
        <v>3.0</v>
      </c>
      <c r="F64" s="76" t="s">
        <v>695</v>
      </c>
      <c r="G64" s="33"/>
      <c r="H64" s="34"/>
      <c r="I64" s="64" t="s">
        <v>662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119" t="str">
        <f t="shared" si="6"/>
        <v/>
      </c>
    </row>
    <row r="65" ht="14.25" customHeight="1">
      <c r="A65" s="8"/>
      <c r="B65" s="81" t="s">
        <v>707</v>
      </c>
      <c r="C65" s="46"/>
      <c r="D65" s="46"/>
      <c r="E65" s="54">
        <v>4.0</v>
      </c>
      <c r="F65" s="76" t="s">
        <v>697</v>
      </c>
      <c r="G65" s="33"/>
      <c r="H65" s="34"/>
      <c r="I65" s="64" t="s">
        <v>662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119" t="str">
        <f t="shared" si="6"/>
        <v/>
      </c>
    </row>
    <row r="66" ht="14.25" customHeight="1">
      <c r="A66" s="8"/>
      <c r="B66" s="81" t="s">
        <v>708</v>
      </c>
      <c r="C66" s="46"/>
      <c r="D66" s="46"/>
      <c r="E66" s="48">
        <v>5.0</v>
      </c>
      <c r="F66" s="76" t="s">
        <v>699</v>
      </c>
      <c r="G66" s="33"/>
      <c r="H66" s="34"/>
      <c r="I66" s="64" t="s">
        <v>662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119" t="str">
        <f t="shared" si="6"/>
        <v/>
      </c>
    </row>
    <row r="67" ht="14.25" customHeight="1">
      <c r="A67" s="8"/>
      <c r="B67" s="81" t="s">
        <v>709</v>
      </c>
      <c r="C67" s="46"/>
      <c r="D67" s="46"/>
      <c r="E67" s="54">
        <v>6.0</v>
      </c>
      <c r="F67" s="47" t="s">
        <v>701</v>
      </c>
      <c r="G67" s="33"/>
      <c r="H67" s="34"/>
      <c r="I67" s="64" t="s">
        <v>702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119" t="str">
        <f t="shared" si="6"/>
        <v/>
      </c>
    </row>
    <row r="68" ht="14.25" customHeight="1">
      <c r="A68" s="8"/>
      <c r="B68" s="81"/>
      <c r="C68" s="63"/>
      <c r="D68" s="46"/>
      <c r="E68" s="48"/>
      <c r="F68" s="71"/>
      <c r="G68" s="71"/>
      <c r="H68" s="72"/>
      <c r="I68" s="64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105"/>
    </row>
    <row r="69" ht="14.25" customHeight="1">
      <c r="A69" s="8"/>
      <c r="B69" s="81"/>
      <c r="C69" s="46"/>
      <c r="D69" s="46">
        <v>3.0</v>
      </c>
      <c r="E69" s="47" t="s">
        <v>710</v>
      </c>
      <c r="F69" s="33"/>
      <c r="G69" s="33"/>
      <c r="H69" s="34"/>
      <c r="I69" s="64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105"/>
    </row>
    <row r="70" ht="14.25" customHeight="1">
      <c r="A70" s="8"/>
      <c r="B70" s="81" t="s">
        <v>711</v>
      </c>
      <c r="C70" s="46"/>
      <c r="D70" s="46"/>
      <c r="E70" s="54">
        <v>1.0</v>
      </c>
      <c r="F70" s="47" t="s">
        <v>691</v>
      </c>
      <c r="G70" s="33"/>
      <c r="H70" s="34"/>
      <c r="I70" s="64" t="s">
        <v>662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119" t="str">
        <f t="shared" ref="V70:V75" si="7">IFERROR(AVERAGE(J70:U70),"")</f>
        <v/>
      </c>
    </row>
    <row r="71" ht="14.25" customHeight="1">
      <c r="A71" s="8"/>
      <c r="B71" s="81" t="s">
        <v>712</v>
      </c>
      <c r="C71" s="46"/>
      <c r="D71" s="46"/>
      <c r="E71" s="48">
        <v>2.0</v>
      </c>
      <c r="F71" s="76" t="s">
        <v>693</v>
      </c>
      <c r="G71" s="33"/>
      <c r="H71" s="34"/>
      <c r="I71" s="64" t="s">
        <v>662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119" t="str">
        <f t="shared" si="7"/>
        <v/>
      </c>
    </row>
    <row r="72" ht="14.25" customHeight="1">
      <c r="A72" s="8"/>
      <c r="B72" s="81" t="s">
        <v>713</v>
      </c>
      <c r="C72" s="46"/>
      <c r="D72" s="46"/>
      <c r="E72" s="54">
        <v>3.0</v>
      </c>
      <c r="F72" s="76" t="s">
        <v>695</v>
      </c>
      <c r="G72" s="33"/>
      <c r="H72" s="34"/>
      <c r="I72" s="64" t="s">
        <v>662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119" t="str">
        <f t="shared" si="7"/>
        <v/>
      </c>
    </row>
    <row r="73" ht="14.25" customHeight="1">
      <c r="A73" s="8"/>
      <c r="B73" s="81" t="s">
        <v>714</v>
      </c>
      <c r="C73" s="46"/>
      <c r="D73" s="46"/>
      <c r="E73" s="54">
        <v>4.0</v>
      </c>
      <c r="F73" s="76" t="s">
        <v>697</v>
      </c>
      <c r="G73" s="33"/>
      <c r="H73" s="34"/>
      <c r="I73" s="64" t="s">
        <v>662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119" t="str">
        <f t="shared" si="7"/>
        <v/>
      </c>
    </row>
    <row r="74" ht="14.25" customHeight="1">
      <c r="A74" s="8"/>
      <c r="B74" s="81" t="s">
        <v>715</v>
      </c>
      <c r="C74" s="46"/>
      <c r="D74" s="46"/>
      <c r="E74" s="48">
        <v>5.0</v>
      </c>
      <c r="F74" s="76" t="s">
        <v>699</v>
      </c>
      <c r="G74" s="33"/>
      <c r="H74" s="34"/>
      <c r="I74" s="64" t="s">
        <v>662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119" t="str">
        <f t="shared" si="7"/>
        <v/>
      </c>
    </row>
    <row r="75" ht="14.25" customHeight="1">
      <c r="A75" s="8"/>
      <c r="B75" s="81" t="s">
        <v>716</v>
      </c>
      <c r="C75" s="46"/>
      <c r="D75" s="46"/>
      <c r="E75" s="54">
        <v>6.0</v>
      </c>
      <c r="F75" s="47" t="s">
        <v>701</v>
      </c>
      <c r="G75" s="33"/>
      <c r="H75" s="34"/>
      <c r="I75" s="64" t="s">
        <v>702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119" t="str">
        <f t="shared" si="7"/>
        <v/>
      </c>
    </row>
    <row r="76" ht="14.25" customHeight="1">
      <c r="A76" s="8"/>
      <c r="B76" s="81"/>
      <c r="C76" s="63"/>
      <c r="D76" s="46"/>
      <c r="E76" s="48"/>
      <c r="F76" s="71"/>
      <c r="G76" s="71"/>
      <c r="H76" s="72"/>
      <c r="I76" s="64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105"/>
    </row>
    <row r="77" ht="14.25" customHeight="1">
      <c r="A77" s="8"/>
      <c r="B77" s="81"/>
      <c r="C77" s="63"/>
      <c r="D77" s="46">
        <v>4.0</v>
      </c>
      <c r="E77" s="47" t="s">
        <v>717</v>
      </c>
      <c r="F77" s="33"/>
      <c r="G77" s="33"/>
      <c r="H77" s="34"/>
      <c r="I77" s="64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105"/>
    </row>
    <row r="78" ht="14.25" customHeight="1">
      <c r="A78" s="8"/>
      <c r="B78" s="81" t="s">
        <v>718</v>
      </c>
      <c r="C78" s="63"/>
      <c r="D78" s="46"/>
      <c r="E78" s="54">
        <v>1.0</v>
      </c>
      <c r="F78" s="47" t="s">
        <v>691</v>
      </c>
      <c r="G78" s="33"/>
      <c r="H78" s="34"/>
      <c r="I78" s="64" t="s">
        <v>662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119" t="str">
        <f t="shared" ref="V78:V83" si="8">IFERROR(AVERAGE(J78:U78),"")</f>
        <v/>
      </c>
    </row>
    <row r="79" ht="14.25" customHeight="1">
      <c r="A79" s="8"/>
      <c r="B79" s="81" t="s">
        <v>719</v>
      </c>
      <c r="C79" s="63"/>
      <c r="D79" s="46"/>
      <c r="E79" s="48">
        <v>2.0</v>
      </c>
      <c r="F79" s="76" t="s">
        <v>693</v>
      </c>
      <c r="G79" s="33"/>
      <c r="H79" s="34"/>
      <c r="I79" s="64" t="s">
        <v>662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119" t="str">
        <f t="shared" si="8"/>
        <v/>
      </c>
    </row>
    <row r="80" ht="14.25" customHeight="1">
      <c r="A80" s="8"/>
      <c r="B80" s="81" t="s">
        <v>720</v>
      </c>
      <c r="C80" s="63"/>
      <c r="D80" s="46"/>
      <c r="E80" s="54">
        <v>3.0</v>
      </c>
      <c r="F80" s="76" t="s">
        <v>695</v>
      </c>
      <c r="G80" s="33"/>
      <c r="H80" s="34"/>
      <c r="I80" s="64" t="s">
        <v>662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119" t="str">
        <f t="shared" si="8"/>
        <v/>
      </c>
    </row>
    <row r="81" ht="14.25" customHeight="1">
      <c r="A81" s="8"/>
      <c r="B81" s="81" t="s">
        <v>721</v>
      </c>
      <c r="C81" s="63"/>
      <c r="D81" s="46"/>
      <c r="E81" s="54">
        <v>4.0</v>
      </c>
      <c r="F81" s="76" t="s">
        <v>697</v>
      </c>
      <c r="G81" s="33"/>
      <c r="H81" s="34"/>
      <c r="I81" s="64" t="s">
        <v>662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119" t="str">
        <f t="shared" si="8"/>
        <v/>
      </c>
    </row>
    <row r="82" ht="14.25" customHeight="1">
      <c r="A82" s="8"/>
      <c r="B82" s="81" t="s">
        <v>722</v>
      </c>
      <c r="C82" s="63"/>
      <c r="D82" s="46"/>
      <c r="E82" s="48">
        <v>5.0</v>
      </c>
      <c r="F82" s="76" t="s">
        <v>699</v>
      </c>
      <c r="G82" s="33"/>
      <c r="H82" s="34"/>
      <c r="I82" s="64" t="s">
        <v>662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119" t="str">
        <f t="shared" si="8"/>
        <v/>
      </c>
    </row>
    <row r="83" ht="14.25" customHeight="1">
      <c r="A83" s="8"/>
      <c r="B83" s="81" t="s">
        <v>723</v>
      </c>
      <c r="C83" s="63"/>
      <c r="D83" s="46"/>
      <c r="E83" s="54">
        <v>6.0</v>
      </c>
      <c r="F83" s="47" t="s">
        <v>701</v>
      </c>
      <c r="G83" s="33"/>
      <c r="H83" s="34"/>
      <c r="I83" s="64" t="s">
        <v>702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119" t="str">
        <f t="shared" si="8"/>
        <v/>
      </c>
    </row>
    <row r="84" ht="14.25" customHeight="1">
      <c r="A84" s="8"/>
      <c r="B84" s="81"/>
      <c r="C84" s="63"/>
      <c r="D84" s="46"/>
      <c r="E84" s="48"/>
      <c r="F84" s="71"/>
      <c r="G84" s="71"/>
      <c r="H84" s="72"/>
      <c r="I84" s="64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105"/>
    </row>
    <row r="85" ht="14.25" customHeight="1">
      <c r="A85" s="8"/>
      <c r="B85" s="81"/>
      <c r="C85" s="46"/>
      <c r="D85" s="46">
        <v>5.0</v>
      </c>
      <c r="E85" s="47" t="s">
        <v>724</v>
      </c>
      <c r="F85" s="33"/>
      <c r="G85" s="33"/>
      <c r="H85" s="34"/>
      <c r="I85" s="64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105"/>
    </row>
    <row r="86" ht="14.25" customHeight="1">
      <c r="A86" s="8"/>
      <c r="B86" s="81" t="s">
        <v>725</v>
      </c>
      <c r="C86" s="63"/>
      <c r="D86" s="46"/>
      <c r="E86" s="54">
        <v>1.0</v>
      </c>
      <c r="F86" s="47" t="s">
        <v>691</v>
      </c>
      <c r="G86" s="33"/>
      <c r="H86" s="34"/>
      <c r="I86" s="64" t="s">
        <v>662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119" t="str">
        <f t="shared" ref="V86:V91" si="9">IFERROR(AVERAGE(J86:U86),"")</f>
        <v/>
      </c>
    </row>
    <row r="87" ht="14.25" customHeight="1">
      <c r="A87" s="8"/>
      <c r="B87" s="81" t="s">
        <v>726</v>
      </c>
      <c r="C87" s="63"/>
      <c r="D87" s="46"/>
      <c r="E87" s="48">
        <v>2.0</v>
      </c>
      <c r="F87" s="76" t="s">
        <v>693</v>
      </c>
      <c r="G87" s="33"/>
      <c r="H87" s="34"/>
      <c r="I87" s="64" t="s">
        <v>662</v>
      </c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119" t="str">
        <f t="shared" si="9"/>
        <v/>
      </c>
    </row>
    <row r="88" ht="14.25" customHeight="1">
      <c r="A88" s="8"/>
      <c r="B88" s="81" t="s">
        <v>727</v>
      </c>
      <c r="C88" s="63"/>
      <c r="D88" s="46"/>
      <c r="E88" s="54">
        <v>3.0</v>
      </c>
      <c r="F88" s="76" t="s">
        <v>695</v>
      </c>
      <c r="G88" s="33"/>
      <c r="H88" s="34"/>
      <c r="I88" s="64" t="s">
        <v>662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119" t="str">
        <f t="shared" si="9"/>
        <v/>
      </c>
    </row>
    <row r="89" ht="14.25" customHeight="1">
      <c r="A89" s="8"/>
      <c r="B89" s="81" t="s">
        <v>728</v>
      </c>
      <c r="C89" s="63"/>
      <c r="D89" s="46"/>
      <c r="E89" s="54">
        <v>4.0</v>
      </c>
      <c r="F89" s="76" t="s">
        <v>697</v>
      </c>
      <c r="G89" s="33"/>
      <c r="H89" s="34"/>
      <c r="I89" s="64" t="s">
        <v>662</v>
      </c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119" t="str">
        <f t="shared" si="9"/>
        <v/>
      </c>
    </row>
    <row r="90" ht="14.25" customHeight="1">
      <c r="A90" s="8"/>
      <c r="B90" s="81" t="s">
        <v>729</v>
      </c>
      <c r="C90" s="63"/>
      <c r="D90" s="46"/>
      <c r="E90" s="48">
        <v>5.0</v>
      </c>
      <c r="F90" s="76" t="s">
        <v>699</v>
      </c>
      <c r="G90" s="33"/>
      <c r="H90" s="34"/>
      <c r="I90" s="64" t="s">
        <v>662</v>
      </c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119" t="str">
        <f t="shared" si="9"/>
        <v/>
      </c>
    </row>
    <row r="91" ht="14.25" customHeight="1">
      <c r="A91" s="8"/>
      <c r="B91" s="81" t="s">
        <v>730</v>
      </c>
      <c r="C91" s="63"/>
      <c r="D91" s="46"/>
      <c r="E91" s="54">
        <v>6.0</v>
      </c>
      <c r="F91" s="47" t="s">
        <v>701</v>
      </c>
      <c r="G91" s="33"/>
      <c r="H91" s="34"/>
      <c r="I91" s="64" t="s">
        <v>702</v>
      </c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119" t="str">
        <f t="shared" si="9"/>
        <v/>
      </c>
    </row>
    <row r="92" ht="14.25" customHeight="1">
      <c r="A92" s="8"/>
      <c r="B92" s="81"/>
      <c r="C92" s="63"/>
      <c r="D92" s="54"/>
      <c r="E92" s="92"/>
      <c r="F92" s="71"/>
      <c r="G92" s="42"/>
      <c r="H92" s="43"/>
      <c r="I92" s="64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105"/>
    </row>
    <row r="93" ht="14.25" customHeight="1">
      <c r="A93" s="8"/>
      <c r="B93" s="81"/>
      <c r="C93" s="64">
        <v>2.0</v>
      </c>
      <c r="D93" s="47" t="s">
        <v>530</v>
      </c>
      <c r="E93" s="33"/>
      <c r="F93" s="33"/>
      <c r="G93" s="33"/>
      <c r="H93" s="34"/>
      <c r="I93" s="6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</row>
    <row r="94" ht="14.25" customHeight="1">
      <c r="A94" s="8"/>
      <c r="B94" s="81"/>
      <c r="C94" s="46"/>
      <c r="D94" s="46">
        <v>1.0</v>
      </c>
      <c r="E94" s="47" t="s">
        <v>689</v>
      </c>
      <c r="F94" s="33"/>
      <c r="G94" s="33"/>
      <c r="H94" s="34"/>
      <c r="I94" s="64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105"/>
    </row>
    <row r="95" ht="14.25" customHeight="1">
      <c r="A95" s="8"/>
      <c r="B95" s="81" t="s">
        <v>731</v>
      </c>
      <c r="C95" s="46"/>
      <c r="D95" s="46"/>
      <c r="E95" s="54">
        <v>1.0</v>
      </c>
      <c r="F95" s="47" t="s">
        <v>691</v>
      </c>
      <c r="G95" s="33"/>
      <c r="H95" s="34"/>
      <c r="I95" s="64" t="s">
        <v>662</v>
      </c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119" t="str">
        <f t="shared" ref="V95:V100" si="10">IFERROR(AVERAGE(J95:U95),"")</f>
        <v/>
      </c>
    </row>
    <row r="96" ht="14.25" customHeight="1">
      <c r="A96" s="8"/>
      <c r="B96" s="81" t="s">
        <v>732</v>
      </c>
      <c r="C96" s="46"/>
      <c r="D96" s="46"/>
      <c r="E96" s="48">
        <v>2.0</v>
      </c>
      <c r="F96" s="76" t="s">
        <v>693</v>
      </c>
      <c r="G96" s="33"/>
      <c r="H96" s="34"/>
      <c r="I96" s="64" t="s">
        <v>662</v>
      </c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119" t="str">
        <f t="shared" si="10"/>
        <v/>
      </c>
    </row>
    <row r="97" ht="14.25" customHeight="1">
      <c r="A97" s="8"/>
      <c r="B97" s="81" t="s">
        <v>733</v>
      </c>
      <c r="C97" s="46"/>
      <c r="D97" s="46"/>
      <c r="E97" s="54">
        <v>3.0</v>
      </c>
      <c r="F97" s="76" t="s">
        <v>695</v>
      </c>
      <c r="G97" s="33"/>
      <c r="H97" s="34"/>
      <c r="I97" s="64" t="s">
        <v>662</v>
      </c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119" t="str">
        <f t="shared" si="10"/>
        <v/>
      </c>
    </row>
    <row r="98" ht="14.25" customHeight="1">
      <c r="A98" s="8"/>
      <c r="B98" s="81" t="s">
        <v>734</v>
      </c>
      <c r="C98" s="46"/>
      <c r="D98" s="46"/>
      <c r="E98" s="54">
        <v>4.0</v>
      </c>
      <c r="F98" s="76" t="s">
        <v>697</v>
      </c>
      <c r="G98" s="33"/>
      <c r="H98" s="34"/>
      <c r="I98" s="64" t="s">
        <v>662</v>
      </c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119" t="str">
        <f t="shared" si="10"/>
        <v/>
      </c>
    </row>
    <row r="99" ht="14.25" customHeight="1">
      <c r="A99" s="8"/>
      <c r="B99" s="81" t="s">
        <v>735</v>
      </c>
      <c r="C99" s="46"/>
      <c r="D99" s="46"/>
      <c r="E99" s="48">
        <v>5.0</v>
      </c>
      <c r="F99" s="76" t="s">
        <v>699</v>
      </c>
      <c r="G99" s="33"/>
      <c r="H99" s="34"/>
      <c r="I99" s="64" t="s">
        <v>662</v>
      </c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119" t="str">
        <f t="shared" si="10"/>
        <v/>
      </c>
    </row>
    <row r="100" ht="14.25" customHeight="1">
      <c r="A100" s="8"/>
      <c r="B100" s="81" t="s">
        <v>736</v>
      </c>
      <c r="C100" s="46"/>
      <c r="D100" s="46"/>
      <c r="E100" s="54">
        <v>6.0</v>
      </c>
      <c r="F100" s="47" t="s">
        <v>701</v>
      </c>
      <c r="G100" s="33"/>
      <c r="H100" s="34"/>
      <c r="I100" s="64" t="s">
        <v>702</v>
      </c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119" t="str">
        <f t="shared" si="10"/>
        <v/>
      </c>
    </row>
    <row r="101" ht="14.25" customHeight="1">
      <c r="A101" s="8"/>
      <c r="B101" s="8"/>
      <c r="C101" s="63"/>
      <c r="D101" s="46"/>
      <c r="E101" s="48"/>
      <c r="F101" s="71"/>
      <c r="G101" s="71"/>
      <c r="H101" s="72"/>
      <c r="I101" s="64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105"/>
    </row>
    <row r="102" ht="14.25" customHeight="1">
      <c r="A102" s="8"/>
      <c r="B102" s="81"/>
      <c r="C102" s="46"/>
      <c r="D102" s="46">
        <v>2.0</v>
      </c>
      <c r="E102" s="47" t="s">
        <v>703</v>
      </c>
      <c r="F102" s="33"/>
      <c r="G102" s="33"/>
      <c r="H102" s="34"/>
      <c r="I102" s="64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105"/>
    </row>
    <row r="103" ht="14.25" customHeight="1">
      <c r="A103" s="8"/>
      <c r="B103" s="81" t="s">
        <v>737</v>
      </c>
      <c r="C103" s="46"/>
      <c r="D103" s="46"/>
      <c r="E103" s="54">
        <v>1.0</v>
      </c>
      <c r="F103" s="47" t="s">
        <v>691</v>
      </c>
      <c r="G103" s="33"/>
      <c r="H103" s="34"/>
      <c r="I103" s="64" t="s">
        <v>662</v>
      </c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119" t="str">
        <f t="shared" ref="V103:V108" si="11">IFERROR(AVERAGE(J103:U103),"")</f>
        <v/>
      </c>
    </row>
    <row r="104" ht="14.25" customHeight="1">
      <c r="A104" s="8"/>
      <c r="B104" s="81" t="s">
        <v>738</v>
      </c>
      <c r="C104" s="46"/>
      <c r="D104" s="46"/>
      <c r="E104" s="48">
        <v>2.0</v>
      </c>
      <c r="F104" s="76" t="s">
        <v>693</v>
      </c>
      <c r="G104" s="33"/>
      <c r="H104" s="34"/>
      <c r="I104" s="64" t="s">
        <v>662</v>
      </c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119" t="str">
        <f t="shared" si="11"/>
        <v/>
      </c>
    </row>
    <row r="105" ht="14.25" customHeight="1">
      <c r="A105" s="8"/>
      <c r="B105" s="81" t="s">
        <v>739</v>
      </c>
      <c r="C105" s="46"/>
      <c r="D105" s="46"/>
      <c r="E105" s="54">
        <v>3.0</v>
      </c>
      <c r="F105" s="76" t="s">
        <v>695</v>
      </c>
      <c r="G105" s="33"/>
      <c r="H105" s="34"/>
      <c r="I105" s="64" t="s">
        <v>662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119" t="str">
        <f t="shared" si="11"/>
        <v/>
      </c>
    </row>
    <row r="106" ht="14.25" customHeight="1">
      <c r="A106" s="8"/>
      <c r="B106" s="81" t="s">
        <v>740</v>
      </c>
      <c r="C106" s="46"/>
      <c r="D106" s="46"/>
      <c r="E106" s="54">
        <v>4.0</v>
      </c>
      <c r="F106" s="76" t="s">
        <v>697</v>
      </c>
      <c r="G106" s="33"/>
      <c r="H106" s="34"/>
      <c r="I106" s="64" t="s">
        <v>662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119" t="str">
        <f t="shared" si="11"/>
        <v/>
      </c>
    </row>
    <row r="107" ht="14.25" customHeight="1">
      <c r="A107" s="8"/>
      <c r="B107" s="81" t="s">
        <v>741</v>
      </c>
      <c r="C107" s="46"/>
      <c r="D107" s="46"/>
      <c r="E107" s="48">
        <v>5.0</v>
      </c>
      <c r="F107" s="76" t="s">
        <v>699</v>
      </c>
      <c r="G107" s="33"/>
      <c r="H107" s="34"/>
      <c r="I107" s="64" t="s">
        <v>662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119" t="str">
        <f t="shared" si="11"/>
        <v/>
      </c>
    </row>
    <row r="108" ht="14.25" customHeight="1">
      <c r="A108" s="8"/>
      <c r="B108" s="81" t="s">
        <v>742</v>
      </c>
      <c r="C108" s="46"/>
      <c r="D108" s="46"/>
      <c r="E108" s="54">
        <v>6.0</v>
      </c>
      <c r="F108" s="47" t="s">
        <v>701</v>
      </c>
      <c r="G108" s="33"/>
      <c r="H108" s="34"/>
      <c r="I108" s="64" t="s">
        <v>702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119" t="str">
        <f t="shared" si="11"/>
        <v/>
      </c>
    </row>
    <row r="109" ht="14.25" customHeight="1">
      <c r="A109" s="8"/>
      <c r="B109" s="81"/>
      <c r="C109" s="63"/>
      <c r="D109" s="46"/>
      <c r="E109" s="48"/>
      <c r="F109" s="71"/>
      <c r="G109" s="71"/>
      <c r="H109" s="72"/>
      <c r="I109" s="64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105"/>
    </row>
    <row r="110" ht="14.25" customHeight="1">
      <c r="A110" s="8"/>
      <c r="B110" s="81"/>
      <c r="C110" s="46"/>
      <c r="D110" s="46">
        <v>3.0</v>
      </c>
      <c r="E110" s="47" t="s">
        <v>710</v>
      </c>
      <c r="F110" s="33"/>
      <c r="G110" s="33"/>
      <c r="H110" s="34"/>
      <c r="I110" s="64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105"/>
    </row>
    <row r="111" ht="14.25" customHeight="1">
      <c r="A111" s="8"/>
      <c r="B111" s="81" t="s">
        <v>743</v>
      </c>
      <c r="C111" s="46"/>
      <c r="D111" s="46"/>
      <c r="E111" s="54">
        <v>1.0</v>
      </c>
      <c r="F111" s="47" t="s">
        <v>691</v>
      </c>
      <c r="G111" s="33"/>
      <c r="H111" s="34"/>
      <c r="I111" s="64" t="s">
        <v>662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119" t="str">
        <f t="shared" ref="V111:V116" si="12">IFERROR(AVERAGE(J111:U111),"")</f>
        <v/>
      </c>
    </row>
    <row r="112" ht="14.25" customHeight="1">
      <c r="A112" s="8"/>
      <c r="B112" s="81" t="s">
        <v>744</v>
      </c>
      <c r="C112" s="46"/>
      <c r="D112" s="46"/>
      <c r="E112" s="48">
        <v>2.0</v>
      </c>
      <c r="F112" s="76" t="s">
        <v>693</v>
      </c>
      <c r="G112" s="33"/>
      <c r="H112" s="34"/>
      <c r="I112" s="64" t="s">
        <v>662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119" t="str">
        <f t="shared" si="12"/>
        <v/>
      </c>
    </row>
    <row r="113" ht="14.25" customHeight="1">
      <c r="A113" s="8"/>
      <c r="B113" s="81" t="s">
        <v>745</v>
      </c>
      <c r="C113" s="46"/>
      <c r="D113" s="46"/>
      <c r="E113" s="54">
        <v>3.0</v>
      </c>
      <c r="F113" s="76" t="s">
        <v>695</v>
      </c>
      <c r="G113" s="33"/>
      <c r="H113" s="34"/>
      <c r="I113" s="64" t="s">
        <v>662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119" t="str">
        <f t="shared" si="12"/>
        <v/>
      </c>
    </row>
    <row r="114" ht="14.25" customHeight="1">
      <c r="A114" s="8"/>
      <c r="B114" s="81" t="s">
        <v>746</v>
      </c>
      <c r="C114" s="46"/>
      <c r="D114" s="46"/>
      <c r="E114" s="54">
        <v>4.0</v>
      </c>
      <c r="F114" s="76" t="s">
        <v>697</v>
      </c>
      <c r="G114" s="33"/>
      <c r="H114" s="34"/>
      <c r="I114" s="64" t="s">
        <v>662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119" t="str">
        <f t="shared" si="12"/>
        <v/>
      </c>
    </row>
    <row r="115" ht="14.25" customHeight="1">
      <c r="A115" s="8"/>
      <c r="B115" s="81" t="s">
        <v>747</v>
      </c>
      <c r="C115" s="46"/>
      <c r="D115" s="46"/>
      <c r="E115" s="48">
        <v>5.0</v>
      </c>
      <c r="F115" s="76" t="s">
        <v>699</v>
      </c>
      <c r="G115" s="33"/>
      <c r="H115" s="34"/>
      <c r="I115" s="64" t="s">
        <v>662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119" t="str">
        <f t="shared" si="12"/>
        <v/>
      </c>
    </row>
    <row r="116" ht="14.25" customHeight="1">
      <c r="A116" s="8"/>
      <c r="B116" s="81" t="s">
        <v>748</v>
      </c>
      <c r="C116" s="46"/>
      <c r="D116" s="46"/>
      <c r="E116" s="54">
        <v>6.0</v>
      </c>
      <c r="F116" s="47" t="s">
        <v>701</v>
      </c>
      <c r="G116" s="33"/>
      <c r="H116" s="34"/>
      <c r="I116" s="64" t="s">
        <v>702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119" t="str">
        <f t="shared" si="12"/>
        <v/>
      </c>
    </row>
    <row r="117" ht="14.25" customHeight="1">
      <c r="A117" s="8"/>
      <c r="B117" s="81"/>
      <c r="C117" s="63"/>
      <c r="D117" s="46"/>
      <c r="E117" s="48"/>
      <c r="F117" s="71"/>
      <c r="G117" s="71"/>
      <c r="H117" s="72"/>
      <c r="I117" s="64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105"/>
    </row>
    <row r="118" ht="14.25" customHeight="1">
      <c r="A118" s="8"/>
      <c r="B118" s="81"/>
      <c r="C118" s="63"/>
      <c r="D118" s="46">
        <v>4.0</v>
      </c>
      <c r="E118" s="47" t="s">
        <v>717</v>
      </c>
      <c r="F118" s="33"/>
      <c r="G118" s="33"/>
      <c r="H118" s="34"/>
      <c r="I118" s="64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105"/>
    </row>
    <row r="119" ht="14.25" customHeight="1">
      <c r="A119" s="8"/>
      <c r="B119" s="81" t="s">
        <v>749</v>
      </c>
      <c r="C119" s="63"/>
      <c r="D119" s="46"/>
      <c r="E119" s="54">
        <v>1.0</v>
      </c>
      <c r="F119" s="47" t="s">
        <v>691</v>
      </c>
      <c r="G119" s="33"/>
      <c r="H119" s="34"/>
      <c r="I119" s="64" t="s">
        <v>662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119" t="str">
        <f t="shared" ref="V119:V124" si="13">IFERROR(AVERAGE(J119:U119),"")</f>
        <v/>
      </c>
    </row>
    <row r="120" ht="14.25" customHeight="1">
      <c r="A120" s="8"/>
      <c r="B120" s="81" t="s">
        <v>750</v>
      </c>
      <c r="C120" s="63"/>
      <c r="D120" s="46"/>
      <c r="E120" s="48">
        <v>2.0</v>
      </c>
      <c r="F120" s="76" t="s">
        <v>693</v>
      </c>
      <c r="G120" s="33"/>
      <c r="H120" s="34"/>
      <c r="I120" s="64" t="s">
        <v>662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119" t="str">
        <f t="shared" si="13"/>
        <v/>
      </c>
    </row>
    <row r="121" ht="14.25" customHeight="1">
      <c r="A121" s="8"/>
      <c r="B121" s="81" t="s">
        <v>751</v>
      </c>
      <c r="C121" s="63"/>
      <c r="D121" s="46"/>
      <c r="E121" s="54">
        <v>3.0</v>
      </c>
      <c r="F121" s="76" t="s">
        <v>695</v>
      </c>
      <c r="G121" s="33"/>
      <c r="H121" s="34"/>
      <c r="I121" s="64" t="s">
        <v>662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119" t="str">
        <f t="shared" si="13"/>
        <v/>
      </c>
    </row>
    <row r="122" ht="14.25" customHeight="1">
      <c r="A122" s="8"/>
      <c r="B122" s="81" t="s">
        <v>752</v>
      </c>
      <c r="C122" s="63"/>
      <c r="D122" s="46"/>
      <c r="E122" s="54">
        <v>4.0</v>
      </c>
      <c r="F122" s="76" t="s">
        <v>697</v>
      </c>
      <c r="G122" s="33"/>
      <c r="H122" s="34"/>
      <c r="I122" s="64" t="s">
        <v>662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119" t="str">
        <f t="shared" si="13"/>
        <v/>
      </c>
    </row>
    <row r="123" ht="14.25" customHeight="1">
      <c r="A123" s="8"/>
      <c r="B123" s="81" t="s">
        <v>753</v>
      </c>
      <c r="C123" s="63"/>
      <c r="D123" s="46"/>
      <c r="E123" s="48">
        <v>5.0</v>
      </c>
      <c r="F123" s="76" t="s">
        <v>699</v>
      </c>
      <c r="G123" s="33"/>
      <c r="H123" s="34"/>
      <c r="I123" s="64" t="s">
        <v>662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119" t="str">
        <f t="shared" si="13"/>
        <v/>
      </c>
    </row>
    <row r="124" ht="14.25" customHeight="1">
      <c r="A124" s="8"/>
      <c r="B124" s="81" t="s">
        <v>754</v>
      </c>
      <c r="C124" s="63"/>
      <c r="D124" s="46"/>
      <c r="E124" s="54">
        <v>6.0</v>
      </c>
      <c r="F124" s="47" t="s">
        <v>701</v>
      </c>
      <c r="G124" s="33"/>
      <c r="H124" s="34"/>
      <c r="I124" s="64" t="s">
        <v>702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119" t="str">
        <f t="shared" si="13"/>
        <v/>
      </c>
    </row>
    <row r="125" ht="14.25" customHeight="1">
      <c r="A125" s="8"/>
      <c r="B125" s="81"/>
      <c r="C125" s="63"/>
      <c r="D125" s="46"/>
      <c r="E125" s="48"/>
      <c r="F125" s="71"/>
      <c r="G125" s="71"/>
      <c r="H125" s="72"/>
      <c r="I125" s="64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105"/>
    </row>
    <row r="126" ht="14.25" customHeight="1">
      <c r="A126" s="8"/>
      <c r="B126" s="81"/>
      <c r="C126" s="46"/>
      <c r="D126" s="46">
        <v>5.0</v>
      </c>
      <c r="E126" s="47" t="s">
        <v>724</v>
      </c>
      <c r="F126" s="33"/>
      <c r="G126" s="33"/>
      <c r="H126" s="34"/>
      <c r="I126" s="64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105"/>
    </row>
    <row r="127" ht="14.25" customHeight="1">
      <c r="A127" s="8"/>
      <c r="B127" s="81" t="s">
        <v>755</v>
      </c>
      <c r="C127" s="63"/>
      <c r="D127" s="46"/>
      <c r="E127" s="54">
        <v>1.0</v>
      </c>
      <c r="F127" s="47" t="s">
        <v>691</v>
      </c>
      <c r="G127" s="33"/>
      <c r="H127" s="34"/>
      <c r="I127" s="64" t="s">
        <v>662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119" t="str">
        <f t="shared" ref="V127:V132" si="14">IFERROR(AVERAGE(J127:U127),"")</f>
        <v/>
      </c>
    </row>
    <row r="128" ht="14.25" customHeight="1">
      <c r="A128" s="8"/>
      <c r="B128" s="81" t="s">
        <v>756</v>
      </c>
      <c r="C128" s="63"/>
      <c r="D128" s="46"/>
      <c r="E128" s="48">
        <v>2.0</v>
      </c>
      <c r="F128" s="76" t="s">
        <v>693</v>
      </c>
      <c r="G128" s="33"/>
      <c r="H128" s="34"/>
      <c r="I128" s="64" t="s">
        <v>662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119" t="str">
        <f t="shared" si="14"/>
        <v/>
      </c>
    </row>
    <row r="129" ht="14.25" customHeight="1">
      <c r="A129" s="8"/>
      <c r="B129" s="81" t="s">
        <v>757</v>
      </c>
      <c r="C129" s="63"/>
      <c r="D129" s="46"/>
      <c r="E129" s="54">
        <v>3.0</v>
      </c>
      <c r="F129" s="76" t="s">
        <v>695</v>
      </c>
      <c r="G129" s="33"/>
      <c r="H129" s="34"/>
      <c r="I129" s="64" t="s">
        <v>662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119" t="str">
        <f t="shared" si="14"/>
        <v/>
      </c>
    </row>
    <row r="130" ht="14.25" customHeight="1">
      <c r="A130" s="8"/>
      <c r="B130" s="81" t="s">
        <v>758</v>
      </c>
      <c r="C130" s="63"/>
      <c r="D130" s="46"/>
      <c r="E130" s="54">
        <v>4.0</v>
      </c>
      <c r="F130" s="76" t="s">
        <v>697</v>
      </c>
      <c r="G130" s="33"/>
      <c r="H130" s="34"/>
      <c r="I130" s="64" t="s">
        <v>662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119" t="str">
        <f t="shared" si="14"/>
        <v/>
      </c>
    </row>
    <row r="131" ht="14.25" customHeight="1">
      <c r="A131" s="8"/>
      <c r="B131" s="81" t="s">
        <v>759</v>
      </c>
      <c r="C131" s="63"/>
      <c r="D131" s="46"/>
      <c r="E131" s="48">
        <v>5.0</v>
      </c>
      <c r="F131" s="76" t="s">
        <v>699</v>
      </c>
      <c r="G131" s="33"/>
      <c r="H131" s="34"/>
      <c r="I131" s="64" t="s">
        <v>662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119" t="str">
        <f t="shared" si="14"/>
        <v/>
      </c>
    </row>
    <row r="132" ht="14.25" customHeight="1">
      <c r="A132" s="8"/>
      <c r="B132" s="81" t="s">
        <v>760</v>
      </c>
      <c r="C132" s="63"/>
      <c r="D132" s="46"/>
      <c r="E132" s="54">
        <v>6.0</v>
      </c>
      <c r="F132" s="47" t="s">
        <v>701</v>
      </c>
      <c r="G132" s="33"/>
      <c r="H132" s="34"/>
      <c r="I132" s="64" t="s">
        <v>702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119" t="str">
        <f t="shared" si="14"/>
        <v/>
      </c>
    </row>
    <row r="133" ht="14.25" customHeight="1">
      <c r="A133" s="8"/>
      <c r="B133" s="81"/>
      <c r="C133" s="63"/>
      <c r="D133" s="54"/>
      <c r="E133" s="92"/>
      <c r="F133" s="71"/>
      <c r="G133" s="42"/>
      <c r="H133" s="43"/>
      <c r="I133" s="64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105"/>
    </row>
    <row r="134" ht="14.25" customHeight="1">
      <c r="A134" s="8"/>
      <c r="B134" s="81"/>
      <c r="C134" s="64">
        <v>3.0</v>
      </c>
      <c r="D134" s="47" t="s">
        <v>676</v>
      </c>
      <c r="E134" s="33"/>
      <c r="F134" s="33"/>
      <c r="G134" s="33"/>
      <c r="H134" s="34"/>
      <c r="I134" s="6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45"/>
    </row>
    <row r="135" ht="14.25" customHeight="1">
      <c r="A135" s="8"/>
      <c r="B135" s="81"/>
      <c r="C135" s="46"/>
      <c r="D135" s="46">
        <v>1.0</v>
      </c>
      <c r="E135" s="47" t="s">
        <v>689</v>
      </c>
      <c r="F135" s="33"/>
      <c r="G135" s="33"/>
      <c r="H135" s="34"/>
      <c r="I135" s="64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105"/>
    </row>
    <row r="136" ht="14.25" customHeight="1">
      <c r="A136" s="8"/>
      <c r="B136" s="81" t="s">
        <v>761</v>
      </c>
      <c r="C136" s="46"/>
      <c r="D136" s="46"/>
      <c r="E136" s="54">
        <v>1.0</v>
      </c>
      <c r="F136" s="47" t="s">
        <v>691</v>
      </c>
      <c r="G136" s="33"/>
      <c r="H136" s="34"/>
      <c r="I136" s="64" t="s">
        <v>662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119" t="str">
        <f t="shared" ref="V136:V141" si="15">IFERROR(AVERAGE(J136:U136),"")</f>
        <v/>
      </c>
    </row>
    <row r="137" ht="14.25" customHeight="1">
      <c r="A137" s="8"/>
      <c r="B137" s="81" t="s">
        <v>762</v>
      </c>
      <c r="C137" s="46"/>
      <c r="D137" s="46"/>
      <c r="E137" s="48">
        <v>2.0</v>
      </c>
      <c r="F137" s="76" t="s">
        <v>693</v>
      </c>
      <c r="G137" s="33"/>
      <c r="H137" s="34"/>
      <c r="I137" s="64" t="s">
        <v>662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119" t="str">
        <f t="shared" si="15"/>
        <v/>
      </c>
    </row>
    <row r="138" ht="14.25" customHeight="1">
      <c r="A138" s="8"/>
      <c r="B138" s="81" t="s">
        <v>763</v>
      </c>
      <c r="C138" s="46"/>
      <c r="D138" s="46"/>
      <c r="E138" s="54">
        <v>3.0</v>
      </c>
      <c r="F138" s="76" t="s">
        <v>695</v>
      </c>
      <c r="G138" s="33"/>
      <c r="H138" s="34"/>
      <c r="I138" s="64" t="s">
        <v>662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119" t="str">
        <f t="shared" si="15"/>
        <v/>
      </c>
    </row>
    <row r="139" ht="14.25" customHeight="1">
      <c r="A139" s="8"/>
      <c r="B139" s="81" t="s">
        <v>764</v>
      </c>
      <c r="C139" s="46"/>
      <c r="D139" s="46"/>
      <c r="E139" s="54">
        <v>4.0</v>
      </c>
      <c r="F139" s="76" t="s">
        <v>697</v>
      </c>
      <c r="G139" s="33"/>
      <c r="H139" s="34"/>
      <c r="I139" s="64" t="s">
        <v>662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119" t="str">
        <f t="shared" si="15"/>
        <v/>
      </c>
    </row>
    <row r="140" ht="14.25" customHeight="1">
      <c r="A140" s="8"/>
      <c r="B140" s="81" t="s">
        <v>765</v>
      </c>
      <c r="C140" s="46"/>
      <c r="D140" s="46"/>
      <c r="E140" s="48">
        <v>5.0</v>
      </c>
      <c r="F140" s="76" t="s">
        <v>699</v>
      </c>
      <c r="G140" s="33"/>
      <c r="H140" s="34"/>
      <c r="I140" s="64" t="s">
        <v>662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119" t="str">
        <f t="shared" si="15"/>
        <v/>
      </c>
    </row>
    <row r="141" ht="14.25" customHeight="1">
      <c r="A141" s="8"/>
      <c r="B141" s="81" t="s">
        <v>766</v>
      </c>
      <c r="C141" s="46"/>
      <c r="D141" s="46"/>
      <c r="E141" s="54">
        <v>6.0</v>
      </c>
      <c r="F141" s="47" t="s">
        <v>701</v>
      </c>
      <c r="G141" s="33"/>
      <c r="H141" s="34"/>
      <c r="I141" s="64" t="s">
        <v>702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119" t="str">
        <f t="shared" si="15"/>
        <v/>
      </c>
    </row>
    <row r="142" ht="14.25" customHeight="1">
      <c r="A142" s="8"/>
      <c r="B142" s="8"/>
      <c r="C142" s="63"/>
      <c r="D142" s="46"/>
      <c r="E142" s="48"/>
      <c r="F142" s="71"/>
      <c r="G142" s="71"/>
      <c r="H142" s="72"/>
      <c r="I142" s="64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105"/>
    </row>
    <row r="143" ht="14.25" customHeight="1">
      <c r="A143" s="8"/>
      <c r="B143" s="81"/>
      <c r="C143" s="46"/>
      <c r="D143" s="46">
        <v>2.0</v>
      </c>
      <c r="E143" s="47" t="s">
        <v>703</v>
      </c>
      <c r="F143" s="33"/>
      <c r="G143" s="33"/>
      <c r="H143" s="34"/>
      <c r="I143" s="64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105"/>
    </row>
    <row r="144" ht="14.25" customHeight="1">
      <c r="A144" s="8"/>
      <c r="B144" s="81" t="s">
        <v>767</v>
      </c>
      <c r="C144" s="46"/>
      <c r="D144" s="46"/>
      <c r="E144" s="54">
        <v>1.0</v>
      </c>
      <c r="F144" s="47" t="s">
        <v>691</v>
      </c>
      <c r="G144" s="33"/>
      <c r="H144" s="34"/>
      <c r="I144" s="64" t="s">
        <v>662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119" t="str">
        <f t="shared" ref="V144:V149" si="16">IFERROR(AVERAGE(J144:U144),"")</f>
        <v/>
      </c>
    </row>
    <row r="145" ht="14.25" customHeight="1">
      <c r="A145" s="8"/>
      <c r="B145" s="81" t="s">
        <v>768</v>
      </c>
      <c r="C145" s="46"/>
      <c r="D145" s="46"/>
      <c r="E145" s="48">
        <v>2.0</v>
      </c>
      <c r="F145" s="76" t="s">
        <v>693</v>
      </c>
      <c r="G145" s="33"/>
      <c r="H145" s="34"/>
      <c r="I145" s="64" t="s">
        <v>662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119" t="str">
        <f t="shared" si="16"/>
        <v/>
      </c>
    </row>
    <row r="146" ht="14.25" customHeight="1">
      <c r="A146" s="8"/>
      <c r="B146" s="81" t="s">
        <v>769</v>
      </c>
      <c r="C146" s="46"/>
      <c r="D146" s="46"/>
      <c r="E146" s="54">
        <v>3.0</v>
      </c>
      <c r="F146" s="76" t="s">
        <v>695</v>
      </c>
      <c r="G146" s="33"/>
      <c r="H146" s="34"/>
      <c r="I146" s="64" t="s">
        <v>662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119" t="str">
        <f t="shared" si="16"/>
        <v/>
      </c>
    </row>
    <row r="147" ht="14.25" customHeight="1">
      <c r="A147" s="8"/>
      <c r="B147" s="81" t="s">
        <v>770</v>
      </c>
      <c r="C147" s="46"/>
      <c r="D147" s="46"/>
      <c r="E147" s="54">
        <v>4.0</v>
      </c>
      <c r="F147" s="76" t="s">
        <v>697</v>
      </c>
      <c r="G147" s="33"/>
      <c r="H147" s="34"/>
      <c r="I147" s="64" t="s">
        <v>662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119" t="str">
        <f t="shared" si="16"/>
        <v/>
      </c>
    </row>
    <row r="148" ht="14.25" customHeight="1">
      <c r="A148" s="8"/>
      <c r="B148" s="81" t="s">
        <v>771</v>
      </c>
      <c r="C148" s="46"/>
      <c r="D148" s="46"/>
      <c r="E148" s="48">
        <v>5.0</v>
      </c>
      <c r="F148" s="76" t="s">
        <v>699</v>
      </c>
      <c r="G148" s="33"/>
      <c r="H148" s="34"/>
      <c r="I148" s="64" t="s">
        <v>662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119" t="str">
        <f t="shared" si="16"/>
        <v/>
      </c>
    </row>
    <row r="149" ht="14.25" customHeight="1">
      <c r="A149" s="8"/>
      <c r="B149" s="81" t="s">
        <v>772</v>
      </c>
      <c r="C149" s="46"/>
      <c r="D149" s="46"/>
      <c r="E149" s="54">
        <v>6.0</v>
      </c>
      <c r="F149" s="47" t="s">
        <v>701</v>
      </c>
      <c r="G149" s="33"/>
      <c r="H149" s="34"/>
      <c r="I149" s="64" t="s">
        <v>702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119" t="str">
        <f t="shared" si="16"/>
        <v/>
      </c>
    </row>
    <row r="150" ht="14.25" customHeight="1">
      <c r="A150" s="8"/>
      <c r="B150" s="81"/>
      <c r="C150" s="63"/>
      <c r="D150" s="46"/>
      <c r="E150" s="48"/>
      <c r="F150" s="71"/>
      <c r="G150" s="71"/>
      <c r="H150" s="72"/>
      <c r="I150" s="64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105"/>
    </row>
    <row r="151" ht="14.25" customHeight="1">
      <c r="A151" s="8"/>
      <c r="B151" s="81"/>
      <c r="C151" s="46"/>
      <c r="D151" s="46">
        <v>3.0</v>
      </c>
      <c r="E151" s="47" t="s">
        <v>710</v>
      </c>
      <c r="F151" s="33"/>
      <c r="G151" s="33"/>
      <c r="H151" s="34"/>
      <c r="I151" s="64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105"/>
    </row>
    <row r="152" ht="14.25" customHeight="1">
      <c r="A152" s="8"/>
      <c r="B152" s="81" t="s">
        <v>773</v>
      </c>
      <c r="C152" s="46"/>
      <c r="D152" s="46"/>
      <c r="E152" s="54">
        <v>1.0</v>
      </c>
      <c r="F152" s="47" t="s">
        <v>691</v>
      </c>
      <c r="G152" s="33"/>
      <c r="H152" s="34"/>
      <c r="I152" s="64" t="s">
        <v>662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119" t="str">
        <f t="shared" ref="V152:V157" si="17">IFERROR(AVERAGE(J152:U152),"")</f>
        <v/>
      </c>
    </row>
    <row r="153" ht="14.25" customHeight="1">
      <c r="A153" s="8"/>
      <c r="B153" s="81" t="s">
        <v>774</v>
      </c>
      <c r="C153" s="46"/>
      <c r="D153" s="46"/>
      <c r="E153" s="48">
        <v>2.0</v>
      </c>
      <c r="F153" s="76" t="s">
        <v>693</v>
      </c>
      <c r="G153" s="33"/>
      <c r="H153" s="34"/>
      <c r="I153" s="64" t="s">
        <v>662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119" t="str">
        <f t="shared" si="17"/>
        <v/>
      </c>
    </row>
    <row r="154" ht="14.25" customHeight="1">
      <c r="A154" s="8"/>
      <c r="B154" s="81" t="s">
        <v>775</v>
      </c>
      <c r="C154" s="46"/>
      <c r="D154" s="46"/>
      <c r="E154" s="54">
        <v>3.0</v>
      </c>
      <c r="F154" s="76" t="s">
        <v>695</v>
      </c>
      <c r="G154" s="33"/>
      <c r="H154" s="34"/>
      <c r="I154" s="64" t="s">
        <v>662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119" t="str">
        <f t="shared" si="17"/>
        <v/>
      </c>
    </row>
    <row r="155" ht="14.25" customHeight="1">
      <c r="A155" s="8"/>
      <c r="B155" s="81" t="s">
        <v>776</v>
      </c>
      <c r="C155" s="46"/>
      <c r="D155" s="46"/>
      <c r="E155" s="54">
        <v>4.0</v>
      </c>
      <c r="F155" s="76" t="s">
        <v>697</v>
      </c>
      <c r="G155" s="33"/>
      <c r="H155" s="34"/>
      <c r="I155" s="64" t="s">
        <v>662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119" t="str">
        <f t="shared" si="17"/>
        <v/>
      </c>
    </row>
    <row r="156" ht="14.25" customHeight="1">
      <c r="A156" s="8"/>
      <c r="B156" s="81" t="s">
        <v>777</v>
      </c>
      <c r="C156" s="46"/>
      <c r="D156" s="46"/>
      <c r="E156" s="48">
        <v>5.0</v>
      </c>
      <c r="F156" s="76" t="s">
        <v>699</v>
      </c>
      <c r="G156" s="33"/>
      <c r="H156" s="34"/>
      <c r="I156" s="64" t="s">
        <v>662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119" t="str">
        <f t="shared" si="17"/>
        <v/>
      </c>
    </row>
    <row r="157" ht="14.25" customHeight="1">
      <c r="A157" s="8"/>
      <c r="B157" s="81" t="s">
        <v>778</v>
      </c>
      <c r="C157" s="46"/>
      <c r="D157" s="46"/>
      <c r="E157" s="54">
        <v>6.0</v>
      </c>
      <c r="F157" s="47" t="s">
        <v>701</v>
      </c>
      <c r="G157" s="33"/>
      <c r="H157" s="34"/>
      <c r="I157" s="64" t="s">
        <v>702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119" t="str">
        <f t="shared" si="17"/>
        <v/>
      </c>
    </row>
    <row r="158" ht="14.25" customHeight="1">
      <c r="A158" s="8"/>
      <c r="B158" s="81"/>
      <c r="C158" s="63"/>
      <c r="D158" s="46"/>
      <c r="E158" s="48"/>
      <c r="F158" s="71"/>
      <c r="G158" s="71"/>
      <c r="H158" s="72"/>
      <c r="I158" s="64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105"/>
    </row>
    <row r="159" ht="14.25" customHeight="1">
      <c r="A159" s="8"/>
      <c r="B159" s="81"/>
      <c r="C159" s="63"/>
      <c r="D159" s="46">
        <v>4.0</v>
      </c>
      <c r="E159" s="47" t="s">
        <v>717</v>
      </c>
      <c r="F159" s="33"/>
      <c r="G159" s="33"/>
      <c r="H159" s="34"/>
      <c r="I159" s="64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105"/>
    </row>
    <row r="160" ht="14.25" customHeight="1">
      <c r="A160" s="8"/>
      <c r="B160" s="81" t="s">
        <v>779</v>
      </c>
      <c r="C160" s="63"/>
      <c r="D160" s="46"/>
      <c r="E160" s="54">
        <v>1.0</v>
      </c>
      <c r="F160" s="47" t="s">
        <v>691</v>
      </c>
      <c r="G160" s="33"/>
      <c r="H160" s="34"/>
      <c r="I160" s="64" t="s">
        <v>662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119" t="str">
        <f t="shared" ref="V160:V165" si="18">IFERROR(AVERAGE(J160:U160),"")</f>
        <v/>
      </c>
    </row>
    <row r="161" ht="14.25" customHeight="1">
      <c r="A161" s="8"/>
      <c r="B161" s="81" t="s">
        <v>780</v>
      </c>
      <c r="C161" s="63"/>
      <c r="D161" s="46"/>
      <c r="E161" s="48">
        <v>2.0</v>
      </c>
      <c r="F161" s="76" t="s">
        <v>693</v>
      </c>
      <c r="G161" s="33"/>
      <c r="H161" s="34"/>
      <c r="I161" s="64" t="s">
        <v>662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119" t="str">
        <f t="shared" si="18"/>
        <v/>
      </c>
    </row>
    <row r="162" ht="14.25" customHeight="1">
      <c r="A162" s="8"/>
      <c r="B162" s="81" t="s">
        <v>781</v>
      </c>
      <c r="C162" s="63"/>
      <c r="D162" s="46"/>
      <c r="E162" s="54">
        <v>3.0</v>
      </c>
      <c r="F162" s="76" t="s">
        <v>695</v>
      </c>
      <c r="G162" s="33"/>
      <c r="H162" s="34"/>
      <c r="I162" s="64" t="s">
        <v>662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119" t="str">
        <f t="shared" si="18"/>
        <v/>
      </c>
    </row>
    <row r="163" ht="14.25" customHeight="1">
      <c r="A163" s="8"/>
      <c r="B163" s="81" t="s">
        <v>782</v>
      </c>
      <c r="C163" s="63"/>
      <c r="D163" s="46"/>
      <c r="E163" s="54">
        <v>4.0</v>
      </c>
      <c r="F163" s="76" t="s">
        <v>697</v>
      </c>
      <c r="G163" s="33"/>
      <c r="H163" s="34"/>
      <c r="I163" s="64" t="s">
        <v>662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119" t="str">
        <f t="shared" si="18"/>
        <v/>
      </c>
    </row>
    <row r="164" ht="14.25" customHeight="1">
      <c r="A164" s="8"/>
      <c r="B164" s="81" t="s">
        <v>783</v>
      </c>
      <c r="C164" s="63"/>
      <c r="D164" s="46"/>
      <c r="E164" s="48">
        <v>5.0</v>
      </c>
      <c r="F164" s="76" t="s">
        <v>699</v>
      </c>
      <c r="G164" s="33"/>
      <c r="H164" s="34"/>
      <c r="I164" s="64" t="s">
        <v>662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119" t="str">
        <f t="shared" si="18"/>
        <v/>
      </c>
    </row>
    <row r="165" ht="14.25" customHeight="1">
      <c r="A165" s="8"/>
      <c r="B165" s="81" t="s">
        <v>784</v>
      </c>
      <c r="C165" s="63"/>
      <c r="D165" s="46"/>
      <c r="E165" s="54">
        <v>6.0</v>
      </c>
      <c r="F165" s="47" t="s">
        <v>701</v>
      </c>
      <c r="G165" s="33"/>
      <c r="H165" s="34"/>
      <c r="I165" s="64" t="s">
        <v>702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119" t="str">
        <f t="shared" si="18"/>
        <v/>
      </c>
    </row>
    <row r="166" ht="14.25" customHeight="1">
      <c r="A166" s="8"/>
      <c r="B166" s="81"/>
      <c r="C166" s="63"/>
      <c r="D166" s="46"/>
      <c r="E166" s="48"/>
      <c r="F166" s="71"/>
      <c r="G166" s="71"/>
      <c r="H166" s="72"/>
      <c r="I166" s="64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105"/>
    </row>
    <row r="167" ht="14.25" customHeight="1">
      <c r="A167" s="8"/>
      <c r="B167" s="81"/>
      <c r="C167" s="46"/>
      <c r="D167" s="46">
        <v>5.0</v>
      </c>
      <c r="E167" s="47" t="s">
        <v>724</v>
      </c>
      <c r="F167" s="33"/>
      <c r="G167" s="33"/>
      <c r="H167" s="34"/>
      <c r="I167" s="64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105"/>
    </row>
    <row r="168" ht="14.25" customHeight="1">
      <c r="A168" s="8"/>
      <c r="B168" s="81" t="s">
        <v>785</v>
      </c>
      <c r="C168" s="63"/>
      <c r="D168" s="46"/>
      <c r="E168" s="54">
        <v>1.0</v>
      </c>
      <c r="F168" s="47" t="s">
        <v>691</v>
      </c>
      <c r="G168" s="33"/>
      <c r="H168" s="34"/>
      <c r="I168" s="64" t="s">
        <v>662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119" t="str">
        <f t="shared" ref="V168:V173" si="19">IFERROR(AVERAGE(J168:U168),"")</f>
        <v/>
      </c>
    </row>
    <row r="169" ht="14.25" customHeight="1">
      <c r="A169" s="8"/>
      <c r="B169" s="81" t="s">
        <v>786</v>
      </c>
      <c r="C169" s="63"/>
      <c r="D169" s="46"/>
      <c r="E169" s="48">
        <v>2.0</v>
      </c>
      <c r="F169" s="76" t="s">
        <v>693</v>
      </c>
      <c r="G169" s="33"/>
      <c r="H169" s="34"/>
      <c r="I169" s="64" t="s">
        <v>662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119" t="str">
        <f t="shared" si="19"/>
        <v/>
      </c>
    </row>
    <row r="170" ht="14.25" customHeight="1">
      <c r="A170" s="8"/>
      <c r="B170" s="81" t="s">
        <v>787</v>
      </c>
      <c r="C170" s="63"/>
      <c r="D170" s="46"/>
      <c r="E170" s="54">
        <v>3.0</v>
      </c>
      <c r="F170" s="76" t="s">
        <v>695</v>
      </c>
      <c r="G170" s="33"/>
      <c r="H170" s="34"/>
      <c r="I170" s="64" t="s">
        <v>662</v>
      </c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119" t="str">
        <f t="shared" si="19"/>
        <v/>
      </c>
    </row>
    <row r="171" ht="14.25" customHeight="1">
      <c r="A171" s="8"/>
      <c r="B171" s="81" t="s">
        <v>788</v>
      </c>
      <c r="C171" s="63"/>
      <c r="D171" s="46"/>
      <c r="E171" s="54">
        <v>4.0</v>
      </c>
      <c r="F171" s="76" t="s">
        <v>697</v>
      </c>
      <c r="G171" s="33"/>
      <c r="H171" s="34"/>
      <c r="I171" s="64" t="s">
        <v>662</v>
      </c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119" t="str">
        <f t="shared" si="19"/>
        <v/>
      </c>
    </row>
    <row r="172" ht="14.25" customHeight="1">
      <c r="A172" s="8"/>
      <c r="B172" s="81" t="s">
        <v>789</v>
      </c>
      <c r="C172" s="63"/>
      <c r="D172" s="46"/>
      <c r="E172" s="48">
        <v>5.0</v>
      </c>
      <c r="F172" s="76" t="s">
        <v>699</v>
      </c>
      <c r="G172" s="33"/>
      <c r="H172" s="34"/>
      <c r="I172" s="64" t="s">
        <v>662</v>
      </c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119" t="str">
        <f t="shared" si="19"/>
        <v/>
      </c>
    </row>
    <row r="173" ht="14.25" customHeight="1">
      <c r="A173" s="8"/>
      <c r="B173" s="81" t="s">
        <v>790</v>
      </c>
      <c r="C173" s="63"/>
      <c r="D173" s="46"/>
      <c r="E173" s="54">
        <v>6.0</v>
      </c>
      <c r="F173" s="47" t="s">
        <v>701</v>
      </c>
      <c r="G173" s="33"/>
      <c r="H173" s="34"/>
      <c r="I173" s="64" t="s">
        <v>702</v>
      </c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119" t="str">
        <f t="shared" si="19"/>
        <v/>
      </c>
    </row>
    <row r="174" ht="14.25" customHeight="1">
      <c r="A174" s="8"/>
      <c r="B174" s="8"/>
      <c r="C174" s="120"/>
      <c r="D174" s="107"/>
      <c r="E174" s="107"/>
      <c r="F174" s="108"/>
      <c r="G174" s="121"/>
      <c r="H174" s="121"/>
      <c r="I174" s="122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10"/>
    </row>
    <row r="175" ht="14.25" customHeight="1">
      <c r="A175" s="16">
        <v>3.0</v>
      </c>
      <c r="B175" s="8"/>
      <c r="C175" s="111" t="s">
        <v>791</v>
      </c>
      <c r="D175" s="112"/>
      <c r="E175" s="113"/>
      <c r="F175" s="113"/>
      <c r="G175" s="113"/>
      <c r="H175" s="113"/>
      <c r="I175" s="113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3"/>
    </row>
    <row r="176" ht="14.25" customHeight="1">
      <c r="A176" s="8"/>
      <c r="B176" s="8"/>
      <c r="C176" s="115"/>
      <c r="D176" s="115"/>
      <c r="E176" s="115"/>
      <c r="F176" s="115"/>
      <c r="G176" s="115"/>
      <c r="H176" s="115"/>
      <c r="I176" s="115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15"/>
    </row>
    <row r="177" ht="14.25" customHeight="1">
      <c r="A177" s="8"/>
      <c r="B177" s="8"/>
      <c r="C177" s="18" t="s">
        <v>321</v>
      </c>
      <c r="D177" s="19" t="s">
        <v>322</v>
      </c>
      <c r="E177" s="20"/>
      <c r="F177" s="20"/>
      <c r="G177" s="20"/>
      <c r="H177" s="21"/>
      <c r="I177" s="22" t="s">
        <v>323</v>
      </c>
      <c r="J177" s="23">
        <f>$H$2</f>
        <v>2026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1"/>
    </row>
    <row r="178" ht="14.25" customHeight="1">
      <c r="A178" s="8"/>
      <c r="B178" s="8"/>
      <c r="C178" s="24"/>
      <c r="D178" s="25"/>
      <c r="H178" s="26"/>
      <c r="I178" s="24"/>
      <c r="J178" s="28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30"/>
    </row>
    <row r="179" ht="14.25" customHeight="1">
      <c r="A179" s="8"/>
      <c r="B179" s="8"/>
      <c r="C179" s="27"/>
      <c r="D179" s="28"/>
      <c r="E179" s="29"/>
      <c r="F179" s="29"/>
      <c r="G179" s="29"/>
      <c r="H179" s="30"/>
      <c r="I179" s="27"/>
      <c r="J179" s="96" t="s">
        <v>324</v>
      </c>
      <c r="K179" s="96" t="s">
        <v>325</v>
      </c>
      <c r="L179" s="96" t="s">
        <v>326</v>
      </c>
      <c r="M179" s="96" t="s">
        <v>327</v>
      </c>
      <c r="N179" s="96" t="s">
        <v>328</v>
      </c>
      <c r="O179" s="96" t="s">
        <v>329</v>
      </c>
      <c r="P179" s="96" t="s">
        <v>330</v>
      </c>
      <c r="Q179" s="96" t="s">
        <v>331</v>
      </c>
      <c r="R179" s="96" t="s">
        <v>332</v>
      </c>
      <c r="S179" s="96" t="s">
        <v>333</v>
      </c>
      <c r="T179" s="96" t="s">
        <v>334</v>
      </c>
      <c r="U179" s="96" t="s">
        <v>335</v>
      </c>
      <c r="V179" s="96" t="s">
        <v>336</v>
      </c>
    </row>
    <row r="180" ht="14.25" customHeight="1">
      <c r="A180" s="8"/>
      <c r="B180" s="8"/>
      <c r="C180" s="31">
        <v>1.0</v>
      </c>
      <c r="D180" s="32">
        <v>2.0</v>
      </c>
      <c r="E180" s="33"/>
      <c r="F180" s="33"/>
      <c r="G180" s="33"/>
      <c r="H180" s="34"/>
      <c r="I180" s="35">
        <v>3.0</v>
      </c>
      <c r="J180" s="97">
        <v>4.0</v>
      </c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4"/>
      <c r="V180" s="35">
        <v>5.0</v>
      </c>
    </row>
    <row r="181" ht="14.25" customHeight="1">
      <c r="A181" s="8"/>
      <c r="B181" s="8"/>
      <c r="C181" s="46"/>
      <c r="D181" s="54"/>
      <c r="E181" s="33"/>
      <c r="F181" s="33"/>
      <c r="G181" s="33"/>
      <c r="H181" s="34"/>
      <c r="I181" s="64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</row>
    <row r="182" ht="14.25" customHeight="1">
      <c r="A182" s="8"/>
      <c r="B182" s="8"/>
      <c r="C182" s="46">
        <v>1.0</v>
      </c>
      <c r="D182" s="47" t="s">
        <v>792</v>
      </c>
      <c r="E182" s="33"/>
      <c r="F182" s="33"/>
      <c r="G182" s="33"/>
      <c r="H182" s="34"/>
      <c r="I182" s="64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</row>
    <row r="183" ht="14.25" customHeight="1">
      <c r="A183" s="8"/>
      <c r="B183" s="8"/>
      <c r="C183" s="46"/>
      <c r="D183" s="46">
        <v>1.0</v>
      </c>
      <c r="E183" s="47" t="s">
        <v>793</v>
      </c>
      <c r="F183" s="33"/>
      <c r="G183" s="33"/>
      <c r="H183" s="34"/>
      <c r="I183" s="64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</row>
    <row r="184" ht="14.25" customHeight="1">
      <c r="A184" s="8"/>
      <c r="B184" s="8"/>
      <c r="C184" s="46"/>
      <c r="D184" s="54"/>
      <c r="E184" s="64">
        <v>1.0</v>
      </c>
      <c r="F184" s="47" t="s">
        <v>794</v>
      </c>
      <c r="G184" s="33"/>
      <c r="H184" s="34"/>
      <c r="I184" s="89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5"/>
    </row>
    <row r="185" ht="14.25" customHeight="1">
      <c r="A185" s="8"/>
      <c r="B185" s="8" t="s">
        <v>795</v>
      </c>
      <c r="C185" s="46"/>
      <c r="D185" s="46"/>
      <c r="E185" s="124"/>
      <c r="F185" s="125">
        <v>1.0</v>
      </c>
      <c r="G185" s="47" t="s">
        <v>796</v>
      </c>
      <c r="H185" s="34"/>
      <c r="I185" s="64" t="s">
        <v>797</v>
      </c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119" t="str">
        <f t="shared" ref="V185:V187" si="20">IFERROR(AVERAGE(J185:U185),"")</f>
        <v/>
      </c>
    </row>
    <row r="186" ht="14.25" customHeight="1">
      <c r="A186" s="8"/>
      <c r="B186" s="8" t="s">
        <v>798</v>
      </c>
      <c r="C186" s="46"/>
      <c r="D186" s="46"/>
      <c r="E186" s="48"/>
      <c r="F186" s="64">
        <v>2.0</v>
      </c>
      <c r="G186" s="47" t="s">
        <v>799</v>
      </c>
      <c r="H186" s="34"/>
      <c r="I186" s="64" t="s">
        <v>797</v>
      </c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119" t="str">
        <f t="shared" si="20"/>
        <v/>
      </c>
    </row>
    <row r="187" ht="14.25" customHeight="1">
      <c r="A187" s="8"/>
      <c r="B187" s="8" t="s">
        <v>800</v>
      </c>
      <c r="C187" s="46"/>
      <c r="D187" s="46"/>
      <c r="E187" s="48"/>
      <c r="F187" s="64">
        <v>3.0</v>
      </c>
      <c r="G187" s="47" t="s">
        <v>801</v>
      </c>
      <c r="H187" s="34"/>
      <c r="I187" s="64" t="s">
        <v>797</v>
      </c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119" t="str">
        <f t="shared" si="20"/>
        <v/>
      </c>
    </row>
    <row r="188" ht="14.25" customHeight="1">
      <c r="A188" s="8"/>
      <c r="B188" s="8"/>
      <c r="C188" s="46"/>
      <c r="D188" s="46"/>
      <c r="E188" s="48">
        <v>2.0</v>
      </c>
      <c r="F188" s="47" t="s">
        <v>802</v>
      </c>
      <c r="G188" s="33"/>
      <c r="H188" s="34"/>
      <c r="I188" s="6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5"/>
    </row>
    <row r="189" ht="14.25" customHeight="1">
      <c r="A189" s="8"/>
      <c r="B189" s="8" t="s">
        <v>803</v>
      </c>
      <c r="C189" s="46"/>
      <c r="D189" s="46"/>
      <c r="E189" s="48"/>
      <c r="F189" s="64">
        <v>1.0</v>
      </c>
      <c r="G189" s="47" t="s">
        <v>804</v>
      </c>
      <c r="H189" s="34"/>
      <c r="I189" s="64" t="s">
        <v>797</v>
      </c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119" t="str">
        <f t="shared" ref="V189:V191" si="21">IFERROR(AVERAGE(J189:U189),"")</f>
        <v/>
      </c>
    </row>
    <row r="190" ht="14.25" customHeight="1">
      <c r="A190" s="8"/>
      <c r="B190" s="8" t="s">
        <v>805</v>
      </c>
      <c r="C190" s="46"/>
      <c r="D190" s="46"/>
      <c r="E190" s="48"/>
      <c r="F190" s="64">
        <v>2.0</v>
      </c>
      <c r="G190" s="47" t="s">
        <v>806</v>
      </c>
      <c r="H190" s="34"/>
      <c r="I190" s="64" t="s">
        <v>797</v>
      </c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119" t="str">
        <f t="shared" si="21"/>
        <v/>
      </c>
    </row>
    <row r="191" ht="14.25" customHeight="1">
      <c r="A191" s="8"/>
      <c r="B191" s="8" t="s">
        <v>807</v>
      </c>
      <c r="C191" s="46"/>
      <c r="D191" s="46"/>
      <c r="E191" s="48"/>
      <c r="F191" s="64">
        <v>3.0</v>
      </c>
      <c r="G191" s="47" t="s">
        <v>808</v>
      </c>
      <c r="H191" s="34"/>
      <c r="I191" s="64" t="s">
        <v>797</v>
      </c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119" t="str">
        <f t="shared" si="21"/>
        <v/>
      </c>
    </row>
    <row r="192" ht="14.25" customHeight="1">
      <c r="A192" s="8"/>
      <c r="B192" s="8"/>
      <c r="C192" s="46"/>
      <c r="D192" s="54"/>
      <c r="E192" s="33"/>
      <c r="F192" s="33"/>
      <c r="G192" s="33"/>
      <c r="H192" s="34"/>
      <c r="I192" s="6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5"/>
    </row>
    <row r="193" ht="14.25" customHeight="1">
      <c r="A193" s="8"/>
      <c r="B193" s="8"/>
      <c r="C193" s="46"/>
      <c r="D193" s="46">
        <v>2.0</v>
      </c>
      <c r="E193" s="47" t="s">
        <v>809</v>
      </c>
      <c r="F193" s="33"/>
      <c r="G193" s="33"/>
      <c r="H193" s="34"/>
      <c r="I193" s="6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5"/>
    </row>
    <row r="194" ht="14.25" customHeight="1">
      <c r="A194" s="8"/>
      <c r="B194" s="8"/>
      <c r="C194" s="46"/>
      <c r="D194" s="46"/>
      <c r="E194" s="124">
        <v>1.0</v>
      </c>
      <c r="F194" s="47" t="s">
        <v>794</v>
      </c>
      <c r="G194" s="33"/>
      <c r="H194" s="34"/>
      <c r="I194" s="6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5"/>
    </row>
    <row r="195" ht="14.25" customHeight="1">
      <c r="A195" s="8"/>
      <c r="B195" s="8" t="s">
        <v>810</v>
      </c>
      <c r="C195" s="46"/>
      <c r="D195" s="46"/>
      <c r="E195" s="48"/>
      <c r="F195" s="64">
        <v>1.0</v>
      </c>
      <c r="G195" s="47" t="s">
        <v>796</v>
      </c>
      <c r="H195" s="34"/>
      <c r="I195" s="64" t="s">
        <v>797</v>
      </c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119" t="str">
        <f t="shared" ref="V195:V197" si="22">IFERROR(AVERAGE(J195:U195),"")</f>
        <v/>
      </c>
    </row>
    <row r="196" ht="14.25" customHeight="1">
      <c r="A196" s="8"/>
      <c r="B196" s="8" t="s">
        <v>811</v>
      </c>
      <c r="C196" s="46"/>
      <c r="D196" s="46"/>
      <c r="E196" s="48"/>
      <c r="F196" s="64">
        <v>2.0</v>
      </c>
      <c r="G196" s="47" t="s">
        <v>799</v>
      </c>
      <c r="H196" s="34"/>
      <c r="I196" s="64" t="s">
        <v>797</v>
      </c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119" t="str">
        <f t="shared" si="22"/>
        <v/>
      </c>
    </row>
    <row r="197" ht="14.25" customHeight="1">
      <c r="A197" s="8"/>
      <c r="B197" s="8" t="s">
        <v>812</v>
      </c>
      <c r="C197" s="46"/>
      <c r="D197" s="46"/>
      <c r="E197" s="48"/>
      <c r="F197" s="64">
        <v>3.0</v>
      </c>
      <c r="G197" s="47" t="s">
        <v>801</v>
      </c>
      <c r="H197" s="34"/>
      <c r="I197" s="64" t="s">
        <v>797</v>
      </c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119" t="str">
        <f t="shared" si="22"/>
        <v/>
      </c>
    </row>
    <row r="198" ht="14.25" customHeight="1">
      <c r="A198" s="8"/>
      <c r="B198" s="8"/>
      <c r="C198" s="46"/>
      <c r="D198" s="46"/>
      <c r="E198" s="48">
        <v>2.0</v>
      </c>
      <c r="F198" s="47" t="s">
        <v>802</v>
      </c>
      <c r="G198" s="33"/>
      <c r="H198" s="34"/>
      <c r="I198" s="6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5"/>
    </row>
    <row r="199" ht="14.25" customHeight="1">
      <c r="A199" s="8"/>
      <c r="B199" s="8" t="s">
        <v>813</v>
      </c>
      <c r="C199" s="46"/>
      <c r="D199" s="46"/>
      <c r="E199" s="48"/>
      <c r="F199" s="64">
        <v>1.0</v>
      </c>
      <c r="G199" s="47" t="s">
        <v>804</v>
      </c>
      <c r="H199" s="34"/>
      <c r="I199" s="64" t="s">
        <v>797</v>
      </c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119" t="str">
        <f t="shared" ref="V199:V201" si="23">IFERROR(AVERAGE(J199:U199),"")</f>
        <v/>
      </c>
    </row>
    <row r="200" ht="14.25" customHeight="1">
      <c r="A200" s="8"/>
      <c r="B200" s="8" t="s">
        <v>814</v>
      </c>
      <c r="C200" s="46"/>
      <c r="D200" s="46"/>
      <c r="E200" s="48"/>
      <c r="F200" s="64">
        <v>2.0</v>
      </c>
      <c r="G200" s="47" t="s">
        <v>806</v>
      </c>
      <c r="H200" s="34"/>
      <c r="I200" s="64" t="s">
        <v>797</v>
      </c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119" t="str">
        <f t="shared" si="23"/>
        <v/>
      </c>
    </row>
    <row r="201" ht="14.25" customHeight="1">
      <c r="A201" s="8"/>
      <c r="B201" s="8" t="s">
        <v>815</v>
      </c>
      <c r="C201" s="46"/>
      <c r="D201" s="46"/>
      <c r="E201" s="48"/>
      <c r="F201" s="64">
        <v>3.0</v>
      </c>
      <c r="G201" s="47" t="s">
        <v>808</v>
      </c>
      <c r="H201" s="34"/>
      <c r="I201" s="64" t="s">
        <v>797</v>
      </c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119" t="str">
        <f t="shared" si="23"/>
        <v/>
      </c>
    </row>
    <row r="202" ht="14.25" customHeight="1">
      <c r="A202" s="8"/>
      <c r="B202" s="8"/>
      <c r="C202" s="46"/>
      <c r="D202" s="54"/>
      <c r="E202" s="33"/>
      <c r="F202" s="33"/>
      <c r="G202" s="33"/>
      <c r="H202" s="34"/>
      <c r="I202" s="6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5"/>
    </row>
    <row r="203" ht="14.25" customHeight="1">
      <c r="A203" s="8"/>
      <c r="B203" s="81"/>
      <c r="C203" s="46"/>
      <c r="D203" s="46">
        <v>3.0</v>
      </c>
      <c r="E203" s="47" t="s">
        <v>816</v>
      </c>
      <c r="F203" s="33"/>
      <c r="G203" s="33"/>
      <c r="H203" s="34"/>
      <c r="I203" s="6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5"/>
    </row>
    <row r="204" ht="14.25" customHeight="1">
      <c r="A204" s="8"/>
      <c r="B204" s="81"/>
      <c r="C204" s="46"/>
      <c r="D204" s="46"/>
      <c r="E204" s="48">
        <v>1.0</v>
      </c>
      <c r="F204" s="47" t="s">
        <v>794</v>
      </c>
      <c r="G204" s="33"/>
      <c r="H204" s="34"/>
      <c r="I204" s="6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5"/>
    </row>
    <row r="205" ht="14.25" customHeight="1">
      <c r="A205" s="8"/>
      <c r="B205" s="81" t="s">
        <v>817</v>
      </c>
      <c r="C205" s="46"/>
      <c r="D205" s="46"/>
      <c r="E205" s="48"/>
      <c r="F205" s="64">
        <v>1.0</v>
      </c>
      <c r="G205" s="47" t="s">
        <v>796</v>
      </c>
      <c r="H205" s="34"/>
      <c r="I205" s="64" t="s">
        <v>797</v>
      </c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119" t="str">
        <f t="shared" ref="V205:V207" si="24">IFERROR(AVERAGE(J205:U205),"")</f>
        <v/>
      </c>
    </row>
    <row r="206" ht="14.25" customHeight="1">
      <c r="A206" s="8"/>
      <c r="B206" s="81" t="s">
        <v>818</v>
      </c>
      <c r="C206" s="46"/>
      <c r="D206" s="46"/>
      <c r="E206" s="48"/>
      <c r="F206" s="64">
        <v>2.0</v>
      </c>
      <c r="G206" s="47" t="s">
        <v>799</v>
      </c>
      <c r="H206" s="34"/>
      <c r="I206" s="64" t="s">
        <v>797</v>
      </c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119" t="str">
        <f t="shared" si="24"/>
        <v/>
      </c>
    </row>
    <row r="207" ht="14.25" customHeight="1">
      <c r="A207" s="8"/>
      <c r="B207" s="81" t="s">
        <v>819</v>
      </c>
      <c r="C207" s="46"/>
      <c r="D207" s="46"/>
      <c r="E207" s="48"/>
      <c r="F207" s="64">
        <v>3.0</v>
      </c>
      <c r="G207" s="47" t="s">
        <v>801</v>
      </c>
      <c r="H207" s="34"/>
      <c r="I207" s="64" t="s">
        <v>797</v>
      </c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119" t="str">
        <f t="shared" si="24"/>
        <v/>
      </c>
    </row>
    <row r="208" ht="14.25" customHeight="1">
      <c r="A208" s="8"/>
      <c r="B208" s="81"/>
      <c r="C208" s="46"/>
      <c r="D208" s="46"/>
      <c r="E208" s="48">
        <v>2.0</v>
      </c>
      <c r="F208" s="47" t="s">
        <v>802</v>
      </c>
      <c r="G208" s="33"/>
      <c r="H208" s="34"/>
      <c r="I208" s="6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5"/>
    </row>
    <row r="209" ht="14.25" customHeight="1">
      <c r="A209" s="8"/>
      <c r="B209" s="81" t="s">
        <v>820</v>
      </c>
      <c r="C209" s="46"/>
      <c r="D209" s="46"/>
      <c r="E209" s="48"/>
      <c r="F209" s="64">
        <v>1.0</v>
      </c>
      <c r="G209" s="47" t="s">
        <v>804</v>
      </c>
      <c r="H209" s="34"/>
      <c r="I209" s="64" t="s">
        <v>797</v>
      </c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119" t="str">
        <f t="shared" ref="V209:V211" si="25">IFERROR(AVERAGE(J209:U209),"")</f>
        <v/>
      </c>
    </row>
    <row r="210" ht="14.25" customHeight="1">
      <c r="A210" s="8"/>
      <c r="B210" s="81" t="s">
        <v>821</v>
      </c>
      <c r="C210" s="46"/>
      <c r="D210" s="46"/>
      <c r="E210" s="48"/>
      <c r="F210" s="64">
        <v>2.0</v>
      </c>
      <c r="G210" s="47" t="s">
        <v>806</v>
      </c>
      <c r="H210" s="34"/>
      <c r="I210" s="64" t="s">
        <v>797</v>
      </c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119" t="str">
        <f t="shared" si="25"/>
        <v/>
      </c>
    </row>
    <row r="211" ht="14.25" customHeight="1">
      <c r="A211" s="8"/>
      <c r="B211" s="81" t="s">
        <v>822</v>
      </c>
      <c r="C211" s="46"/>
      <c r="D211" s="46"/>
      <c r="E211" s="48"/>
      <c r="F211" s="64">
        <v>3.0</v>
      </c>
      <c r="G211" s="47" t="s">
        <v>808</v>
      </c>
      <c r="H211" s="34"/>
      <c r="I211" s="64" t="s">
        <v>797</v>
      </c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119" t="str">
        <f t="shared" si="25"/>
        <v/>
      </c>
    </row>
    <row r="212" ht="14.25" customHeight="1">
      <c r="A212" s="8"/>
      <c r="B212" s="8"/>
      <c r="C212" s="46"/>
      <c r="D212" s="54"/>
      <c r="E212" s="33"/>
      <c r="F212" s="33"/>
      <c r="G212" s="33"/>
      <c r="H212" s="34"/>
      <c r="I212" s="89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5"/>
    </row>
    <row r="213" ht="14.25" customHeight="1">
      <c r="A213" s="8"/>
      <c r="B213" s="8"/>
      <c r="C213" s="46">
        <v>2.0</v>
      </c>
      <c r="D213" s="47" t="s">
        <v>823</v>
      </c>
      <c r="E213" s="33"/>
      <c r="F213" s="33"/>
      <c r="G213" s="33"/>
      <c r="H213" s="34"/>
      <c r="I213" s="64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105"/>
    </row>
    <row r="214" ht="14.25" customHeight="1">
      <c r="A214" s="8"/>
      <c r="B214" s="8"/>
      <c r="C214" s="46"/>
      <c r="D214" s="46">
        <v>1.0</v>
      </c>
      <c r="E214" s="47" t="s">
        <v>824</v>
      </c>
      <c r="F214" s="33"/>
      <c r="G214" s="33"/>
      <c r="H214" s="34"/>
      <c r="I214" s="64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105"/>
    </row>
    <row r="215" ht="14.25" customHeight="1">
      <c r="A215" s="8"/>
      <c r="B215" s="8"/>
      <c r="C215" s="46"/>
      <c r="D215" s="46"/>
      <c r="E215" s="48">
        <v>1.0</v>
      </c>
      <c r="F215" s="47" t="s">
        <v>470</v>
      </c>
      <c r="G215" s="33"/>
      <c r="H215" s="34"/>
      <c r="I215" s="64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105"/>
    </row>
    <row r="216" ht="14.25" customHeight="1">
      <c r="A216" s="8"/>
      <c r="B216" s="8" t="s">
        <v>825</v>
      </c>
      <c r="C216" s="46"/>
      <c r="D216" s="46"/>
      <c r="E216" s="48"/>
      <c r="F216" s="64">
        <v>1.0</v>
      </c>
      <c r="G216" s="47" t="s">
        <v>826</v>
      </c>
      <c r="H216" s="34"/>
      <c r="I216" s="64" t="s">
        <v>827</v>
      </c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119" t="str">
        <f t="shared" ref="V216:V221" si="26">IFERROR(AVERAGE(J216:U216),"")</f>
        <v/>
      </c>
    </row>
    <row r="217" ht="14.25" customHeight="1">
      <c r="A217" s="8"/>
      <c r="B217" s="8" t="s">
        <v>828</v>
      </c>
      <c r="C217" s="46"/>
      <c r="D217" s="46"/>
      <c r="E217" s="48"/>
      <c r="F217" s="64"/>
      <c r="G217" s="64">
        <v>1.0</v>
      </c>
      <c r="H217" s="72" t="s">
        <v>471</v>
      </c>
      <c r="I217" s="64" t="s">
        <v>827</v>
      </c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119" t="str">
        <f t="shared" si="26"/>
        <v/>
      </c>
    </row>
    <row r="218" ht="14.25" customHeight="1">
      <c r="A218" s="8"/>
      <c r="B218" s="8" t="s">
        <v>829</v>
      </c>
      <c r="C218" s="46"/>
      <c r="D218" s="46"/>
      <c r="E218" s="48"/>
      <c r="F218" s="48"/>
      <c r="G218" s="64">
        <v>2.0</v>
      </c>
      <c r="H218" s="72" t="s">
        <v>492</v>
      </c>
      <c r="I218" s="64" t="s">
        <v>827</v>
      </c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119" t="str">
        <f t="shared" si="26"/>
        <v/>
      </c>
    </row>
    <row r="219" ht="14.25" customHeight="1">
      <c r="A219" s="8"/>
      <c r="B219" s="8" t="s">
        <v>830</v>
      </c>
      <c r="C219" s="46"/>
      <c r="D219" s="46"/>
      <c r="E219" s="48"/>
      <c r="F219" s="48">
        <v>2.0</v>
      </c>
      <c r="G219" s="47" t="s">
        <v>831</v>
      </c>
      <c r="H219" s="34"/>
      <c r="I219" s="64" t="s">
        <v>832</v>
      </c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119" t="str">
        <f t="shared" si="26"/>
        <v/>
      </c>
    </row>
    <row r="220" ht="14.25" customHeight="1">
      <c r="A220" s="8"/>
      <c r="B220" s="8" t="s">
        <v>833</v>
      </c>
      <c r="C220" s="46"/>
      <c r="D220" s="46"/>
      <c r="E220" s="48"/>
      <c r="F220" s="64"/>
      <c r="G220" s="64">
        <v>1.0</v>
      </c>
      <c r="H220" s="72" t="s">
        <v>834</v>
      </c>
      <c r="I220" s="64" t="s">
        <v>832</v>
      </c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119" t="str">
        <f t="shared" si="26"/>
        <v/>
      </c>
    </row>
    <row r="221" ht="14.25" customHeight="1">
      <c r="A221" s="8"/>
      <c r="B221" s="8" t="s">
        <v>835</v>
      </c>
      <c r="C221" s="46"/>
      <c r="D221" s="46"/>
      <c r="E221" s="48"/>
      <c r="F221" s="48"/>
      <c r="G221" s="64">
        <v>2.0</v>
      </c>
      <c r="H221" s="72" t="s">
        <v>836</v>
      </c>
      <c r="I221" s="64" t="s">
        <v>832</v>
      </c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119" t="str">
        <f t="shared" si="26"/>
        <v/>
      </c>
    </row>
    <row r="222" ht="14.25" customHeight="1">
      <c r="A222" s="8"/>
      <c r="B222" s="8"/>
      <c r="C222" s="46"/>
      <c r="D222" s="46"/>
      <c r="E222" s="48">
        <v>2.0</v>
      </c>
      <c r="F222" s="47" t="s">
        <v>496</v>
      </c>
      <c r="G222" s="33"/>
      <c r="H222" s="34"/>
      <c r="I222" s="64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105"/>
    </row>
    <row r="223" ht="14.25" customHeight="1">
      <c r="A223" s="8"/>
      <c r="B223" s="8" t="s">
        <v>837</v>
      </c>
      <c r="C223" s="46"/>
      <c r="D223" s="46"/>
      <c r="E223" s="48"/>
      <c r="F223" s="64">
        <v>1.0</v>
      </c>
      <c r="G223" s="47" t="s">
        <v>826</v>
      </c>
      <c r="H223" s="34"/>
      <c r="I223" s="64" t="s">
        <v>827</v>
      </c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119" t="str">
        <f t="shared" ref="V223:V228" si="27">IFERROR(AVERAGE(J223:U223),"")</f>
        <v/>
      </c>
    </row>
    <row r="224" ht="14.25" customHeight="1">
      <c r="A224" s="8"/>
      <c r="B224" s="8" t="s">
        <v>838</v>
      </c>
      <c r="C224" s="46"/>
      <c r="D224" s="46"/>
      <c r="E224" s="48"/>
      <c r="F224" s="64"/>
      <c r="G224" s="64">
        <v>1.0</v>
      </c>
      <c r="H224" s="72" t="s">
        <v>471</v>
      </c>
      <c r="I224" s="64" t="s">
        <v>827</v>
      </c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119" t="str">
        <f t="shared" si="27"/>
        <v/>
      </c>
    </row>
    <row r="225" ht="14.25" customHeight="1">
      <c r="A225" s="8"/>
      <c r="B225" s="8" t="s">
        <v>839</v>
      </c>
      <c r="C225" s="46"/>
      <c r="D225" s="46"/>
      <c r="E225" s="48"/>
      <c r="F225" s="48"/>
      <c r="G225" s="64">
        <v>2.0</v>
      </c>
      <c r="H225" s="72" t="s">
        <v>492</v>
      </c>
      <c r="I225" s="64" t="s">
        <v>827</v>
      </c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119" t="str">
        <f t="shared" si="27"/>
        <v/>
      </c>
    </row>
    <row r="226" ht="14.25" customHeight="1">
      <c r="A226" s="8"/>
      <c r="B226" s="8" t="s">
        <v>840</v>
      </c>
      <c r="C226" s="46"/>
      <c r="D226" s="46"/>
      <c r="E226" s="48"/>
      <c r="F226" s="48">
        <v>2.0</v>
      </c>
      <c r="G226" s="47" t="s">
        <v>831</v>
      </c>
      <c r="H226" s="34"/>
      <c r="I226" s="64" t="s">
        <v>832</v>
      </c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119" t="str">
        <f t="shared" si="27"/>
        <v/>
      </c>
    </row>
    <row r="227" ht="14.25" customHeight="1">
      <c r="A227" s="8"/>
      <c r="B227" s="8" t="s">
        <v>841</v>
      </c>
      <c r="C227" s="46"/>
      <c r="D227" s="46"/>
      <c r="E227" s="48"/>
      <c r="F227" s="64"/>
      <c r="G227" s="64">
        <v>1.0</v>
      </c>
      <c r="H227" s="72" t="s">
        <v>842</v>
      </c>
      <c r="I227" s="64" t="s">
        <v>832</v>
      </c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119" t="str">
        <f t="shared" si="27"/>
        <v/>
      </c>
    </row>
    <row r="228" ht="14.25" customHeight="1">
      <c r="A228" s="8"/>
      <c r="B228" s="8" t="s">
        <v>843</v>
      </c>
      <c r="C228" s="46"/>
      <c r="D228" s="46"/>
      <c r="E228" s="48"/>
      <c r="F228" s="48"/>
      <c r="G228" s="64">
        <v>2.0</v>
      </c>
      <c r="H228" s="72" t="s">
        <v>844</v>
      </c>
      <c r="I228" s="64" t="s">
        <v>832</v>
      </c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119" t="str">
        <f t="shared" si="27"/>
        <v/>
      </c>
    </row>
    <row r="229" ht="14.25" customHeight="1">
      <c r="A229" s="8"/>
      <c r="B229" s="8"/>
      <c r="C229" s="46"/>
      <c r="D229" s="46"/>
      <c r="E229" s="48"/>
      <c r="F229" s="88"/>
      <c r="G229" s="88"/>
      <c r="H229" s="126"/>
      <c r="I229" s="64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105"/>
    </row>
    <row r="230" ht="14.25" customHeight="1">
      <c r="A230" s="8"/>
      <c r="B230" s="8" t="s">
        <v>845</v>
      </c>
      <c r="C230" s="46"/>
      <c r="D230" s="46"/>
      <c r="E230" s="47" t="s">
        <v>846</v>
      </c>
      <c r="F230" s="33"/>
      <c r="G230" s="33"/>
      <c r="H230" s="34"/>
      <c r="I230" s="64" t="s">
        <v>827</v>
      </c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119" t="str">
        <f t="shared" ref="V230:V231" si="28">IFERROR(AVERAGE(J230:U230),"")</f>
        <v/>
      </c>
    </row>
    <row r="231" ht="14.25" customHeight="1">
      <c r="A231" s="8"/>
      <c r="B231" s="8" t="s">
        <v>847</v>
      </c>
      <c r="C231" s="46"/>
      <c r="D231" s="46"/>
      <c r="E231" s="47" t="s">
        <v>848</v>
      </c>
      <c r="F231" s="33"/>
      <c r="G231" s="33"/>
      <c r="H231" s="34"/>
      <c r="I231" s="64" t="s">
        <v>832</v>
      </c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119" t="str">
        <f t="shared" si="28"/>
        <v/>
      </c>
    </row>
    <row r="232" ht="14.25" customHeight="1">
      <c r="A232" s="8"/>
      <c r="B232" s="8"/>
      <c r="C232" s="46"/>
      <c r="D232" s="46"/>
      <c r="E232" s="48"/>
      <c r="F232" s="88"/>
      <c r="G232" s="88"/>
      <c r="H232" s="126"/>
      <c r="I232" s="64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105"/>
    </row>
    <row r="233" ht="14.25" customHeight="1">
      <c r="A233" s="8"/>
      <c r="B233" s="8"/>
      <c r="C233" s="46"/>
      <c r="D233" s="46">
        <v>2.0</v>
      </c>
      <c r="E233" s="47" t="s">
        <v>849</v>
      </c>
      <c r="F233" s="33"/>
      <c r="G233" s="33"/>
      <c r="H233" s="34"/>
      <c r="I233" s="64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105"/>
    </row>
    <row r="234" ht="14.25" customHeight="1">
      <c r="A234" s="8"/>
      <c r="B234" s="8"/>
      <c r="C234" s="46"/>
      <c r="D234" s="46"/>
      <c r="E234" s="48">
        <v>1.0</v>
      </c>
      <c r="F234" s="47" t="s">
        <v>531</v>
      </c>
      <c r="G234" s="33"/>
      <c r="H234" s="34"/>
      <c r="I234" s="64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105"/>
    </row>
    <row r="235" ht="14.25" customHeight="1">
      <c r="A235" s="8"/>
      <c r="B235" s="8" t="s">
        <v>850</v>
      </c>
      <c r="C235" s="46"/>
      <c r="D235" s="46"/>
      <c r="E235" s="48"/>
      <c r="F235" s="64">
        <v>1.0</v>
      </c>
      <c r="G235" s="47" t="s">
        <v>826</v>
      </c>
      <c r="H235" s="34"/>
      <c r="I235" s="64" t="s">
        <v>827</v>
      </c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119" t="str">
        <f t="shared" ref="V235:V240" si="29">IFERROR(AVERAGE(J235:U235),"")</f>
        <v/>
      </c>
    </row>
    <row r="236" ht="14.25" customHeight="1">
      <c r="A236" s="8"/>
      <c r="B236" s="8" t="s">
        <v>851</v>
      </c>
      <c r="C236" s="46"/>
      <c r="D236" s="46"/>
      <c r="E236" s="48"/>
      <c r="F236" s="64"/>
      <c r="G236" s="64">
        <v>1.0</v>
      </c>
      <c r="H236" s="72" t="s">
        <v>471</v>
      </c>
      <c r="I236" s="64" t="s">
        <v>827</v>
      </c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119" t="str">
        <f t="shared" si="29"/>
        <v/>
      </c>
    </row>
    <row r="237" ht="14.25" customHeight="1">
      <c r="A237" s="8"/>
      <c r="B237" s="8" t="s">
        <v>852</v>
      </c>
      <c r="C237" s="46"/>
      <c r="D237" s="46"/>
      <c r="E237" s="48"/>
      <c r="F237" s="48"/>
      <c r="G237" s="64">
        <v>2.0</v>
      </c>
      <c r="H237" s="72" t="s">
        <v>492</v>
      </c>
      <c r="I237" s="64" t="s">
        <v>827</v>
      </c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119" t="str">
        <f t="shared" si="29"/>
        <v/>
      </c>
    </row>
    <row r="238" ht="14.25" customHeight="1">
      <c r="A238" s="8"/>
      <c r="B238" s="8" t="s">
        <v>853</v>
      </c>
      <c r="C238" s="46"/>
      <c r="D238" s="46"/>
      <c r="E238" s="48"/>
      <c r="F238" s="48">
        <v>2.0</v>
      </c>
      <c r="G238" s="47" t="s">
        <v>831</v>
      </c>
      <c r="H238" s="34"/>
      <c r="I238" s="64" t="s">
        <v>832</v>
      </c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119" t="str">
        <f t="shared" si="29"/>
        <v/>
      </c>
    </row>
    <row r="239" ht="14.25" customHeight="1">
      <c r="A239" s="8"/>
      <c r="B239" s="8" t="s">
        <v>854</v>
      </c>
      <c r="C239" s="46"/>
      <c r="D239" s="46"/>
      <c r="E239" s="48"/>
      <c r="F239" s="64"/>
      <c r="G239" s="64">
        <v>1.0</v>
      </c>
      <c r="H239" s="72" t="s">
        <v>834</v>
      </c>
      <c r="I239" s="64" t="s">
        <v>832</v>
      </c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119" t="str">
        <f t="shared" si="29"/>
        <v/>
      </c>
    </row>
    <row r="240" ht="14.25" customHeight="1">
      <c r="A240" s="8"/>
      <c r="B240" s="8" t="s">
        <v>855</v>
      </c>
      <c r="C240" s="63"/>
      <c r="D240" s="46"/>
      <c r="E240" s="48"/>
      <c r="F240" s="48"/>
      <c r="G240" s="64">
        <v>2.0</v>
      </c>
      <c r="H240" s="72" t="s">
        <v>836</v>
      </c>
      <c r="I240" s="64" t="s">
        <v>832</v>
      </c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119" t="str">
        <f t="shared" si="29"/>
        <v/>
      </c>
    </row>
    <row r="241" ht="14.25" customHeight="1">
      <c r="A241" s="8"/>
      <c r="B241" s="8"/>
      <c r="C241" s="46"/>
      <c r="D241" s="46"/>
      <c r="E241" s="48">
        <v>2.0</v>
      </c>
      <c r="F241" s="47" t="s">
        <v>547</v>
      </c>
      <c r="G241" s="33"/>
      <c r="H241" s="34"/>
      <c r="I241" s="64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105"/>
    </row>
    <row r="242" ht="14.25" customHeight="1">
      <c r="A242" s="8"/>
      <c r="B242" s="8" t="s">
        <v>856</v>
      </c>
      <c r="C242" s="46"/>
      <c r="D242" s="46"/>
      <c r="E242" s="48"/>
      <c r="F242" s="64">
        <v>1.0</v>
      </c>
      <c r="G242" s="47" t="s">
        <v>826</v>
      </c>
      <c r="H242" s="34"/>
      <c r="I242" s="64" t="s">
        <v>827</v>
      </c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119" t="str">
        <f t="shared" ref="V242:V247" si="30">IFERROR(AVERAGE(J242:U242),"")</f>
        <v/>
      </c>
    </row>
    <row r="243" ht="14.25" customHeight="1">
      <c r="A243" s="8"/>
      <c r="B243" s="8" t="s">
        <v>857</v>
      </c>
      <c r="C243" s="46"/>
      <c r="D243" s="46"/>
      <c r="E243" s="48"/>
      <c r="F243" s="64"/>
      <c r="G243" s="64">
        <v>1.0</v>
      </c>
      <c r="H243" s="72" t="s">
        <v>471</v>
      </c>
      <c r="I243" s="64" t="s">
        <v>827</v>
      </c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119" t="str">
        <f t="shared" si="30"/>
        <v/>
      </c>
    </row>
    <row r="244" ht="14.25" customHeight="1">
      <c r="A244" s="8"/>
      <c r="B244" s="8" t="s">
        <v>858</v>
      </c>
      <c r="C244" s="46"/>
      <c r="D244" s="46"/>
      <c r="E244" s="48"/>
      <c r="F244" s="48"/>
      <c r="G244" s="64">
        <v>2.0</v>
      </c>
      <c r="H244" s="72" t="s">
        <v>492</v>
      </c>
      <c r="I244" s="64" t="s">
        <v>827</v>
      </c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119" t="str">
        <f t="shared" si="30"/>
        <v/>
      </c>
    </row>
    <row r="245" ht="14.25" customHeight="1">
      <c r="A245" s="8"/>
      <c r="B245" s="8" t="s">
        <v>859</v>
      </c>
      <c r="C245" s="46"/>
      <c r="D245" s="46"/>
      <c r="E245" s="48"/>
      <c r="F245" s="48">
        <v>2.0</v>
      </c>
      <c r="G245" s="47" t="s">
        <v>831</v>
      </c>
      <c r="H245" s="34"/>
      <c r="I245" s="64" t="s">
        <v>832</v>
      </c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119" t="str">
        <f t="shared" si="30"/>
        <v/>
      </c>
    </row>
    <row r="246" ht="14.25" customHeight="1">
      <c r="A246" s="8"/>
      <c r="B246" s="8" t="s">
        <v>860</v>
      </c>
      <c r="C246" s="46"/>
      <c r="D246" s="46"/>
      <c r="E246" s="48"/>
      <c r="F246" s="64"/>
      <c r="G246" s="64">
        <v>1.0</v>
      </c>
      <c r="H246" s="72" t="s">
        <v>842</v>
      </c>
      <c r="I246" s="64" t="s">
        <v>832</v>
      </c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119" t="str">
        <f t="shared" si="30"/>
        <v/>
      </c>
    </row>
    <row r="247" ht="14.25" customHeight="1">
      <c r="A247" s="8"/>
      <c r="B247" s="8" t="s">
        <v>861</v>
      </c>
      <c r="C247" s="46"/>
      <c r="D247" s="46"/>
      <c r="E247" s="48"/>
      <c r="F247" s="48"/>
      <c r="G247" s="64">
        <v>2.0</v>
      </c>
      <c r="H247" s="72" t="s">
        <v>844</v>
      </c>
      <c r="I247" s="64" t="s">
        <v>832</v>
      </c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119" t="str">
        <f t="shared" si="30"/>
        <v/>
      </c>
    </row>
    <row r="248" ht="14.25" customHeight="1">
      <c r="A248" s="8"/>
      <c r="B248" s="8"/>
      <c r="C248" s="46"/>
      <c r="D248" s="46"/>
      <c r="E248" s="48"/>
      <c r="F248" s="88"/>
      <c r="G248" s="88"/>
      <c r="H248" s="126"/>
      <c r="I248" s="64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105"/>
    </row>
    <row r="249" ht="14.25" customHeight="1">
      <c r="A249" s="8"/>
      <c r="B249" s="8" t="s">
        <v>862</v>
      </c>
      <c r="C249" s="46"/>
      <c r="D249" s="46"/>
      <c r="E249" s="47" t="s">
        <v>863</v>
      </c>
      <c r="F249" s="33"/>
      <c r="G249" s="33"/>
      <c r="H249" s="34"/>
      <c r="I249" s="64" t="s">
        <v>827</v>
      </c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119" t="str">
        <f t="shared" ref="V249:V250" si="31">IFERROR(AVERAGE(J249:U249),"")</f>
        <v/>
      </c>
    </row>
    <row r="250" ht="14.25" customHeight="1">
      <c r="A250" s="8"/>
      <c r="B250" s="8" t="s">
        <v>864</v>
      </c>
      <c r="C250" s="46"/>
      <c r="D250" s="46"/>
      <c r="E250" s="47" t="s">
        <v>865</v>
      </c>
      <c r="F250" s="33"/>
      <c r="G250" s="33"/>
      <c r="H250" s="34"/>
      <c r="I250" s="64" t="s">
        <v>832</v>
      </c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119" t="str">
        <f t="shared" si="31"/>
        <v/>
      </c>
    </row>
    <row r="251" ht="14.25" customHeight="1">
      <c r="A251" s="8"/>
      <c r="B251" s="8"/>
      <c r="C251" s="46"/>
      <c r="D251" s="46"/>
      <c r="E251" s="48"/>
      <c r="F251" s="88"/>
      <c r="G251" s="88"/>
      <c r="H251" s="126"/>
      <c r="I251" s="64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105"/>
    </row>
    <row r="252" ht="14.25" customHeight="1">
      <c r="A252" s="8"/>
      <c r="B252" s="8" t="s">
        <v>866</v>
      </c>
      <c r="C252" s="46"/>
      <c r="D252" s="47" t="s">
        <v>867</v>
      </c>
      <c r="E252" s="33"/>
      <c r="F252" s="33"/>
      <c r="G252" s="33"/>
      <c r="H252" s="34"/>
      <c r="I252" s="64" t="s">
        <v>827</v>
      </c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119" t="str">
        <f t="shared" ref="V252:V253" si="32">IFERROR(AVERAGE(J252:U252),"")</f>
        <v/>
      </c>
    </row>
    <row r="253" ht="14.25" customHeight="1">
      <c r="A253" s="8"/>
      <c r="B253" s="8" t="s">
        <v>868</v>
      </c>
      <c r="C253" s="46"/>
      <c r="D253" s="47" t="s">
        <v>869</v>
      </c>
      <c r="E253" s="33"/>
      <c r="F253" s="33"/>
      <c r="G253" s="33"/>
      <c r="H253" s="34"/>
      <c r="I253" s="64" t="s">
        <v>832</v>
      </c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119" t="str">
        <f t="shared" si="32"/>
        <v/>
      </c>
    </row>
    <row r="254" ht="14.25" customHeight="1">
      <c r="A254" s="8"/>
      <c r="B254" s="8"/>
      <c r="C254" s="107"/>
      <c r="D254" s="107"/>
      <c r="E254" s="122"/>
      <c r="F254" s="122"/>
      <c r="G254" s="86"/>
      <c r="H254" s="20"/>
      <c r="I254" s="122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15"/>
    </row>
    <row r="255" ht="14.25" customHeight="1">
      <c r="A255" s="16">
        <v>4.0</v>
      </c>
      <c r="B255" s="8"/>
      <c r="C255" s="111" t="s">
        <v>870</v>
      </c>
      <c r="D255" s="112"/>
      <c r="E255" s="113"/>
      <c r="F255" s="113"/>
      <c r="G255" s="113"/>
      <c r="H255" s="113"/>
      <c r="I255" s="113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3"/>
    </row>
    <row r="256" ht="14.25" customHeight="1">
      <c r="A256" s="8"/>
      <c r="B256" s="8"/>
      <c r="C256" s="115"/>
      <c r="D256" s="115"/>
      <c r="E256" s="115"/>
      <c r="F256" s="115"/>
      <c r="G256" s="8"/>
      <c r="H256" s="8"/>
      <c r="I256" s="116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8"/>
    </row>
    <row r="257" ht="14.25" customHeight="1">
      <c r="A257" s="8"/>
      <c r="B257" s="8"/>
      <c r="C257" s="18" t="s">
        <v>321</v>
      </c>
      <c r="D257" s="19" t="s">
        <v>322</v>
      </c>
      <c r="E257" s="20"/>
      <c r="F257" s="20"/>
      <c r="G257" s="20"/>
      <c r="H257" s="21"/>
      <c r="I257" s="22" t="s">
        <v>323</v>
      </c>
      <c r="J257" s="23">
        <f>$H$2</f>
        <v>2026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1"/>
    </row>
    <row r="258" ht="14.25" customHeight="1">
      <c r="A258" s="8"/>
      <c r="B258" s="8"/>
      <c r="C258" s="24"/>
      <c r="D258" s="25"/>
      <c r="H258" s="26"/>
      <c r="I258" s="24"/>
      <c r="J258" s="28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30"/>
    </row>
    <row r="259" ht="14.25" customHeight="1">
      <c r="A259" s="8"/>
      <c r="B259" s="8"/>
      <c r="C259" s="27"/>
      <c r="D259" s="28"/>
      <c r="E259" s="29"/>
      <c r="F259" s="29"/>
      <c r="G259" s="29"/>
      <c r="H259" s="30"/>
      <c r="I259" s="27"/>
      <c r="J259" s="96" t="s">
        <v>324</v>
      </c>
      <c r="K259" s="96" t="s">
        <v>325</v>
      </c>
      <c r="L259" s="96" t="s">
        <v>326</v>
      </c>
      <c r="M259" s="96" t="s">
        <v>327</v>
      </c>
      <c r="N259" s="96" t="s">
        <v>328</v>
      </c>
      <c r="O259" s="96" t="s">
        <v>329</v>
      </c>
      <c r="P259" s="96" t="s">
        <v>330</v>
      </c>
      <c r="Q259" s="96" t="s">
        <v>331</v>
      </c>
      <c r="R259" s="96" t="s">
        <v>332</v>
      </c>
      <c r="S259" s="96" t="s">
        <v>333</v>
      </c>
      <c r="T259" s="96" t="s">
        <v>334</v>
      </c>
      <c r="U259" s="96" t="s">
        <v>335</v>
      </c>
      <c r="V259" s="96" t="s">
        <v>336</v>
      </c>
    </row>
    <row r="260" ht="14.25" customHeight="1">
      <c r="A260" s="8"/>
      <c r="B260" s="8"/>
      <c r="C260" s="31">
        <v>1.0</v>
      </c>
      <c r="D260" s="32">
        <v>2.0</v>
      </c>
      <c r="E260" s="33"/>
      <c r="F260" s="33"/>
      <c r="G260" s="33"/>
      <c r="H260" s="34"/>
      <c r="I260" s="35">
        <v>3.0</v>
      </c>
      <c r="J260" s="97">
        <v>4.0</v>
      </c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4"/>
      <c r="V260" s="35">
        <v>5.0</v>
      </c>
    </row>
    <row r="261" ht="14.25" customHeight="1">
      <c r="A261" s="8"/>
      <c r="B261" s="8"/>
      <c r="C261" s="46"/>
      <c r="D261" s="48"/>
      <c r="E261" s="88"/>
      <c r="F261" s="88"/>
      <c r="G261" s="88"/>
      <c r="H261" s="89"/>
      <c r="I261" s="64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</row>
    <row r="262" ht="14.25" customHeight="1">
      <c r="A262" s="8"/>
      <c r="B262" s="8"/>
      <c r="C262" s="64">
        <v>1.0</v>
      </c>
      <c r="D262" s="47" t="s">
        <v>469</v>
      </c>
      <c r="E262" s="33"/>
      <c r="F262" s="33"/>
      <c r="G262" s="33"/>
      <c r="H262" s="34"/>
      <c r="I262" s="6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</row>
    <row r="263" ht="14.25" customHeight="1">
      <c r="A263" s="8"/>
      <c r="B263" s="8"/>
      <c r="C263" s="46"/>
      <c r="D263" s="46">
        <v>1.0</v>
      </c>
      <c r="E263" s="47" t="s">
        <v>703</v>
      </c>
      <c r="F263" s="33"/>
      <c r="G263" s="33"/>
      <c r="H263" s="34"/>
      <c r="I263" s="6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18"/>
    </row>
    <row r="264" ht="14.25" customHeight="1">
      <c r="A264" s="8"/>
      <c r="B264" s="8" t="s">
        <v>871</v>
      </c>
      <c r="C264" s="46"/>
      <c r="D264" s="46"/>
      <c r="E264" s="46">
        <v>1.0</v>
      </c>
      <c r="F264" s="47" t="s">
        <v>341</v>
      </c>
      <c r="G264" s="33"/>
      <c r="H264" s="34"/>
      <c r="I264" s="64" t="s">
        <v>872</v>
      </c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119" t="str">
        <f t="shared" ref="V264:V297" si="33">IFERROR(AVERAGE(J264:U264),"")</f>
        <v/>
      </c>
    </row>
    <row r="265" ht="14.25" customHeight="1">
      <c r="A265" s="8"/>
      <c r="B265" s="8" t="s">
        <v>871</v>
      </c>
      <c r="C265" s="46"/>
      <c r="D265" s="46"/>
      <c r="E265" s="46"/>
      <c r="F265" s="47"/>
      <c r="G265" s="42"/>
      <c r="H265" s="43"/>
      <c r="I265" s="64" t="s">
        <v>873</v>
      </c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119" t="str">
        <f t="shared" si="33"/>
        <v/>
      </c>
    </row>
    <row r="266" ht="14.25" customHeight="1">
      <c r="A266" s="8"/>
      <c r="B266" s="8" t="s">
        <v>874</v>
      </c>
      <c r="C266" s="46"/>
      <c r="D266" s="46"/>
      <c r="E266" s="46">
        <v>2.0</v>
      </c>
      <c r="F266" s="47" t="s">
        <v>585</v>
      </c>
      <c r="G266" s="33"/>
      <c r="H266" s="34"/>
      <c r="I266" s="64" t="s">
        <v>872</v>
      </c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119" t="str">
        <f t="shared" si="33"/>
        <v/>
      </c>
    </row>
    <row r="267" ht="14.25" customHeight="1">
      <c r="A267" s="8"/>
      <c r="B267" s="8" t="s">
        <v>874</v>
      </c>
      <c r="C267" s="46"/>
      <c r="D267" s="46"/>
      <c r="E267" s="46"/>
      <c r="F267" s="47"/>
      <c r="G267" s="42"/>
      <c r="H267" s="43"/>
      <c r="I267" s="64" t="s">
        <v>873</v>
      </c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119" t="str">
        <f t="shared" si="33"/>
        <v/>
      </c>
    </row>
    <row r="268" ht="14.25" customHeight="1">
      <c r="A268" s="8"/>
      <c r="B268" s="8" t="s">
        <v>875</v>
      </c>
      <c r="C268" s="46"/>
      <c r="D268" s="46"/>
      <c r="E268" s="46">
        <v>3.0</v>
      </c>
      <c r="F268" s="47" t="s">
        <v>587</v>
      </c>
      <c r="G268" s="33"/>
      <c r="H268" s="34"/>
      <c r="I268" s="64" t="s">
        <v>872</v>
      </c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119" t="str">
        <f t="shared" si="33"/>
        <v/>
      </c>
    </row>
    <row r="269" ht="14.25" customHeight="1">
      <c r="A269" s="8"/>
      <c r="B269" s="8" t="s">
        <v>875</v>
      </c>
      <c r="C269" s="46"/>
      <c r="D269" s="46"/>
      <c r="E269" s="46"/>
      <c r="F269" s="47"/>
      <c r="G269" s="42"/>
      <c r="H269" s="43"/>
      <c r="I269" s="64" t="s">
        <v>873</v>
      </c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119" t="str">
        <f t="shared" si="33"/>
        <v/>
      </c>
    </row>
    <row r="270" ht="14.25" customHeight="1">
      <c r="A270" s="8"/>
      <c r="B270" s="8" t="s">
        <v>876</v>
      </c>
      <c r="C270" s="46"/>
      <c r="D270" s="46"/>
      <c r="E270" s="46"/>
      <c r="F270" s="48">
        <v>1.0</v>
      </c>
      <c r="G270" s="47" t="s">
        <v>877</v>
      </c>
      <c r="H270" s="34"/>
      <c r="I270" s="64" t="s">
        <v>872</v>
      </c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119" t="str">
        <f t="shared" si="33"/>
        <v/>
      </c>
    </row>
    <row r="271" ht="14.25" customHeight="1">
      <c r="A271" s="8"/>
      <c r="B271" s="8" t="s">
        <v>876</v>
      </c>
      <c r="C271" s="46"/>
      <c r="D271" s="46"/>
      <c r="E271" s="46"/>
      <c r="F271" s="48"/>
      <c r="G271" s="47"/>
      <c r="H271" s="43"/>
      <c r="I271" s="64" t="s">
        <v>873</v>
      </c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119" t="str">
        <f t="shared" si="33"/>
        <v/>
      </c>
    </row>
    <row r="272" ht="14.25" customHeight="1">
      <c r="A272" s="8"/>
      <c r="B272" s="8" t="s">
        <v>878</v>
      </c>
      <c r="C272" s="46"/>
      <c r="D272" s="46"/>
      <c r="E272" s="46"/>
      <c r="F272" s="48">
        <v>2.0</v>
      </c>
      <c r="G272" s="47" t="s">
        <v>879</v>
      </c>
      <c r="H272" s="34"/>
      <c r="I272" s="64" t="s">
        <v>872</v>
      </c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119" t="str">
        <f t="shared" si="33"/>
        <v/>
      </c>
    </row>
    <row r="273" ht="14.25" customHeight="1">
      <c r="A273" s="8"/>
      <c r="B273" s="8" t="s">
        <v>878</v>
      </c>
      <c r="C273" s="46"/>
      <c r="D273" s="46"/>
      <c r="E273" s="46"/>
      <c r="F273" s="48"/>
      <c r="G273" s="71"/>
      <c r="H273" s="43"/>
      <c r="I273" s="64" t="s">
        <v>873</v>
      </c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119" t="str">
        <f t="shared" si="33"/>
        <v/>
      </c>
    </row>
    <row r="274" ht="14.25" customHeight="1">
      <c r="A274" s="8"/>
      <c r="B274" s="8" t="s">
        <v>880</v>
      </c>
      <c r="C274" s="46"/>
      <c r="D274" s="46"/>
      <c r="E274" s="46">
        <v>4.0</v>
      </c>
      <c r="F274" s="47" t="s">
        <v>351</v>
      </c>
      <c r="G274" s="33"/>
      <c r="H274" s="34"/>
      <c r="I274" s="64" t="s">
        <v>872</v>
      </c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119" t="str">
        <f t="shared" si="33"/>
        <v/>
      </c>
    </row>
    <row r="275" ht="14.25" customHeight="1">
      <c r="A275" s="8"/>
      <c r="B275" s="8" t="s">
        <v>880</v>
      </c>
      <c r="C275" s="46"/>
      <c r="D275" s="46"/>
      <c r="E275" s="46"/>
      <c r="F275" s="47"/>
      <c r="G275" s="42"/>
      <c r="H275" s="43"/>
      <c r="I275" s="64" t="s">
        <v>873</v>
      </c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119" t="str">
        <f t="shared" si="33"/>
        <v/>
      </c>
    </row>
    <row r="276" ht="14.25" customHeight="1">
      <c r="A276" s="8"/>
      <c r="B276" s="8" t="s">
        <v>881</v>
      </c>
      <c r="C276" s="46"/>
      <c r="D276" s="46"/>
      <c r="E276" s="46"/>
      <c r="F276" s="48">
        <v>1.0</v>
      </c>
      <c r="G276" s="47" t="s">
        <v>877</v>
      </c>
      <c r="H276" s="34"/>
      <c r="I276" s="64" t="s">
        <v>872</v>
      </c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119" t="str">
        <f t="shared" si="33"/>
        <v/>
      </c>
    </row>
    <row r="277" ht="14.25" customHeight="1">
      <c r="A277" s="8"/>
      <c r="B277" s="8" t="s">
        <v>881</v>
      </c>
      <c r="C277" s="46"/>
      <c r="D277" s="46"/>
      <c r="E277" s="46"/>
      <c r="F277" s="48"/>
      <c r="G277" s="47"/>
      <c r="H277" s="43"/>
      <c r="I277" s="64" t="s">
        <v>873</v>
      </c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119" t="str">
        <f t="shared" si="33"/>
        <v/>
      </c>
    </row>
    <row r="278" ht="14.25" customHeight="1">
      <c r="A278" s="8"/>
      <c r="B278" s="8" t="s">
        <v>882</v>
      </c>
      <c r="C278" s="46"/>
      <c r="D278" s="46"/>
      <c r="E278" s="46"/>
      <c r="F278" s="48">
        <v>2.0</v>
      </c>
      <c r="G278" s="47" t="s">
        <v>879</v>
      </c>
      <c r="H278" s="34"/>
      <c r="I278" s="64" t="s">
        <v>872</v>
      </c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119" t="str">
        <f t="shared" si="33"/>
        <v/>
      </c>
    </row>
    <row r="279" ht="14.25" customHeight="1">
      <c r="A279" s="8"/>
      <c r="B279" s="8" t="s">
        <v>882</v>
      </c>
      <c r="C279" s="46"/>
      <c r="D279" s="46"/>
      <c r="E279" s="46"/>
      <c r="F279" s="48"/>
      <c r="G279" s="47"/>
      <c r="H279" s="43"/>
      <c r="I279" s="64" t="s">
        <v>873</v>
      </c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119" t="str">
        <f t="shared" si="33"/>
        <v/>
      </c>
    </row>
    <row r="280" ht="14.25" customHeight="1">
      <c r="A280" s="8"/>
      <c r="B280" s="8" t="s">
        <v>883</v>
      </c>
      <c r="C280" s="46"/>
      <c r="D280" s="46"/>
      <c r="E280" s="46"/>
      <c r="F280" s="48">
        <v>3.0</v>
      </c>
      <c r="G280" s="47" t="s">
        <v>884</v>
      </c>
      <c r="H280" s="34"/>
      <c r="I280" s="64" t="s">
        <v>872</v>
      </c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119" t="str">
        <f t="shared" si="33"/>
        <v/>
      </c>
    </row>
    <row r="281" ht="14.25" customHeight="1">
      <c r="A281" s="8"/>
      <c r="B281" s="8" t="s">
        <v>883</v>
      </c>
      <c r="C281" s="46"/>
      <c r="D281" s="46"/>
      <c r="E281" s="54"/>
      <c r="F281" s="88"/>
      <c r="G281" s="71"/>
      <c r="H281" s="43"/>
      <c r="I281" s="64" t="s">
        <v>873</v>
      </c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119" t="str">
        <f t="shared" si="33"/>
        <v/>
      </c>
    </row>
    <row r="282" ht="14.25" customHeight="1">
      <c r="A282" s="8"/>
      <c r="B282" s="8" t="s">
        <v>885</v>
      </c>
      <c r="C282" s="46"/>
      <c r="D282" s="46">
        <v>2.0</v>
      </c>
      <c r="E282" s="47" t="s">
        <v>710</v>
      </c>
      <c r="F282" s="33"/>
      <c r="G282" s="33"/>
      <c r="H282" s="34"/>
      <c r="I282" s="64" t="s">
        <v>872</v>
      </c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119" t="str">
        <f t="shared" si="33"/>
        <v/>
      </c>
    </row>
    <row r="283" ht="14.25" customHeight="1">
      <c r="A283" s="8"/>
      <c r="B283" s="8" t="s">
        <v>885</v>
      </c>
      <c r="C283" s="46"/>
      <c r="D283" s="46"/>
      <c r="E283" s="47"/>
      <c r="F283" s="42"/>
      <c r="G283" s="42"/>
      <c r="H283" s="43"/>
      <c r="I283" s="64" t="s">
        <v>873</v>
      </c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119" t="str">
        <f t="shared" si="33"/>
        <v/>
      </c>
    </row>
    <row r="284" ht="14.25" customHeight="1">
      <c r="A284" s="8"/>
      <c r="B284" s="8" t="s">
        <v>886</v>
      </c>
      <c r="C284" s="46"/>
      <c r="D284" s="46"/>
      <c r="E284" s="47"/>
      <c r="F284" s="48">
        <v>1.0</v>
      </c>
      <c r="G284" s="47" t="s">
        <v>877</v>
      </c>
      <c r="H284" s="34"/>
      <c r="I284" s="64" t="s">
        <v>872</v>
      </c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119" t="str">
        <f t="shared" si="33"/>
        <v/>
      </c>
    </row>
    <row r="285" ht="14.25" customHeight="1">
      <c r="A285" s="8"/>
      <c r="B285" s="8" t="s">
        <v>886</v>
      </c>
      <c r="C285" s="46"/>
      <c r="D285" s="46"/>
      <c r="E285" s="47"/>
      <c r="F285" s="48"/>
      <c r="G285" s="47"/>
      <c r="H285" s="43"/>
      <c r="I285" s="64" t="s">
        <v>873</v>
      </c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119" t="str">
        <f t="shared" si="33"/>
        <v/>
      </c>
    </row>
    <row r="286" ht="14.25" customHeight="1">
      <c r="A286" s="8"/>
      <c r="B286" s="8" t="s">
        <v>887</v>
      </c>
      <c r="C286" s="46"/>
      <c r="D286" s="46"/>
      <c r="E286" s="47"/>
      <c r="F286" s="48">
        <v>2.0</v>
      </c>
      <c r="G286" s="47" t="s">
        <v>879</v>
      </c>
      <c r="H286" s="34"/>
      <c r="I286" s="64" t="s">
        <v>872</v>
      </c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119" t="str">
        <f t="shared" si="33"/>
        <v/>
      </c>
    </row>
    <row r="287" ht="14.25" customHeight="1">
      <c r="A287" s="8"/>
      <c r="B287" s="8" t="s">
        <v>887</v>
      </c>
      <c r="C287" s="46"/>
      <c r="D287" s="46"/>
      <c r="E287" s="47"/>
      <c r="F287" s="88"/>
      <c r="G287" s="71"/>
      <c r="H287" s="43"/>
      <c r="I287" s="64" t="s">
        <v>873</v>
      </c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119" t="str">
        <f t="shared" si="33"/>
        <v/>
      </c>
    </row>
    <row r="288" ht="14.25" customHeight="1">
      <c r="A288" s="8"/>
      <c r="B288" s="8" t="s">
        <v>888</v>
      </c>
      <c r="C288" s="46"/>
      <c r="D288" s="46">
        <v>3.0</v>
      </c>
      <c r="E288" s="47" t="s">
        <v>717</v>
      </c>
      <c r="F288" s="33"/>
      <c r="G288" s="33"/>
      <c r="H288" s="34"/>
      <c r="I288" s="64" t="s">
        <v>872</v>
      </c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119" t="str">
        <f t="shared" si="33"/>
        <v/>
      </c>
    </row>
    <row r="289" ht="14.25" customHeight="1">
      <c r="A289" s="8"/>
      <c r="B289" s="8" t="s">
        <v>888</v>
      </c>
      <c r="C289" s="46"/>
      <c r="D289" s="92"/>
      <c r="E289" s="71"/>
      <c r="F289" s="42"/>
      <c r="G289" s="42"/>
      <c r="H289" s="43"/>
      <c r="I289" s="64" t="s">
        <v>873</v>
      </c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119" t="str">
        <f t="shared" si="33"/>
        <v/>
      </c>
    </row>
    <row r="290" ht="14.25" customHeight="1">
      <c r="A290" s="8"/>
      <c r="B290" s="8" t="s">
        <v>889</v>
      </c>
      <c r="C290" s="46"/>
      <c r="D290" s="92"/>
      <c r="E290" s="71"/>
      <c r="F290" s="48">
        <v>1.0</v>
      </c>
      <c r="G290" s="47" t="s">
        <v>877</v>
      </c>
      <c r="H290" s="34"/>
      <c r="I290" s="64" t="s">
        <v>872</v>
      </c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119" t="str">
        <f t="shared" si="33"/>
        <v/>
      </c>
    </row>
    <row r="291" ht="14.25" customHeight="1">
      <c r="A291" s="8"/>
      <c r="B291" s="8" t="s">
        <v>889</v>
      </c>
      <c r="C291" s="46"/>
      <c r="D291" s="92"/>
      <c r="E291" s="71"/>
      <c r="F291" s="48"/>
      <c r="G291" s="47"/>
      <c r="H291" s="43"/>
      <c r="I291" s="64" t="s">
        <v>873</v>
      </c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119" t="str">
        <f t="shared" si="33"/>
        <v/>
      </c>
    </row>
    <row r="292" ht="14.25" customHeight="1">
      <c r="A292" s="8"/>
      <c r="B292" s="8" t="s">
        <v>890</v>
      </c>
      <c r="C292" s="46"/>
      <c r="D292" s="92"/>
      <c r="E292" s="71"/>
      <c r="F292" s="48">
        <v>2.0</v>
      </c>
      <c r="G292" s="47" t="s">
        <v>879</v>
      </c>
      <c r="H292" s="34"/>
      <c r="I292" s="64" t="s">
        <v>872</v>
      </c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119" t="str">
        <f t="shared" si="33"/>
        <v/>
      </c>
    </row>
    <row r="293" ht="14.25" customHeight="1">
      <c r="A293" s="8"/>
      <c r="B293" s="8" t="s">
        <v>890</v>
      </c>
      <c r="C293" s="46"/>
      <c r="D293" s="92"/>
      <c r="E293" s="71"/>
      <c r="F293" s="48"/>
      <c r="G293" s="47"/>
      <c r="H293" s="43"/>
      <c r="I293" s="64" t="s">
        <v>873</v>
      </c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119" t="str">
        <f t="shared" si="33"/>
        <v/>
      </c>
    </row>
    <row r="294" ht="14.25" customHeight="1">
      <c r="A294" s="8"/>
      <c r="B294" s="8" t="s">
        <v>891</v>
      </c>
      <c r="C294" s="46"/>
      <c r="D294" s="92"/>
      <c r="E294" s="71"/>
      <c r="F294" s="48">
        <v>3.0</v>
      </c>
      <c r="G294" s="47" t="s">
        <v>884</v>
      </c>
      <c r="H294" s="34"/>
      <c r="I294" s="64" t="s">
        <v>872</v>
      </c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119" t="str">
        <f t="shared" si="33"/>
        <v/>
      </c>
    </row>
    <row r="295" ht="14.25" customHeight="1">
      <c r="A295" s="8"/>
      <c r="B295" s="8" t="s">
        <v>891</v>
      </c>
      <c r="C295" s="46"/>
      <c r="D295" s="92"/>
      <c r="E295" s="71"/>
      <c r="F295" s="88"/>
      <c r="G295" s="71"/>
      <c r="H295" s="43"/>
      <c r="I295" s="64" t="s">
        <v>873</v>
      </c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119" t="str">
        <f t="shared" si="33"/>
        <v/>
      </c>
    </row>
    <row r="296" ht="14.25" customHeight="1">
      <c r="A296" s="8"/>
      <c r="B296" s="8" t="s">
        <v>892</v>
      </c>
      <c r="C296" s="46"/>
      <c r="D296" s="92">
        <v>4.0</v>
      </c>
      <c r="E296" s="47" t="s">
        <v>893</v>
      </c>
      <c r="F296" s="33"/>
      <c r="G296" s="33"/>
      <c r="H296" s="34"/>
      <c r="I296" s="64" t="s">
        <v>894</v>
      </c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119" t="str">
        <f t="shared" si="33"/>
        <v/>
      </c>
    </row>
    <row r="297" ht="14.25" customHeight="1">
      <c r="A297" s="8"/>
      <c r="B297" s="8" t="s">
        <v>892</v>
      </c>
      <c r="C297" s="46"/>
      <c r="D297" s="92"/>
      <c r="E297" s="71"/>
      <c r="F297" s="42"/>
      <c r="G297" s="42"/>
      <c r="H297" s="43"/>
      <c r="I297" s="64" t="s">
        <v>895</v>
      </c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119" t="str">
        <f t="shared" si="33"/>
        <v/>
      </c>
    </row>
    <row r="298" ht="14.25" customHeight="1">
      <c r="A298" s="8"/>
      <c r="B298" s="8"/>
      <c r="C298" s="46"/>
      <c r="D298" s="92"/>
      <c r="E298" s="71"/>
      <c r="F298" s="88"/>
      <c r="G298" s="71"/>
      <c r="H298" s="72"/>
      <c r="I298" s="6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18"/>
    </row>
    <row r="299" ht="14.25" customHeight="1">
      <c r="A299" s="8"/>
      <c r="B299" s="8"/>
      <c r="C299" s="64">
        <v>2.0</v>
      </c>
      <c r="D299" s="47" t="s">
        <v>530</v>
      </c>
      <c r="E299" s="33"/>
      <c r="F299" s="33"/>
      <c r="G299" s="33"/>
      <c r="H299" s="34"/>
      <c r="I299" s="6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18"/>
    </row>
    <row r="300" ht="14.25" customHeight="1">
      <c r="A300" s="8"/>
      <c r="B300" s="8"/>
      <c r="C300" s="46"/>
      <c r="D300" s="46">
        <v>1.0</v>
      </c>
      <c r="E300" s="47" t="s">
        <v>703</v>
      </c>
      <c r="F300" s="33"/>
      <c r="G300" s="33"/>
      <c r="H300" s="34"/>
      <c r="I300" s="6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18"/>
    </row>
    <row r="301" ht="14.25" customHeight="1">
      <c r="A301" s="8"/>
      <c r="B301" s="8" t="s">
        <v>896</v>
      </c>
      <c r="C301" s="46"/>
      <c r="D301" s="46"/>
      <c r="E301" s="46">
        <v>1.0</v>
      </c>
      <c r="F301" s="47" t="s">
        <v>341</v>
      </c>
      <c r="G301" s="33"/>
      <c r="H301" s="34"/>
      <c r="I301" s="64" t="s">
        <v>872</v>
      </c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119" t="str">
        <f t="shared" ref="V301:V334" si="34">IFERROR(AVERAGE(J301:U301),"")</f>
        <v/>
      </c>
    </row>
    <row r="302" ht="14.25" customHeight="1">
      <c r="A302" s="8"/>
      <c r="B302" s="8" t="s">
        <v>896</v>
      </c>
      <c r="C302" s="46"/>
      <c r="D302" s="46"/>
      <c r="E302" s="46"/>
      <c r="F302" s="47"/>
      <c r="G302" s="42"/>
      <c r="H302" s="43"/>
      <c r="I302" s="64" t="s">
        <v>873</v>
      </c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119" t="str">
        <f t="shared" si="34"/>
        <v/>
      </c>
    </row>
    <row r="303" ht="14.25" customHeight="1">
      <c r="A303" s="8"/>
      <c r="B303" s="8" t="s">
        <v>897</v>
      </c>
      <c r="C303" s="46"/>
      <c r="D303" s="46"/>
      <c r="E303" s="46">
        <v>2.0</v>
      </c>
      <c r="F303" s="47" t="s">
        <v>585</v>
      </c>
      <c r="G303" s="33"/>
      <c r="H303" s="34"/>
      <c r="I303" s="64" t="s">
        <v>872</v>
      </c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119" t="str">
        <f t="shared" si="34"/>
        <v/>
      </c>
    </row>
    <row r="304" ht="14.25" customHeight="1">
      <c r="A304" s="8"/>
      <c r="B304" s="8" t="s">
        <v>897</v>
      </c>
      <c r="C304" s="46"/>
      <c r="D304" s="46"/>
      <c r="E304" s="46"/>
      <c r="F304" s="47"/>
      <c r="G304" s="42"/>
      <c r="H304" s="43"/>
      <c r="I304" s="64" t="s">
        <v>873</v>
      </c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119" t="str">
        <f t="shared" si="34"/>
        <v/>
      </c>
    </row>
    <row r="305" ht="14.25" customHeight="1">
      <c r="A305" s="8"/>
      <c r="B305" s="8" t="s">
        <v>898</v>
      </c>
      <c r="C305" s="46"/>
      <c r="D305" s="46"/>
      <c r="E305" s="46">
        <v>3.0</v>
      </c>
      <c r="F305" s="47" t="s">
        <v>587</v>
      </c>
      <c r="G305" s="33"/>
      <c r="H305" s="34"/>
      <c r="I305" s="64" t="s">
        <v>872</v>
      </c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119" t="str">
        <f t="shared" si="34"/>
        <v/>
      </c>
    </row>
    <row r="306" ht="14.25" customHeight="1">
      <c r="A306" s="8"/>
      <c r="B306" s="8" t="s">
        <v>898</v>
      </c>
      <c r="C306" s="46"/>
      <c r="D306" s="46"/>
      <c r="E306" s="46"/>
      <c r="F306" s="47"/>
      <c r="G306" s="42"/>
      <c r="H306" s="43"/>
      <c r="I306" s="64" t="s">
        <v>873</v>
      </c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119" t="str">
        <f t="shared" si="34"/>
        <v/>
      </c>
    </row>
    <row r="307" ht="14.25" customHeight="1">
      <c r="A307" s="8"/>
      <c r="B307" s="8" t="s">
        <v>899</v>
      </c>
      <c r="C307" s="46"/>
      <c r="D307" s="46"/>
      <c r="E307" s="46"/>
      <c r="F307" s="48">
        <v>1.0</v>
      </c>
      <c r="G307" s="47" t="s">
        <v>877</v>
      </c>
      <c r="H307" s="34"/>
      <c r="I307" s="64" t="s">
        <v>872</v>
      </c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119" t="str">
        <f t="shared" si="34"/>
        <v/>
      </c>
    </row>
    <row r="308" ht="14.25" customHeight="1">
      <c r="A308" s="8"/>
      <c r="B308" s="8" t="s">
        <v>899</v>
      </c>
      <c r="C308" s="46"/>
      <c r="D308" s="46"/>
      <c r="E308" s="46"/>
      <c r="F308" s="48"/>
      <c r="G308" s="47"/>
      <c r="H308" s="43"/>
      <c r="I308" s="64" t="s">
        <v>873</v>
      </c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119" t="str">
        <f t="shared" si="34"/>
        <v/>
      </c>
    </row>
    <row r="309" ht="14.25" customHeight="1">
      <c r="A309" s="8"/>
      <c r="B309" s="8" t="s">
        <v>900</v>
      </c>
      <c r="C309" s="46"/>
      <c r="D309" s="46"/>
      <c r="E309" s="46"/>
      <c r="F309" s="48">
        <v>2.0</v>
      </c>
      <c r="G309" s="47" t="s">
        <v>879</v>
      </c>
      <c r="H309" s="34"/>
      <c r="I309" s="64" t="s">
        <v>872</v>
      </c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119" t="str">
        <f t="shared" si="34"/>
        <v/>
      </c>
    </row>
    <row r="310" ht="14.25" customHeight="1">
      <c r="A310" s="8"/>
      <c r="B310" s="8" t="s">
        <v>900</v>
      </c>
      <c r="C310" s="46"/>
      <c r="D310" s="46"/>
      <c r="E310" s="46"/>
      <c r="F310" s="48"/>
      <c r="G310" s="71"/>
      <c r="H310" s="43"/>
      <c r="I310" s="64" t="s">
        <v>873</v>
      </c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119" t="str">
        <f t="shared" si="34"/>
        <v/>
      </c>
    </row>
    <row r="311" ht="14.25" customHeight="1">
      <c r="A311" s="8"/>
      <c r="B311" s="8" t="s">
        <v>901</v>
      </c>
      <c r="C311" s="46"/>
      <c r="D311" s="46"/>
      <c r="E311" s="46">
        <v>4.0</v>
      </c>
      <c r="F311" s="47" t="s">
        <v>351</v>
      </c>
      <c r="G311" s="33"/>
      <c r="H311" s="34"/>
      <c r="I311" s="64" t="s">
        <v>872</v>
      </c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119" t="str">
        <f t="shared" si="34"/>
        <v/>
      </c>
    </row>
    <row r="312" ht="14.25" customHeight="1">
      <c r="A312" s="8"/>
      <c r="B312" s="8" t="s">
        <v>901</v>
      </c>
      <c r="C312" s="46"/>
      <c r="D312" s="46"/>
      <c r="E312" s="46"/>
      <c r="F312" s="47"/>
      <c r="G312" s="42"/>
      <c r="H312" s="43"/>
      <c r="I312" s="64" t="s">
        <v>873</v>
      </c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119" t="str">
        <f t="shared" si="34"/>
        <v/>
      </c>
    </row>
    <row r="313" ht="14.25" customHeight="1">
      <c r="A313" s="8"/>
      <c r="B313" s="8" t="s">
        <v>902</v>
      </c>
      <c r="C313" s="46"/>
      <c r="D313" s="46"/>
      <c r="E313" s="46"/>
      <c r="F313" s="48">
        <v>1.0</v>
      </c>
      <c r="G313" s="47" t="s">
        <v>877</v>
      </c>
      <c r="H313" s="34"/>
      <c r="I313" s="64" t="s">
        <v>872</v>
      </c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119" t="str">
        <f t="shared" si="34"/>
        <v/>
      </c>
    </row>
    <row r="314" ht="14.25" customHeight="1">
      <c r="A314" s="8"/>
      <c r="B314" s="8" t="s">
        <v>902</v>
      </c>
      <c r="C314" s="46"/>
      <c r="D314" s="46"/>
      <c r="E314" s="46"/>
      <c r="F314" s="48"/>
      <c r="G314" s="47"/>
      <c r="H314" s="43"/>
      <c r="I314" s="64" t="s">
        <v>873</v>
      </c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119" t="str">
        <f t="shared" si="34"/>
        <v/>
      </c>
    </row>
    <row r="315" ht="14.25" customHeight="1">
      <c r="A315" s="8"/>
      <c r="B315" s="8" t="s">
        <v>903</v>
      </c>
      <c r="C315" s="46"/>
      <c r="D315" s="46"/>
      <c r="E315" s="46"/>
      <c r="F315" s="48">
        <v>2.0</v>
      </c>
      <c r="G315" s="47" t="s">
        <v>879</v>
      </c>
      <c r="H315" s="34"/>
      <c r="I315" s="64" t="s">
        <v>872</v>
      </c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119" t="str">
        <f t="shared" si="34"/>
        <v/>
      </c>
    </row>
    <row r="316" ht="14.25" customHeight="1">
      <c r="A316" s="8"/>
      <c r="B316" s="8" t="s">
        <v>903</v>
      </c>
      <c r="C316" s="46"/>
      <c r="D316" s="46"/>
      <c r="E316" s="46"/>
      <c r="F316" s="48"/>
      <c r="G316" s="47"/>
      <c r="H316" s="43"/>
      <c r="I316" s="64" t="s">
        <v>873</v>
      </c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119" t="str">
        <f t="shared" si="34"/>
        <v/>
      </c>
    </row>
    <row r="317" ht="14.25" customHeight="1">
      <c r="A317" s="8"/>
      <c r="B317" s="8" t="s">
        <v>904</v>
      </c>
      <c r="C317" s="46"/>
      <c r="D317" s="46"/>
      <c r="E317" s="46"/>
      <c r="F317" s="48">
        <v>3.0</v>
      </c>
      <c r="G317" s="47" t="s">
        <v>884</v>
      </c>
      <c r="H317" s="34"/>
      <c r="I317" s="64" t="s">
        <v>872</v>
      </c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119" t="str">
        <f t="shared" si="34"/>
        <v/>
      </c>
    </row>
    <row r="318" ht="14.25" customHeight="1">
      <c r="A318" s="8"/>
      <c r="B318" s="8" t="s">
        <v>904</v>
      </c>
      <c r="C318" s="46"/>
      <c r="D318" s="46"/>
      <c r="E318" s="54"/>
      <c r="F318" s="88"/>
      <c r="G318" s="71"/>
      <c r="H318" s="43"/>
      <c r="I318" s="64" t="s">
        <v>873</v>
      </c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119" t="str">
        <f t="shared" si="34"/>
        <v/>
      </c>
    </row>
    <row r="319" ht="14.25" customHeight="1">
      <c r="A319" s="8"/>
      <c r="B319" s="8" t="s">
        <v>905</v>
      </c>
      <c r="C319" s="46"/>
      <c r="D319" s="46">
        <v>2.0</v>
      </c>
      <c r="E319" s="47" t="s">
        <v>710</v>
      </c>
      <c r="F319" s="33"/>
      <c r="G319" s="33"/>
      <c r="H319" s="34"/>
      <c r="I319" s="64" t="s">
        <v>872</v>
      </c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119" t="str">
        <f t="shared" si="34"/>
        <v/>
      </c>
    </row>
    <row r="320" ht="14.25" customHeight="1">
      <c r="A320" s="8"/>
      <c r="B320" s="8" t="s">
        <v>905</v>
      </c>
      <c r="C320" s="46"/>
      <c r="D320" s="46"/>
      <c r="E320" s="47"/>
      <c r="F320" s="42"/>
      <c r="G320" s="42"/>
      <c r="H320" s="43"/>
      <c r="I320" s="64" t="s">
        <v>873</v>
      </c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119" t="str">
        <f t="shared" si="34"/>
        <v/>
      </c>
    </row>
    <row r="321" ht="14.25" customHeight="1">
      <c r="A321" s="8"/>
      <c r="B321" s="8" t="s">
        <v>906</v>
      </c>
      <c r="C321" s="46"/>
      <c r="D321" s="46"/>
      <c r="E321" s="47"/>
      <c r="F321" s="48">
        <v>1.0</v>
      </c>
      <c r="G321" s="47" t="s">
        <v>877</v>
      </c>
      <c r="H321" s="34"/>
      <c r="I321" s="64" t="s">
        <v>872</v>
      </c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119" t="str">
        <f t="shared" si="34"/>
        <v/>
      </c>
    </row>
    <row r="322" ht="14.25" customHeight="1">
      <c r="A322" s="8"/>
      <c r="B322" s="8" t="s">
        <v>906</v>
      </c>
      <c r="C322" s="46"/>
      <c r="D322" s="46"/>
      <c r="E322" s="47"/>
      <c r="F322" s="48"/>
      <c r="G322" s="47"/>
      <c r="H322" s="43"/>
      <c r="I322" s="64" t="s">
        <v>873</v>
      </c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119" t="str">
        <f t="shared" si="34"/>
        <v/>
      </c>
    </row>
    <row r="323" ht="14.25" customHeight="1">
      <c r="A323" s="8"/>
      <c r="B323" s="8" t="s">
        <v>907</v>
      </c>
      <c r="C323" s="46"/>
      <c r="D323" s="46"/>
      <c r="E323" s="47"/>
      <c r="F323" s="48">
        <v>2.0</v>
      </c>
      <c r="G323" s="47" t="s">
        <v>879</v>
      </c>
      <c r="H323" s="34"/>
      <c r="I323" s="64" t="s">
        <v>872</v>
      </c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119" t="str">
        <f t="shared" si="34"/>
        <v/>
      </c>
    </row>
    <row r="324" ht="14.25" customHeight="1">
      <c r="A324" s="8"/>
      <c r="B324" s="8" t="s">
        <v>907</v>
      </c>
      <c r="C324" s="46"/>
      <c r="D324" s="46"/>
      <c r="E324" s="47"/>
      <c r="F324" s="88"/>
      <c r="G324" s="71"/>
      <c r="H324" s="43"/>
      <c r="I324" s="64" t="s">
        <v>873</v>
      </c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119" t="str">
        <f t="shared" si="34"/>
        <v/>
      </c>
    </row>
    <row r="325" ht="14.25" customHeight="1">
      <c r="A325" s="8"/>
      <c r="B325" s="8" t="s">
        <v>908</v>
      </c>
      <c r="C325" s="46"/>
      <c r="D325" s="46">
        <v>3.0</v>
      </c>
      <c r="E325" s="47" t="s">
        <v>717</v>
      </c>
      <c r="F325" s="33"/>
      <c r="G325" s="33"/>
      <c r="H325" s="34"/>
      <c r="I325" s="64" t="s">
        <v>872</v>
      </c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119" t="str">
        <f t="shared" si="34"/>
        <v/>
      </c>
    </row>
    <row r="326" ht="14.25" customHeight="1">
      <c r="A326" s="8"/>
      <c r="B326" s="8" t="s">
        <v>908</v>
      </c>
      <c r="C326" s="46"/>
      <c r="D326" s="92"/>
      <c r="E326" s="71"/>
      <c r="F326" s="42"/>
      <c r="G326" s="42"/>
      <c r="H326" s="43"/>
      <c r="I326" s="64" t="s">
        <v>873</v>
      </c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119" t="str">
        <f t="shared" si="34"/>
        <v/>
      </c>
    </row>
    <row r="327" ht="14.25" customHeight="1">
      <c r="A327" s="8"/>
      <c r="B327" s="8" t="s">
        <v>909</v>
      </c>
      <c r="C327" s="46"/>
      <c r="D327" s="92"/>
      <c r="E327" s="71"/>
      <c r="F327" s="48">
        <v>1.0</v>
      </c>
      <c r="G327" s="47" t="s">
        <v>877</v>
      </c>
      <c r="H327" s="34"/>
      <c r="I327" s="64" t="s">
        <v>872</v>
      </c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119" t="str">
        <f t="shared" si="34"/>
        <v/>
      </c>
    </row>
    <row r="328" ht="14.25" customHeight="1">
      <c r="A328" s="8"/>
      <c r="B328" s="8" t="s">
        <v>909</v>
      </c>
      <c r="C328" s="46"/>
      <c r="D328" s="92"/>
      <c r="E328" s="71"/>
      <c r="F328" s="48"/>
      <c r="G328" s="47"/>
      <c r="H328" s="43"/>
      <c r="I328" s="64" t="s">
        <v>873</v>
      </c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119" t="str">
        <f t="shared" si="34"/>
        <v/>
      </c>
    </row>
    <row r="329" ht="14.25" customHeight="1">
      <c r="A329" s="8"/>
      <c r="B329" s="8" t="s">
        <v>910</v>
      </c>
      <c r="C329" s="46"/>
      <c r="D329" s="92"/>
      <c r="E329" s="71"/>
      <c r="F329" s="48">
        <v>2.0</v>
      </c>
      <c r="G329" s="47" t="s">
        <v>879</v>
      </c>
      <c r="H329" s="34"/>
      <c r="I329" s="64" t="s">
        <v>872</v>
      </c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119" t="str">
        <f t="shared" si="34"/>
        <v/>
      </c>
    </row>
    <row r="330" ht="14.25" customHeight="1">
      <c r="A330" s="8"/>
      <c r="B330" s="8" t="s">
        <v>910</v>
      </c>
      <c r="C330" s="46"/>
      <c r="D330" s="92"/>
      <c r="E330" s="71"/>
      <c r="F330" s="48"/>
      <c r="G330" s="47"/>
      <c r="H330" s="43"/>
      <c r="I330" s="64" t="s">
        <v>873</v>
      </c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119" t="str">
        <f t="shared" si="34"/>
        <v/>
      </c>
    </row>
    <row r="331" ht="14.25" customHeight="1">
      <c r="A331" s="8"/>
      <c r="B331" s="8" t="s">
        <v>911</v>
      </c>
      <c r="C331" s="46"/>
      <c r="D331" s="92"/>
      <c r="E331" s="71"/>
      <c r="F331" s="48">
        <v>3.0</v>
      </c>
      <c r="G331" s="47" t="s">
        <v>884</v>
      </c>
      <c r="H331" s="34"/>
      <c r="I331" s="64" t="s">
        <v>872</v>
      </c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119" t="str">
        <f t="shared" si="34"/>
        <v/>
      </c>
    </row>
    <row r="332" ht="14.25" customHeight="1">
      <c r="A332" s="8"/>
      <c r="B332" s="8" t="s">
        <v>911</v>
      </c>
      <c r="C332" s="46"/>
      <c r="D332" s="92"/>
      <c r="E332" s="71"/>
      <c r="F332" s="88"/>
      <c r="G332" s="71"/>
      <c r="H332" s="43"/>
      <c r="I332" s="64" t="s">
        <v>873</v>
      </c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119" t="str">
        <f t="shared" si="34"/>
        <v/>
      </c>
    </row>
    <row r="333" ht="14.25" customHeight="1">
      <c r="A333" s="8"/>
      <c r="B333" s="8" t="s">
        <v>912</v>
      </c>
      <c r="C333" s="46"/>
      <c r="D333" s="92">
        <v>4.0</v>
      </c>
      <c r="E333" s="47" t="s">
        <v>893</v>
      </c>
      <c r="F333" s="33"/>
      <c r="G333" s="33"/>
      <c r="H333" s="34"/>
      <c r="I333" s="64" t="s">
        <v>894</v>
      </c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119" t="str">
        <f t="shared" si="34"/>
        <v/>
      </c>
    </row>
    <row r="334" ht="14.25" customHeight="1">
      <c r="A334" s="8"/>
      <c r="B334" s="8" t="s">
        <v>912</v>
      </c>
      <c r="C334" s="46"/>
      <c r="D334" s="92"/>
      <c r="E334" s="71"/>
      <c r="F334" s="42"/>
      <c r="G334" s="42"/>
      <c r="H334" s="43"/>
      <c r="I334" s="64" t="s">
        <v>895</v>
      </c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119" t="str">
        <f t="shared" si="34"/>
        <v/>
      </c>
    </row>
    <row r="335" ht="14.25" customHeight="1">
      <c r="A335" s="8"/>
      <c r="B335" s="8"/>
      <c r="C335" s="46"/>
      <c r="D335" s="54"/>
      <c r="E335" s="33"/>
      <c r="F335" s="33"/>
      <c r="G335" s="33"/>
      <c r="H335" s="34"/>
      <c r="I335" s="6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18"/>
    </row>
    <row r="336" ht="14.25" customHeight="1">
      <c r="A336" s="8"/>
      <c r="B336" s="8"/>
      <c r="C336" s="46">
        <v>3.0</v>
      </c>
      <c r="D336" s="47" t="s">
        <v>913</v>
      </c>
      <c r="E336" s="33"/>
      <c r="F336" s="33"/>
      <c r="G336" s="33"/>
      <c r="H336" s="34"/>
      <c r="I336" s="6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18"/>
    </row>
    <row r="337" ht="14.25" customHeight="1">
      <c r="A337" s="8"/>
      <c r="B337" s="8"/>
      <c r="C337" s="46"/>
      <c r="D337" s="46">
        <v>1.0</v>
      </c>
      <c r="E337" s="47" t="s">
        <v>703</v>
      </c>
      <c r="F337" s="33"/>
      <c r="G337" s="33"/>
      <c r="H337" s="34"/>
      <c r="I337" s="6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18"/>
    </row>
    <row r="338" ht="14.25" customHeight="1">
      <c r="A338" s="8"/>
      <c r="B338" s="8" t="s">
        <v>914</v>
      </c>
      <c r="C338" s="46"/>
      <c r="D338" s="46"/>
      <c r="E338" s="46">
        <v>1.0</v>
      </c>
      <c r="F338" s="47" t="s">
        <v>341</v>
      </c>
      <c r="G338" s="33"/>
      <c r="H338" s="34"/>
      <c r="I338" s="64" t="s">
        <v>872</v>
      </c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119" t="str">
        <f t="shared" ref="V338:V371" si="35">IFERROR(AVERAGE(J338:U338),"")</f>
        <v/>
      </c>
    </row>
    <row r="339" ht="14.25" customHeight="1">
      <c r="A339" s="8"/>
      <c r="B339" s="8" t="s">
        <v>914</v>
      </c>
      <c r="C339" s="46"/>
      <c r="D339" s="46"/>
      <c r="E339" s="46"/>
      <c r="F339" s="47"/>
      <c r="G339" s="42"/>
      <c r="H339" s="43"/>
      <c r="I339" s="64" t="s">
        <v>873</v>
      </c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119" t="str">
        <f t="shared" si="35"/>
        <v/>
      </c>
    </row>
    <row r="340" ht="14.25" customHeight="1">
      <c r="A340" s="8"/>
      <c r="B340" s="8" t="s">
        <v>915</v>
      </c>
      <c r="C340" s="46"/>
      <c r="D340" s="46"/>
      <c r="E340" s="46">
        <v>2.0</v>
      </c>
      <c r="F340" s="47" t="s">
        <v>585</v>
      </c>
      <c r="G340" s="33"/>
      <c r="H340" s="34"/>
      <c r="I340" s="64" t="s">
        <v>872</v>
      </c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119" t="str">
        <f t="shared" si="35"/>
        <v/>
      </c>
    </row>
    <row r="341" ht="14.25" customHeight="1">
      <c r="A341" s="8"/>
      <c r="B341" s="8" t="s">
        <v>915</v>
      </c>
      <c r="C341" s="46"/>
      <c r="D341" s="46"/>
      <c r="E341" s="46"/>
      <c r="F341" s="47"/>
      <c r="G341" s="42"/>
      <c r="H341" s="43"/>
      <c r="I341" s="64" t="s">
        <v>873</v>
      </c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119" t="str">
        <f t="shared" si="35"/>
        <v/>
      </c>
    </row>
    <row r="342" ht="14.25" customHeight="1">
      <c r="A342" s="8"/>
      <c r="B342" s="8" t="s">
        <v>916</v>
      </c>
      <c r="C342" s="46"/>
      <c r="D342" s="46"/>
      <c r="E342" s="46">
        <v>3.0</v>
      </c>
      <c r="F342" s="47" t="s">
        <v>587</v>
      </c>
      <c r="G342" s="33"/>
      <c r="H342" s="34"/>
      <c r="I342" s="64" t="s">
        <v>872</v>
      </c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119" t="str">
        <f t="shared" si="35"/>
        <v/>
      </c>
    </row>
    <row r="343" ht="14.25" customHeight="1">
      <c r="A343" s="8"/>
      <c r="B343" s="8" t="s">
        <v>916</v>
      </c>
      <c r="C343" s="46"/>
      <c r="D343" s="46"/>
      <c r="E343" s="46"/>
      <c r="F343" s="47"/>
      <c r="G343" s="42"/>
      <c r="H343" s="43"/>
      <c r="I343" s="64" t="s">
        <v>873</v>
      </c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119" t="str">
        <f t="shared" si="35"/>
        <v/>
      </c>
    </row>
    <row r="344" ht="14.25" customHeight="1">
      <c r="A344" s="8"/>
      <c r="B344" s="8" t="s">
        <v>917</v>
      </c>
      <c r="C344" s="46"/>
      <c r="D344" s="46"/>
      <c r="E344" s="46"/>
      <c r="F344" s="48">
        <v>1.0</v>
      </c>
      <c r="G344" s="47" t="s">
        <v>877</v>
      </c>
      <c r="H344" s="34"/>
      <c r="I344" s="64" t="s">
        <v>872</v>
      </c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119" t="str">
        <f t="shared" si="35"/>
        <v/>
      </c>
    </row>
    <row r="345" ht="14.25" customHeight="1">
      <c r="A345" s="8"/>
      <c r="B345" s="8" t="s">
        <v>917</v>
      </c>
      <c r="C345" s="46"/>
      <c r="D345" s="46"/>
      <c r="E345" s="46"/>
      <c r="F345" s="48"/>
      <c r="G345" s="47"/>
      <c r="H345" s="43"/>
      <c r="I345" s="64" t="s">
        <v>873</v>
      </c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119" t="str">
        <f t="shared" si="35"/>
        <v/>
      </c>
    </row>
    <row r="346" ht="14.25" customHeight="1">
      <c r="A346" s="8"/>
      <c r="B346" s="8" t="s">
        <v>918</v>
      </c>
      <c r="C346" s="46"/>
      <c r="D346" s="46"/>
      <c r="E346" s="46"/>
      <c r="F346" s="48">
        <v>2.0</v>
      </c>
      <c r="G346" s="47" t="s">
        <v>879</v>
      </c>
      <c r="H346" s="34"/>
      <c r="I346" s="64" t="s">
        <v>872</v>
      </c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119" t="str">
        <f t="shared" si="35"/>
        <v/>
      </c>
    </row>
    <row r="347" ht="14.25" customHeight="1">
      <c r="A347" s="8"/>
      <c r="B347" s="8" t="s">
        <v>918</v>
      </c>
      <c r="C347" s="46"/>
      <c r="D347" s="46"/>
      <c r="E347" s="46"/>
      <c r="F347" s="48"/>
      <c r="G347" s="71"/>
      <c r="H347" s="43"/>
      <c r="I347" s="64" t="s">
        <v>873</v>
      </c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119" t="str">
        <f t="shared" si="35"/>
        <v/>
      </c>
    </row>
    <row r="348" ht="14.25" customHeight="1">
      <c r="A348" s="8"/>
      <c r="B348" s="8" t="s">
        <v>919</v>
      </c>
      <c r="C348" s="46"/>
      <c r="D348" s="46"/>
      <c r="E348" s="46">
        <v>4.0</v>
      </c>
      <c r="F348" s="47" t="s">
        <v>351</v>
      </c>
      <c r="G348" s="33"/>
      <c r="H348" s="34"/>
      <c r="I348" s="64" t="s">
        <v>872</v>
      </c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119" t="str">
        <f t="shared" si="35"/>
        <v/>
      </c>
    </row>
    <row r="349" ht="14.25" customHeight="1">
      <c r="A349" s="8"/>
      <c r="B349" s="8" t="s">
        <v>919</v>
      </c>
      <c r="C349" s="46"/>
      <c r="D349" s="46"/>
      <c r="E349" s="46"/>
      <c r="F349" s="47"/>
      <c r="G349" s="42"/>
      <c r="H349" s="43"/>
      <c r="I349" s="64" t="s">
        <v>873</v>
      </c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119" t="str">
        <f t="shared" si="35"/>
        <v/>
      </c>
    </row>
    <row r="350" ht="14.25" customHeight="1">
      <c r="A350" s="8"/>
      <c r="B350" s="8" t="s">
        <v>920</v>
      </c>
      <c r="C350" s="46"/>
      <c r="D350" s="46"/>
      <c r="E350" s="46"/>
      <c r="F350" s="48">
        <v>1.0</v>
      </c>
      <c r="G350" s="47" t="s">
        <v>877</v>
      </c>
      <c r="H350" s="34"/>
      <c r="I350" s="64" t="s">
        <v>872</v>
      </c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119" t="str">
        <f t="shared" si="35"/>
        <v/>
      </c>
    </row>
    <row r="351" ht="14.25" customHeight="1">
      <c r="A351" s="8"/>
      <c r="B351" s="8" t="s">
        <v>920</v>
      </c>
      <c r="C351" s="46"/>
      <c r="D351" s="46"/>
      <c r="E351" s="46"/>
      <c r="F351" s="48"/>
      <c r="G351" s="47"/>
      <c r="H351" s="43"/>
      <c r="I351" s="64" t="s">
        <v>873</v>
      </c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119" t="str">
        <f t="shared" si="35"/>
        <v/>
      </c>
    </row>
    <row r="352" ht="14.25" customHeight="1">
      <c r="A352" s="8"/>
      <c r="B352" s="8" t="s">
        <v>921</v>
      </c>
      <c r="C352" s="46"/>
      <c r="D352" s="46"/>
      <c r="E352" s="46"/>
      <c r="F352" s="48">
        <v>2.0</v>
      </c>
      <c r="G352" s="47" t="s">
        <v>879</v>
      </c>
      <c r="H352" s="34"/>
      <c r="I352" s="64" t="s">
        <v>872</v>
      </c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119" t="str">
        <f t="shared" si="35"/>
        <v/>
      </c>
    </row>
    <row r="353" ht="14.25" customHeight="1">
      <c r="A353" s="8"/>
      <c r="B353" s="8" t="s">
        <v>921</v>
      </c>
      <c r="C353" s="46"/>
      <c r="D353" s="46"/>
      <c r="E353" s="46"/>
      <c r="F353" s="48"/>
      <c r="G353" s="47"/>
      <c r="H353" s="43"/>
      <c r="I353" s="64" t="s">
        <v>873</v>
      </c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119" t="str">
        <f t="shared" si="35"/>
        <v/>
      </c>
    </row>
    <row r="354" ht="14.25" customHeight="1">
      <c r="A354" s="8"/>
      <c r="B354" s="8" t="s">
        <v>922</v>
      </c>
      <c r="C354" s="46"/>
      <c r="D354" s="46"/>
      <c r="E354" s="46"/>
      <c r="F354" s="48">
        <v>3.0</v>
      </c>
      <c r="G354" s="47" t="s">
        <v>884</v>
      </c>
      <c r="H354" s="34"/>
      <c r="I354" s="64" t="s">
        <v>872</v>
      </c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119" t="str">
        <f t="shared" si="35"/>
        <v/>
      </c>
    </row>
    <row r="355" ht="14.25" customHeight="1">
      <c r="A355" s="8"/>
      <c r="B355" s="8" t="s">
        <v>922</v>
      </c>
      <c r="C355" s="46"/>
      <c r="D355" s="46"/>
      <c r="E355" s="54"/>
      <c r="F355" s="88"/>
      <c r="G355" s="71"/>
      <c r="H355" s="43"/>
      <c r="I355" s="64" t="s">
        <v>873</v>
      </c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119" t="str">
        <f t="shared" si="35"/>
        <v/>
      </c>
    </row>
    <row r="356" ht="14.25" customHeight="1">
      <c r="A356" s="8"/>
      <c r="B356" s="8" t="s">
        <v>923</v>
      </c>
      <c r="C356" s="46"/>
      <c r="D356" s="46">
        <v>2.0</v>
      </c>
      <c r="E356" s="47" t="s">
        <v>710</v>
      </c>
      <c r="F356" s="33"/>
      <c r="G356" s="33"/>
      <c r="H356" s="34"/>
      <c r="I356" s="64" t="s">
        <v>872</v>
      </c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119" t="str">
        <f t="shared" si="35"/>
        <v/>
      </c>
    </row>
    <row r="357" ht="14.25" customHeight="1">
      <c r="A357" s="8"/>
      <c r="B357" s="8" t="s">
        <v>923</v>
      </c>
      <c r="C357" s="46"/>
      <c r="D357" s="46"/>
      <c r="E357" s="47"/>
      <c r="F357" s="42"/>
      <c r="G357" s="42"/>
      <c r="H357" s="43"/>
      <c r="I357" s="64" t="s">
        <v>873</v>
      </c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119" t="str">
        <f t="shared" si="35"/>
        <v/>
      </c>
    </row>
    <row r="358" ht="14.25" customHeight="1">
      <c r="A358" s="8"/>
      <c r="B358" s="8" t="s">
        <v>924</v>
      </c>
      <c r="C358" s="46"/>
      <c r="D358" s="46"/>
      <c r="E358" s="47"/>
      <c r="F358" s="48">
        <v>1.0</v>
      </c>
      <c r="G358" s="47" t="s">
        <v>877</v>
      </c>
      <c r="H358" s="34"/>
      <c r="I358" s="64" t="s">
        <v>872</v>
      </c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119" t="str">
        <f t="shared" si="35"/>
        <v/>
      </c>
    </row>
    <row r="359" ht="14.25" customHeight="1">
      <c r="A359" s="8"/>
      <c r="B359" s="8" t="s">
        <v>924</v>
      </c>
      <c r="C359" s="46"/>
      <c r="D359" s="46"/>
      <c r="E359" s="47"/>
      <c r="F359" s="48"/>
      <c r="G359" s="47"/>
      <c r="H359" s="43"/>
      <c r="I359" s="64" t="s">
        <v>873</v>
      </c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119" t="str">
        <f t="shared" si="35"/>
        <v/>
      </c>
    </row>
    <row r="360" ht="14.25" customHeight="1">
      <c r="A360" s="8"/>
      <c r="B360" s="8" t="s">
        <v>925</v>
      </c>
      <c r="C360" s="46"/>
      <c r="D360" s="46"/>
      <c r="E360" s="47"/>
      <c r="F360" s="48">
        <v>2.0</v>
      </c>
      <c r="G360" s="47" t="s">
        <v>879</v>
      </c>
      <c r="H360" s="34"/>
      <c r="I360" s="64" t="s">
        <v>872</v>
      </c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119" t="str">
        <f t="shared" si="35"/>
        <v/>
      </c>
    </row>
    <row r="361" ht="14.25" customHeight="1">
      <c r="A361" s="8"/>
      <c r="B361" s="8" t="s">
        <v>925</v>
      </c>
      <c r="C361" s="46"/>
      <c r="D361" s="46"/>
      <c r="E361" s="47"/>
      <c r="F361" s="88"/>
      <c r="G361" s="71"/>
      <c r="H361" s="43"/>
      <c r="I361" s="64" t="s">
        <v>873</v>
      </c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119" t="str">
        <f t="shared" si="35"/>
        <v/>
      </c>
    </row>
    <row r="362" ht="14.25" customHeight="1">
      <c r="A362" s="8"/>
      <c r="B362" s="8" t="s">
        <v>926</v>
      </c>
      <c r="C362" s="46"/>
      <c r="D362" s="46">
        <v>3.0</v>
      </c>
      <c r="E362" s="47" t="s">
        <v>717</v>
      </c>
      <c r="F362" s="33"/>
      <c r="G362" s="33"/>
      <c r="H362" s="34"/>
      <c r="I362" s="64" t="s">
        <v>872</v>
      </c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119" t="str">
        <f t="shared" si="35"/>
        <v/>
      </c>
    </row>
    <row r="363" ht="14.25" customHeight="1">
      <c r="A363" s="8"/>
      <c r="B363" s="8" t="s">
        <v>926</v>
      </c>
      <c r="C363" s="46"/>
      <c r="D363" s="92"/>
      <c r="E363" s="71"/>
      <c r="F363" s="42"/>
      <c r="G363" s="42"/>
      <c r="H363" s="43"/>
      <c r="I363" s="64" t="s">
        <v>873</v>
      </c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119" t="str">
        <f t="shared" si="35"/>
        <v/>
      </c>
    </row>
    <row r="364" ht="14.25" customHeight="1">
      <c r="A364" s="8"/>
      <c r="B364" s="8" t="s">
        <v>927</v>
      </c>
      <c r="C364" s="46"/>
      <c r="D364" s="92"/>
      <c r="E364" s="71"/>
      <c r="F364" s="48">
        <v>1.0</v>
      </c>
      <c r="G364" s="47" t="s">
        <v>877</v>
      </c>
      <c r="H364" s="34"/>
      <c r="I364" s="64" t="s">
        <v>872</v>
      </c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119" t="str">
        <f t="shared" si="35"/>
        <v/>
      </c>
    </row>
    <row r="365" ht="14.25" customHeight="1">
      <c r="A365" s="8"/>
      <c r="B365" s="8" t="s">
        <v>927</v>
      </c>
      <c r="C365" s="46"/>
      <c r="D365" s="92"/>
      <c r="E365" s="71"/>
      <c r="F365" s="48"/>
      <c r="G365" s="47"/>
      <c r="H365" s="43"/>
      <c r="I365" s="64" t="s">
        <v>873</v>
      </c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119" t="str">
        <f t="shared" si="35"/>
        <v/>
      </c>
    </row>
    <row r="366" ht="14.25" customHeight="1">
      <c r="A366" s="8"/>
      <c r="B366" s="8" t="s">
        <v>928</v>
      </c>
      <c r="C366" s="46"/>
      <c r="D366" s="92"/>
      <c r="E366" s="71"/>
      <c r="F366" s="48">
        <v>2.0</v>
      </c>
      <c r="G366" s="47" t="s">
        <v>879</v>
      </c>
      <c r="H366" s="34"/>
      <c r="I366" s="64" t="s">
        <v>872</v>
      </c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119" t="str">
        <f t="shared" si="35"/>
        <v/>
      </c>
    </row>
    <row r="367" ht="14.25" customHeight="1">
      <c r="A367" s="8"/>
      <c r="B367" s="8" t="s">
        <v>928</v>
      </c>
      <c r="C367" s="46"/>
      <c r="D367" s="92"/>
      <c r="E367" s="71"/>
      <c r="F367" s="48"/>
      <c r="G367" s="47"/>
      <c r="H367" s="43"/>
      <c r="I367" s="64" t="s">
        <v>873</v>
      </c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119" t="str">
        <f t="shared" si="35"/>
        <v/>
      </c>
    </row>
    <row r="368" ht="14.25" customHeight="1">
      <c r="A368" s="8"/>
      <c r="B368" s="8" t="s">
        <v>929</v>
      </c>
      <c r="C368" s="46"/>
      <c r="D368" s="92"/>
      <c r="E368" s="71"/>
      <c r="F368" s="48">
        <v>3.0</v>
      </c>
      <c r="G368" s="47" t="s">
        <v>884</v>
      </c>
      <c r="H368" s="34"/>
      <c r="I368" s="64" t="s">
        <v>872</v>
      </c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119" t="str">
        <f t="shared" si="35"/>
        <v/>
      </c>
    </row>
    <row r="369" ht="14.25" customHeight="1">
      <c r="A369" s="8"/>
      <c r="B369" s="8" t="s">
        <v>929</v>
      </c>
      <c r="C369" s="46"/>
      <c r="D369" s="92"/>
      <c r="E369" s="71"/>
      <c r="F369" s="88"/>
      <c r="G369" s="71"/>
      <c r="H369" s="43"/>
      <c r="I369" s="64" t="s">
        <v>873</v>
      </c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119" t="str">
        <f t="shared" si="35"/>
        <v/>
      </c>
    </row>
    <row r="370" ht="14.25" customHeight="1">
      <c r="A370" s="8"/>
      <c r="B370" s="8" t="s">
        <v>930</v>
      </c>
      <c r="C370" s="46"/>
      <c r="D370" s="92">
        <v>4.0</v>
      </c>
      <c r="E370" s="47" t="s">
        <v>893</v>
      </c>
      <c r="F370" s="33"/>
      <c r="G370" s="33"/>
      <c r="H370" s="34"/>
      <c r="I370" s="64" t="s">
        <v>894</v>
      </c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119" t="str">
        <f t="shared" si="35"/>
        <v/>
      </c>
    </row>
    <row r="371" ht="14.25" customHeight="1">
      <c r="A371" s="8"/>
      <c r="B371" s="8" t="s">
        <v>930</v>
      </c>
      <c r="C371" s="46"/>
      <c r="D371" s="92"/>
      <c r="E371" s="71"/>
      <c r="F371" s="42"/>
      <c r="G371" s="42"/>
      <c r="H371" s="43"/>
      <c r="I371" s="64" t="s">
        <v>895</v>
      </c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119" t="str">
        <f t="shared" si="35"/>
        <v/>
      </c>
    </row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6">
    <mergeCell ref="C2:G2"/>
    <mergeCell ref="C4:G4"/>
    <mergeCell ref="C6:G6"/>
    <mergeCell ref="C12:C14"/>
    <mergeCell ref="D12:H14"/>
    <mergeCell ref="I12:I14"/>
    <mergeCell ref="J12:V13"/>
    <mergeCell ref="D15:H15"/>
    <mergeCell ref="J15:U15"/>
    <mergeCell ref="D16:H16"/>
    <mergeCell ref="D17:H17"/>
    <mergeCell ref="E18:H18"/>
    <mergeCell ref="E19:H19"/>
    <mergeCell ref="E20:H20"/>
    <mergeCell ref="E21:H21"/>
    <mergeCell ref="E22:H22"/>
    <mergeCell ref="D23:H23"/>
    <mergeCell ref="D24:H24"/>
    <mergeCell ref="E25:H25"/>
    <mergeCell ref="E26:H26"/>
    <mergeCell ref="E27:H27"/>
    <mergeCell ref="E28:H28"/>
    <mergeCell ref="E29:H29"/>
    <mergeCell ref="D30:H30"/>
    <mergeCell ref="D31:H31"/>
    <mergeCell ref="E32:H32"/>
    <mergeCell ref="E33:H33"/>
    <mergeCell ref="E34:H34"/>
    <mergeCell ref="E35:H35"/>
    <mergeCell ref="E36:H36"/>
    <mergeCell ref="D37:H37"/>
    <mergeCell ref="D38:H38"/>
    <mergeCell ref="E39:H39"/>
    <mergeCell ref="E40:H40"/>
    <mergeCell ref="E41:H41"/>
    <mergeCell ref="E42:H42"/>
    <mergeCell ref="E43:H43"/>
    <mergeCell ref="F44:H44"/>
    <mergeCell ref="C47:C49"/>
    <mergeCell ref="D47:H49"/>
    <mergeCell ref="I47:I49"/>
    <mergeCell ref="J47:V48"/>
    <mergeCell ref="D50:H50"/>
    <mergeCell ref="J50:U50"/>
    <mergeCell ref="D52:H52"/>
    <mergeCell ref="E53:H53"/>
    <mergeCell ref="F54:H54"/>
    <mergeCell ref="F55:H55"/>
    <mergeCell ref="F56:H56"/>
    <mergeCell ref="F105:H105"/>
    <mergeCell ref="F106:H106"/>
    <mergeCell ref="F107:H107"/>
    <mergeCell ref="F108:H108"/>
    <mergeCell ref="E110:H110"/>
    <mergeCell ref="F111:H111"/>
    <mergeCell ref="F112:H112"/>
    <mergeCell ref="F113:H113"/>
    <mergeCell ref="F114:H114"/>
    <mergeCell ref="F115:H115"/>
    <mergeCell ref="F116:H116"/>
    <mergeCell ref="E118:H118"/>
    <mergeCell ref="F119:H119"/>
    <mergeCell ref="F120:H120"/>
    <mergeCell ref="F57:H57"/>
    <mergeCell ref="F58:H58"/>
    <mergeCell ref="F59:H59"/>
    <mergeCell ref="E61:H61"/>
    <mergeCell ref="F62:H62"/>
    <mergeCell ref="F63:H63"/>
    <mergeCell ref="F64:H64"/>
    <mergeCell ref="F65:H65"/>
    <mergeCell ref="F66:H66"/>
    <mergeCell ref="F67:H67"/>
    <mergeCell ref="E69:H69"/>
    <mergeCell ref="F70:H70"/>
    <mergeCell ref="F71:H71"/>
    <mergeCell ref="F72:H72"/>
    <mergeCell ref="F73:H73"/>
    <mergeCell ref="F74:H74"/>
    <mergeCell ref="F75:H75"/>
    <mergeCell ref="E77:H77"/>
    <mergeCell ref="F78:H78"/>
    <mergeCell ref="F79:H79"/>
    <mergeCell ref="F80:H80"/>
    <mergeCell ref="F81:H81"/>
    <mergeCell ref="F82:H82"/>
    <mergeCell ref="F83:H83"/>
    <mergeCell ref="E85:H85"/>
    <mergeCell ref="F86:H86"/>
    <mergeCell ref="F87:H87"/>
    <mergeCell ref="F88:H88"/>
    <mergeCell ref="F89:H89"/>
    <mergeCell ref="F90:H90"/>
    <mergeCell ref="F91:H91"/>
    <mergeCell ref="D93:H93"/>
    <mergeCell ref="E94:H94"/>
    <mergeCell ref="F95:H95"/>
    <mergeCell ref="F96:H96"/>
    <mergeCell ref="F97:H97"/>
    <mergeCell ref="F98:H98"/>
    <mergeCell ref="F99:H99"/>
    <mergeCell ref="F100:H100"/>
    <mergeCell ref="E102:H102"/>
    <mergeCell ref="F103:H103"/>
    <mergeCell ref="F104:H104"/>
    <mergeCell ref="F121:H121"/>
    <mergeCell ref="F122:H122"/>
    <mergeCell ref="F123:H123"/>
    <mergeCell ref="F124:H124"/>
    <mergeCell ref="E126:H126"/>
    <mergeCell ref="F127:H127"/>
    <mergeCell ref="F128:H128"/>
    <mergeCell ref="F129:H129"/>
    <mergeCell ref="F130:H130"/>
    <mergeCell ref="F131:H131"/>
    <mergeCell ref="F132:H132"/>
    <mergeCell ref="D134:H134"/>
    <mergeCell ref="E135:H135"/>
    <mergeCell ref="F136:H136"/>
    <mergeCell ref="F137:H137"/>
    <mergeCell ref="F138:H138"/>
    <mergeCell ref="F139:H139"/>
    <mergeCell ref="F140:H140"/>
    <mergeCell ref="F141:H141"/>
    <mergeCell ref="E143:H143"/>
    <mergeCell ref="F144:H144"/>
    <mergeCell ref="F145:H145"/>
    <mergeCell ref="F146:H146"/>
    <mergeCell ref="F147:H147"/>
    <mergeCell ref="F148:H148"/>
    <mergeCell ref="F149:H149"/>
    <mergeCell ref="E151:H151"/>
    <mergeCell ref="F152:H152"/>
    <mergeCell ref="F153:H153"/>
    <mergeCell ref="F154:H154"/>
    <mergeCell ref="F155:H155"/>
    <mergeCell ref="F156:H156"/>
    <mergeCell ref="F157:H157"/>
    <mergeCell ref="E159:H159"/>
    <mergeCell ref="F160:H160"/>
    <mergeCell ref="F161:H161"/>
    <mergeCell ref="F162:H162"/>
    <mergeCell ref="F163:H163"/>
    <mergeCell ref="F164:H164"/>
    <mergeCell ref="F165:H165"/>
    <mergeCell ref="E167:H167"/>
    <mergeCell ref="F168:H168"/>
    <mergeCell ref="I177:I179"/>
    <mergeCell ref="J177:V178"/>
    <mergeCell ref="J180:U180"/>
    <mergeCell ref="F169:H169"/>
    <mergeCell ref="F170:H170"/>
    <mergeCell ref="F171:H171"/>
    <mergeCell ref="F172:H172"/>
    <mergeCell ref="F173:H173"/>
    <mergeCell ref="C177:C179"/>
    <mergeCell ref="D177:H179"/>
    <mergeCell ref="D180:H180"/>
    <mergeCell ref="D181:H181"/>
    <mergeCell ref="D182:H182"/>
    <mergeCell ref="E183:H183"/>
    <mergeCell ref="F184:H184"/>
    <mergeCell ref="G185:H185"/>
    <mergeCell ref="G186:H186"/>
    <mergeCell ref="G187:H187"/>
    <mergeCell ref="F188:H188"/>
    <mergeCell ref="G189:H189"/>
    <mergeCell ref="G190:H190"/>
    <mergeCell ref="G191:H191"/>
    <mergeCell ref="D192:H192"/>
    <mergeCell ref="E193:H193"/>
    <mergeCell ref="F194:H194"/>
    <mergeCell ref="G195:H195"/>
    <mergeCell ref="G196:H196"/>
    <mergeCell ref="G197:H197"/>
    <mergeCell ref="F198:H198"/>
    <mergeCell ref="G199:H199"/>
    <mergeCell ref="G200:H200"/>
    <mergeCell ref="G201:H201"/>
    <mergeCell ref="D202:H202"/>
    <mergeCell ref="E203:H203"/>
    <mergeCell ref="F204:H204"/>
    <mergeCell ref="G205:H205"/>
    <mergeCell ref="G206:H206"/>
    <mergeCell ref="G207:H207"/>
    <mergeCell ref="F208:H208"/>
    <mergeCell ref="G209:H209"/>
    <mergeCell ref="G210:H210"/>
    <mergeCell ref="G211:H211"/>
    <mergeCell ref="D212:H212"/>
    <mergeCell ref="D213:H213"/>
    <mergeCell ref="E214:H214"/>
    <mergeCell ref="F215:H215"/>
    <mergeCell ref="G216:H216"/>
    <mergeCell ref="G219:H219"/>
    <mergeCell ref="F222:H222"/>
    <mergeCell ref="G223:H223"/>
    <mergeCell ref="G226:H226"/>
    <mergeCell ref="E230:H230"/>
    <mergeCell ref="E231:H231"/>
    <mergeCell ref="E233:H233"/>
    <mergeCell ref="F234:H234"/>
    <mergeCell ref="G235:H235"/>
    <mergeCell ref="G238:H238"/>
    <mergeCell ref="F241:H241"/>
    <mergeCell ref="G242:H242"/>
    <mergeCell ref="G327:H327"/>
    <mergeCell ref="G329:H329"/>
    <mergeCell ref="G331:H331"/>
    <mergeCell ref="E333:H333"/>
    <mergeCell ref="D335:H335"/>
    <mergeCell ref="D336:H336"/>
    <mergeCell ref="E337:H337"/>
    <mergeCell ref="F338:H338"/>
    <mergeCell ref="F340:H340"/>
    <mergeCell ref="F342:H342"/>
    <mergeCell ref="G344:H344"/>
    <mergeCell ref="G346:H346"/>
    <mergeCell ref="F348:H348"/>
    <mergeCell ref="G350:H350"/>
    <mergeCell ref="G366:H366"/>
    <mergeCell ref="G368:H368"/>
    <mergeCell ref="E370:H370"/>
    <mergeCell ref="G352:H352"/>
    <mergeCell ref="G354:H354"/>
    <mergeCell ref="E356:H356"/>
    <mergeCell ref="G358:H358"/>
    <mergeCell ref="G360:H360"/>
    <mergeCell ref="E362:H362"/>
    <mergeCell ref="G364:H364"/>
    <mergeCell ref="D257:H259"/>
    <mergeCell ref="I257:I259"/>
    <mergeCell ref="J257:V258"/>
    <mergeCell ref="J260:U260"/>
    <mergeCell ref="G245:H245"/>
    <mergeCell ref="E249:H249"/>
    <mergeCell ref="E250:H250"/>
    <mergeCell ref="D252:H252"/>
    <mergeCell ref="D253:H253"/>
    <mergeCell ref="G254:H254"/>
    <mergeCell ref="C257:C259"/>
    <mergeCell ref="D260:H260"/>
    <mergeCell ref="D262:H262"/>
    <mergeCell ref="E263:H263"/>
    <mergeCell ref="F264:H264"/>
    <mergeCell ref="F266:H266"/>
    <mergeCell ref="F268:H268"/>
    <mergeCell ref="G270:H270"/>
    <mergeCell ref="G272:H272"/>
    <mergeCell ref="F274:H274"/>
    <mergeCell ref="G276:H276"/>
    <mergeCell ref="G278:H278"/>
    <mergeCell ref="G280:H280"/>
    <mergeCell ref="E282:H282"/>
    <mergeCell ref="G284:H284"/>
    <mergeCell ref="G286:H286"/>
    <mergeCell ref="E288:H288"/>
    <mergeCell ref="G290:H290"/>
    <mergeCell ref="G292:H292"/>
    <mergeCell ref="G294:H294"/>
    <mergeCell ref="E296:H296"/>
    <mergeCell ref="D299:H299"/>
    <mergeCell ref="E300:H300"/>
    <mergeCell ref="F301:H301"/>
    <mergeCell ref="F303:H303"/>
    <mergeCell ref="F305:H305"/>
    <mergeCell ref="G307:H307"/>
    <mergeCell ref="G309:H309"/>
    <mergeCell ref="F311:H311"/>
    <mergeCell ref="G313:H313"/>
    <mergeCell ref="G315:H315"/>
    <mergeCell ref="G317:H317"/>
    <mergeCell ref="E319:H319"/>
    <mergeCell ref="G321:H321"/>
    <mergeCell ref="G323:H323"/>
    <mergeCell ref="E325:H32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4.43" defaultRowHeight="15.0"/>
  <cols>
    <col customWidth="1" min="1" max="1" width="2.86"/>
    <col hidden="1" min="2" max="2" width="14.43"/>
    <col customWidth="1" min="3" max="3" width="7.14"/>
    <col customWidth="1" min="4" max="7" width="6.0"/>
    <col customWidth="1" min="8" max="8" width="14.14"/>
    <col customWidth="1" min="9" max="9" width="8.14"/>
    <col customWidth="1" min="10" max="22" width="14.57"/>
    <col customWidth="1" min="23" max="26" width="9.14"/>
  </cols>
  <sheetData>
    <row r="1" ht="14.25" customHeight="1">
      <c r="A1" s="8"/>
      <c r="B1" s="8"/>
      <c r="C1" s="8"/>
      <c r="D1" s="8"/>
      <c r="E1" s="8"/>
      <c r="F1" s="8"/>
      <c r="G1" s="8"/>
      <c r="H1" s="8"/>
      <c r="I1" s="8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8"/>
      <c r="X1" s="8"/>
      <c r="Y1" s="8"/>
      <c r="Z1" s="8"/>
    </row>
    <row r="2" ht="14.25" customHeight="1">
      <c r="A2" s="8"/>
      <c r="B2" s="8"/>
      <c r="C2" s="14" t="s">
        <v>316</v>
      </c>
      <c r="D2" s="12"/>
      <c r="E2" s="12"/>
      <c r="F2" s="12"/>
      <c r="G2" s="12"/>
      <c r="H2" s="15">
        <f>ARUS!H2</f>
        <v>2026</v>
      </c>
      <c r="I2" s="8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8"/>
      <c r="X2" s="8"/>
      <c r="Y2" s="8"/>
      <c r="Z2" s="8"/>
    </row>
    <row r="3" ht="14.25" customHeight="1">
      <c r="A3" s="8"/>
      <c r="B3" s="8"/>
      <c r="C3" s="8"/>
      <c r="D3" s="8"/>
      <c r="E3" s="8"/>
      <c r="F3" s="8"/>
      <c r="G3" s="8"/>
      <c r="H3" s="8"/>
      <c r="I3" s="8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8"/>
      <c r="X3" s="8"/>
      <c r="Y3" s="8"/>
      <c r="Z3" s="8"/>
    </row>
    <row r="4" ht="14.25" customHeight="1">
      <c r="A4" s="8"/>
      <c r="B4" s="8" t="str">
        <f>ARUS!B4</f>
        <v>002</v>
      </c>
      <c r="C4" s="14" t="s">
        <v>317</v>
      </c>
      <c r="D4" s="12"/>
      <c r="E4" s="12"/>
      <c r="F4" s="12"/>
      <c r="G4" s="12"/>
      <c r="H4" s="7" t="str">
        <f>ARUS!H4</f>
        <v>Regional.2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8"/>
      <c r="X4" s="8"/>
      <c r="Y4" s="8"/>
      <c r="Z4" s="8"/>
    </row>
    <row r="5" ht="14.25" customHeight="1">
      <c r="A5" s="8"/>
      <c r="B5" s="8" t="str">
        <f>ARUS!B5</f>
        <v>RegP2</v>
      </c>
      <c r="C5" s="8"/>
      <c r="D5" s="8"/>
      <c r="E5" s="8"/>
      <c r="F5" s="8"/>
      <c r="G5" s="8"/>
      <c r="H5" s="8"/>
      <c r="I5" s="8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8"/>
      <c r="X5" s="8"/>
      <c r="Y5" s="8"/>
      <c r="Z5" s="8"/>
    </row>
    <row r="6" ht="14.25" customHeight="1">
      <c r="A6" s="8"/>
      <c r="B6" s="8">
        <f>ARUS!B6</f>
        <v>38</v>
      </c>
      <c r="C6" s="14" t="s">
        <v>318</v>
      </c>
      <c r="D6" s="12"/>
      <c r="E6" s="12"/>
      <c r="F6" s="12"/>
      <c r="G6" s="12"/>
      <c r="H6" s="7" t="str">
        <f>ARUS!H6</f>
        <v>Banten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8"/>
      <c r="X6" s="8"/>
      <c r="Y6" s="8"/>
      <c r="Z6" s="8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8"/>
      <c r="X7" s="8"/>
      <c r="Y7" s="8"/>
      <c r="Z7" s="8"/>
    </row>
    <row r="8" ht="14.25" customHeight="1">
      <c r="A8" s="16">
        <v>1.0</v>
      </c>
      <c r="B8" s="17"/>
      <c r="C8" s="16" t="s">
        <v>931</v>
      </c>
      <c r="D8" s="8"/>
      <c r="E8" s="8"/>
      <c r="F8" s="8"/>
      <c r="G8" s="8"/>
      <c r="H8" s="8"/>
      <c r="I8" s="116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8"/>
      <c r="X8" s="8"/>
      <c r="Y8" s="8"/>
      <c r="Z8" s="8"/>
    </row>
    <row r="9" ht="14.25" hidden="1" customHeight="1">
      <c r="A9" s="17"/>
      <c r="B9" s="17"/>
      <c r="C9" s="16"/>
      <c r="D9" s="8"/>
      <c r="E9" s="8"/>
      <c r="F9" s="8"/>
      <c r="G9" s="8"/>
      <c r="H9" s="8"/>
      <c r="I9" s="116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8"/>
      <c r="X9" s="8"/>
      <c r="Y9" s="8"/>
      <c r="Z9" s="8"/>
    </row>
    <row r="10" ht="14.25" hidden="1" customHeight="1">
      <c r="A10" s="17"/>
      <c r="B10" s="17" t="s">
        <v>320</v>
      </c>
      <c r="C10" s="16"/>
      <c r="I10" s="116"/>
      <c r="J10" s="13">
        <v>1.0</v>
      </c>
      <c r="K10" s="13">
        <v>2.0</v>
      </c>
      <c r="L10" s="13">
        <v>3.0</v>
      </c>
      <c r="M10" s="13">
        <v>4.0</v>
      </c>
      <c r="N10" s="13">
        <v>5.0</v>
      </c>
      <c r="O10" s="13">
        <v>6.0</v>
      </c>
      <c r="P10" s="13">
        <v>7.0</v>
      </c>
      <c r="Q10" s="13">
        <v>8.0</v>
      </c>
      <c r="R10" s="13">
        <v>9.0</v>
      </c>
      <c r="S10" s="13">
        <v>10.0</v>
      </c>
      <c r="T10" s="13">
        <v>11.0</v>
      </c>
      <c r="U10" s="13">
        <v>12.0</v>
      </c>
      <c r="V10" s="13"/>
      <c r="W10" s="8"/>
      <c r="X10" s="8"/>
      <c r="Y10" s="8"/>
      <c r="Z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116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8"/>
      <c r="X11" s="8"/>
      <c r="Y11" s="8"/>
      <c r="Z11" s="8"/>
    </row>
    <row r="12" ht="15.0" customHeight="1">
      <c r="A12" s="8"/>
      <c r="B12" s="8"/>
      <c r="C12" s="18" t="s">
        <v>321</v>
      </c>
      <c r="D12" s="19" t="s">
        <v>322</v>
      </c>
      <c r="E12" s="20"/>
      <c r="F12" s="20"/>
      <c r="G12" s="20"/>
      <c r="H12" s="21"/>
      <c r="I12" s="22" t="s">
        <v>323</v>
      </c>
      <c r="J12" s="23">
        <f>$H$2</f>
        <v>2026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  <c r="W12" s="8"/>
      <c r="X12" s="8"/>
      <c r="Y12" s="8"/>
      <c r="Z12" s="8"/>
    </row>
    <row r="13" ht="14.25" customHeight="1">
      <c r="A13" s="8"/>
      <c r="B13" s="8"/>
      <c r="C13" s="24"/>
      <c r="D13" s="25"/>
      <c r="H13" s="26"/>
      <c r="I13" s="24"/>
      <c r="J13" s="28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0"/>
      <c r="W13" s="8"/>
      <c r="X13" s="8"/>
      <c r="Y13" s="8"/>
      <c r="Z13" s="8"/>
    </row>
    <row r="14" ht="14.25" customHeight="1">
      <c r="A14" s="8"/>
      <c r="B14" s="8"/>
      <c r="C14" s="27"/>
      <c r="D14" s="28"/>
      <c r="E14" s="29"/>
      <c r="F14" s="29"/>
      <c r="G14" s="29"/>
      <c r="H14" s="30"/>
      <c r="I14" s="27"/>
      <c r="J14" s="96" t="s">
        <v>324</v>
      </c>
      <c r="K14" s="96" t="s">
        <v>325</v>
      </c>
      <c r="L14" s="96" t="s">
        <v>326</v>
      </c>
      <c r="M14" s="96" t="s">
        <v>327</v>
      </c>
      <c r="N14" s="96" t="s">
        <v>328</v>
      </c>
      <c r="O14" s="96" t="s">
        <v>329</v>
      </c>
      <c r="P14" s="96" t="s">
        <v>330</v>
      </c>
      <c r="Q14" s="96" t="s">
        <v>331</v>
      </c>
      <c r="R14" s="96" t="s">
        <v>332</v>
      </c>
      <c r="S14" s="96" t="s">
        <v>333</v>
      </c>
      <c r="T14" s="96" t="s">
        <v>334</v>
      </c>
      <c r="U14" s="96" t="s">
        <v>335</v>
      </c>
      <c r="V14" s="96" t="s">
        <v>336</v>
      </c>
      <c r="W14" s="8"/>
      <c r="X14" s="8"/>
      <c r="Y14" s="8"/>
      <c r="Z14" s="8"/>
    </row>
    <row r="15" ht="14.25" customHeight="1">
      <c r="A15" s="8"/>
      <c r="B15" s="8"/>
      <c r="C15" s="31">
        <v>1.0</v>
      </c>
      <c r="D15" s="32">
        <v>2.0</v>
      </c>
      <c r="E15" s="33"/>
      <c r="F15" s="33"/>
      <c r="G15" s="33"/>
      <c r="H15" s="34"/>
      <c r="I15" s="35">
        <v>3.0</v>
      </c>
      <c r="J15" s="97">
        <v>4.0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  <c r="V15" s="35">
        <v>5.0</v>
      </c>
      <c r="W15" s="8"/>
      <c r="X15" s="8"/>
      <c r="Y15" s="8"/>
      <c r="Z15" s="8"/>
    </row>
    <row r="16" ht="14.25" customHeight="1">
      <c r="A16" s="8"/>
      <c r="B16" s="8"/>
      <c r="C16" s="46"/>
      <c r="D16" s="54"/>
      <c r="E16" s="33"/>
      <c r="F16" s="33"/>
      <c r="G16" s="33"/>
      <c r="H16" s="34"/>
      <c r="I16" s="64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8"/>
      <c r="X16" s="8"/>
      <c r="Y16" s="8"/>
      <c r="Z16" s="8"/>
    </row>
    <row r="17" ht="14.25" customHeight="1">
      <c r="A17" s="8"/>
      <c r="B17" s="8"/>
      <c r="C17" s="46">
        <v>1.0</v>
      </c>
      <c r="D17" s="47" t="s">
        <v>689</v>
      </c>
      <c r="E17" s="33"/>
      <c r="F17" s="33"/>
      <c r="G17" s="33"/>
      <c r="H17" s="34"/>
      <c r="I17" s="64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8"/>
      <c r="X17" s="8"/>
      <c r="Y17" s="8"/>
      <c r="Z17" s="8"/>
    </row>
    <row r="18" ht="14.25" customHeight="1">
      <c r="A18" s="8"/>
      <c r="B18" s="8" t="s">
        <v>932</v>
      </c>
      <c r="C18" s="46"/>
      <c r="D18" s="46">
        <v>1.0</v>
      </c>
      <c r="E18" s="47" t="s">
        <v>933</v>
      </c>
      <c r="F18" s="33"/>
      <c r="G18" s="33"/>
      <c r="H18" s="34"/>
      <c r="I18" s="64" t="s">
        <v>702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119"/>
      <c r="W18" s="8"/>
      <c r="X18" s="8"/>
      <c r="Y18" s="8"/>
      <c r="Z18" s="8"/>
    </row>
    <row r="19" ht="14.25" customHeight="1">
      <c r="A19" s="8"/>
      <c r="B19" s="8" t="s">
        <v>934</v>
      </c>
      <c r="C19" s="46"/>
      <c r="D19" s="46">
        <v>2.0</v>
      </c>
      <c r="E19" s="47" t="s">
        <v>935</v>
      </c>
      <c r="F19" s="33"/>
      <c r="G19" s="33"/>
      <c r="H19" s="34"/>
      <c r="I19" s="64" t="s">
        <v>702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119" t="str">
        <f>IFERROR(AVERAGE(J19:U19),"")</f>
        <v/>
      </c>
      <c r="W19" s="8"/>
      <c r="X19" s="8"/>
      <c r="Y19" s="8"/>
      <c r="Z19" s="8"/>
    </row>
    <row r="20" ht="14.25" customHeight="1">
      <c r="A20" s="8"/>
      <c r="B20" s="8"/>
      <c r="C20" s="46"/>
      <c r="D20" s="54"/>
      <c r="E20" s="33"/>
      <c r="F20" s="33"/>
      <c r="G20" s="33"/>
      <c r="H20" s="34"/>
      <c r="I20" s="64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8"/>
      <c r="X20" s="8"/>
      <c r="Y20" s="8"/>
      <c r="Z20" s="8"/>
    </row>
    <row r="21" ht="14.25" customHeight="1">
      <c r="A21" s="8"/>
      <c r="B21" s="8"/>
      <c r="C21" s="46">
        <v>2.0</v>
      </c>
      <c r="D21" s="47" t="s">
        <v>703</v>
      </c>
      <c r="E21" s="33"/>
      <c r="F21" s="33"/>
      <c r="G21" s="33"/>
      <c r="H21" s="34"/>
      <c r="I21" s="64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8"/>
      <c r="X21" s="8"/>
      <c r="Y21" s="8"/>
      <c r="Z21" s="8"/>
    </row>
    <row r="22" ht="14.25" customHeight="1">
      <c r="A22" s="8"/>
      <c r="B22" s="8" t="s">
        <v>936</v>
      </c>
      <c r="C22" s="46"/>
      <c r="D22" s="46">
        <v>1.0</v>
      </c>
      <c r="E22" s="47" t="s">
        <v>933</v>
      </c>
      <c r="F22" s="33"/>
      <c r="G22" s="33"/>
      <c r="H22" s="34"/>
      <c r="I22" s="64" t="s">
        <v>702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119" t="str">
        <f t="shared" ref="V22:V24" si="1">IFERROR(AVERAGE(J22:U22),"")</f>
        <v/>
      </c>
      <c r="W22" s="8"/>
      <c r="X22" s="8"/>
      <c r="Y22" s="8"/>
      <c r="Z22" s="8"/>
    </row>
    <row r="23" ht="14.25" customHeight="1">
      <c r="A23" s="8"/>
      <c r="B23" s="8" t="s">
        <v>937</v>
      </c>
      <c r="C23" s="46"/>
      <c r="D23" s="46">
        <v>2.0</v>
      </c>
      <c r="E23" s="47" t="s">
        <v>935</v>
      </c>
      <c r="F23" s="33"/>
      <c r="G23" s="33"/>
      <c r="H23" s="34"/>
      <c r="I23" s="64" t="s">
        <v>702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119" t="str">
        <f t="shared" si="1"/>
        <v/>
      </c>
      <c r="W23" s="8"/>
      <c r="X23" s="8"/>
      <c r="Y23" s="8"/>
      <c r="Z23" s="8"/>
    </row>
    <row r="24" ht="14.25" customHeight="1">
      <c r="A24" s="8"/>
      <c r="B24" s="8" t="s">
        <v>938</v>
      </c>
      <c r="C24" s="46"/>
      <c r="D24" s="46">
        <v>3.0</v>
      </c>
      <c r="E24" s="47" t="s">
        <v>939</v>
      </c>
      <c r="F24" s="33"/>
      <c r="G24" s="33"/>
      <c r="H24" s="34"/>
      <c r="I24" s="64" t="s">
        <v>702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119" t="str">
        <f t="shared" si="1"/>
        <v/>
      </c>
      <c r="W24" s="8"/>
      <c r="X24" s="8"/>
      <c r="Y24" s="8"/>
      <c r="Z24" s="8"/>
    </row>
    <row r="25" ht="14.25" customHeight="1">
      <c r="A25" s="8"/>
      <c r="B25" s="8"/>
      <c r="C25" s="128"/>
      <c r="D25" s="129"/>
      <c r="E25" s="29"/>
      <c r="F25" s="29"/>
      <c r="G25" s="29"/>
      <c r="H25" s="30"/>
      <c r="I25" s="64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8"/>
      <c r="X25" s="8"/>
      <c r="Y25" s="8"/>
      <c r="Z25" s="8"/>
    </row>
    <row r="26" ht="14.25" customHeight="1">
      <c r="A26" s="8"/>
      <c r="B26" s="8"/>
      <c r="C26" s="46">
        <v>3.0</v>
      </c>
      <c r="D26" s="47" t="s">
        <v>710</v>
      </c>
      <c r="E26" s="33"/>
      <c r="F26" s="33"/>
      <c r="G26" s="33"/>
      <c r="H26" s="34"/>
      <c r="I26" s="64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8"/>
      <c r="X26" s="8"/>
      <c r="Y26" s="8"/>
      <c r="Z26" s="8"/>
    </row>
    <row r="27" ht="14.25" customHeight="1">
      <c r="A27" s="8"/>
      <c r="B27" s="8" t="s">
        <v>940</v>
      </c>
      <c r="C27" s="46"/>
      <c r="D27" s="46"/>
      <c r="E27" s="47" t="s">
        <v>933</v>
      </c>
      <c r="F27" s="33"/>
      <c r="G27" s="33"/>
      <c r="H27" s="34"/>
      <c r="I27" s="64" t="s">
        <v>702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119" t="str">
        <f>IFERROR(AVERAGE(J27:U27),"")</f>
        <v/>
      </c>
      <c r="W27" s="8"/>
      <c r="X27" s="8"/>
      <c r="Y27" s="8"/>
      <c r="Z27" s="8"/>
    </row>
    <row r="28" ht="14.25" customHeight="1">
      <c r="A28" s="8"/>
      <c r="B28" s="8"/>
      <c r="C28" s="46"/>
      <c r="D28" s="54"/>
      <c r="E28" s="33"/>
      <c r="F28" s="33"/>
      <c r="G28" s="33"/>
      <c r="H28" s="34"/>
      <c r="I28" s="64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8"/>
      <c r="X28" s="8"/>
      <c r="Y28" s="8"/>
      <c r="Z28" s="8"/>
    </row>
    <row r="29" ht="14.25" customHeight="1">
      <c r="A29" s="8"/>
      <c r="B29" s="8"/>
      <c r="C29" s="46">
        <v>4.0</v>
      </c>
      <c r="D29" s="47" t="s">
        <v>717</v>
      </c>
      <c r="E29" s="33"/>
      <c r="F29" s="33"/>
      <c r="G29" s="33"/>
      <c r="H29" s="34"/>
      <c r="I29" s="64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8"/>
      <c r="X29" s="8"/>
      <c r="Y29" s="8"/>
      <c r="Z29" s="8"/>
    </row>
    <row r="30" ht="14.25" customHeight="1">
      <c r="A30" s="8"/>
      <c r="B30" s="8" t="s">
        <v>941</v>
      </c>
      <c r="C30" s="46"/>
      <c r="D30" s="46">
        <v>1.0</v>
      </c>
      <c r="E30" s="47" t="s">
        <v>933</v>
      </c>
      <c r="F30" s="33"/>
      <c r="G30" s="33"/>
      <c r="H30" s="34"/>
      <c r="I30" s="64" t="s">
        <v>702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119" t="str">
        <f t="shared" ref="V30:V32" si="2">IFERROR(AVERAGE(J30:U30),"")</f>
        <v/>
      </c>
      <c r="W30" s="8"/>
      <c r="X30" s="8"/>
      <c r="Y30" s="8"/>
      <c r="Z30" s="8"/>
    </row>
    <row r="31" ht="14.25" customHeight="1">
      <c r="A31" s="8"/>
      <c r="B31" s="8" t="s">
        <v>942</v>
      </c>
      <c r="C31" s="46"/>
      <c r="D31" s="46">
        <v>2.0</v>
      </c>
      <c r="E31" s="47" t="s">
        <v>935</v>
      </c>
      <c r="F31" s="33"/>
      <c r="G31" s="33"/>
      <c r="H31" s="34"/>
      <c r="I31" s="64" t="s">
        <v>702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119" t="str">
        <f t="shared" si="2"/>
        <v/>
      </c>
      <c r="W31" s="8"/>
      <c r="X31" s="8"/>
      <c r="Y31" s="8"/>
      <c r="Z31" s="8"/>
    </row>
    <row r="32" ht="14.25" customHeight="1">
      <c r="A32" s="8"/>
      <c r="B32" s="8" t="s">
        <v>943</v>
      </c>
      <c r="C32" s="46"/>
      <c r="D32" s="54">
        <v>3.0</v>
      </c>
      <c r="E32" s="47" t="s">
        <v>939</v>
      </c>
      <c r="F32" s="33"/>
      <c r="G32" s="33"/>
      <c r="H32" s="34"/>
      <c r="I32" s="64" t="s">
        <v>702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119" t="str">
        <f t="shared" si="2"/>
        <v/>
      </c>
      <c r="W32" s="8"/>
      <c r="X32" s="8"/>
      <c r="Y32" s="8"/>
      <c r="Z32" s="8"/>
    </row>
    <row r="33" ht="14.25" customHeight="1">
      <c r="A33" s="8"/>
      <c r="B33" s="8"/>
      <c r="C33" s="46"/>
      <c r="D33" s="54"/>
      <c r="E33" s="92"/>
      <c r="F33" s="71"/>
      <c r="G33" s="71"/>
      <c r="H33" s="72"/>
      <c r="I33" s="6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98"/>
      <c r="W33" s="8"/>
      <c r="X33" s="8"/>
      <c r="Y33" s="8"/>
      <c r="Z33" s="8"/>
    </row>
    <row r="34" ht="14.25" customHeight="1">
      <c r="A34" s="8"/>
      <c r="B34" s="8"/>
      <c r="C34" s="130">
        <v>5.0</v>
      </c>
      <c r="D34" s="67" t="s">
        <v>724</v>
      </c>
      <c r="E34" s="33"/>
      <c r="F34" s="33"/>
      <c r="G34" s="33"/>
      <c r="H34" s="34"/>
      <c r="I34" s="6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98"/>
      <c r="W34" s="8"/>
      <c r="X34" s="8"/>
      <c r="Y34" s="8"/>
      <c r="Z34" s="8"/>
    </row>
    <row r="35" ht="14.25" customHeight="1">
      <c r="A35" s="8"/>
      <c r="B35" s="8" t="s">
        <v>944</v>
      </c>
      <c r="C35" s="131"/>
      <c r="D35" s="132">
        <v>1.0</v>
      </c>
      <c r="E35" s="67" t="s">
        <v>933</v>
      </c>
      <c r="F35" s="33"/>
      <c r="G35" s="33"/>
      <c r="H35" s="34"/>
      <c r="I35" s="64" t="s">
        <v>702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119" t="str">
        <f t="shared" ref="V35:V36" si="3">IFERROR(AVERAGE(J35:U35),"")</f>
        <v/>
      </c>
      <c r="W35" s="8"/>
      <c r="X35" s="8"/>
      <c r="Y35" s="8"/>
      <c r="Z35" s="8"/>
    </row>
    <row r="36" ht="14.25" customHeight="1">
      <c r="A36" s="8"/>
      <c r="B36" s="8" t="s">
        <v>945</v>
      </c>
      <c r="C36" s="131"/>
      <c r="D36" s="132">
        <v>2.0</v>
      </c>
      <c r="E36" s="67" t="s">
        <v>935</v>
      </c>
      <c r="F36" s="33"/>
      <c r="G36" s="33"/>
      <c r="H36" s="34"/>
      <c r="I36" s="64" t="s">
        <v>702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119" t="str">
        <f t="shared" si="3"/>
        <v/>
      </c>
      <c r="W36" s="8"/>
      <c r="X36" s="8"/>
      <c r="Y36" s="8"/>
      <c r="Z36" s="8"/>
    </row>
    <row r="37" ht="14.25" customHeight="1">
      <c r="A37" s="8"/>
      <c r="B37" s="8"/>
      <c r="C37" s="46"/>
      <c r="D37" s="54"/>
      <c r="E37" s="92"/>
      <c r="F37" s="71"/>
      <c r="G37" s="71"/>
      <c r="H37" s="72"/>
      <c r="I37" s="64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8"/>
      <c r="X37" s="8"/>
      <c r="Y37" s="8"/>
      <c r="Z37" s="8"/>
    </row>
    <row r="38" ht="14.25" customHeight="1">
      <c r="A38" s="8"/>
      <c r="B38" s="8"/>
      <c r="C38" s="46">
        <v>6.0</v>
      </c>
      <c r="D38" s="47" t="s">
        <v>946</v>
      </c>
      <c r="E38" s="33"/>
      <c r="F38" s="33"/>
      <c r="G38" s="33"/>
      <c r="H38" s="34"/>
      <c r="I38" s="64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8"/>
      <c r="X38" s="8"/>
      <c r="Y38" s="8"/>
      <c r="Z38" s="8"/>
    </row>
    <row r="39" ht="14.25" customHeight="1">
      <c r="A39" s="8"/>
      <c r="B39" s="8" t="s">
        <v>947</v>
      </c>
      <c r="C39" s="46"/>
      <c r="D39" s="46">
        <v>1.0</v>
      </c>
      <c r="E39" s="47" t="s">
        <v>933</v>
      </c>
      <c r="F39" s="33"/>
      <c r="G39" s="33"/>
      <c r="H39" s="34"/>
      <c r="I39" s="64" t="s">
        <v>702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119" t="str">
        <f t="shared" ref="V39:V42" si="4">IFERROR(AVERAGE(J39:U39),"")</f>
        <v/>
      </c>
      <c r="W39" s="8"/>
      <c r="X39" s="8"/>
      <c r="Y39" s="8"/>
      <c r="Z39" s="8"/>
    </row>
    <row r="40" ht="14.25" customHeight="1">
      <c r="A40" s="8"/>
      <c r="B40" s="8" t="s">
        <v>948</v>
      </c>
      <c r="C40" s="46"/>
      <c r="D40" s="46">
        <v>2.0</v>
      </c>
      <c r="E40" s="47" t="s">
        <v>935</v>
      </c>
      <c r="F40" s="33"/>
      <c r="G40" s="33"/>
      <c r="H40" s="34"/>
      <c r="I40" s="64" t="s">
        <v>702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119" t="str">
        <f t="shared" si="4"/>
        <v/>
      </c>
      <c r="W40" s="8"/>
      <c r="X40" s="8"/>
      <c r="Y40" s="8"/>
      <c r="Z40" s="8"/>
    </row>
    <row r="41" ht="14.25" customHeight="1">
      <c r="A41" s="8"/>
      <c r="B41" s="8" t="s">
        <v>949</v>
      </c>
      <c r="C41" s="46"/>
      <c r="D41" s="46">
        <v>3.0</v>
      </c>
      <c r="E41" s="47" t="s">
        <v>950</v>
      </c>
      <c r="F41" s="33"/>
      <c r="G41" s="33"/>
      <c r="H41" s="34"/>
      <c r="I41" s="64" t="s">
        <v>702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119" t="str">
        <f t="shared" si="4"/>
        <v/>
      </c>
      <c r="W41" s="8"/>
      <c r="X41" s="8"/>
      <c r="Y41" s="8"/>
      <c r="Z41" s="8"/>
    </row>
    <row r="42" ht="14.25" customHeight="1">
      <c r="A42" s="8"/>
      <c r="B42" s="8" t="s">
        <v>951</v>
      </c>
      <c r="C42" s="46"/>
      <c r="D42" s="46">
        <v>4.0</v>
      </c>
      <c r="E42" s="47" t="s">
        <v>952</v>
      </c>
      <c r="F42" s="33"/>
      <c r="G42" s="33"/>
      <c r="H42" s="34"/>
      <c r="I42" s="64" t="s">
        <v>702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119" t="str">
        <f t="shared" si="4"/>
        <v/>
      </c>
      <c r="W42" s="8"/>
      <c r="X42" s="8"/>
      <c r="Y42" s="8"/>
      <c r="Z42" s="8"/>
    </row>
    <row r="43" ht="14.25" customHeight="1">
      <c r="A43" s="8"/>
      <c r="B43" s="8"/>
      <c r="C43" s="107"/>
      <c r="D43" s="107"/>
      <c r="E43" s="107"/>
      <c r="F43" s="108"/>
      <c r="G43" s="108"/>
      <c r="H43" s="108"/>
      <c r="I43" s="122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15"/>
      <c r="W43" s="8"/>
      <c r="X43" s="8"/>
      <c r="Y43" s="8"/>
      <c r="Z43" s="8"/>
    </row>
    <row r="44" ht="14.25" customHeight="1">
      <c r="A44" s="16">
        <v>2.0</v>
      </c>
      <c r="B44" s="8"/>
      <c r="C44" s="111" t="s">
        <v>953</v>
      </c>
      <c r="D44" s="112"/>
      <c r="E44" s="113"/>
      <c r="F44" s="113"/>
      <c r="G44" s="113"/>
      <c r="H44" s="113"/>
      <c r="I44" s="113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3"/>
      <c r="W44" s="8"/>
      <c r="X44" s="8"/>
      <c r="Y44" s="8"/>
      <c r="Z44" s="8"/>
    </row>
    <row r="45" ht="14.25" customHeight="1">
      <c r="A45" s="8"/>
      <c r="B45" s="8"/>
      <c r="C45" s="115"/>
      <c r="D45" s="115"/>
      <c r="E45" s="115"/>
      <c r="F45" s="115"/>
      <c r="G45" s="115"/>
      <c r="H45" s="115"/>
      <c r="I45" s="115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15"/>
      <c r="W45" s="8"/>
      <c r="X45" s="8"/>
      <c r="Y45" s="8"/>
      <c r="Z45" s="8"/>
    </row>
    <row r="46" ht="15.0" customHeight="1">
      <c r="A46" s="8"/>
      <c r="B46" s="8"/>
      <c r="C46" s="18" t="s">
        <v>321</v>
      </c>
      <c r="D46" s="19" t="s">
        <v>322</v>
      </c>
      <c r="E46" s="20"/>
      <c r="F46" s="20"/>
      <c r="G46" s="20"/>
      <c r="H46" s="21"/>
      <c r="I46" s="22" t="s">
        <v>323</v>
      </c>
      <c r="J46" s="23">
        <f>$H$2</f>
        <v>2026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1"/>
      <c r="W46" s="8"/>
      <c r="X46" s="8"/>
      <c r="Y46" s="8"/>
      <c r="Z46" s="8"/>
    </row>
    <row r="47" ht="14.25" customHeight="1">
      <c r="A47" s="8"/>
      <c r="B47" s="8"/>
      <c r="C47" s="24"/>
      <c r="D47" s="25"/>
      <c r="H47" s="26"/>
      <c r="I47" s="24"/>
      <c r="J47" s="28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30"/>
      <c r="W47" s="8"/>
      <c r="X47" s="8"/>
      <c r="Y47" s="8"/>
      <c r="Z47" s="8"/>
    </row>
    <row r="48" ht="14.25" customHeight="1">
      <c r="A48" s="8"/>
      <c r="B48" s="8"/>
      <c r="C48" s="27"/>
      <c r="D48" s="28"/>
      <c r="E48" s="29"/>
      <c r="F48" s="29"/>
      <c r="G48" s="29"/>
      <c r="H48" s="30"/>
      <c r="I48" s="27"/>
      <c r="J48" s="96" t="s">
        <v>324</v>
      </c>
      <c r="K48" s="96" t="s">
        <v>325</v>
      </c>
      <c r="L48" s="96" t="s">
        <v>326</v>
      </c>
      <c r="M48" s="96" t="s">
        <v>327</v>
      </c>
      <c r="N48" s="96" t="s">
        <v>328</v>
      </c>
      <c r="O48" s="96" t="s">
        <v>329</v>
      </c>
      <c r="P48" s="96" t="s">
        <v>330</v>
      </c>
      <c r="Q48" s="96" t="s">
        <v>331</v>
      </c>
      <c r="R48" s="96" t="s">
        <v>332</v>
      </c>
      <c r="S48" s="96" t="s">
        <v>333</v>
      </c>
      <c r="T48" s="96" t="s">
        <v>334</v>
      </c>
      <c r="U48" s="96" t="s">
        <v>335</v>
      </c>
      <c r="V48" s="96" t="s">
        <v>336</v>
      </c>
      <c r="W48" s="8"/>
      <c r="X48" s="8"/>
      <c r="Y48" s="8"/>
      <c r="Z48" s="8"/>
    </row>
    <row r="49" ht="14.25" customHeight="1">
      <c r="A49" s="8"/>
      <c r="B49" s="8"/>
      <c r="C49" s="31">
        <v>1.0</v>
      </c>
      <c r="D49" s="32">
        <v>2.0</v>
      </c>
      <c r="E49" s="33"/>
      <c r="F49" s="33"/>
      <c r="G49" s="33"/>
      <c r="H49" s="34"/>
      <c r="I49" s="35">
        <v>3.0</v>
      </c>
      <c r="J49" s="97">
        <v>4.0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>
        <v>5.0</v>
      </c>
      <c r="W49" s="8"/>
      <c r="X49" s="8"/>
      <c r="Y49" s="8"/>
      <c r="Z49" s="8"/>
    </row>
    <row r="50" ht="14.25" customHeight="1">
      <c r="A50" s="8"/>
      <c r="B50" s="8"/>
      <c r="C50" s="46"/>
      <c r="D50" s="54"/>
      <c r="E50" s="33"/>
      <c r="F50" s="33"/>
      <c r="G50" s="33"/>
      <c r="H50" s="34"/>
      <c r="I50" s="64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8"/>
      <c r="X50" s="8"/>
      <c r="Y50" s="8"/>
      <c r="Z50" s="8"/>
    </row>
    <row r="51" ht="14.25" customHeight="1">
      <c r="A51" s="8"/>
      <c r="B51" s="8"/>
      <c r="C51" s="46">
        <v>1.0</v>
      </c>
      <c r="D51" s="47" t="s">
        <v>954</v>
      </c>
      <c r="E51" s="33"/>
      <c r="F51" s="33"/>
      <c r="G51" s="33"/>
      <c r="H51" s="34"/>
      <c r="I51" s="64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8"/>
      <c r="X51" s="8"/>
      <c r="Y51" s="8"/>
      <c r="Z51" s="8"/>
    </row>
    <row r="52" ht="14.25" customHeight="1">
      <c r="A52" s="8"/>
      <c r="B52" s="8"/>
      <c r="C52" s="46"/>
      <c r="D52" s="46">
        <v>1.0</v>
      </c>
      <c r="E52" s="47" t="s">
        <v>955</v>
      </c>
      <c r="F52" s="33"/>
      <c r="G52" s="33"/>
      <c r="H52" s="34"/>
      <c r="I52" s="64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8"/>
      <c r="X52" s="8"/>
      <c r="Y52" s="8"/>
      <c r="Z52" s="8"/>
    </row>
    <row r="53" ht="14.25" customHeight="1">
      <c r="A53" s="8"/>
      <c r="B53" s="8" t="s">
        <v>956</v>
      </c>
      <c r="C53" s="46"/>
      <c r="D53" s="54"/>
      <c r="E53" s="48">
        <v>1.0</v>
      </c>
      <c r="F53" s="47" t="s">
        <v>957</v>
      </c>
      <c r="G53" s="33"/>
      <c r="H53" s="34"/>
      <c r="I53" s="64" t="s">
        <v>702</v>
      </c>
      <c r="J53" s="49">
        <v>98.16</v>
      </c>
      <c r="K53" s="133">
        <v>100.0</v>
      </c>
      <c r="L53" s="52">
        <v>100.0</v>
      </c>
      <c r="M53" s="52">
        <v>100.0</v>
      </c>
      <c r="N53" s="134">
        <v>100.0</v>
      </c>
      <c r="O53" s="135">
        <v>93.81</v>
      </c>
      <c r="P53" s="52"/>
      <c r="Q53" s="52"/>
      <c r="R53" s="52"/>
      <c r="S53" s="52"/>
      <c r="T53" s="52"/>
      <c r="U53" s="52"/>
      <c r="V53" s="119">
        <f t="shared" ref="V53:V58" si="5">IFERROR(AVERAGE(J53:U53),"")</f>
        <v>98.66166667</v>
      </c>
      <c r="W53" s="8"/>
      <c r="X53" s="8"/>
      <c r="Y53" s="8"/>
      <c r="Z53" s="8"/>
    </row>
    <row r="54" ht="14.25" customHeight="1">
      <c r="A54" s="8"/>
      <c r="B54" s="8" t="s">
        <v>958</v>
      </c>
      <c r="C54" s="46"/>
      <c r="D54" s="54"/>
      <c r="E54" s="48">
        <v>2.0</v>
      </c>
      <c r="F54" s="47" t="s">
        <v>959</v>
      </c>
      <c r="G54" s="33"/>
      <c r="H54" s="34"/>
      <c r="I54" s="64" t="s">
        <v>702</v>
      </c>
      <c r="J54" s="60"/>
      <c r="K54" s="61"/>
      <c r="L54" s="52"/>
      <c r="M54" s="52"/>
      <c r="N54" s="60"/>
      <c r="O54" s="52"/>
      <c r="P54" s="52"/>
      <c r="Q54" s="52"/>
      <c r="R54" s="52"/>
      <c r="S54" s="52"/>
      <c r="T54" s="52"/>
      <c r="U54" s="52"/>
      <c r="V54" s="119" t="str">
        <f t="shared" si="5"/>
        <v/>
      </c>
      <c r="W54" s="8"/>
      <c r="X54" s="8"/>
      <c r="Y54" s="8"/>
      <c r="Z54" s="8"/>
    </row>
    <row r="55" ht="14.25" customHeight="1">
      <c r="A55" s="8"/>
      <c r="B55" s="8" t="s">
        <v>960</v>
      </c>
      <c r="C55" s="46"/>
      <c r="D55" s="54"/>
      <c r="E55" s="136">
        <v>3.0</v>
      </c>
      <c r="F55" s="71" t="s">
        <v>961</v>
      </c>
      <c r="G55" s="33"/>
      <c r="H55" s="34"/>
      <c r="I55" s="64" t="s">
        <v>702</v>
      </c>
      <c r="J55" s="60"/>
      <c r="K55" s="61"/>
      <c r="L55" s="52"/>
      <c r="M55" s="52"/>
      <c r="N55" s="60"/>
      <c r="O55" s="52"/>
      <c r="P55" s="52"/>
      <c r="Q55" s="52"/>
      <c r="R55" s="52"/>
      <c r="S55" s="52"/>
      <c r="T55" s="52"/>
      <c r="U55" s="52"/>
      <c r="V55" s="119" t="str">
        <f t="shared" si="5"/>
        <v/>
      </c>
      <c r="W55" s="8"/>
      <c r="X55" s="8"/>
      <c r="Y55" s="8"/>
      <c r="Z55" s="8"/>
    </row>
    <row r="56" ht="14.25" customHeight="1">
      <c r="A56" s="8"/>
      <c r="B56" s="8" t="s">
        <v>962</v>
      </c>
      <c r="C56" s="46"/>
      <c r="D56" s="54"/>
      <c r="E56" s="64">
        <v>4.0</v>
      </c>
      <c r="F56" s="137" t="s">
        <v>963</v>
      </c>
      <c r="G56" s="71"/>
      <c r="H56" s="72"/>
      <c r="I56" s="64" t="s">
        <v>702</v>
      </c>
      <c r="J56" s="60"/>
      <c r="K56" s="61"/>
      <c r="L56" s="52"/>
      <c r="M56" s="52"/>
      <c r="N56" s="60"/>
      <c r="O56" s="52"/>
      <c r="P56" s="52"/>
      <c r="Q56" s="52"/>
      <c r="R56" s="52"/>
      <c r="S56" s="52"/>
      <c r="T56" s="52"/>
      <c r="U56" s="52"/>
      <c r="V56" s="119" t="str">
        <f t="shared" si="5"/>
        <v/>
      </c>
      <c r="W56" s="8"/>
      <c r="X56" s="8"/>
      <c r="Y56" s="8"/>
      <c r="Z56" s="8"/>
    </row>
    <row r="57" ht="14.25" customHeight="1">
      <c r="A57" s="8"/>
      <c r="B57" s="8" t="s">
        <v>964</v>
      </c>
      <c r="C57" s="46"/>
      <c r="D57" s="54"/>
      <c r="E57" s="64">
        <v>5.0</v>
      </c>
      <c r="F57" s="138" t="s">
        <v>965</v>
      </c>
      <c r="G57" s="71"/>
      <c r="H57" s="72"/>
      <c r="I57" s="64" t="s">
        <v>702</v>
      </c>
      <c r="J57" s="60"/>
      <c r="K57" s="61"/>
      <c r="L57" s="52"/>
      <c r="M57" s="52"/>
      <c r="N57" s="60"/>
      <c r="O57" s="52"/>
      <c r="P57" s="52"/>
      <c r="Q57" s="52"/>
      <c r="R57" s="52"/>
      <c r="S57" s="52"/>
      <c r="T57" s="52"/>
      <c r="U57" s="52"/>
      <c r="V57" s="119" t="str">
        <f t="shared" si="5"/>
        <v/>
      </c>
      <c r="W57" s="8"/>
      <c r="X57" s="8"/>
      <c r="Y57" s="8"/>
      <c r="Z57" s="8"/>
    </row>
    <row r="58" ht="14.25" customHeight="1">
      <c r="A58" s="8"/>
      <c r="B58" s="8" t="s">
        <v>966</v>
      </c>
      <c r="C58" s="46"/>
      <c r="D58" s="54"/>
      <c r="E58" s="125">
        <v>6.0</v>
      </c>
      <c r="F58" s="47" t="s">
        <v>967</v>
      </c>
      <c r="G58" s="33"/>
      <c r="H58" s="34"/>
      <c r="I58" s="64" t="s">
        <v>702</v>
      </c>
      <c r="J58" s="60"/>
      <c r="K58" s="61"/>
      <c r="L58" s="52"/>
      <c r="M58" s="52"/>
      <c r="N58" s="60"/>
      <c r="O58" s="52"/>
      <c r="P58" s="52"/>
      <c r="Q58" s="52"/>
      <c r="R58" s="52"/>
      <c r="S58" s="52"/>
      <c r="T58" s="52"/>
      <c r="U58" s="52"/>
      <c r="V58" s="119" t="str">
        <f t="shared" si="5"/>
        <v/>
      </c>
      <c r="W58" s="8"/>
      <c r="X58" s="8"/>
      <c r="Y58" s="8"/>
      <c r="Z58" s="8"/>
    </row>
    <row r="59" ht="14.25" customHeight="1">
      <c r="A59" s="8"/>
      <c r="B59" s="8"/>
      <c r="C59" s="46"/>
      <c r="D59" s="54"/>
      <c r="E59" s="33"/>
      <c r="F59" s="33"/>
      <c r="G59" s="33"/>
      <c r="H59" s="34"/>
      <c r="I59" s="64"/>
      <c r="J59" s="45"/>
      <c r="K59" s="102"/>
      <c r="L59" s="98"/>
      <c r="M59" s="98"/>
      <c r="N59" s="45"/>
      <c r="O59" s="98"/>
      <c r="P59" s="98"/>
      <c r="Q59" s="98"/>
      <c r="R59" s="98"/>
      <c r="S59" s="98"/>
      <c r="T59" s="98"/>
      <c r="U59" s="98"/>
      <c r="V59" s="98"/>
      <c r="W59" s="8"/>
      <c r="X59" s="8"/>
      <c r="Y59" s="8"/>
      <c r="Z59" s="8"/>
    </row>
    <row r="60" ht="14.25" customHeight="1">
      <c r="A60" s="8"/>
      <c r="B60" s="8"/>
      <c r="C60" s="46"/>
      <c r="D60" s="46">
        <v>2.0</v>
      </c>
      <c r="E60" s="47" t="s">
        <v>968</v>
      </c>
      <c r="F60" s="33"/>
      <c r="G60" s="33"/>
      <c r="H60" s="34"/>
      <c r="I60" s="64"/>
      <c r="J60" s="45"/>
      <c r="K60" s="102"/>
      <c r="L60" s="98"/>
      <c r="M60" s="98"/>
      <c r="N60" s="45"/>
      <c r="O60" s="98"/>
      <c r="P60" s="98"/>
      <c r="Q60" s="98"/>
      <c r="R60" s="98"/>
      <c r="S60" s="98"/>
      <c r="T60" s="98"/>
      <c r="U60" s="98"/>
      <c r="V60" s="98"/>
      <c r="W60" s="8"/>
      <c r="X60" s="8"/>
      <c r="Y60" s="8"/>
      <c r="Z60" s="8"/>
    </row>
    <row r="61" ht="14.25" customHeight="1">
      <c r="A61" s="8"/>
      <c r="B61" s="8" t="s">
        <v>969</v>
      </c>
      <c r="C61" s="46"/>
      <c r="D61" s="54"/>
      <c r="E61" s="48">
        <v>1.0</v>
      </c>
      <c r="F61" s="47" t="s">
        <v>957</v>
      </c>
      <c r="G61" s="33"/>
      <c r="H61" s="34"/>
      <c r="I61" s="64" t="s">
        <v>702</v>
      </c>
      <c r="J61" s="49">
        <v>52.86</v>
      </c>
      <c r="K61" s="51">
        <v>53.16</v>
      </c>
      <c r="L61" s="52">
        <v>53.89</v>
      </c>
      <c r="M61" s="49">
        <v>51.95</v>
      </c>
      <c r="N61" s="49">
        <v>56.52</v>
      </c>
      <c r="O61" s="135">
        <v>55.62</v>
      </c>
      <c r="P61" s="52"/>
      <c r="Q61" s="52"/>
      <c r="R61" s="52"/>
      <c r="S61" s="52"/>
      <c r="T61" s="52"/>
      <c r="U61" s="52"/>
      <c r="V61" s="119">
        <f t="shared" ref="V61:V67" si="6">IFERROR(AVERAGE(J61:U61),"")</f>
        <v>54</v>
      </c>
      <c r="W61" s="8"/>
      <c r="X61" s="8"/>
      <c r="Y61" s="8"/>
      <c r="Z61" s="8"/>
    </row>
    <row r="62" ht="14.25" customHeight="1">
      <c r="A62" s="8"/>
      <c r="B62" s="8" t="s">
        <v>970</v>
      </c>
      <c r="C62" s="46"/>
      <c r="D62" s="54"/>
      <c r="E62" s="48">
        <v>2.0</v>
      </c>
      <c r="F62" s="47" t="s">
        <v>959</v>
      </c>
      <c r="G62" s="33"/>
      <c r="H62" s="34"/>
      <c r="I62" s="64" t="s">
        <v>702</v>
      </c>
      <c r="J62" s="52"/>
      <c r="K62" s="61"/>
      <c r="L62" s="52"/>
      <c r="M62" s="60"/>
      <c r="N62" s="60"/>
      <c r="O62" s="52"/>
      <c r="P62" s="52"/>
      <c r="Q62" s="52"/>
      <c r="R62" s="52"/>
      <c r="S62" s="52"/>
      <c r="T62" s="52"/>
      <c r="U62" s="52"/>
      <c r="V62" s="119" t="str">
        <f t="shared" si="6"/>
        <v/>
      </c>
      <c r="W62" s="8"/>
      <c r="X62" s="8"/>
      <c r="Y62" s="8"/>
      <c r="Z62" s="8"/>
    </row>
    <row r="63" ht="14.25" customHeight="1">
      <c r="A63" s="8"/>
      <c r="B63" s="8" t="s">
        <v>971</v>
      </c>
      <c r="C63" s="46"/>
      <c r="D63" s="54"/>
      <c r="E63" s="136">
        <v>3.0</v>
      </c>
      <c r="F63" s="71" t="s">
        <v>961</v>
      </c>
      <c r="G63" s="33"/>
      <c r="H63" s="34"/>
      <c r="I63" s="64" t="s">
        <v>702</v>
      </c>
      <c r="J63" s="52"/>
      <c r="K63" s="61"/>
      <c r="L63" s="52"/>
      <c r="M63" s="60"/>
      <c r="N63" s="60"/>
      <c r="O63" s="52"/>
      <c r="P63" s="52"/>
      <c r="Q63" s="52"/>
      <c r="R63" s="52"/>
      <c r="S63" s="52"/>
      <c r="T63" s="52"/>
      <c r="U63" s="52"/>
      <c r="V63" s="119" t="str">
        <f t="shared" si="6"/>
        <v/>
      </c>
      <c r="W63" s="8"/>
      <c r="X63" s="8"/>
      <c r="Y63" s="8"/>
      <c r="Z63" s="8"/>
    </row>
    <row r="64" ht="14.25" customHeight="1">
      <c r="A64" s="8"/>
      <c r="B64" s="8" t="s">
        <v>972</v>
      </c>
      <c r="C64" s="46"/>
      <c r="D64" s="54"/>
      <c r="E64" s="64">
        <v>4.0</v>
      </c>
      <c r="F64" s="139" t="s">
        <v>963</v>
      </c>
      <c r="G64" s="71"/>
      <c r="H64" s="72"/>
      <c r="I64" s="64" t="s">
        <v>702</v>
      </c>
      <c r="J64" s="52"/>
      <c r="K64" s="61"/>
      <c r="L64" s="52"/>
      <c r="M64" s="60"/>
      <c r="N64" s="60"/>
      <c r="O64" s="52"/>
      <c r="P64" s="52"/>
      <c r="Q64" s="52"/>
      <c r="R64" s="52"/>
      <c r="S64" s="52"/>
      <c r="T64" s="52"/>
      <c r="U64" s="52"/>
      <c r="V64" s="119" t="str">
        <f t="shared" si="6"/>
        <v/>
      </c>
      <c r="W64" s="8"/>
      <c r="X64" s="8"/>
      <c r="Y64" s="8"/>
      <c r="Z64" s="8"/>
    </row>
    <row r="65" ht="14.25" customHeight="1">
      <c r="A65" s="8"/>
      <c r="B65" s="8" t="s">
        <v>973</v>
      </c>
      <c r="C65" s="46"/>
      <c r="D65" s="54"/>
      <c r="E65" s="64">
        <v>5.0</v>
      </c>
      <c r="F65" s="140" t="s">
        <v>965</v>
      </c>
      <c r="G65" s="71"/>
      <c r="H65" s="72"/>
      <c r="I65" s="64" t="s">
        <v>702</v>
      </c>
      <c r="J65" s="52"/>
      <c r="K65" s="61"/>
      <c r="L65" s="52"/>
      <c r="M65" s="60"/>
      <c r="N65" s="60"/>
      <c r="O65" s="52"/>
      <c r="P65" s="52"/>
      <c r="Q65" s="52"/>
      <c r="R65" s="52"/>
      <c r="S65" s="52"/>
      <c r="T65" s="52"/>
      <c r="U65" s="52"/>
      <c r="V65" s="119" t="str">
        <f t="shared" si="6"/>
        <v/>
      </c>
      <c r="W65" s="8"/>
      <c r="X65" s="8"/>
      <c r="Y65" s="8"/>
      <c r="Z65" s="8"/>
    </row>
    <row r="66" ht="14.25" customHeight="1">
      <c r="A66" s="8"/>
      <c r="B66" s="8" t="s">
        <v>974</v>
      </c>
      <c r="C66" s="46"/>
      <c r="D66" s="54"/>
      <c r="E66" s="125">
        <v>6.0</v>
      </c>
      <c r="F66" s="47" t="s">
        <v>967</v>
      </c>
      <c r="G66" s="33"/>
      <c r="H66" s="34"/>
      <c r="I66" s="64" t="s">
        <v>702</v>
      </c>
      <c r="J66" s="52"/>
      <c r="K66" s="61"/>
      <c r="L66" s="52"/>
      <c r="M66" s="60"/>
      <c r="N66" s="60"/>
      <c r="O66" s="52"/>
      <c r="P66" s="52"/>
      <c r="Q66" s="52"/>
      <c r="R66" s="52"/>
      <c r="S66" s="52"/>
      <c r="T66" s="52"/>
      <c r="U66" s="52"/>
      <c r="V66" s="119" t="str">
        <f t="shared" si="6"/>
        <v/>
      </c>
      <c r="W66" s="8"/>
      <c r="X66" s="8"/>
      <c r="Y66" s="8"/>
      <c r="Z66" s="8"/>
    </row>
    <row r="67" ht="14.25" customHeight="1">
      <c r="A67" s="8"/>
      <c r="B67" s="8"/>
      <c r="C67" s="46"/>
      <c r="D67" s="54"/>
      <c r="E67" s="88"/>
      <c r="F67" s="71"/>
      <c r="G67" s="71"/>
      <c r="H67" s="72"/>
      <c r="I67" s="64"/>
      <c r="J67" s="104"/>
      <c r="K67" s="102"/>
      <c r="L67" s="104"/>
      <c r="M67" s="45"/>
      <c r="N67" s="45"/>
      <c r="O67" s="104"/>
      <c r="P67" s="104"/>
      <c r="Q67" s="104"/>
      <c r="R67" s="104"/>
      <c r="S67" s="104"/>
      <c r="T67" s="104"/>
      <c r="U67" s="104"/>
      <c r="V67" s="105" t="str">
        <f t="shared" si="6"/>
        <v/>
      </c>
      <c r="W67" s="8"/>
      <c r="X67" s="8"/>
      <c r="Y67" s="8"/>
      <c r="Z67" s="8"/>
    </row>
    <row r="68" ht="14.25" customHeight="1">
      <c r="A68" s="8"/>
      <c r="B68" s="8"/>
      <c r="C68" s="46"/>
      <c r="D68" s="46">
        <v>3.0</v>
      </c>
      <c r="E68" s="47" t="s">
        <v>975</v>
      </c>
      <c r="F68" s="33"/>
      <c r="G68" s="33"/>
      <c r="H68" s="34"/>
      <c r="I68" s="64"/>
      <c r="J68" s="104"/>
      <c r="K68" s="102"/>
      <c r="L68" s="104"/>
      <c r="M68" s="45"/>
      <c r="N68" s="45"/>
      <c r="O68" s="104"/>
      <c r="P68" s="104"/>
      <c r="Q68" s="104"/>
      <c r="R68" s="104"/>
      <c r="S68" s="104"/>
      <c r="T68" s="104"/>
      <c r="U68" s="104"/>
      <c r="V68" s="98"/>
      <c r="W68" s="8"/>
      <c r="X68" s="8"/>
      <c r="Y68" s="8"/>
      <c r="Z68" s="8"/>
    </row>
    <row r="69" ht="14.25" customHeight="1">
      <c r="A69" s="8"/>
      <c r="B69" s="8" t="s">
        <v>976</v>
      </c>
      <c r="C69" s="46"/>
      <c r="D69" s="54"/>
      <c r="E69" s="48">
        <v>1.0</v>
      </c>
      <c r="F69" s="47" t="s">
        <v>957</v>
      </c>
      <c r="G69" s="33"/>
      <c r="H69" s="34"/>
      <c r="I69" s="64" t="s">
        <v>977</v>
      </c>
      <c r="J69" s="134">
        <v>244987.0</v>
      </c>
      <c r="K69" s="134">
        <v>218405.0</v>
      </c>
      <c r="L69" s="141">
        <v>251162.0</v>
      </c>
      <c r="M69" s="134">
        <v>232872.0</v>
      </c>
      <c r="N69" s="134">
        <v>262930.0</v>
      </c>
      <c r="O69" s="135">
        <v>250401.0</v>
      </c>
      <c r="P69" s="52"/>
      <c r="Q69" s="52"/>
      <c r="R69" s="52"/>
      <c r="S69" s="52"/>
      <c r="T69" s="52"/>
      <c r="U69" s="52"/>
      <c r="V69" s="53">
        <f t="shared" ref="V69:V80" si="7">SUM(J69:U69)</f>
        <v>1460757</v>
      </c>
      <c r="W69" s="8"/>
      <c r="X69" s="8"/>
      <c r="Y69" s="8"/>
      <c r="Z69" s="8"/>
    </row>
    <row r="70" ht="14.25" customHeight="1">
      <c r="A70" s="8"/>
      <c r="B70" s="8" t="s">
        <v>978</v>
      </c>
      <c r="C70" s="46"/>
      <c r="D70" s="54"/>
      <c r="E70" s="48">
        <v>2.0</v>
      </c>
      <c r="F70" s="47" t="s">
        <v>959</v>
      </c>
      <c r="G70" s="33"/>
      <c r="H70" s="34"/>
      <c r="I70" s="64" t="s">
        <v>977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3">
        <f t="shared" si="7"/>
        <v>0</v>
      </c>
      <c r="W70" s="8"/>
      <c r="X70" s="8"/>
      <c r="Y70" s="8"/>
      <c r="Z70" s="8"/>
    </row>
    <row r="71" ht="14.25" customHeight="1">
      <c r="A71" s="8"/>
      <c r="B71" s="8" t="s">
        <v>979</v>
      </c>
      <c r="C71" s="46"/>
      <c r="D71" s="54"/>
      <c r="E71" s="64">
        <v>3.0</v>
      </c>
      <c r="F71" s="71" t="s">
        <v>961</v>
      </c>
      <c r="G71" s="33"/>
      <c r="H71" s="34"/>
      <c r="I71" s="64" t="s">
        <v>977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3">
        <f t="shared" si="7"/>
        <v>0</v>
      </c>
      <c r="W71" s="8"/>
      <c r="X71" s="8"/>
      <c r="Y71" s="8"/>
      <c r="Z71" s="8"/>
    </row>
    <row r="72" ht="14.25" customHeight="1">
      <c r="A72" s="8"/>
      <c r="B72" s="8" t="s">
        <v>980</v>
      </c>
      <c r="C72" s="46"/>
      <c r="D72" s="54"/>
      <c r="E72" s="64">
        <v>4.0</v>
      </c>
      <c r="F72" s="139" t="s">
        <v>963</v>
      </c>
      <c r="G72" s="71"/>
      <c r="H72" s="72"/>
      <c r="I72" s="64" t="s">
        <v>977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3">
        <f t="shared" si="7"/>
        <v>0</v>
      </c>
      <c r="W72" s="8"/>
      <c r="X72" s="8"/>
      <c r="Y72" s="8"/>
      <c r="Z72" s="8"/>
    </row>
    <row r="73" ht="14.25" customHeight="1">
      <c r="A73" s="8"/>
      <c r="B73" s="8" t="s">
        <v>981</v>
      </c>
      <c r="C73" s="46"/>
      <c r="D73" s="54"/>
      <c r="E73" s="64">
        <v>5.0</v>
      </c>
      <c r="F73" s="140" t="s">
        <v>965</v>
      </c>
      <c r="G73" s="71"/>
      <c r="H73" s="72"/>
      <c r="I73" s="64" t="s">
        <v>977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3">
        <f t="shared" si="7"/>
        <v>0</v>
      </c>
      <c r="W73" s="8"/>
      <c r="X73" s="8"/>
      <c r="Y73" s="8"/>
      <c r="Z73" s="8"/>
    </row>
    <row r="74" ht="14.25" customHeight="1">
      <c r="A74" s="8"/>
      <c r="B74" s="8" t="s">
        <v>982</v>
      </c>
      <c r="C74" s="46"/>
      <c r="D74" s="54"/>
      <c r="E74" s="64">
        <v>6.0</v>
      </c>
      <c r="F74" s="47" t="s">
        <v>967</v>
      </c>
      <c r="G74" s="33"/>
      <c r="H74" s="34"/>
      <c r="I74" s="64" t="s">
        <v>977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3">
        <f t="shared" si="7"/>
        <v>0</v>
      </c>
      <c r="W74" s="8"/>
      <c r="X74" s="8"/>
      <c r="Y74" s="8"/>
      <c r="Z74" s="8"/>
    </row>
    <row r="75" ht="14.25" customHeight="1">
      <c r="A75" s="8"/>
      <c r="B75" s="8" t="s">
        <v>983</v>
      </c>
      <c r="C75" s="46"/>
      <c r="D75" s="54"/>
      <c r="E75" s="48">
        <v>7.0</v>
      </c>
      <c r="F75" s="47" t="s">
        <v>957</v>
      </c>
      <c r="G75" s="33"/>
      <c r="H75" s="34"/>
      <c r="I75" s="64" t="s">
        <v>984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3">
        <f t="shared" si="7"/>
        <v>0</v>
      </c>
      <c r="W75" s="8"/>
      <c r="X75" s="8"/>
      <c r="Y75" s="8"/>
      <c r="Z75" s="8"/>
    </row>
    <row r="76" ht="14.25" customHeight="1">
      <c r="A76" s="8"/>
      <c r="B76" s="8" t="s">
        <v>985</v>
      </c>
      <c r="C76" s="46"/>
      <c r="D76" s="54"/>
      <c r="E76" s="48">
        <v>8.0</v>
      </c>
      <c r="F76" s="47" t="s">
        <v>959</v>
      </c>
      <c r="G76" s="33"/>
      <c r="H76" s="34"/>
      <c r="I76" s="64" t="s">
        <v>984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3">
        <f t="shared" si="7"/>
        <v>0</v>
      </c>
      <c r="W76" s="8"/>
      <c r="X76" s="8"/>
      <c r="Y76" s="8"/>
      <c r="Z76" s="8"/>
    </row>
    <row r="77" ht="14.25" customHeight="1">
      <c r="A77" s="8"/>
      <c r="B77" s="8" t="s">
        <v>986</v>
      </c>
      <c r="C77" s="46"/>
      <c r="D77" s="54"/>
      <c r="E77" s="64">
        <v>9.0</v>
      </c>
      <c r="F77" s="71" t="s">
        <v>961</v>
      </c>
      <c r="G77" s="33"/>
      <c r="H77" s="34"/>
      <c r="I77" s="64" t="s">
        <v>984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3">
        <f t="shared" si="7"/>
        <v>0</v>
      </c>
      <c r="W77" s="8"/>
      <c r="X77" s="8"/>
      <c r="Y77" s="8"/>
      <c r="Z77" s="8"/>
    </row>
    <row r="78" ht="14.25" customHeight="1">
      <c r="A78" s="8"/>
      <c r="B78" s="8" t="s">
        <v>987</v>
      </c>
      <c r="C78" s="46"/>
      <c r="D78" s="54"/>
      <c r="E78" s="64">
        <v>10.0</v>
      </c>
      <c r="F78" s="139" t="s">
        <v>963</v>
      </c>
      <c r="G78" s="71"/>
      <c r="H78" s="72"/>
      <c r="I78" s="64" t="s">
        <v>984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3">
        <f t="shared" si="7"/>
        <v>0</v>
      </c>
      <c r="W78" s="8"/>
      <c r="X78" s="8"/>
      <c r="Y78" s="8"/>
      <c r="Z78" s="8"/>
    </row>
    <row r="79" ht="14.25" customHeight="1">
      <c r="A79" s="8"/>
      <c r="B79" s="8" t="s">
        <v>988</v>
      </c>
      <c r="C79" s="46"/>
      <c r="D79" s="54"/>
      <c r="E79" s="64">
        <v>11.0</v>
      </c>
      <c r="F79" s="140" t="s">
        <v>965</v>
      </c>
      <c r="G79" s="71"/>
      <c r="H79" s="72"/>
      <c r="I79" s="64" t="s">
        <v>984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>
        <f t="shared" si="7"/>
        <v>0</v>
      </c>
      <c r="W79" s="8"/>
      <c r="X79" s="8"/>
      <c r="Y79" s="8"/>
      <c r="Z79" s="8"/>
    </row>
    <row r="80" ht="14.25" customHeight="1">
      <c r="A80" s="8"/>
      <c r="B80" s="8" t="s">
        <v>989</v>
      </c>
      <c r="C80" s="46"/>
      <c r="D80" s="54"/>
      <c r="E80" s="48">
        <v>12.0</v>
      </c>
      <c r="F80" s="47" t="s">
        <v>967</v>
      </c>
      <c r="G80" s="33"/>
      <c r="H80" s="34"/>
      <c r="I80" s="64" t="s">
        <v>984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3">
        <f t="shared" si="7"/>
        <v>0</v>
      </c>
      <c r="W80" s="8"/>
      <c r="X80" s="8"/>
      <c r="Y80" s="8"/>
      <c r="Z80" s="8"/>
    </row>
    <row r="81" ht="14.25" customHeight="1">
      <c r="A81" s="8"/>
      <c r="B81" s="8"/>
      <c r="C81" s="46"/>
      <c r="D81" s="54"/>
      <c r="E81" s="88"/>
      <c r="F81" s="71"/>
      <c r="G81" s="71"/>
      <c r="H81" s="72"/>
      <c r="I81" s="64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8"/>
      <c r="X81" s="8"/>
      <c r="Y81" s="8"/>
      <c r="Z81" s="8"/>
    </row>
    <row r="82" ht="14.25" customHeight="1">
      <c r="A82" s="8"/>
      <c r="B82" s="8"/>
      <c r="C82" s="46">
        <v>2.0</v>
      </c>
      <c r="D82" s="47" t="s">
        <v>990</v>
      </c>
      <c r="E82" s="33"/>
      <c r="F82" s="33"/>
      <c r="G82" s="33"/>
      <c r="H82" s="34"/>
      <c r="I82" s="64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8"/>
      <c r="X82" s="8"/>
      <c r="Y82" s="8"/>
      <c r="Z82" s="8"/>
    </row>
    <row r="83" ht="14.25" customHeight="1">
      <c r="A83" s="8"/>
      <c r="B83" s="8"/>
      <c r="C83" s="46"/>
      <c r="D83" s="46">
        <v>1.0</v>
      </c>
      <c r="E83" s="47" t="s">
        <v>991</v>
      </c>
      <c r="F83" s="33"/>
      <c r="G83" s="33"/>
      <c r="H83" s="34"/>
      <c r="I83" s="64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8"/>
      <c r="X83" s="8"/>
      <c r="Y83" s="8"/>
      <c r="Z83" s="8"/>
    </row>
    <row r="84" ht="14.25" customHeight="1">
      <c r="A84" s="8"/>
      <c r="B84" s="8" t="s">
        <v>992</v>
      </c>
      <c r="C84" s="46"/>
      <c r="D84" s="46"/>
      <c r="E84" s="64">
        <v>1.0</v>
      </c>
      <c r="F84" s="47" t="s">
        <v>993</v>
      </c>
      <c r="G84" s="33"/>
      <c r="H84" s="34"/>
      <c r="I84" s="64" t="s">
        <v>702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119" t="str">
        <f t="shared" ref="V84:V111" si="8">IFERROR(AVERAGE(J84:U84),"")</f>
        <v/>
      </c>
      <c r="W84" s="8"/>
      <c r="X84" s="8"/>
      <c r="Y84" s="8"/>
      <c r="Z84" s="8"/>
    </row>
    <row r="85" ht="14.25" customHeight="1">
      <c r="A85" s="8"/>
      <c r="B85" s="8" t="s">
        <v>994</v>
      </c>
      <c r="C85" s="46"/>
      <c r="D85" s="46"/>
      <c r="E85" s="64">
        <v>2.0</v>
      </c>
      <c r="F85" s="47" t="s">
        <v>995</v>
      </c>
      <c r="G85" s="33"/>
      <c r="H85" s="34"/>
      <c r="I85" s="64" t="s">
        <v>702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119" t="str">
        <f t="shared" si="8"/>
        <v/>
      </c>
      <c r="W85" s="8"/>
      <c r="X85" s="8"/>
      <c r="Y85" s="8"/>
      <c r="Z85" s="8"/>
    </row>
    <row r="86" ht="14.25" customHeight="1">
      <c r="A86" s="8"/>
      <c r="B86" s="8" t="s">
        <v>996</v>
      </c>
      <c r="C86" s="46"/>
      <c r="D86" s="46"/>
      <c r="E86" s="64">
        <v>3.0</v>
      </c>
      <c r="F86" s="47" t="s">
        <v>997</v>
      </c>
      <c r="G86" s="33"/>
      <c r="H86" s="34"/>
      <c r="I86" s="64" t="s">
        <v>702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119" t="str">
        <f t="shared" si="8"/>
        <v/>
      </c>
      <c r="W86" s="8"/>
      <c r="X86" s="8"/>
      <c r="Y86" s="8"/>
      <c r="Z86" s="8"/>
    </row>
    <row r="87" ht="14.25" customHeight="1">
      <c r="A87" s="8"/>
      <c r="B87" s="8" t="s">
        <v>998</v>
      </c>
      <c r="C87" s="46"/>
      <c r="D87" s="46"/>
      <c r="E87" s="64">
        <v>4.0</v>
      </c>
      <c r="F87" s="47" t="s">
        <v>999</v>
      </c>
      <c r="G87" s="33"/>
      <c r="H87" s="34"/>
      <c r="I87" s="64" t="s">
        <v>702</v>
      </c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119" t="str">
        <f t="shared" si="8"/>
        <v/>
      </c>
      <c r="W87" s="8"/>
      <c r="X87" s="8"/>
      <c r="Y87" s="8"/>
      <c r="Z87" s="8"/>
    </row>
    <row r="88" ht="14.25" customHeight="1">
      <c r="A88" s="8"/>
      <c r="B88" s="8" t="s">
        <v>1000</v>
      </c>
      <c r="C88" s="46"/>
      <c r="D88" s="46"/>
      <c r="E88" s="64">
        <v>5.0</v>
      </c>
      <c r="F88" s="47" t="s">
        <v>1001</v>
      </c>
      <c r="G88" s="33"/>
      <c r="H88" s="34"/>
      <c r="I88" s="64" t="s">
        <v>702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119" t="str">
        <f t="shared" si="8"/>
        <v/>
      </c>
      <c r="W88" s="8"/>
      <c r="X88" s="8"/>
      <c r="Y88" s="8"/>
      <c r="Z88" s="8"/>
    </row>
    <row r="89" ht="14.25" customHeight="1">
      <c r="A89" s="8"/>
      <c r="B89" s="8" t="s">
        <v>1002</v>
      </c>
      <c r="C89" s="46"/>
      <c r="D89" s="46"/>
      <c r="E89" s="64">
        <v>6.0</v>
      </c>
      <c r="F89" s="47" t="s">
        <v>1003</v>
      </c>
      <c r="G89" s="33"/>
      <c r="H89" s="34"/>
      <c r="I89" s="64" t="s">
        <v>702</v>
      </c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119" t="str">
        <f t="shared" si="8"/>
        <v/>
      </c>
      <c r="W89" s="8"/>
      <c r="X89" s="8"/>
      <c r="Y89" s="8"/>
      <c r="Z89" s="8"/>
    </row>
    <row r="90" ht="14.25" customHeight="1">
      <c r="A90" s="8"/>
      <c r="B90" s="8" t="s">
        <v>1004</v>
      </c>
      <c r="C90" s="46"/>
      <c r="D90" s="46"/>
      <c r="E90" s="64">
        <v>7.0</v>
      </c>
      <c r="F90" s="47" t="s">
        <v>1005</v>
      </c>
      <c r="G90" s="33"/>
      <c r="H90" s="34"/>
      <c r="I90" s="64" t="s">
        <v>702</v>
      </c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119" t="str">
        <f t="shared" si="8"/>
        <v/>
      </c>
      <c r="W90" s="8"/>
      <c r="X90" s="8"/>
      <c r="Y90" s="8"/>
      <c r="Z90" s="8"/>
    </row>
    <row r="91" ht="14.25" customHeight="1">
      <c r="A91" s="8"/>
      <c r="B91" s="8" t="s">
        <v>1006</v>
      </c>
      <c r="C91" s="46"/>
      <c r="D91" s="46"/>
      <c r="E91" s="64">
        <v>8.0</v>
      </c>
      <c r="F91" s="47" t="s">
        <v>1007</v>
      </c>
      <c r="G91" s="33"/>
      <c r="H91" s="34"/>
      <c r="I91" s="64" t="s">
        <v>702</v>
      </c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119" t="str">
        <f t="shared" si="8"/>
        <v/>
      </c>
      <c r="W91" s="8"/>
      <c r="X91" s="8"/>
      <c r="Y91" s="8"/>
      <c r="Z91" s="8"/>
    </row>
    <row r="92" ht="14.25" customHeight="1">
      <c r="A92" s="8"/>
      <c r="B92" s="8" t="s">
        <v>1008</v>
      </c>
      <c r="C92" s="46"/>
      <c r="D92" s="46"/>
      <c r="E92" s="64">
        <v>9.0</v>
      </c>
      <c r="F92" s="47" t="s">
        <v>1009</v>
      </c>
      <c r="G92" s="33"/>
      <c r="H92" s="34"/>
      <c r="I92" s="64" t="s">
        <v>702</v>
      </c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119" t="str">
        <f t="shared" si="8"/>
        <v/>
      </c>
      <c r="W92" s="8"/>
      <c r="X92" s="8"/>
      <c r="Y92" s="8"/>
      <c r="Z92" s="8"/>
    </row>
    <row r="93" ht="14.25" customHeight="1">
      <c r="A93" s="8"/>
      <c r="B93" s="8" t="s">
        <v>1010</v>
      </c>
      <c r="C93" s="46"/>
      <c r="D93" s="46"/>
      <c r="E93" s="64">
        <v>10.0</v>
      </c>
      <c r="F93" s="47" t="s">
        <v>1011</v>
      </c>
      <c r="G93" s="33"/>
      <c r="H93" s="34"/>
      <c r="I93" s="64" t="s">
        <v>702</v>
      </c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119" t="str">
        <f t="shared" si="8"/>
        <v/>
      </c>
      <c r="W93" s="8"/>
      <c r="X93" s="8"/>
      <c r="Y93" s="8"/>
      <c r="Z93" s="8"/>
    </row>
    <row r="94" ht="14.25" customHeight="1">
      <c r="A94" s="8"/>
      <c r="B94" s="8" t="s">
        <v>1012</v>
      </c>
      <c r="C94" s="46"/>
      <c r="D94" s="46"/>
      <c r="E94" s="64">
        <v>11.0</v>
      </c>
      <c r="F94" s="47" t="s">
        <v>1013</v>
      </c>
      <c r="G94" s="33"/>
      <c r="H94" s="34"/>
      <c r="I94" s="64" t="s">
        <v>702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119" t="str">
        <f t="shared" si="8"/>
        <v/>
      </c>
      <c r="W94" s="8"/>
      <c r="X94" s="8"/>
      <c r="Y94" s="8"/>
      <c r="Z94" s="8"/>
    </row>
    <row r="95" ht="14.25" customHeight="1">
      <c r="A95" s="8"/>
      <c r="B95" s="8" t="s">
        <v>1014</v>
      </c>
      <c r="C95" s="46"/>
      <c r="D95" s="46"/>
      <c r="E95" s="64">
        <v>12.0</v>
      </c>
      <c r="F95" s="47" t="s">
        <v>1015</v>
      </c>
      <c r="G95" s="33"/>
      <c r="H95" s="34"/>
      <c r="I95" s="64" t="s">
        <v>702</v>
      </c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119" t="str">
        <f t="shared" si="8"/>
        <v/>
      </c>
      <c r="W95" s="8"/>
      <c r="X95" s="8"/>
      <c r="Y95" s="8"/>
      <c r="Z95" s="8"/>
    </row>
    <row r="96" ht="14.25" customHeight="1">
      <c r="A96" s="8"/>
      <c r="B96" s="8" t="s">
        <v>1016</v>
      </c>
      <c r="C96" s="46"/>
      <c r="D96" s="46"/>
      <c r="E96" s="64">
        <v>13.0</v>
      </c>
      <c r="F96" s="47" t="s">
        <v>1017</v>
      </c>
      <c r="G96" s="33"/>
      <c r="H96" s="34"/>
      <c r="I96" s="64" t="s">
        <v>702</v>
      </c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119" t="str">
        <f t="shared" si="8"/>
        <v/>
      </c>
      <c r="W96" s="8"/>
      <c r="X96" s="8"/>
      <c r="Y96" s="8"/>
      <c r="Z96" s="8"/>
    </row>
    <row r="97" ht="14.25" customHeight="1">
      <c r="A97" s="8"/>
      <c r="B97" s="8" t="s">
        <v>1018</v>
      </c>
      <c r="C97" s="46"/>
      <c r="D97" s="46"/>
      <c r="E97" s="64">
        <v>14.0</v>
      </c>
      <c r="F97" s="47" t="s">
        <v>1019</v>
      </c>
      <c r="G97" s="33"/>
      <c r="H97" s="34"/>
      <c r="I97" s="64" t="s">
        <v>702</v>
      </c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119" t="str">
        <f t="shared" si="8"/>
        <v/>
      </c>
      <c r="W97" s="8"/>
      <c r="X97" s="8"/>
      <c r="Y97" s="8"/>
      <c r="Z97" s="8"/>
    </row>
    <row r="98" ht="14.25" customHeight="1">
      <c r="A98" s="8"/>
      <c r="B98" s="8" t="s">
        <v>1020</v>
      </c>
      <c r="C98" s="46"/>
      <c r="D98" s="46"/>
      <c r="E98" s="64">
        <v>15.0</v>
      </c>
      <c r="F98" s="47" t="s">
        <v>1021</v>
      </c>
      <c r="G98" s="33"/>
      <c r="H98" s="34"/>
      <c r="I98" s="64" t="s">
        <v>702</v>
      </c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119" t="str">
        <f t="shared" si="8"/>
        <v/>
      </c>
      <c r="W98" s="8"/>
      <c r="X98" s="8"/>
      <c r="Y98" s="8"/>
      <c r="Z98" s="8"/>
    </row>
    <row r="99" ht="14.25" customHeight="1">
      <c r="A99" s="8"/>
      <c r="B99" s="8" t="s">
        <v>1022</v>
      </c>
      <c r="C99" s="46"/>
      <c r="D99" s="46"/>
      <c r="E99" s="64">
        <v>16.0</v>
      </c>
      <c r="F99" s="47" t="s">
        <v>1023</v>
      </c>
      <c r="G99" s="33"/>
      <c r="H99" s="34"/>
      <c r="I99" s="64" t="s">
        <v>702</v>
      </c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119" t="str">
        <f t="shared" si="8"/>
        <v/>
      </c>
      <c r="W99" s="8"/>
      <c r="X99" s="8"/>
      <c r="Y99" s="8"/>
      <c r="Z99" s="8"/>
    </row>
    <row r="100" ht="14.25" customHeight="1">
      <c r="A100" s="8"/>
      <c r="B100" s="8" t="s">
        <v>1024</v>
      </c>
      <c r="C100" s="46"/>
      <c r="D100" s="46"/>
      <c r="E100" s="64">
        <v>17.0</v>
      </c>
      <c r="F100" s="47" t="s">
        <v>1025</v>
      </c>
      <c r="G100" s="33"/>
      <c r="H100" s="34"/>
      <c r="I100" s="64" t="s">
        <v>702</v>
      </c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119" t="str">
        <f t="shared" si="8"/>
        <v/>
      </c>
      <c r="W100" s="8"/>
      <c r="X100" s="8"/>
      <c r="Y100" s="8"/>
      <c r="Z100" s="8"/>
    </row>
    <row r="101" ht="14.25" customHeight="1">
      <c r="A101" s="8"/>
      <c r="B101" s="8" t="s">
        <v>1026</v>
      </c>
      <c r="C101" s="46"/>
      <c r="D101" s="46"/>
      <c r="E101" s="64">
        <v>18.0</v>
      </c>
      <c r="F101" s="47" t="s">
        <v>1027</v>
      </c>
      <c r="G101" s="33"/>
      <c r="H101" s="34"/>
      <c r="I101" s="64" t="s">
        <v>702</v>
      </c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119" t="str">
        <f t="shared" si="8"/>
        <v/>
      </c>
      <c r="W101" s="8"/>
      <c r="X101" s="8"/>
      <c r="Y101" s="8"/>
      <c r="Z101" s="8"/>
    </row>
    <row r="102" ht="14.25" customHeight="1">
      <c r="A102" s="8"/>
      <c r="B102" s="8" t="s">
        <v>1028</v>
      </c>
      <c r="C102" s="46"/>
      <c r="D102" s="46"/>
      <c r="E102" s="64">
        <v>19.0</v>
      </c>
      <c r="F102" s="47" t="s">
        <v>1029</v>
      </c>
      <c r="G102" s="33"/>
      <c r="H102" s="34"/>
      <c r="I102" s="64" t="s">
        <v>702</v>
      </c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119" t="str">
        <f t="shared" si="8"/>
        <v/>
      </c>
      <c r="W102" s="8"/>
      <c r="X102" s="8"/>
      <c r="Y102" s="8"/>
      <c r="Z102" s="8"/>
    </row>
    <row r="103" ht="14.25" customHeight="1">
      <c r="A103" s="8"/>
      <c r="B103" s="8" t="s">
        <v>1030</v>
      </c>
      <c r="C103" s="46"/>
      <c r="D103" s="46"/>
      <c r="E103" s="64">
        <v>20.0</v>
      </c>
      <c r="F103" s="47" t="s">
        <v>1031</v>
      </c>
      <c r="G103" s="33"/>
      <c r="H103" s="34"/>
      <c r="I103" s="64" t="s">
        <v>702</v>
      </c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119" t="str">
        <f t="shared" si="8"/>
        <v/>
      </c>
      <c r="W103" s="8"/>
      <c r="X103" s="8"/>
      <c r="Y103" s="8"/>
      <c r="Z103" s="8"/>
    </row>
    <row r="104" ht="14.25" customHeight="1">
      <c r="A104" s="8"/>
      <c r="B104" s="8" t="s">
        <v>1032</v>
      </c>
      <c r="C104" s="46"/>
      <c r="D104" s="46"/>
      <c r="E104" s="64">
        <v>21.0</v>
      </c>
      <c r="F104" s="47" t="s">
        <v>1033</v>
      </c>
      <c r="G104" s="33"/>
      <c r="H104" s="34"/>
      <c r="I104" s="64" t="s">
        <v>702</v>
      </c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119" t="str">
        <f t="shared" si="8"/>
        <v/>
      </c>
      <c r="W104" s="8"/>
      <c r="X104" s="8"/>
      <c r="Y104" s="8"/>
      <c r="Z104" s="8"/>
    </row>
    <row r="105" ht="14.25" customHeight="1">
      <c r="A105" s="8"/>
      <c r="B105" s="8" t="s">
        <v>1034</v>
      </c>
      <c r="C105" s="46"/>
      <c r="D105" s="46"/>
      <c r="E105" s="64">
        <v>22.0</v>
      </c>
      <c r="F105" s="47" t="s">
        <v>1035</v>
      </c>
      <c r="G105" s="33"/>
      <c r="H105" s="34"/>
      <c r="I105" s="64" t="s">
        <v>702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119" t="str">
        <f t="shared" si="8"/>
        <v/>
      </c>
      <c r="W105" s="8"/>
      <c r="X105" s="8"/>
      <c r="Y105" s="8"/>
      <c r="Z105" s="8"/>
    </row>
    <row r="106" ht="14.25" customHeight="1">
      <c r="A106" s="8"/>
      <c r="B106" s="8" t="s">
        <v>1036</v>
      </c>
      <c r="C106" s="46"/>
      <c r="D106" s="46"/>
      <c r="E106" s="64">
        <v>23.0</v>
      </c>
      <c r="F106" s="47" t="s">
        <v>1037</v>
      </c>
      <c r="G106" s="33"/>
      <c r="H106" s="34"/>
      <c r="I106" s="64" t="s">
        <v>702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119" t="str">
        <f t="shared" si="8"/>
        <v/>
      </c>
      <c r="W106" s="8"/>
      <c r="X106" s="8"/>
      <c r="Y106" s="8"/>
      <c r="Z106" s="8"/>
    </row>
    <row r="107" ht="14.25" customHeight="1">
      <c r="A107" s="8"/>
      <c r="B107" s="8" t="s">
        <v>1038</v>
      </c>
      <c r="C107" s="46"/>
      <c r="D107" s="46"/>
      <c r="E107" s="64">
        <v>24.0</v>
      </c>
      <c r="F107" s="47" t="s">
        <v>1039</v>
      </c>
      <c r="G107" s="33"/>
      <c r="H107" s="34"/>
      <c r="I107" s="64" t="s">
        <v>702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119" t="str">
        <f t="shared" si="8"/>
        <v/>
      </c>
      <c r="W107" s="8"/>
      <c r="X107" s="8"/>
      <c r="Y107" s="8"/>
      <c r="Z107" s="8"/>
    </row>
    <row r="108" ht="14.25" customHeight="1">
      <c r="A108" s="8"/>
      <c r="B108" s="8" t="s">
        <v>1040</v>
      </c>
      <c r="C108" s="46"/>
      <c r="D108" s="46"/>
      <c r="E108" s="64">
        <v>25.0</v>
      </c>
      <c r="F108" s="47" t="s">
        <v>1041</v>
      </c>
      <c r="G108" s="33"/>
      <c r="H108" s="34"/>
      <c r="I108" s="64" t="s">
        <v>702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119" t="str">
        <f t="shared" si="8"/>
        <v/>
      </c>
      <c r="W108" s="8"/>
      <c r="X108" s="8"/>
      <c r="Y108" s="8"/>
      <c r="Z108" s="8"/>
    </row>
    <row r="109" ht="14.25" customHeight="1">
      <c r="A109" s="8"/>
      <c r="B109" s="8" t="s">
        <v>1042</v>
      </c>
      <c r="C109" s="46"/>
      <c r="D109" s="46"/>
      <c r="E109" s="64">
        <v>26.0</v>
      </c>
      <c r="F109" s="47" t="s">
        <v>1043</v>
      </c>
      <c r="G109" s="33"/>
      <c r="H109" s="34"/>
      <c r="I109" s="64" t="s">
        <v>702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119" t="str">
        <f t="shared" si="8"/>
        <v/>
      </c>
      <c r="W109" s="8"/>
      <c r="X109" s="8"/>
      <c r="Y109" s="8"/>
      <c r="Z109" s="8"/>
    </row>
    <row r="110" ht="14.25" customHeight="1">
      <c r="A110" s="8"/>
      <c r="B110" s="8" t="s">
        <v>1044</v>
      </c>
      <c r="C110" s="46"/>
      <c r="D110" s="46"/>
      <c r="E110" s="64">
        <v>27.0</v>
      </c>
      <c r="F110" s="47" t="s">
        <v>1045</v>
      </c>
      <c r="G110" s="33"/>
      <c r="H110" s="34"/>
      <c r="I110" s="64" t="s">
        <v>702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119" t="str">
        <f t="shared" si="8"/>
        <v/>
      </c>
      <c r="W110" s="8"/>
      <c r="X110" s="8"/>
      <c r="Y110" s="8"/>
      <c r="Z110" s="8"/>
    </row>
    <row r="111" ht="14.25" customHeight="1">
      <c r="A111" s="8"/>
      <c r="B111" s="8" t="s">
        <v>1046</v>
      </c>
      <c r="C111" s="46"/>
      <c r="D111" s="46"/>
      <c r="E111" s="64">
        <v>28.0</v>
      </c>
      <c r="F111" s="47" t="s">
        <v>1047</v>
      </c>
      <c r="G111" s="33"/>
      <c r="H111" s="34"/>
      <c r="I111" s="64" t="s">
        <v>702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119" t="str">
        <f t="shared" si="8"/>
        <v/>
      </c>
      <c r="W111" s="8"/>
      <c r="X111" s="8"/>
      <c r="Y111" s="8"/>
      <c r="Z111" s="8"/>
    </row>
    <row r="112" ht="14.25" customHeight="1">
      <c r="A112" s="8"/>
      <c r="B112" s="8"/>
      <c r="C112" s="46"/>
      <c r="D112" s="46"/>
      <c r="E112" s="64"/>
      <c r="F112" s="47"/>
      <c r="G112" s="33"/>
      <c r="H112" s="34"/>
      <c r="I112" s="6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5"/>
      <c r="W112" s="8"/>
      <c r="X112" s="8"/>
      <c r="Y112" s="8"/>
      <c r="Z112" s="8"/>
    </row>
    <row r="113" ht="14.25" customHeight="1">
      <c r="A113" s="8"/>
      <c r="B113" s="8"/>
      <c r="C113" s="46"/>
      <c r="D113" s="46">
        <v>2.0</v>
      </c>
      <c r="E113" s="47" t="s">
        <v>1048</v>
      </c>
      <c r="F113" s="33"/>
      <c r="G113" s="33"/>
      <c r="H113" s="34"/>
      <c r="I113" s="64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8"/>
      <c r="X113" s="8"/>
      <c r="Y113" s="8"/>
      <c r="Z113" s="8"/>
    </row>
    <row r="114" ht="14.25" customHeight="1">
      <c r="A114" s="8"/>
      <c r="B114" s="8" t="s">
        <v>1049</v>
      </c>
      <c r="C114" s="46"/>
      <c r="D114" s="46"/>
      <c r="E114" s="64">
        <v>1.0</v>
      </c>
      <c r="F114" s="47" t="s">
        <v>993</v>
      </c>
      <c r="G114" s="33"/>
      <c r="H114" s="34"/>
      <c r="I114" s="64" t="s">
        <v>702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119" t="str">
        <f t="shared" ref="V114:V141" si="9">IFERROR(AVERAGE(J114:U114),"")</f>
        <v/>
      </c>
      <c r="W114" s="8"/>
      <c r="X114" s="8"/>
      <c r="Y114" s="8"/>
      <c r="Z114" s="8"/>
    </row>
    <row r="115" ht="14.25" customHeight="1">
      <c r="A115" s="8"/>
      <c r="B115" s="8" t="s">
        <v>1050</v>
      </c>
      <c r="C115" s="46"/>
      <c r="D115" s="46"/>
      <c r="E115" s="64">
        <v>2.0</v>
      </c>
      <c r="F115" s="47" t="s">
        <v>995</v>
      </c>
      <c r="G115" s="33"/>
      <c r="H115" s="34"/>
      <c r="I115" s="64" t="s">
        <v>702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119" t="str">
        <f t="shared" si="9"/>
        <v/>
      </c>
      <c r="W115" s="8"/>
      <c r="X115" s="8"/>
      <c r="Y115" s="8"/>
      <c r="Z115" s="8"/>
    </row>
    <row r="116" ht="14.25" customHeight="1">
      <c r="A116" s="8"/>
      <c r="B116" s="8" t="s">
        <v>1051</v>
      </c>
      <c r="C116" s="46"/>
      <c r="D116" s="46"/>
      <c r="E116" s="64">
        <v>3.0</v>
      </c>
      <c r="F116" s="47" t="s">
        <v>997</v>
      </c>
      <c r="G116" s="33"/>
      <c r="H116" s="34"/>
      <c r="I116" s="64" t="s">
        <v>702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119" t="str">
        <f t="shared" si="9"/>
        <v/>
      </c>
      <c r="W116" s="8"/>
      <c r="X116" s="8"/>
      <c r="Y116" s="8"/>
      <c r="Z116" s="8"/>
    </row>
    <row r="117" ht="14.25" customHeight="1">
      <c r="A117" s="8"/>
      <c r="B117" s="8" t="s">
        <v>1052</v>
      </c>
      <c r="C117" s="46"/>
      <c r="D117" s="46"/>
      <c r="E117" s="64">
        <v>4.0</v>
      </c>
      <c r="F117" s="47" t="s">
        <v>999</v>
      </c>
      <c r="G117" s="33"/>
      <c r="H117" s="34"/>
      <c r="I117" s="64" t="s">
        <v>702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119" t="str">
        <f t="shared" si="9"/>
        <v/>
      </c>
      <c r="W117" s="8"/>
      <c r="X117" s="8"/>
      <c r="Y117" s="8"/>
      <c r="Z117" s="8"/>
    </row>
    <row r="118" ht="14.25" customHeight="1">
      <c r="A118" s="8"/>
      <c r="B118" s="8" t="s">
        <v>1053</v>
      </c>
      <c r="C118" s="46"/>
      <c r="D118" s="46"/>
      <c r="E118" s="64">
        <v>5.0</v>
      </c>
      <c r="F118" s="47" t="s">
        <v>1001</v>
      </c>
      <c r="G118" s="33"/>
      <c r="H118" s="34"/>
      <c r="I118" s="64" t="s">
        <v>702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119" t="str">
        <f t="shared" si="9"/>
        <v/>
      </c>
      <c r="W118" s="8"/>
      <c r="X118" s="8"/>
      <c r="Y118" s="8"/>
      <c r="Z118" s="8"/>
    </row>
    <row r="119" ht="14.25" customHeight="1">
      <c r="A119" s="8"/>
      <c r="B119" s="8" t="s">
        <v>1054</v>
      </c>
      <c r="C119" s="46"/>
      <c r="D119" s="46"/>
      <c r="E119" s="64">
        <v>6.0</v>
      </c>
      <c r="F119" s="47" t="s">
        <v>1003</v>
      </c>
      <c r="G119" s="33"/>
      <c r="H119" s="34"/>
      <c r="I119" s="64" t="s">
        <v>702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119" t="str">
        <f t="shared" si="9"/>
        <v/>
      </c>
      <c r="W119" s="8"/>
      <c r="X119" s="8"/>
      <c r="Y119" s="8"/>
      <c r="Z119" s="8"/>
    </row>
    <row r="120" ht="14.25" customHeight="1">
      <c r="A120" s="8"/>
      <c r="B120" s="8" t="s">
        <v>1055</v>
      </c>
      <c r="C120" s="46"/>
      <c r="D120" s="46"/>
      <c r="E120" s="64">
        <v>7.0</v>
      </c>
      <c r="F120" s="47" t="s">
        <v>1005</v>
      </c>
      <c r="G120" s="33"/>
      <c r="H120" s="34"/>
      <c r="I120" s="64" t="s">
        <v>702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119" t="str">
        <f t="shared" si="9"/>
        <v/>
      </c>
      <c r="W120" s="8"/>
      <c r="X120" s="8"/>
      <c r="Y120" s="8"/>
      <c r="Z120" s="8"/>
    </row>
    <row r="121" ht="14.25" customHeight="1">
      <c r="A121" s="8"/>
      <c r="B121" s="8" t="s">
        <v>1056</v>
      </c>
      <c r="C121" s="46"/>
      <c r="D121" s="46"/>
      <c r="E121" s="64">
        <v>8.0</v>
      </c>
      <c r="F121" s="47" t="s">
        <v>1007</v>
      </c>
      <c r="G121" s="33"/>
      <c r="H121" s="34"/>
      <c r="I121" s="64" t="s">
        <v>702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119" t="str">
        <f t="shared" si="9"/>
        <v/>
      </c>
      <c r="W121" s="8"/>
      <c r="X121" s="8"/>
      <c r="Y121" s="8"/>
      <c r="Z121" s="8"/>
    </row>
    <row r="122" ht="14.25" customHeight="1">
      <c r="A122" s="8"/>
      <c r="B122" s="8" t="s">
        <v>1057</v>
      </c>
      <c r="C122" s="46"/>
      <c r="D122" s="46"/>
      <c r="E122" s="64">
        <v>9.0</v>
      </c>
      <c r="F122" s="47" t="s">
        <v>1009</v>
      </c>
      <c r="G122" s="33"/>
      <c r="H122" s="34"/>
      <c r="I122" s="64" t="s">
        <v>702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119" t="str">
        <f t="shared" si="9"/>
        <v/>
      </c>
      <c r="W122" s="8"/>
      <c r="X122" s="8"/>
      <c r="Y122" s="8"/>
      <c r="Z122" s="8"/>
    </row>
    <row r="123" ht="14.25" customHeight="1">
      <c r="A123" s="8"/>
      <c r="B123" s="8" t="s">
        <v>1058</v>
      </c>
      <c r="C123" s="46"/>
      <c r="D123" s="46"/>
      <c r="E123" s="64">
        <v>10.0</v>
      </c>
      <c r="F123" s="47" t="s">
        <v>1011</v>
      </c>
      <c r="G123" s="33"/>
      <c r="H123" s="34"/>
      <c r="I123" s="64" t="s">
        <v>702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119" t="str">
        <f t="shared" si="9"/>
        <v/>
      </c>
      <c r="W123" s="8"/>
      <c r="X123" s="8"/>
      <c r="Y123" s="8"/>
      <c r="Z123" s="8"/>
    </row>
    <row r="124" ht="14.25" customHeight="1">
      <c r="A124" s="8"/>
      <c r="B124" s="8" t="s">
        <v>1059</v>
      </c>
      <c r="C124" s="46"/>
      <c r="D124" s="46"/>
      <c r="E124" s="64">
        <v>11.0</v>
      </c>
      <c r="F124" s="47" t="s">
        <v>1013</v>
      </c>
      <c r="G124" s="33"/>
      <c r="H124" s="34"/>
      <c r="I124" s="64" t="s">
        <v>702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119" t="str">
        <f t="shared" si="9"/>
        <v/>
      </c>
      <c r="W124" s="8"/>
      <c r="X124" s="8"/>
      <c r="Y124" s="8"/>
      <c r="Z124" s="8"/>
    </row>
    <row r="125" ht="14.25" customHeight="1">
      <c r="A125" s="8"/>
      <c r="B125" s="8" t="s">
        <v>1060</v>
      </c>
      <c r="C125" s="46"/>
      <c r="D125" s="46"/>
      <c r="E125" s="64">
        <v>12.0</v>
      </c>
      <c r="F125" s="47" t="s">
        <v>1015</v>
      </c>
      <c r="G125" s="33"/>
      <c r="H125" s="34"/>
      <c r="I125" s="64" t="s">
        <v>702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119" t="str">
        <f t="shared" si="9"/>
        <v/>
      </c>
      <c r="W125" s="8"/>
      <c r="X125" s="8"/>
      <c r="Y125" s="8"/>
      <c r="Z125" s="8"/>
    </row>
    <row r="126" ht="14.25" customHeight="1">
      <c r="A126" s="8"/>
      <c r="B126" s="8" t="s">
        <v>1061</v>
      </c>
      <c r="C126" s="46"/>
      <c r="D126" s="46"/>
      <c r="E126" s="64">
        <v>13.0</v>
      </c>
      <c r="F126" s="47" t="s">
        <v>1017</v>
      </c>
      <c r="G126" s="33"/>
      <c r="H126" s="34"/>
      <c r="I126" s="64" t="s">
        <v>702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119" t="str">
        <f t="shared" si="9"/>
        <v/>
      </c>
      <c r="W126" s="8"/>
      <c r="X126" s="8"/>
      <c r="Y126" s="8"/>
      <c r="Z126" s="8"/>
    </row>
    <row r="127" ht="14.25" customHeight="1">
      <c r="A127" s="8"/>
      <c r="B127" s="8" t="s">
        <v>1062</v>
      </c>
      <c r="C127" s="46"/>
      <c r="D127" s="46"/>
      <c r="E127" s="64">
        <v>14.0</v>
      </c>
      <c r="F127" s="47" t="s">
        <v>1019</v>
      </c>
      <c r="G127" s="33"/>
      <c r="H127" s="34"/>
      <c r="I127" s="64" t="s">
        <v>702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119" t="str">
        <f t="shared" si="9"/>
        <v/>
      </c>
      <c r="W127" s="8"/>
      <c r="X127" s="8"/>
      <c r="Y127" s="8"/>
      <c r="Z127" s="8"/>
    </row>
    <row r="128" ht="14.25" customHeight="1">
      <c r="A128" s="8"/>
      <c r="B128" s="8" t="s">
        <v>1063</v>
      </c>
      <c r="C128" s="46"/>
      <c r="D128" s="46"/>
      <c r="E128" s="64">
        <v>15.0</v>
      </c>
      <c r="F128" s="47" t="s">
        <v>1021</v>
      </c>
      <c r="G128" s="33"/>
      <c r="H128" s="34"/>
      <c r="I128" s="64" t="s">
        <v>702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119" t="str">
        <f t="shared" si="9"/>
        <v/>
      </c>
      <c r="W128" s="8"/>
      <c r="X128" s="8"/>
      <c r="Y128" s="8"/>
      <c r="Z128" s="8"/>
    </row>
    <row r="129" ht="14.25" customHeight="1">
      <c r="A129" s="8"/>
      <c r="B129" s="8" t="s">
        <v>1064</v>
      </c>
      <c r="C129" s="46"/>
      <c r="D129" s="46"/>
      <c r="E129" s="64">
        <v>16.0</v>
      </c>
      <c r="F129" s="47" t="s">
        <v>1023</v>
      </c>
      <c r="G129" s="33"/>
      <c r="H129" s="34"/>
      <c r="I129" s="64" t="s">
        <v>702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119" t="str">
        <f t="shared" si="9"/>
        <v/>
      </c>
      <c r="W129" s="8"/>
      <c r="X129" s="8"/>
      <c r="Y129" s="8"/>
      <c r="Z129" s="8"/>
    </row>
    <row r="130" ht="14.25" customHeight="1">
      <c r="A130" s="8"/>
      <c r="B130" s="8" t="s">
        <v>1065</v>
      </c>
      <c r="C130" s="46"/>
      <c r="D130" s="46"/>
      <c r="E130" s="64">
        <v>17.0</v>
      </c>
      <c r="F130" s="47" t="s">
        <v>1025</v>
      </c>
      <c r="G130" s="33"/>
      <c r="H130" s="34"/>
      <c r="I130" s="64" t="s">
        <v>702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119" t="str">
        <f t="shared" si="9"/>
        <v/>
      </c>
      <c r="W130" s="8"/>
      <c r="X130" s="8"/>
      <c r="Y130" s="8"/>
      <c r="Z130" s="8"/>
    </row>
    <row r="131" ht="14.25" customHeight="1">
      <c r="A131" s="8"/>
      <c r="B131" s="8" t="s">
        <v>1066</v>
      </c>
      <c r="C131" s="46"/>
      <c r="D131" s="46"/>
      <c r="E131" s="64">
        <v>18.0</v>
      </c>
      <c r="F131" s="47" t="s">
        <v>1027</v>
      </c>
      <c r="G131" s="33"/>
      <c r="H131" s="34"/>
      <c r="I131" s="64" t="s">
        <v>702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119" t="str">
        <f t="shared" si="9"/>
        <v/>
      </c>
      <c r="W131" s="8"/>
      <c r="X131" s="8"/>
      <c r="Y131" s="8"/>
      <c r="Z131" s="8"/>
    </row>
    <row r="132" ht="14.25" customHeight="1">
      <c r="A132" s="8"/>
      <c r="B132" s="8" t="s">
        <v>1067</v>
      </c>
      <c r="C132" s="46"/>
      <c r="D132" s="46"/>
      <c r="E132" s="64">
        <v>19.0</v>
      </c>
      <c r="F132" s="47" t="s">
        <v>1029</v>
      </c>
      <c r="G132" s="33"/>
      <c r="H132" s="34"/>
      <c r="I132" s="64" t="s">
        <v>702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119" t="str">
        <f t="shared" si="9"/>
        <v/>
      </c>
      <c r="W132" s="8"/>
      <c r="X132" s="8"/>
      <c r="Y132" s="8"/>
      <c r="Z132" s="8"/>
    </row>
    <row r="133" ht="14.25" customHeight="1">
      <c r="A133" s="8"/>
      <c r="B133" s="8" t="s">
        <v>1068</v>
      </c>
      <c r="C133" s="46"/>
      <c r="D133" s="46"/>
      <c r="E133" s="64">
        <v>20.0</v>
      </c>
      <c r="F133" s="47" t="s">
        <v>1031</v>
      </c>
      <c r="G133" s="33"/>
      <c r="H133" s="34"/>
      <c r="I133" s="64" t="s">
        <v>702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119" t="str">
        <f t="shared" si="9"/>
        <v/>
      </c>
      <c r="W133" s="8"/>
      <c r="X133" s="8"/>
      <c r="Y133" s="8"/>
      <c r="Z133" s="8"/>
    </row>
    <row r="134" ht="14.25" customHeight="1">
      <c r="A134" s="8"/>
      <c r="B134" s="8" t="s">
        <v>1069</v>
      </c>
      <c r="C134" s="46"/>
      <c r="D134" s="46"/>
      <c r="E134" s="64">
        <v>21.0</v>
      </c>
      <c r="F134" s="47" t="s">
        <v>1033</v>
      </c>
      <c r="G134" s="33"/>
      <c r="H134" s="34"/>
      <c r="I134" s="64" t="s">
        <v>702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119" t="str">
        <f t="shared" si="9"/>
        <v/>
      </c>
      <c r="W134" s="8"/>
      <c r="X134" s="8"/>
      <c r="Y134" s="8"/>
      <c r="Z134" s="8"/>
    </row>
    <row r="135" ht="14.25" customHeight="1">
      <c r="A135" s="8"/>
      <c r="B135" s="8" t="s">
        <v>1070</v>
      </c>
      <c r="C135" s="46"/>
      <c r="D135" s="46"/>
      <c r="E135" s="64">
        <v>22.0</v>
      </c>
      <c r="F135" s="47" t="s">
        <v>1035</v>
      </c>
      <c r="G135" s="33"/>
      <c r="H135" s="34"/>
      <c r="I135" s="64" t="s">
        <v>702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119" t="str">
        <f t="shared" si="9"/>
        <v/>
      </c>
      <c r="W135" s="8"/>
      <c r="X135" s="8"/>
      <c r="Y135" s="8"/>
      <c r="Z135" s="8"/>
    </row>
    <row r="136" ht="14.25" customHeight="1">
      <c r="A136" s="8"/>
      <c r="B136" s="8" t="s">
        <v>1071</v>
      </c>
      <c r="C136" s="46"/>
      <c r="D136" s="46"/>
      <c r="E136" s="64">
        <v>23.0</v>
      </c>
      <c r="F136" s="47" t="s">
        <v>1037</v>
      </c>
      <c r="G136" s="33"/>
      <c r="H136" s="34"/>
      <c r="I136" s="64" t="s">
        <v>702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119" t="str">
        <f t="shared" si="9"/>
        <v/>
      </c>
      <c r="W136" s="8"/>
      <c r="X136" s="8"/>
      <c r="Y136" s="8"/>
      <c r="Z136" s="8"/>
    </row>
    <row r="137" ht="14.25" customHeight="1">
      <c r="A137" s="8"/>
      <c r="B137" s="8" t="s">
        <v>1072</v>
      </c>
      <c r="C137" s="46"/>
      <c r="D137" s="46"/>
      <c r="E137" s="64">
        <v>24.0</v>
      </c>
      <c r="F137" s="47" t="s">
        <v>1039</v>
      </c>
      <c r="G137" s="33"/>
      <c r="H137" s="34"/>
      <c r="I137" s="64" t="s">
        <v>702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119" t="str">
        <f t="shared" si="9"/>
        <v/>
      </c>
      <c r="W137" s="8"/>
      <c r="X137" s="8"/>
      <c r="Y137" s="8"/>
      <c r="Z137" s="8"/>
    </row>
    <row r="138" ht="14.25" customHeight="1">
      <c r="A138" s="8"/>
      <c r="B138" s="8" t="s">
        <v>1073</v>
      </c>
      <c r="C138" s="46"/>
      <c r="D138" s="46"/>
      <c r="E138" s="64">
        <v>25.0</v>
      </c>
      <c r="F138" s="47" t="s">
        <v>1041</v>
      </c>
      <c r="G138" s="33"/>
      <c r="H138" s="34"/>
      <c r="I138" s="64" t="s">
        <v>702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119" t="str">
        <f t="shared" si="9"/>
        <v/>
      </c>
      <c r="W138" s="8"/>
      <c r="X138" s="8"/>
      <c r="Y138" s="8"/>
      <c r="Z138" s="8"/>
    </row>
    <row r="139" ht="14.25" customHeight="1">
      <c r="A139" s="8"/>
      <c r="B139" s="8" t="s">
        <v>1074</v>
      </c>
      <c r="C139" s="46"/>
      <c r="D139" s="46"/>
      <c r="E139" s="64">
        <v>26.0</v>
      </c>
      <c r="F139" s="47" t="s">
        <v>1043</v>
      </c>
      <c r="G139" s="33"/>
      <c r="H139" s="34"/>
      <c r="I139" s="64" t="s">
        <v>702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119" t="str">
        <f t="shared" si="9"/>
        <v/>
      </c>
      <c r="W139" s="8"/>
      <c r="X139" s="8"/>
      <c r="Y139" s="8"/>
      <c r="Z139" s="8"/>
    </row>
    <row r="140" ht="14.25" customHeight="1">
      <c r="A140" s="8"/>
      <c r="B140" s="8" t="s">
        <v>1075</v>
      </c>
      <c r="C140" s="46"/>
      <c r="D140" s="46"/>
      <c r="E140" s="64">
        <v>27.0</v>
      </c>
      <c r="F140" s="47" t="s">
        <v>1045</v>
      </c>
      <c r="G140" s="33"/>
      <c r="H140" s="34"/>
      <c r="I140" s="64" t="s">
        <v>702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119" t="str">
        <f t="shared" si="9"/>
        <v/>
      </c>
      <c r="W140" s="8"/>
      <c r="X140" s="8"/>
      <c r="Y140" s="8"/>
      <c r="Z140" s="8"/>
    </row>
    <row r="141" ht="14.25" customHeight="1">
      <c r="A141" s="8"/>
      <c r="B141" s="8" t="s">
        <v>1076</v>
      </c>
      <c r="C141" s="46"/>
      <c r="D141" s="46"/>
      <c r="E141" s="64">
        <v>28.0</v>
      </c>
      <c r="F141" s="47" t="s">
        <v>1047</v>
      </c>
      <c r="G141" s="33"/>
      <c r="H141" s="34"/>
      <c r="I141" s="64" t="s">
        <v>702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119" t="str">
        <f t="shared" si="9"/>
        <v/>
      </c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8"/>
      <c r="X1000" s="8"/>
      <c r="Y1000" s="8"/>
      <c r="Z1000" s="8"/>
    </row>
  </sheetData>
  <mergeCells count="122">
    <mergeCell ref="C2:G2"/>
    <mergeCell ref="C4:G4"/>
    <mergeCell ref="C6:G6"/>
    <mergeCell ref="C12:C14"/>
    <mergeCell ref="D12:H14"/>
    <mergeCell ref="I12:I14"/>
    <mergeCell ref="J12:V13"/>
    <mergeCell ref="D15:H15"/>
    <mergeCell ref="J15:U15"/>
    <mergeCell ref="D16:H16"/>
    <mergeCell ref="D17:H17"/>
    <mergeCell ref="E18:H18"/>
    <mergeCell ref="E19:H19"/>
    <mergeCell ref="D20:H20"/>
    <mergeCell ref="D21:H21"/>
    <mergeCell ref="E22:H22"/>
    <mergeCell ref="E23:H23"/>
    <mergeCell ref="E24:H24"/>
    <mergeCell ref="D25:H25"/>
    <mergeCell ref="D26:H26"/>
    <mergeCell ref="E27:H27"/>
    <mergeCell ref="D28:H28"/>
    <mergeCell ref="D29:H29"/>
    <mergeCell ref="E30:H30"/>
    <mergeCell ref="E31:H31"/>
    <mergeCell ref="E32:H32"/>
    <mergeCell ref="D34:H34"/>
    <mergeCell ref="E35:H35"/>
    <mergeCell ref="D46:H48"/>
    <mergeCell ref="I46:I48"/>
    <mergeCell ref="J46:V47"/>
    <mergeCell ref="J49:U49"/>
    <mergeCell ref="E36:H36"/>
    <mergeCell ref="D38:H38"/>
    <mergeCell ref="E39:H39"/>
    <mergeCell ref="E40:H40"/>
    <mergeCell ref="E41:H41"/>
    <mergeCell ref="E42:H42"/>
    <mergeCell ref="C46:C48"/>
    <mergeCell ref="D49:H49"/>
    <mergeCell ref="D50:H50"/>
    <mergeCell ref="D51:H51"/>
    <mergeCell ref="E52:H52"/>
    <mergeCell ref="F53:H53"/>
    <mergeCell ref="F54:H54"/>
    <mergeCell ref="F55:H55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36:H136"/>
    <mergeCell ref="F137:H137"/>
    <mergeCell ref="F138:H138"/>
    <mergeCell ref="F139:H139"/>
    <mergeCell ref="F140:H140"/>
    <mergeCell ref="F141:H141"/>
    <mergeCell ref="F129:H129"/>
    <mergeCell ref="F130:H130"/>
    <mergeCell ref="F131:H131"/>
    <mergeCell ref="F132:H132"/>
    <mergeCell ref="F133:H133"/>
    <mergeCell ref="F134:H134"/>
    <mergeCell ref="F135:H135"/>
    <mergeCell ref="F58:H58"/>
    <mergeCell ref="D59:H59"/>
    <mergeCell ref="E60:H60"/>
    <mergeCell ref="F61:H61"/>
    <mergeCell ref="F62:H62"/>
    <mergeCell ref="F63:H63"/>
    <mergeCell ref="F66:H66"/>
    <mergeCell ref="E68:H68"/>
    <mergeCell ref="F69:H69"/>
    <mergeCell ref="F70:H70"/>
    <mergeCell ref="F71:H71"/>
    <mergeCell ref="F74:H74"/>
    <mergeCell ref="F75:H75"/>
    <mergeCell ref="F76:H76"/>
    <mergeCell ref="F77:H77"/>
    <mergeCell ref="F80:H80"/>
    <mergeCell ref="D82:H82"/>
    <mergeCell ref="E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E113:H113"/>
    <mergeCell ref="F114:H11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4.43" defaultRowHeight="15.0"/>
  <cols>
    <col customWidth="1" min="1" max="1" width="2.86"/>
    <col customWidth="1" hidden="1" min="2" max="2" width="27.43"/>
    <col customWidth="1" min="3" max="3" width="6.14"/>
    <col customWidth="1" min="4" max="7" width="5.43"/>
    <col customWidth="1" min="8" max="8" width="40.57"/>
    <col customWidth="1" min="9" max="9" width="11.57"/>
    <col customWidth="1" min="10" max="19" width="15.14"/>
    <col customWidth="1" min="20" max="20" width="15.43"/>
    <col customWidth="1" min="21" max="22" width="15.14"/>
    <col customWidth="1" min="23" max="26" width="9.14"/>
  </cols>
  <sheetData>
    <row r="1" ht="14.25" customHeight="1">
      <c r="A1" s="8"/>
      <c r="B1" s="8"/>
      <c r="C1" s="8"/>
      <c r="D1" s="8"/>
      <c r="E1" s="8"/>
      <c r="F1" s="8"/>
      <c r="G1" s="8"/>
      <c r="H1" s="8"/>
      <c r="I1" s="8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8"/>
      <c r="X1" s="8"/>
      <c r="Y1" s="8"/>
      <c r="Z1" s="8"/>
    </row>
    <row r="2" ht="14.25" customHeight="1">
      <c r="A2" s="8"/>
      <c r="B2" s="8"/>
      <c r="C2" s="14" t="s">
        <v>316</v>
      </c>
      <c r="D2" s="12"/>
      <c r="E2" s="12"/>
      <c r="F2" s="12"/>
      <c r="G2" s="12"/>
      <c r="H2" s="15">
        <f>ARUS!H2</f>
        <v>2026</v>
      </c>
      <c r="I2" s="8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8"/>
      <c r="X2" s="8"/>
      <c r="Y2" s="8"/>
      <c r="Z2" s="8"/>
    </row>
    <row r="3" ht="14.25" customHeight="1">
      <c r="A3" s="8"/>
      <c r="B3" s="8"/>
      <c r="C3" s="8"/>
      <c r="D3" s="8"/>
      <c r="E3" s="8"/>
      <c r="F3" s="8"/>
      <c r="G3" s="8"/>
      <c r="H3" s="8"/>
      <c r="I3" s="8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8"/>
      <c r="X3" s="8"/>
      <c r="Y3" s="8"/>
      <c r="Z3" s="8"/>
    </row>
    <row r="4" ht="14.25" customHeight="1">
      <c r="A4" s="8"/>
      <c r="B4" s="8" t="str">
        <f>ARUS!B4</f>
        <v>002</v>
      </c>
      <c r="C4" s="14" t="s">
        <v>317</v>
      </c>
      <c r="D4" s="12"/>
      <c r="E4" s="12"/>
      <c r="F4" s="12"/>
      <c r="G4" s="12"/>
      <c r="H4" s="7" t="str">
        <f>ARUS!H4</f>
        <v>Regional.2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8"/>
      <c r="X4" s="8"/>
      <c r="Y4" s="8"/>
      <c r="Z4" s="8"/>
    </row>
    <row r="5" ht="14.25" customHeight="1">
      <c r="A5" s="8"/>
      <c r="B5" s="8" t="str">
        <f>ARUS!B5</f>
        <v>RegP2</v>
      </c>
      <c r="C5" s="8"/>
      <c r="D5" s="8"/>
      <c r="E5" s="8"/>
      <c r="F5" s="8"/>
      <c r="G5" s="8"/>
      <c r="H5" s="8"/>
      <c r="I5" s="8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8"/>
      <c r="X5" s="8"/>
      <c r="Y5" s="8"/>
      <c r="Z5" s="8"/>
    </row>
    <row r="6" ht="14.25" customHeight="1">
      <c r="A6" s="8"/>
      <c r="B6" s="8">
        <f>ARUS!B6</f>
        <v>38</v>
      </c>
      <c r="C6" s="14" t="s">
        <v>318</v>
      </c>
      <c r="D6" s="12"/>
      <c r="E6" s="12"/>
      <c r="F6" s="12"/>
      <c r="G6" s="12"/>
      <c r="H6" s="7" t="str">
        <f>ARUS!H6</f>
        <v>Banten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8"/>
      <c r="X6" s="8"/>
      <c r="Y6" s="8"/>
      <c r="Z6" s="8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8"/>
      <c r="X7" s="8"/>
      <c r="Y7" s="8"/>
      <c r="Z7" s="8"/>
    </row>
    <row r="8" ht="14.25" customHeight="1">
      <c r="A8" s="16"/>
      <c r="B8" s="17"/>
      <c r="C8" s="16"/>
      <c r="D8" s="8"/>
      <c r="E8" s="8"/>
      <c r="F8" s="8"/>
      <c r="G8" s="8"/>
      <c r="H8" s="8"/>
      <c r="I8" s="8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8"/>
      <c r="X8" s="8"/>
      <c r="Y8" s="8"/>
      <c r="Z8" s="8"/>
    </row>
    <row r="9" ht="14.25" hidden="1" customHeight="1">
      <c r="A9" s="17"/>
      <c r="B9" s="17"/>
      <c r="C9" s="16"/>
      <c r="D9" s="8"/>
      <c r="E9" s="8"/>
      <c r="F9" s="8"/>
      <c r="G9" s="8"/>
      <c r="H9" s="8"/>
      <c r="I9" s="8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8"/>
      <c r="X9" s="8"/>
      <c r="Y9" s="8"/>
      <c r="Z9" s="8"/>
    </row>
    <row r="10" ht="14.25" hidden="1" customHeight="1">
      <c r="A10" s="17"/>
      <c r="B10" s="17" t="s">
        <v>320</v>
      </c>
      <c r="C10" s="16"/>
      <c r="J10" s="13">
        <v>1.0</v>
      </c>
      <c r="K10" s="13">
        <v>2.0</v>
      </c>
      <c r="L10" s="13">
        <v>3.0</v>
      </c>
      <c r="M10" s="13">
        <v>4.0</v>
      </c>
      <c r="N10" s="13">
        <v>5.0</v>
      </c>
      <c r="O10" s="13">
        <v>6.0</v>
      </c>
      <c r="P10" s="13">
        <v>7.0</v>
      </c>
      <c r="Q10" s="13">
        <v>8.0</v>
      </c>
      <c r="R10" s="13">
        <v>9.0</v>
      </c>
      <c r="S10" s="13">
        <v>10.0</v>
      </c>
      <c r="T10" s="13">
        <v>11.0</v>
      </c>
      <c r="U10" s="13">
        <v>12.0</v>
      </c>
      <c r="V10" s="13"/>
      <c r="W10" s="8"/>
      <c r="X10" s="8"/>
      <c r="Y10" s="8"/>
      <c r="Z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8"/>
      <c r="X11" s="8"/>
      <c r="Y11" s="8"/>
      <c r="Z11" s="8"/>
    </row>
    <row r="12" ht="15.0" customHeight="1">
      <c r="A12" s="8"/>
      <c r="B12" s="8"/>
      <c r="C12" s="18" t="s">
        <v>321</v>
      </c>
      <c r="D12" s="19" t="s">
        <v>322</v>
      </c>
      <c r="E12" s="20"/>
      <c r="F12" s="20"/>
      <c r="G12" s="20"/>
      <c r="H12" s="21"/>
      <c r="I12" s="22" t="s">
        <v>323</v>
      </c>
      <c r="J12" s="23">
        <f>$H$2</f>
        <v>2026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  <c r="W12" s="8"/>
      <c r="X12" s="8"/>
      <c r="Y12" s="8"/>
      <c r="Z12" s="8"/>
    </row>
    <row r="13" ht="14.25" customHeight="1">
      <c r="A13" s="8"/>
      <c r="B13" s="8"/>
      <c r="C13" s="24"/>
      <c r="D13" s="25"/>
      <c r="H13" s="26"/>
      <c r="I13" s="24"/>
      <c r="J13" s="28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0"/>
      <c r="W13" s="8"/>
      <c r="X13" s="8"/>
      <c r="Y13" s="8"/>
      <c r="Z13" s="8"/>
    </row>
    <row r="14" ht="14.25" customHeight="1">
      <c r="A14" s="8"/>
      <c r="B14" s="8"/>
      <c r="C14" s="27"/>
      <c r="D14" s="28"/>
      <c r="E14" s="29"/>
      <c r="F14" s="29"/>
      <c r="G14" s="29"/>
      <c r="H14" s="30"/>
      <c r="I14" s="27"/>
      <c r="J14" s="96" t="s">
        <v>324</v>
      </c>
      <c r="K14" s="96" t="s">
        <v>325</v>
      </c>
      <c r="L14" s="96" t="s">
        <v>326</v>
      </c>
      <c r="M14" s="96" t="s">
        <v>327</v>
      </c>
      <c r="N14" s="96" t="s">
        <v>328</v>
      </c>
      <c r="O14" s="96" t="s">
        <v>329</v>
      </c>
      <c r="P14" s="96" t="s">
        <v>330</v>
      </c>
      <c r="Q14" s="96" t="s">
        <v>331</v>
      </c>
      <c r="R14" s="96" t="s">
        <v>332</v>
      </c>
      <c r="S14" s="96" t="s">
        <v>333</v>
      </c>
      <c r="T14" s="96" t="s">
        <v>334</v>
      </c>
      <c r="U14" s="96" t="s">
        <v>335</v>
      </c>
      <c r="V14" s="96" t="s">
        <v>336</v>
      </c>
      <c r="W14" s="8"/>
      <c r="X14" s="8"/>
      <c r="Y14" s="8"/>
      <c r="Z14" s="8"/>
    </row>
    <row r="15" ht="14.25" customHeight="1">
      <c r="A15" s="8"/>
      <c r="B15" s="8"/>
      <c r="C15" s="31">
        <v>1.0</v>
      </c>
      <c r="D15" s="32">
        <v>2.0</v>
      </c>
      <c r="E15" s="33"/>
      <c r="F15" s="33"/>
      <c r="G15" s="33"/>
      <c r="H15" s="34"/>
      <c r="I15" s="35">
        <v>3.0</v>
      </c>
      <c r="J15" s="97">
        <v>4.0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  <c r="V15" s="35">
        <v>5.0</v>
      </c>
      <c r="W15" s="8"/>
      <c r="X15" s="8"/>
      <c r="Y15" s="8"/>
      <c r="Z15" s="8"/>
    </row>
    <row r="16" ht="14.25" customHeight="1">
      <c r="A16" s="8"/>
      <c r="B16" s="8"/>
      <c r="C16" s="142"/>
      <c r="D16" s="85"/>
      <c r="E16" s="20"/>
      <c r="F16" s="20"/>
      <c r="G16" s="20"/>
      <c r="H16" s="21"/>
      <c r="I16" s="143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8"/>
      <c r="X16" s="8"/>
      <c r="Y16" s="8"/>
      <c r="Z16" s="8"/>
    </row>
    <row r="17" ht="15.0" customHeight="1">
      <c r="A17" s="8"/>
      <c r="C17" s="144">
        <v>1.0</v>
      </c>
      <c r="D17" s="145" t="s">
        <v>1077</v>
      </c>
      <c r="E17" s="146"/>
      <c r="F17" s="146"/>
      <c r="G17" s="146"/>
      <c r="H17" s="147"/>
      <c r="I17" s="148"/>
      <c r="J17" s="149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8"/>
      <c r="X17" s="8"/>
      <c r="Y17" s="8"/>
      <c r="Z17" s="8"/>
    </row>
    <row r="18" ht="14.25" customHeight="1">
      <c r="A18" s="8"/>
      <c r="B18" s="7" t="s">
        <v>1078</v>
      </c>
      <c r="C18" s="148"/>
      <c r="D18" s="150">
        <v>1.0</v>
      </c>
      <c r="E18" s="146" t="s">
        <v>1079</v>
      </c>
      <c r="F18" s="146"/>
      <c r="G18" s="146"/>
      <c r="H18" s="147"/>
      <c r="I18" s="148" t="s">
        <v>1080</v>
      </c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53">
        <f t="shared" ref="V18:V31" si="1">SUM(J18:U18)</f>
        <v>0</v>
      </c>
      <c r="W18" s="8"/>
      <c r="X18" s="8"/>
      <c r="Y18" s="8"/>
      <c r="Z18" s="8"/>
    </row>
    <row r="19" ht="14.25" customHeight="1">
      <c r="A19" s="8"/>
      <c r="B19" s="7" t="s">
        <v>1081</v>
      </c>
      <c r="C19" s="148"/>
      <c r="D19" s="150">
        <v>2.0</v>
      </c>
      <c r="E19" s="146" t="s">
        <v>1082</v>
      </c>
      <c r="F19" s="146"/>
      <c r="G19" s="146"/>
      <c r="H19" s="147"/>
      <c r="I19" s="148" t="s">
        <v>1083</v>
      </c>
      <c r="J19" s="152">
        <v>142.0</v>
      </c>
      <c r="K19" s="153">
        <v>154.0</v>
      </c>
      <c r="L19" s="154">
        <v>144.0</v>
      </c>
      <c r="M19" s="51">
        <v>174.0</v>
      </c>
      <c r="N19" s="155">
        <v>176.0</v>
      </c>
      <c r="O19" s="51">
        <v>171.0</v>
      </c>
      <c r="P19" s="151"/>
      <c r="Q19" s="151"/>
      <c r="R19" s="151"/>
      <c r="S19" s="151"/>
      <c r="T19" s="151"/>
      <c r="U19" s="151"/>
      <c r="V19" s="53">
        <f t="shared" si="1"/>
        <v>961</v>
      </c>
      <c r="W19" s="8"/>
      <c r="X19" s="8"/>
      <c r="Y19" s="8"/>
      <c r="Z19" s="8"/>
    </row>
    <row r="20" ht="14.25" customHeight="1">
      <c r="A20" s="8"/>
      <c r="B20" s="7" t="s">
        <v>1081</v>
      </c>
      <c r="C20" s="148"/>
      <c r="D20" s="150"/>
      <c r="E20" s="146"/>
      <c r="F20" s="146"/>
      <c r="G20" s="146"/>
      <c r="H20" s="147"/>
      <c r="I20" s="148" t="s">
        <v>1084</v>
      </c>
      <c r="J20" s="152">
        <v>1120954.0</v>
      </c>
      <c r="K20" s="156">
        <v>1280611.0</v>
      </c>
      <c r="L20" s="154">
        <v>1018961.0</v>
      </c>
      <c r="M20" s="59">
        <v>1540988.0</v>
      </c>
      <c r="N20" s="157">
        <v>1424641.0</v>
      </c>
      <c r="O20" s="59">
        <v>1315620.0</v>
      </c>
      <c r="P20" s="151"/>
      <c r="Q20" s="151"/>
      <c r="R20" s="151"/>
      <c r="S20" s="151"/>
      <c r="T20" s="151"/>
      <c r="U20" s="151"/>
      <c r="V20" s="53">
        <f t="shared" si="1"/>
        <v>7701775</v>
      </c>
      <c r="W20" s="8"/>
      <c r="X20" s="8"/>
      <c r="Y20" s="8"/>
      <c r="Z20" s="8"/>
    </row>
    <row r="21" ht="15.0" customHeight="1">
      <c r="A21" s="8"/>
      <c r="B21" s="7" t="s">
        <v>1085</v>
      </c>
      <c r="C21" s="148"/>
      <c r="D21" s="150">
        <v>3.0</v>
      </c>
      <c r="E21" s="146" t="s">
        <v>1086</v>
      </c>
      <c r="F21" s="146"/>
      <c r="G21" s="146"/>
      <c r="H21" s="147"/>
      <c r="I21" s="148" t="s">
        <v>1087</v>
      </c>
      <c r="J21" s="152">
        <v>378.0</v>
      </c>
      <c r="K21" s="156">
        <v>418.08</v>
      </c>
      <c r="L21" s="154">
        <v>358.93333333404735</v>
      </c>
      <c r="M21" s="59">
        <v>462.28333333315095</v>
      </c>
      <c r="N21" s="157">
        <v>475.37</v>
      </c>
      <c r="O21" s="59">
        <v>451.39999999990687</v>
      </c>
      <c r="P21" s="151"/>
      <c r="Q21" s="151"/>
      <c r="R21" s="151"/>
      <c r="S21" s="151"/>
      <c r="T21" s="151"/>
      <c r="U21" s="151"/>
      <c r="V21" s="53">
        <f t="shared" si="1"/>
        <v>2544.066667</v>
      </c>
      <c r="W21" s="8"/>
      <c r="X21" s="8"/>
      <c r="Y21" s="8"/>
      <c r="Z21" s="8"/>
    </row>
    <row r="22" ht="15.0" customHeight="1">
      <c r="A22" s="8"/>
      <c r="B22" s="7" t="s">
        <v>1085</v>
      </c>
      <c r="C22" s="148"/>
      <c r="D22" s="150"/>
      <c r="E22" s="146"/>
      <c r="F22" s="146"/>
      <c r="G22" s="146"/>
      <c r="H22" s="147"/>
      <c r="I22" s="148" t="s">
        <v>1088</v>
      </c>
      <c r="J22" s="152">
        <v>3335668.0</v>
      </c>
      <c r="K22" s="156">
        <v>3935110.0</v>
      </c>
      <c r="L22" s="154">
        <v>2902863.816675421</v>
      </c>
      <c r="M22" s="59">
        <v>4574939.100003741</v>
      </c>
      <c r="N22" s="157">
        <v>4114191.85</v>
      </c>
      <c r="O22" s="59">
        <v>3884513.2499923613</v>
      </c>
      <c r="P22" s="151"/>
      <c r="Q22" s="151"/>
      <c r="R22" s="151"/>
      <c r="S22" s="151"/>
      <c r="T22" s="151"/>
      <c r="U22" s="151"/>
      <c r="V22" s="53">
        <f t="shared" si="1"/>
        <v>22747286.02</v>
      </c>
      <c r="W22" s="8"/>
      <c r="X22" s="8"/>
      <c r="Y22" s="8"/>
      <c r="Z22" s="8"/>
    </row>
    <row r="23" ht="15.0" customHeight="1">
      <c r="A23" s="8"/>
      <c r="B23" s="7" t="s">
        <v>1089</v>
      </c>
      <c r="C23" s="148"/>
      <c r="D23" s="150">
        <v>4.0</v>
      </c>
      <c r="E23" s="146" t="s">
        <v>1090</v>
      </c>
      <c r="F23" s="146"/>
      <c r="G23" s="146"/>
      <c r="H23" s="147"/>
      <c r="I23" s="148" t="s">
        <v>1091</v>
      </c>
      <c r="J23" s="151">
        <v>905797.0</v>
      </c>
      <c r="K23" s="154">
        <v>1543132.0</v>
      </c>
      <c r="L23" s="158">
        <v>2134167.0</v>
      </c>
      <c r="M23" s="153">
        <v>1489560.0</v>
      </c>
      <c r="N23" s="151">
        <v>1642099.25</v>
      </c>
      <c r="O23" s="152">
        <v>1230270.0</v>
      </c>
      <c r="P23" s="151"/>
      <c r="Q23" s="151"/>
      <c r="R23" s="151"/>
      <c r="S23" s="151"/>
      <c r="T23" s="151"/>
      <c r="U23" s="151"/>
      <c r="V23" s="53">
        <f t="shared" si="1"/>
        <v>8945025.25</v>
      </c>
      <c r="W23" s="8"/>
      <c r="X23" s="8"/>
      <c r="Y23" s="8"/>
      <c r="Z23" s="8"/>
    </row>
    <row r="24" ht="15.0" customHeight="1">
      <c r="A24" s="8"/>
      <c r="B24" s="7" t="s">
        <v>1089</v>
      </c>
      <c r="C24" s="148"/>
      <c r="D24" s="150"/>
      <c r="E24" s="146"/>
      <c r="F24" s="146"/>
      <c r="G24" s="146"/>
      <c r="H24" s="147"/>
      <c r="I24" s="148" t="s">
        <v>491</v>
      </c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53">
        <f t="shared" si="1"/>
        <v>0</v>
      </c>
      <c r="W24" s="8"/>
      <c r="X24" s="8"/>
      <c r="Y24" s="8"/>
      <c r="Z24" s="8"/>
    </row>
    <row r="25" ht="15.0" customHeight="1">
      <c r="A25" s="8"/>
      <c r="B25" s="7" t="s">
        <v>1092</v>
      </c>
      <c r="C25" s="148"/>
      <c r="D25" s="150">
        <v>5.0</v>
      </c>
      <c r="E25" s="146" t="s">
        <v>1093</v>
      </c>
      <c r="F25" s="146"/>
      <c r="G25" s="146"/>
      <c r="H25" s="147"/>
      <c r="I25" s="148" t="s">
        <v>343</v>
      </c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53">
        <f t="shared" si="1"/>
        <v>0</v>
      </c>
      <c r="W25" s="8"/>
      <c r="X25" s="8"/>
      <c r="Y25" s="8"/>
      <c r="Z25" s="8"/>
    </row>
    <row r="26" ht="15.0" customHeight="1">
      <c r="A26" s="8"/>
      <c r="B26" s="7" t="s">
        <v>1092</v>
      </c>
      <c r="C26" s="148"/>
      <c r="D26" s="150"/>
      <c r="E26" s="146"/>
      <c r="F26" s="146"/>
      <c r="G26" s="146"/>
      <c r="H26" s="147"/>
      <c r="I26" s="148" t="s">
        <v>582</v>
      </c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53">
        <f t="shared" si="1"/>
        <v>0</v>
      </c>
      <c r="W26" s="8"/>
      <c r="X26" s="8"/>
      <c r="Y26" s="8"/>
      <c r="Z26" s="8"/>
    </row>
    <row r="27" ht="15.0" customHeight="1">
      <c r="A27" s="8"/>
      <c r="B27" s="7" t="s">
        <v>1092</v>
      </c>
      <c r="C27" s="148"/>
      <c r="D27" s="150"/>
      <c r="E27" s="146"/>
      <c r="F27" s="146"/>
      <c r="G27" s="146"/>
      <c r="H27" s="147"/>
      <c r="I27" s="148" t="s">
        <v>583</v>
      </c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53">
        <f t="shared" si="1"/>
        <v>0</v>
      </c>
      <c r="W27" s="8"/>
      <c r="X27" s="8"/>
      <c r="Y27" s="8"/>
      <c r="Z27" s="8"/>
    </row>
    <row r="28" ht="14.25" customHeight="1">
      <c r="A28" s="8"/>
      <c r="B28" s="7" t="s">
        <v>1092</v>
      </c>
      <c r="C28" s="148"/>
      <c r="D28" s="150"/>
      <c r="E28" s="146"/>
      <c r="F28" s="146"/>
      <c r="G28" s="146"/>
      <c r="H28" s="147"/>
      <c r="I28" s="148" t="s">
        <v>474</v>
      </c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53">
        <f t="shared" si="1"/>
        <v>0</v>
      </c>
      <c r="W28" s="8"/>
      <c r="X28" s="8"/>
      <c r="Y28" s="8"/>
      <c r="Z28" s="8"/>
    </row>
    <row r="29" ht="15.0" customHeight="1">
      <c r="A29" s="8"/>
      <c r="B29" s="7" t="s">
        <v>1094</v>
      </c>
      <c r="C29" s="148"/>
      <c r="D29" s="150">
        <v>6.0</v>
      </c>
      <c r="E29" s="146" t="s">
        <v>1095</v>
      </c>
      <c r="F29" s="146"/>
      <c r="G29" s="146"/>
      <c r="H29" s="147"/>
      <c r="I29" s="148" t="s">
        <v>1096</v>
      </c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53">
        <f t="shared" si="1"/>
        <v>0</v>
      </c>
      <c r="W29" s="8"/>
      <c r="X29" s="8"/>
      <c r="Y29" s="8"/>
      <c r="Z29" s="8"/>
    </row>
    <row r="30" ht="14.25" customHeight="1">
      <c r="A30" s="8"/>
      <c r="B30" s="7" t="s">
        <v>1094</v>
      </c>
      <c r="C30" s="148"/>
      <c r="D30" s="150"/>
      <c r="E30" s="146"/>
      <c r="F30" s="146"/>
      <c r="G30" s="146"/>
      <c r="H30" s="147"/>
      <c r="I30" s="148" t="s">
        <v>343</v>
      </c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53">
        <f t="shared" si="1"/>
        <v>0</v>
      </c>
      <c r="W30" s="8"/>
      <c r="X30" s="8"/>
      <c r="Y30" s="8"/>
      <c r="Z30" s="8"/>
    </row>
    <row r="31" ht="14.25" customHeight="1">
      <c r="A31" s="8"/>
      <c r="B31" s="7" t="s">
        <v>1094</v>
      </c>
      <c r="C31" s="148"/>
      <c r="D31" s="150"/>
      <c r="E31" s="146"/>
      <c r="F31" s="146"/>
      <c r="G31" s="146"/>
      <c r="H31" s="147"/>
      <c r="I31" s="148" t="s">
        <v>1087</v>
      </c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53">
        <f t="shared" si="1"/>
        <v>0</v>
      </c>
      <c r="W31" s="8"/>
      <c r="X31" s="8"/>
      <c r="Y31" s="8"/>
      <c r="Z31" s="8"/>
    </row>
    <row r="32" ht="15.0" customHeight="1">
      <c r="A32" s="8"/>
      <c r="B32" s="13"/>
      <c r="C32" s="148"/>
      <c r="D32" s="159"/>
      <c r="E32" s="146"/>
      <c r="F32" s="146"/>
      <c r="G32" s="146"/>
      <c r="H32" s="147"/>
      <c r="I32" s="148"/>
      <c r="J32" s="149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8"/>
      <c r="X32" s="8"/>
      <c r="Y32" s="8"/>
      <c r="Z32" s="8"/>
    </row>
    <row r="33" ht="14.25" customHeight="1">
      <c r="A33" s="8"/>
      <c r="C33" s="160">
        <v>2.0</v>
      </c>
      <c r="D33" s="161" t="s">
        <v>1097</v>
      </c>
      <c r="E33" s="42"/>
      <c r="F33" s="42"/>
      <c r="G33" s="42"/>
      <c r="H33" s="43"/>
      <c r="I33" s="64"/>
      <c r="J33" s="149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8"/>
      <c r="X33" s="8"/>
      <c r="Y33" s="8"/>
      <c r="Z33" s="8"/>
    </row>
    <row r="34" ht="14.25" customHeight="1">
      <c r="A34" s="8"/>
      <c r="C34" s="148"/>
      <c r="D34" s="150">
        <v>1.0</v>
      </c>
      <c r="E34" s="146" t="s">
        <v>1098</v>
      </c>
      <c r="F34" s="146"/>
      <c r="G34" s="146"/>
      <c r="H34" s="147"/>
      <c r="I34" s="148"/>
      <c r="J34" s="149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8"/>
      <c r="X34" s="8"/>
      <c r="Y34" s="8"/>
      <c r="Z34" s="8"/>
    </row>
    <row r="35" ht="14.25" customHeight="1">
      <c r="A35" s="8"/>
      <c r="B35" s="7" t="s">
        <v>1099</v>
      </c>
      <c r="C35" s="148"/>
      <c r="D35" s="159"/>
      <c r="E35" s="162">
        <v>1.0</v>
      </c>
      <c r="F35" s="146" t="s">
        <v>1100</v>
      </c>
      <c r="G35" s="146"/>
      <c r="H35" s="147"/>
      <c r="I35" s="148" t="s">
        <v>474</v>
      </c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53">
        <f t="shared" ref="V35:V38" si="2">SUM(J35:U35)</f>
        <v>0</v>
      </c>
      <c r="W35" s="8"/>
      <c r="X35" s="8"/>
      <c r="Y35" s="8"/>
      <c r="Z35" s="8"/>
    </row>
    <row r="36" ht="14.25" customHeight="1">
      <c r="A36" s="8"/>
      <c r="B36" s="7" t="s">
        <v>1099</v>
      </c>
      <c r="C36" s="148"/>
      <c r="D36" s="159"/>
      <c r="E36" s="162"/>
      <c r="F36" s="146"/>
      <c r="G36" s="146"/>
      <c r="H36" s="147"/>
      <c r="I36" s="148" t="s">
        <v>1101</v>
      </c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53">
        <f t="shared" si="2"/>
        <v>0</v>
      </c>
      <c r="W36" s="8"/>
      <c r="X36" s="8"/>
      <c r="Y36" s="8"/>
      <c r="Z36" s="8"/>
    </row>
    <row r="37" ht="15.0" customHeight="1">
      <c r="A37" s="8"/>
      <c r="B37" s="7" t="s">
        <v>1099</v>
      </c>
      <c r="C37" s="148"/>
      <c r="D37" s="159"/>
      <c r="E37" s="162"/>
      <c r="F37" s="146"/>
      <c r="G37" s="146"/>
      <c r="H37" s="147"/>
      <c r="I37" s="148" t="s">
        <v>583</v>
      </c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53">
        <f t="shared" si="2"/>
        <v>0</v>
      </c>
      <c r="W37" s="8"/>
      <c r="X37" s="8"/>
      <c r="Y37" s="8"/>
      <c r="Z37" s="8"/>
    </row>
    <row r="38" ht="14.25" customHeight="1">
      <c r="A38" s="8"/>
      <c r="B38" s="7" t="s">
        <v>1099</v>
      </c>
      <c r="C38" s="148"/>
      <c r="D38" s="159"/>
      <c r="E38" s="162"/>
      <c r="F38" s="146"/>
      <c r="G38" s="146"/>
      <c r="H38" s="147"/>
      <c r="I38" s="148" t="s">
        <v>491</v>
      </c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53">
        <f t="shared" si="2"/>
        <v>0</v>
      </c>
      <c r="W38" s="8"/>
      <c r="X38" s="8"/>
      <c r="Y38" s="8"/>
      <c r="Z38" s="8"/>
    </row>
    <row r="39" ht="14.25" customHeight="1">
      <c r="A39" s="8"/>
      <c r="C39" s="148"/>
      <c r="D39" s="159"/>
      <c r="E39" s="162">
        <v>2.0</v>
      </c>
      <c r="F39" s="146" t="s">
        <v>1102</v>
      </c>
      <c r="G39" s="146"/>
      <c r="H39" s="147"/>
      <c r="I39" s="148"/>
      <c r="J39" s="149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8"/>
      <c r="X39" s="8"/>
      <c r="Y39" s="8"/>
      <c r="Z39" s="8"/>
    </row>
    <row r="40" ht="14.25" customHeight="1">
      <c r="A40" s="8"/>
      <c r="B40" s="7" t="s">
        <v>1103</v>
      </c>
      <c r="C40" s="148"/>
      <c r="D40" s="159"/>
      <c r="E40" s="162"/>
      <c r="F40" s="162">
        <v>1.0</v>
      </c>
      <c r="G40" s="146" t="s">
        <v>1104</v>
      </c>
      <c r="H40" s="147"/>
      <c r="I40" s="148" t="s">
        <v>474</v>
      </c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53">
        <f t="shared" ref="V40:V50" si="3">SUM(J40:U40)</f>
        <v>0</v>
      </c>
      <c r="W40" s="8"/>
      <c r="X40" s="8"/>
      <c r="Y40" s="8"/>
      <c r="Z40" s="8"/>
    </row>
    <row r="41" ht="15.0" customHeight="1">
      <c r="A41" s="8"/>
      <c r="B41" s="7" t="s">
        <v>1103</v>
      </c>
      <c r="C41" s="148"/>
      <c r="D41" s="159"/>
      <c r="E41" s="162"/>
      <c r="F41" s="162"/>
      <c r="G41" s="146"/>
      <c r="H41" s="147"/>
      <c r="I41" s="148" t="s">
        <v>582</v>
      </c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53">
        <f t="shared" si="3"/>
        <v>0</v>
      </c>
      <c r="W41" s="8"/>
      <c r="X41" s="8"/>
      <c r="Y41" s="8"/>
      <c r="Z41" s="8"/>
    </row>
    <row r="42" ht="14.25" customHeight="1">
      <c r="A42" s="8"/>
      <c r="B42" s="7" t="s">
        <v>1103</v>
      </c>
      <c r="C42" s="148"/>
      <c r="D42" s="159"/>
      <c r="E42" s="162"/>
      <c r="F42" s="162"/>
      <c r="G42" s="146"/>
      <c r="H42" s="147"/>
      <c r="I42" s="148" t="s">
        <v>583</v>
      </c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53">
        <f t="shared" si="3"/>
        <v>0</v>
      </c>
      <c r="W42" s="8"/>
      <c r="X42" s="8"/>
      <c r="Y42" s="8"/>
      <c r="Z42" s="8"/>
    </row>
    <row r="43" ht="14.25" customHeight="1">
      <c r="A43" s="8"/>
      <c r="B43" s="7" t="s">
        <v>1103</v>
      </c>
      <c r="C43" s="148"/>
      <c r="D43" s="159"/>
      <c r="E43" s="162"/>
      <c r="F43" s="162"/>
      <c r="G43" s="146"/>
      <c r="H43" s="147"/>
      <c r="I43" s="148" t="s">
        <v>491</v>
      </c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53">
        <f t="shared" si="3"/>
        <v>0</v>
      </c>
      <c r="W43" s="8"/>
      <c r="X43" s="8"/>
      <c r="Y43" s="8"/>
      <c r="Z43" s="8"/>
    </row>
    <row r="44" ht="15.0" customHeight="1">
      <c r="A44" s="8"/>
      <c r="B44" s="7" t="s">
        <v>1105</v>
      </c>
      <c r="C44" s="148"/>
      <c r="D44" s="159"/>
      <c r="E44" s="162"/>
      <c r="F44" s="162">
        <v>2.0</v>
      </c>
      <c r="G44" s="146" t="s">
        <v>1106</v>
      </c>
      <c r="H44" s="147"/>
      <c r="I44" s="148" t="s">
        <v>474</v>
      </c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53">
        <f t="shared" si="3"/>
        <v>0</v>
      </c>
      <c r="W44" s="8"/>
      <c r="X44" s="8"/>
      <c r="Y44" s="8"/>
      <c r="Z44" s="8"/>
    </row>
    <row r="45" ht="15.0" customHeight="1">
      <c r="A45" s="8"/>
      <c r="B45" s="7" t="s">
        <v>1107</v>
      </c>
      <c r="C45" s="148"/>
      <c r="D45" s="159"/>
      <c r="E45" s="162"/>
      <c r="F45" s="162">
        <v>3.0</v>
      </c>
      <c r="G45" s="146" t="s">
        <v>1108</v>
      </c>
      <c r="H45" s="147"/>
      <c r="I45" s="148" t="s">
        <v>474</v>
      </c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53">
        <f t="shared" si="3"/>
        <v>0</v>
      </c>
      <c r="W45" s="8"/>
      <c r="X45" s="8"/>
      <c r="Y45" s="8"/>
      <c r="Z45" s="8"/>
    </row>
    <row r="46" ht="14.25" customHeight="1">
      <c r="A46" s="8"/>
      <c r="B46" s="7" t="s">
        <v>1109</v>
      </c>
      <c r="C46" s="148"/>
      <c r="D46" s="159"/>
      <c r="E46" s="162"/>
      <c r="F46" s="162">
        <v>4.0</v>
      </c>
      <c r="G46" s="146" t="s">
        <v>1110</v>
      </c>
      <c r="H46" s="147"/>
      <c r="I46" s="148" t="s">
        <v>474</v>
      </c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53">
        <f t="shared" si="3"/>
        <v>0</v>
      </c>
      <c r="W46" s="8"/>
      <c r="X46" s="8"/>
      <c r="Y46" s="8"/>
      <c r="Z46" s="8"/>
    </row>
    <row r="47" ht="14.25" customHeight="1">
      <c r="A47" s="16"/>
      <c r="B47" s="7" t="s">
        <v>1111</v>
      </c>
      <c r="C47" s="148"/>
      <c r="D47" s="159"/>
      <c r="E47" s="162"/>
      <c r="F47" s="162">
        <v>5.0</v>
      </c>
      <c r="G47" s="146" t="s">
        <v>1112</v>
      </c>
      <c r="H47" s="147"/>
      <c r="I47" s="148" t="s">
        <v>1113</v>
      </c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53">
        <f t="shared" si="3"/>
        <v>0</v>
      </c>
      <c r="W47" s="8"/>
      <c r="X47" s="8"/>
      <c r="Y47" s="8"/>
      <c r="Z47" s="8"/>
    </row>
    <row r="48" ht="14.25" customHeight="1">
      <c r="A48" s="8"/>
      <c r="B48" s="7" t="s">
        <v>1111</v>
      </c>
      <c r="C48" s="148"/>
      <c r="D48" s="159"/>
      <c r="E48" s="162"/>
      <c r="F48" s="146"/>
      <c r="G48" s="146"/>
      <c r="H48" s="147"/>
      <c r="I48" s="148" t="s">
        <v>491</v>
      </c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53">
        <f t="shared" si="3"/>
        <v>0</v>
      </c>
      <c r="W48" s="8"/>
      <c r="X48" s="8"/>
      <c r="Y48" s="8"/>
      <c r="Z48" s="8"/>
    </row>
    <row r="49" ht="15.0" customHeight="1">
      <c r="A49" s="8"/>
      <c r="B49" s="7" t="s">
        <v>1111</v>
      </c>
      <c r="C49" s="148"/>
      <c r="D49" s="159"/>
      <c r="E49" s="162"/>
      <c r="F49" s="146"/>
      <c r="G49" s="146"/>
      <c r="H49" s="147"/>
      <c r="I49" s="148" t="s">
        <v>1114</v>
      </c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53">
        <f t="shared" si="3"/>
        <v>0</v>
      </c>
      <c r="W49" s="8"/>
      <c r="X49" s="8"/>
      <c r="Y49" s="8"/>
      <c r="Z49" s="8"/>
    </row>
    <row r="50" ht="14.25" customHeight="1">
      <c r="A50" s="8"/>
      <c r="B50" s="7" t="s">
        <v>1115</v>
      </c>
      <c r="C50" s="148"/>
      <c r="D50" s="159"/>
      <c r="E50" s="162"/>
      <c r="F50" s="162">
        <v>6.0</v>
      </c>
      <c r="G50" s="146" t="s">
        <v>1116</v>
      </c>
      <c r="H50" s="147"/>
      <c r="I50" s="148" t="s">
        <v>474</v>
      </c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53">
        <f t="shared" si="3"/>
        <v>0</v>
      </c>
      <c r="W50" s="8"/>
      <c r="X50" s="8"/>
      <c r="Y50" s="8"/>
      <c r="Z50" s="8"/>
    </row>
    <row r="51" ht="14.25" customHeight="1">
      <c r="A51" s="8"/>
      <c r="C51" s="148"/>
      <c r="D51" s="159"/>
      <c r="E51" s="162">
        <v>3.0</v>
      </c>
      <c r="F51" s="146" t="s">
        <v>1117</v>
      </c>
      <c r="G51" s="146"/>
      <c r="H51" s="147"/>
      <c r="I51" s="148"/>
      <c r="J51" s="149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8"/>
      <c r="X51" s="8"/>
      <c r="Y51" s="8"/>
      <c r="Z51" s="8"/>
    </row>
    <row r="52" ht="14.25" customHeight="1">
      <c r="A52" s="8"/>
      <c r="B52" s="7" t="s">
        <v>1118</v>
      </c>
      <c r="C52" s="148"/>
      <c r="D52" s="159"/>
      <c r="E52" s="162"/>
      <c r="F52" s="162">
        <v>1.0</v>
      </c>
      <c r="G52" s="146" t="s">
        <v>1106</v>
      </c>
      <c r="H52" s="147"/>
      <c r="I52" s="148" t="s">
        <v>474</v>
      </c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53">
        <f t="shared" ref="V52:V56" si="4">SUM(J52:U52)</f>
        <v>0</v>
      </c>
      <c r="W52" s="8"/>
      <c r="X52" s="8"/>
      <c r="Y52" s="8"/>
      <c r="Z52" s="8"/>
    </row>
    <row r="53" ht="14.25" customHeight="1">
      <c r="A53" s="8"/>
      <c r="B53" s="7" t="s">
        <v>1119</v>
      </c>
      <c r="C53" s="148"/>
      <c r="D53" s="159"/>
      <c r="E53" s="162"/>
      <c r="F53" s="162">
        <v>2.0</v>
      </c>
      <c r="G53" s="146" t="s">
        <v>1120</v>
      </c>
      <c r="H53" s="147"/>
      <c r="I53" s="148" t="s">
        <v>474</v>
      </c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53">
        <f t="shared" si="4"/>
        <v>0</v>
      </c>
      <c r="W53" s="8"/>
      <c r="X53" s="8"/>
      <c r="Y53" s="8"/>
      <c r="Z53" s="8"/>
    </row>
    <row r="54" ht="15.0" customHeight="1">
      <c r="A54" s="8"/>
      <c r="B54" s="7" t="s">
        <v>1121</v>
      </c>
      <c r="C54" s="148"/>
      <c r="D54" s="159"/>
      <c r="E54" s="162"/>
      <c r="F54" s="162">
        <v>3.0</v>
      </c>
      <c r="G54" s="146" t="s">
        <v>1122</v>
      </c>
      <c r="H54" s="147"/>
      <c r="I54" s="148" t="s">
        <v>1123</v>
      </c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53">
        <f t="shared" si="4"/>
        <v>0</v>
      </c>
      <c r="W54" s="8"/>
      <c r="X54" s="8"/>
      <c r="Y54" s="8"/>
      <c r="Z54" s="8"/>
    </row>
    <row r="55" ht="15.0" customHeight="1">
      <c r="A55" s="8"/>
      <c r="B55" s="7" t="s">
        <v>1124</v>
      </c>
      <c r="C55" s="148"/>
      <c r="D55" s="159"/>
      <c r="E55" s="162"/>
      <c r="F55" s="162">
        <v>4.0</v>
      </c>
      <c r="G55" s="146" t="s">
        <v>1125</v>
      </c>
      <c r="H55" s="147"/>
      <c r="I55" s="148" t="s">
        <v>1126</v>
      </c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53">
        <f t="shared" si="4"/>
        <v>0</v>
      </c>
      <c r="W55" s="8"/>
      <c r="X55" s="8"/>
      <c r="Y55" s="8"/>
      <c r="Z55" s="8"/>
    </row>
    <row r="56" ht="15.0" customHeight="1">
      <c r="A56" s="8"/>
      <c r="B56" s="7" t="s">
        <v>1124</v>
      </c>
      <c r="C56" s="148"/>
      <c r="D56" s="159"/>
      <c r="E56" s="162"/>
      <c r="F56" s="146"/>
      <c r="G56" s="146"/>
      <c r="H56" s="147"/>
      <c r="I56" s="148" t="s">
        <v>474</v>
      </c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53">
        <f t="shared" si="4"/>
        <v>0</v>
      </c>
      <c r="W56" s="8"/>
      <c r="X56" s="8"/>
      <c r="Y56" s="8"/>
      <c r="Z56" s="8"/>
    </row>
    <row r="57" ht="15.0" customHeight="1">
      <c r="A57" s="8"/>
      <c r="C57" s="148"/>
      <c r="D57" s="159"/>
      <c r="E57" s="162">
        <v>4.0</v>
      </c>
      <c r="F57" s="146" t="s">
        <v>1127</v>
      </c>
      <c r="G57" s="146"/>
      <c r="H57" s="147"/>
      <c r="I57" s="148"/>
      <c r="J57" s="149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8"/>
      <c r="X57" s="8"/>
      <c r="Y57" s="8"/>
      <c r="Z57" s="8"/>
    </row>
    <row r="58" ht="15.0" customHeight="1">
      <c r="A58" s="8"/>
      <c r="B58" s="7" t="s">
        <v>1128</v>
      </c>
      <c r="C58" s="148"/>
      <c r="D58" s="159"/>
      <c r="E58" s="162"/>
      <c r="F58" s="162">
        <v>1.0</v>
      </c>
      <c r="G58" s="146" t="s">
        <v>1129</v>
      </c>
      <c r="H58" s="147"/>
      <c r="I58" s="148" t="s">
        <v>582</v>
      </c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53">
        <f t="shared" ref="V58:V65" si="5">SUM(J58:U58)</f>
        <v>0</v>
      </c>
      <c r="W58" s="8"/>
      <c r="X58" s="8"/>
      <c r="Y58" s="8"/>
      <c r="Z58" s="8"/>
    </row>
    <row r="59" ht="14.25" customHeight="1">
      <c r="A59" s="8"/>
      <c r="B59" s="7" t="s">
        <v>1128</v>
      </c>
      <c r="C59" s="148"/>
      <c r="D59" s="159"/>
      <c r="E59" s="162"/>
      <c r="F59" s="162"/>
      <c r="G59" s="146"/>
      <c r="H59" s="147"/>
      <c r="I59" s="148" t="s">
        <v>583</v>
      </c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53">
        <f t="shared" si="5"/>
        <v>0</v>
      </c>
      <c r="W59" s="8"/>
      <c r="X59" s="8"/>
      <c r="Y59" s="8"/>
      <c r="Z59" s="8"/>
    </row>
    <row r="60" ht="14.25" customHeight="1">
      <c r="A60" s="8"/>
      <c r="B60" s="7" t="s">
        <v>1130</v>
      </c>
      <c r="C60" s="148"/>
      <c r="D60" s="159"/>
      <c r="E60" s="162"/>
      <c r="F60" s="162">
        <v>2.0</v>
      </c>
      <c r="G60" s="146" t="s">
        <v>1131</v>
      </c>
      <c r="H60" s="147"/>
      <c r="I60" s="148" t="s">
        <v>474</v>
      </c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53">
        <f t="shared" si="5"/>
        <v>0</v>
      </c>
      <c r="W60" s="8"/>
      <c r="X60" s="8"/>
      <c r="Y60" s="8"/>
      <c r="Z60" s="8"/>
    </row>
    <row r="61" ht="15.0" customHeight="1">
      <c r="A61" s="8"/>
      <c r="B61" s="7" t="s">
        <v>1132</v>
      </c>
      <c r="C61" s="148"/>
      <c r="D61" s="159"/>
      <c r="E61" s="162"/>
      <c r="F61" s="162">
        <v>3.0</v>
      </c>
      <c r="G61" s="146" t="s">
        <v>1120</v>
      </c>
      <c r="H61" s="147"/>
      <c r="I61" s="148" t="s">
        <v>474</v>
      </c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53">
        <f t="shared" si="5"/>
        <v>0</v>
      </c>
      <c r="W61" s="8"/>
      <c r="X61" s="8"/>
      <c r="Y61" s="8"/>
      <c r="Z61" s="8"/>
    </row>
    <row r="62" ht="14.25" customHeight="1">
      <c r="A62" s="8"/>
      <c r="B62" s="7" t="s">
        <v>1133</v>
      </c>
      <c r="C62" s="148"/>
      <c r="D62" s="159"/>
      <c r="E62" s="162"/>
      <c r="F62" s="162">
        <v>4.0</v>
      </c>
      <c r="G62" s="146" t="s">
        <v>1134</v>
      </c>
      <c r="H62" s="147"/>
      <c r="I62" s="148" t="s">
        <v>474</v>
      </c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53">
        <f t="shared" si="5"/>
        <v>0</v>
      </c>
      <c r="W62" s="8"/>
      <c r="X62" s="8"/>
      <c r="Y62" s="8"/>
      <c r="Z62" s="8"/>
    </row>
    <row r="63" ht="15.0" customHeight="1">
      <c r="A63" s="8"/>
      <c r="B63" s="7" t="s">
        <v>1135</v>
      </c>
      <c r="C63" s="148"/>
      <c r="D63" s="159"/>
      <c r="E63" s="162"/>
      <c r="F63" s="162">
        <v>5.0</v>
      </c>
      <c r="G63" s="146" t="s">
        <v>1136</v>
      </c>
      <c r="H63" s="147"/>
      <c r="I63" s="148" t="s">
        <v>1137</v>
      </c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53">
        <f t="shared" si="5"/>
        <v>0</v>
      </c>
      <c r="W63" s="8"/>
      <c r="X63" s="8"/>
      <c r="Y63" s="8"/>
      <c r="Z63" s="8"/>
    </row>
    <row r="64" ht="15.0" customHeight="1">
      <c r="A64" s="8"/>
      <c r="B64" s="7" t="s">
        <v>1135</v>
      </c>
      <c r="C64" s="148"/>
      <c r="D64" s="159"/>
      <c r="E64" s="162"/>
      <c r="F64" s="146"/>
      <c r="G64" s="146"/>
      <c r="H64" s="147"/>
      <c r="I64" s="148" t="s">
        <v>1138</v>
      </c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53">
        <f t="shared" si="5"/>
        <v>0</v>
      </c>
      <c r="W64" s="8"/>
      <c r="X64" s="8"/>
      <c r="Y64" s="8"/>
      <c r="Z64" s="8"/>
    </row>
    <row r="65" ht="15.0" customHeight="1">
      <c r="A65" s="8"/>
      <c r="B65" s="7" t="s">
        <v>1135</v>
      </c>
      <c r="C65" s="148"/>
      <c r="D65" s="159"/>
      <c r="E65" s="162"/>
      <c r="F65" s="146"/>
      <c r="G65" s="146"/>
      <c r="H65" s="147"/>
      <c r="I65" s="148" t="s">
        <v>1123</v>
      </c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53">
        <f t="shared" si="5"/>
        <v>0</v>
      </c>
      <c r="W65" s="8"/>
      <c r="X65" s="8"/>
      <c r="Y65" s="8"/>
      <c r="Z65" s="8"/>
    </row>
    <row r="66" ht="15.0" customHeight="1">
      <c r="A66" s="8"/>
      <c r="C66" s="148"/>
      <c r="D66" s="159"/>
      <c r="E66" s="162">
        <v>5.0</v>
      </c>
      <c r="F66" s="146" t="s">
        <v>1139</v>
      </c>
      <c r="G66" s="146"/>
      <c r="H66" s="147"/>
      <c r="I66" s="148"/>
      <c r="J66" s="149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8"/>
      <c r="X66" s="8"/>
      <c r="Y66" s="8"/>
      <c r="Z66" s="8"/>
    </row>
    <row r="67" ht="14.25" customHeight="1">
      <c r="A67" s="8"/>
      <c r="B67" s="7" t="s">
        <v>1140</v>
      </c>
      <c r="C67" s="148"/>
      <c r="D67" s="159"/>
      <c r="E67" s="162"/>
      <c r="F67" s="162">
        <v>1.0</v>
      </c>
      <c r="G67" s="146" t="s">
        <v>1104</v>
      </c>
      <c r="H67" s="147"/>
      <c r="I67" s="148" t="s">
        <v>474</v>
      </c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53">
        <f t="shared" ref="V67:V70" si="6">SUM(J67:U67)</f>
        <v>0</v>
      </c>
      <c r="W67" s="8"/>
      <c r="X67" s="8"/>
      <c r="Y67" s="8"/>
      <c r="Z67" s="8"/>
    </row>
    <row r="68" ht="14.25" customHeight="1">
      <c r="A68" s="8"/>
      <c r="B68" s="7" t="s">
        <v>1140</v>
      </c>
      <c r="C68" s="148"/>
      <c r="D68" s="159"/>
      <c r="E68" s="162"/>
      <c r="F68" s="162"/>
      <c r="G68" s="146"/>
      <c r="H68" s="147"/>
      <c r="I68" s="148" t="s">
        <v>491</v>
      </c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53">
        <f t="shared" si="6"/>
        <v>0</v>
      </c>
      <c r="W68" s="8"/>
      <c r="X68" s="8"/>
      <c r="Y68" s="8"/>
      <c r="Z68" s="8"/>
    </row>
    <row r="69" ht="15.0" customHeight="1">
      <c r="A69" s="8"/>
      <c r="B69" s="7" t="s">
        <v>1141</v>
      </c>
      <c r="C69" s="148"/>
      <c r="D69" s="159"/>
      <c r="E69" s="162"/>
      <c r="F69" s="162">
        <v>2.0</v>
      </c>
      <c r="G69" s="146" t="s">
        <v>1106</v>
      </c>
      <c r="H69" s="147"/>
      <c r="I69" s="148" t="s">
        <v>474</v>
      </c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53">
        <f t="shared" si="6"/>
        <v>0</v>
      </c>
      <c r="W69" s="8"/>
      <c r="X69" s="8"/>
      <c r="Y69" s="8"/>
      <c r="Z69" s="8"/>
    </row>
    <row r="70" ht="14.25" customHeight="1">
      <c r="A70" s="8"/>
      <c r="B70" s="7" t="s">
        <v>1142</v>
      </c>
      <c r="C70" s="148"/>
      <c r="D70" s="159"/>
      <c r="E70" s="162"/>
      <c r="F70" s="162">
        <v>3.0</v>
      </c>
      <c r="G70" s="146" t="s">
        <v>1108</v>
      </c>
      <c r="H70" s="147"/>
      <c r="I70" s="148" t="s">
        <v>474</v>
      </c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53">
        <f t="shared" si="6"/>
        <v>0</v>
      </c>
      <c r="W70" s="8"/>
      <c r="X70" s="8"/>
      <c r="Y70" s="8"/>
      <c r="Z70" s="8"/>
    </row>
    <row r="71" ht="15.0" customHeight="1">
      <c r="A71" s="8"/>
      <c r="C71" s="148"/>
      <c r="D71" s="159"/>
      <c r="E71" s="162">
        <v>6.0</v>
      </c>
      <c r="F71" s="146" t="s">
        <v>1143</v>
      </c>
      <c r="G71" s="146"/>
      <c r="H71" s="147"/>
      <c r="I71" s="148"/>
      <c r="J71" s="149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8"/>
      <c r="X71" s="8"/>
      <c r="Y71" s="8"/>
      <c r="Z71" s="8"/>
    </row>
    <row r="72" ht="15.0" customHeight="1">
      <c r="A72" s="8"/>
      <c r="C72" s="148"/>
      <c r="D72" s="159"/>
      <c r="E72" s="146"/>
      <c r="F72" s="162">
        <v>1.0</v>
      </c>
      <c r="G72" s="146" t="s">
        <v>1144</v>
      </c>
      <c r="H72" s="147"/>
      <c r="I72" s="148"/>
      <c r="J72" s="149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8"/>
      <c r="X72" s="8"/>
      <c r="Y72" s="8"/>
      <c r="Z72" s="8"/>
    </row>
    <row r="73" ht="15.0" customHeight="1">
      <c r="A73" s="8"/>
      <c r="B73" s="7" t="s">
        <v>1145</v>
      </c>
      <c r="C73" s="148"/>
      <c r="D73" s="159"/>
      <c r="E73" s="146"/>
      <c r="F73" s="146"/>
      <c r="G73" s="162">
        <v>1.0</v>
      </c>
      <c r="H73" s="147" t="s">
        <v>1120</v>
      </c>
      <c r="I73" s="148" t="s">
        <v>474</v>
      </c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53">
        <f t="shared" ref="V73:V74" si="7">SUM(J73:U73)</f>
        <v>0</v>
      </c>
      <c r="W73" s="8"/>
      <c r="X73" s="8"/>
      <c r="Y73" s="8"/>
      <c r="Z73" s="8"/>
    </row>
    <row r="74" ht="15.0" customHeight="1">
      <c r="A74" s="8"/>
      <c r="B74" s="7" t="s">
        <v>1146</v>
      </c>
      <c r="C74" s="148"/>
      <c r="D74" s="159"/>
      <c r="E74" s="146"/>
      <c r="F74" s="146"/>
      <c r="G74" s="162">
        <v>2.0</v>
      </c>
      <c r="H74" s="147" t="s">
        <v>1134</v>
      </c>
      <c r="I74" s="148" t="s">
        <v>474</v>
      </c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53">
        <f t="shared" si="7"/>
        <v>0</v>
      </c>
      <c r="W74" s="8"/>
      <c r="X74" s="8"/>
      <c r="Y74" s="8"/>
      <c r="Z74" s="8"/>
    </row>
    <row r="75" ht="14.25" customHeight="1">
      <c r="A75" s="8"/>
      <c r="C75" s="148"/>
      <c r="D75" s="159"/>
      <c r="E75" s="146"/>
      <c r="F75" s="162">
        <v>2.0</v>
      </c>
      <c r="G75" s="146" t="s">
        <v>1147</v>
      </c>
      <c r="H75" s="147"/>
      <c r="I75" s="148"/>
      <c r="J75" s="149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8"/>
      <c r="X75" s="8"/>
      <c r="Y75" s="8"/>
      <c r="Z75" s="8"/>
    </row>
    <row r="76" ht="14.25" customHeight="1">
      <c r="A76" s="8"/>
      <c r="B76" s="7" t="s">
        <v>1148</v>
      </c>
      <c r="C76" s="148"/>
      <c r="D76" s="159"/>
      <c r="E76" s="146"/>
      <c r="F76" s="146"/>
      <c r="G76" s="162">
        <v>1.0</v>
      </c>
      <c r="H76" s="147" t="s">
        <v>1120</v>
      </c>
      <c r="I76" s="148" t="s">
        <v>474</v>
      </c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53">
        <f t="shared" ref="V76:V84" si="8">SUM(J76:U76)</f>
        <v>0</v>
      </c>
      <c r="W76" s="8"/>
      <c r="X76" s="8"/>
      <c r="Y76" s="8"/>
      <c r="Z76" s="8"/>
    </row>
    <row r="77" ht="15.0" customHeight="1">
      <c r="A77" s="8"/>
      <c r="B77" s="7" t="s">
        <v>1149</v>
      </c>
      <c r="C77" s="148"/>
      <c r="D77" s="159"/>
      <c r="E77" s="146"/>
      <c r="F77" s="146"/>
      <c r="G77" s="162">
        <v>2.0</v>
      </c>
      <c r="H77" s="147" t="s">
        <v>1134</v>
      </c>
      <c r="I77" s="148" t="s">
        <v>474</v>
      </c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53">
        <f t="shared" si="8"/>
        <v>0</v>
      </c>
      <c r="W77" s="8"/>
      <c r="X77" s="8"/>
      <c r="Y77" s="8"/>
      <c r="Z77" s="8"/>
    </row>
    <row r="78" ht="15.0" customHeight="1">
      <c r="A78" s="8"/>
      <c r="B78" s="7" t="s">
        <v>1150</v>
      </c>
      <c r="C78" s="148"/>
      <c r="D78" s="159"/>
      <c r="E78" s="146"/>
      <c r="F78" s="162">
        <v>3.0</v>
      </c>
      <c r="G78" s="146" t="s">
        <v>1151</v>
      </c>
      <c r="H78" s="147"/>
      <c r="I78" s="148" t="s">
        <v>474</v>
      </c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53">
        <f t="shared" si="8"/>
        <v>0</v>
      </c>
      <c r="W78" s="8"/>
      <c r="X78" s="8"/>
      <c r="Y78" s="8"/>
      <c r="Z78" s="8"/>
    </row>
    <row r="79" ht="15.0" customHeight="1">
      <c r="A79" s="8"/>
      <c r="B79" s="7" t="s">
        <v>1152</v>
      </c>
      <c r="C79" s="148"/>
      <c r="D79" s="159"/>
      <c r="E79" s="146"/>
      <c r="F79" s="162">
        <v>4.0</v>
      </c>
      <c r="G79" s="146" t="s">
        <v>1153</v>
      </c>
      <c r="H79" s="147"/>
      <c r="I79" s="148" t="s">
        <v>474</v>
      </c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53">
        <f t="shared" si="8"/>
        <v>0</v>
      </c>
      <c r="W79" s="8"/>
      <c r="X79" s="8"/>
      <c r="Y79" s="8"/>
      <c r="Z79" s="8"/>
    </row>
    <row r="80" ht="15.0" customHeight="1">
      <c r="A80" s="8"/>
      <c r="B80" s="7" t="s">
        <v>1154</v>
      </c>
      <c r="C80" s="148"/>
      <c r="D80" s="159"/>
      <c r="E80" s="146"/>
      <c r="F80" s="162">
        <v>5.0</v>
      </c>
      <c r="G80" s="146" t="s">
        <v>1155</v>
      </c>
      <c r="H80" s="147"/>
      <c r="I80" s="148" t="s">
        <v>474</v>
      </c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53">
        <f t="shared" si="8"/>
        <v>0</v>
      </c>
      <c r="W80" s="8"/>
      <c r="X80" s="8"/>
      <c r="Y80" s="8"/>
      <c r="Z80" s="8"/>
    </row>
    <row r="81" ht="14.25" customHeight="1">
      <c r="A81" s="8"/>
      <c r="B81" s="7" t="s">
        <v>1156</v>
      </c>
      <c r="C81" s="148"/>
      <c r="D81" s="159"/>
      <c r="E81" s="146"/>
      <c r="F81" s="162">
        <v>6.0</v>
      </c>
      <c r="G81" s="146" t="s">
        <v>1157</v>
      </c>
      <c r="H81" s="147"/>
      <c r="I81" s="148" t="s">
        <v>474</v>
      </c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53">
        <f t="shared" si="8"/>
        <v>0</v>
      </c>
      <c r="W81" s="8"/>
      <c r="X81" s="8"/>
      <c r="Y81" s="8"/>
      <c r="Z81" s="8"/>
    </row>
    <row r="82" ht="14.25" customHeight="1">
      <c r="A82" s="8"/>
      <c r="B82" s="7" t="s">
        <v>1158</v>
      </c>
      <c r="C82" s="148"/>
      <c r="D82" s="159"/>
      <c r="E82" s="146"/>
      <c r="F82" s="162">
        <v>7.0</v>
      </c>
      <c r="G82" s="146" t="s">
        <v>1159</v>
      </c>
      <c r="H82" s="147"/>
      <c r="I82" s="148" t="s">
        <v>474</v>
      </c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53">
        <f t="shared" si="8"/>
        <v>0</v>
      </c>
      <c r="W82" s="8"/>
      <c r="X82" s="8"/>
      <c r="Y82" s="8"/>
      <c r="Z82" s="8"/>
    </row>
    <row r="83" ht="15.0" customHeight="1">
      <c r="A83" s="8"/>
      <c r="B83" s="7" t="s">
        <v>1160</v>
      </c>
      <c r="C83" s="148"/>
      <c r="D83" s="159"/>
      <c r="E83" s="146"/>
      <c r="F83" s="162">
        <v>8.0</v>
      </c>
      <c r="G83" s="146" t="s">
        <v>1161</v>
      </c>
      <c r="H83" s="147"/>
      <c r="I83" s="148" t="s">
        <v>491</v>
      </c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53">
        <f t="shared" si="8"/>
        <v>0</v>
      </c>
      <c r="W83" s="8"/>
      <c r="X83" s="8"/>
      <c r="Y83" s="8"/>
      <c r="Z83" s="8"/>
    </row>
    <row r="84" ht="14.25" customHeight="1">
      <c r="A84" s="8"/>
      <c r="B84" s="7" t="s">
        <v>1162</v>
      </c>
      <c r="C84" s="148"/>
      <c r="D84" s="159"/>
      <c r="E84" s="146"/>
      <c r="F84" s="162">
        <v>9.0</v>
      </c>
      <c r="G84" s="146" t="s">
        <v>1163</v>
      </c>
      <c r="H84" s="147"/>
      <c r="I84" s="148" t="s">
        <v>474</v>
      </c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53">
        <f t="shared" si="8"/>
        <v>0</v>
      </c>
      <c r="W84" s="8"/>
      <c r="X84" s="8"/>
      <c r="Y84" s="8"/>
      <c r="Z84" s="8"/>
    </row>
    <row r="85" ht="15.0" customHeight="1">
      <c r="A85" s="8"/>
      <c r="B85" s="13"/>
      <c r="C85" s="148"/>
      <c r="D85" s="159"/>
      <c r="E85" s="146"/>
      <c r="F85" s="146"/>
      <c r="G85" s="146"/>
      <c r="H85" s="147"/>
      <c r="I85" s="148"/>
      <c r="J85" s="149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8"/>
      <c r="X85" s="8"/>
      <c r="Y85" s="8"/>
      <c r="Z85" s="8"/>
    </row>
    <row r="86" ht="15.0" customHeight="1">
      <c r="A86" s="8"/>
      <c r="C86" s="148"/>
      <c r="D86" s="150">
        <v>2.0</v>
      </c>
      <c r="E86" s="146" t="s">
        <v>1164</v>
      </c>
      <c r="F86" s="146"/>
      <c r="G86" s="146"/>
      <c r="H86" s="147"/>
      <c r="I86" s="148"/>
      <c r="J86" s="149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8"/>
      <c r="X86" s="8"/>
      <c r="Y86" s="8"/>
      <c r="Z86" s="8"/>
    </row>
    <row r="87" ht="15.0" customHeight="1">
      <c r="A87" s="8"/>
      <c r="B87" s="7" t="s">
        <v>1165</v>
      </c>
      <c r="C87" s="148"/>
      <c r="D87" s="159"/>
      <c r="E87" s="162">
        <v>1.0</v>
      </c>
      <c r="F87" s="146" t="s">
        <v>1100</v>
      </c>
      <c r="G87" s="146"/>
      <c r="H87" s="147"/>
      <c r="I87" s="148" t="s">
        <v>474</v>
      </c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53">
        <f t="shared" ref="V87:V90" si="9">SUM(J87:U87)</f>
        <v>0</v>
      </c>
      <c r="W87" s="8"/>
      <c r="X87" s="8"/>
      <c r="Y87" s="8"/>
      <c r="Z87" s="8"/>
    </row>
    <row r="88" ht="15.0" customHeight="1">
      <c r="A88" s="8"/>
      <c r="B88" s="7" t="s">
        <v>1165</v>
      </c>
      <c r="C88" s="148"/>
      <c r="D88" s="159"/>
      <c r="E88" s="146"/>
      <c r="F88" s="146"/>
      <c r="G88" s="146"/>
      <c r="H88" s="147"/>
      <c r="I88" s="148" t="s">
        <v>1101</v>
      </c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53">
        <f t="shared" si="9"/>
        <v>0</v>
      </c>
      <c r="W88" s="8"/>
      <c r="X88" s="8"/>
      <c r="Y88" s="8"/>
      <c r="Z88" s="8"/>
    </row>
    <row r="89" ht="15.0" customHeight="1">
      <c r="A89" s="8"/>
      <c r="B89" s="7" t="s">
        <v>1165</v>
      </c>
      <c r="C89" s="148"/>
      <c r="D89" s="159"/>
      <c r="E89" s="146"/>
      <c r="F89" s="146"/>
      <c r="G89" s="146"/>
      <c r="H89" s="147"/>
      <c r="I89" s="148" t="s">
        <v>583</v>
      </c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53">
        <f t="shared" si="9"/>
        <v>0</v>
      </c>
      <c r="W89" s="8"/>
      <c r="X89" s="8"/>
      <c r="Y89" s="8"/>
      <c r="Z89" s="8"/>
    </row>
    <row r="90" ht="15.0" customHeight="1">
      <c r="A90" s="8"/>
      <c r="B90" s="7" t="s">
        <v>1165</v>
      </c>
      <c r="C90" s="148"/>
      <c r="D90" s="159"/>
      <c r="E90" s="146"/>
      <c r="F90" s="146"/>
      <c r="G90" s="146"/>
      <c r="H90" s="147"/>
      <c r="I90" s="148" t="s">
        <v>491</v>
      </c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53">
        <f t="shared" si="9"/>
        <v>0</v>
      </c>
      <c r="W90" s="8"/>
      <c r="X90" s="8"/>
      <c r="Y90" s="8"/>
      <c r="Z90" s="8"/>
    </row>
    <row r="91" ht="15.0" customHeight="1">
      <c r="A91" s="8"/>
      <c r="C91" s="148"/>
      <c r="D91" s="159"/>
      <c r="E91" s="162">
        <v>2.0</v>
      </c>
      <c r="F91" s="146" t="s">
        <v>1102</v>
      </c>
      <c r="G91" s="146"/>
      <c r="H91" s="147"/>
      <c r="I91" s="148"/>
      <c r="J91" s="149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8"/>
      <c r="X91" s="8"/>
      <c r="Y91" s="8"/>
      <c r="Z91" s="8"/>
    </row>
    <row r="92" ht="15.0" customHeight="1">
      <c r="A92" s="8"/>
      <c r="B92" s="7" t="s">
        <v>1166</v>
      </c>
      <c r="C92" s="148"/>
      <c r="D92" s="159"/>
      <c r="E92" s="146"/>
      <c r="F92" s="162">
        <v>1.0</v>
      </c>
      <c r="G92" s="146" t="s">
        <v>1104</v>
      </c>
      <c r="H92" s="147"/>
      <c r="I92" s="148" t="s">
        <v>474</v>
      </c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53">
        <f t="shared" ref="V92:V115" si="10">SUM(J92:U92)</f>
        <v>0</v>
      </c>
      <c r="W92" s="8"/>
      <c r="X92" s="8"/>
      <c r="Y92" s="8"/>
      <c r="Z92" s="8"/>
    </row>
    <row r="93" ht="15.0" customHeight="1">
      <c r="A93" s="8"/>
      <c r="B93" s="7" t="s">
        <v>1166</v>
      </c>
      <c r="C93" s="148"/>
      <c r="D93" s="159"/>
      <c r="E93" s="146"/>
      <c r="F93" s="162"/>
      <c r="G93" s="146"/>
      <c r="H93" s="147"/>
      <c r="I93" s="148" t="s">
        <v>582</v>
      </c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53">
        <f t="shared" si="10"/>
        <v>0</v>
      </c>
      <c r="W93" s="8"/>
      <c r="X93" s="8"/>
      <c r="Y93" s="8"/>
      <c r="Z93" s="8"/>
    </row>
    <row r="94" ht="15.0" customHeight="1">
      <c r="A94" s="8"/>
      <c r="B94" s="7" t="s">
        <v>1166</v>
      </c>
      <c r="C94" s="148"/>
      <c r="D94" s="159"/>
      <c r="E94" s="146"/>
      <c r="F94" s="162"/>
      <c r="G94" s="146"/>
      <c r="H94" s="147"/>
      <c r="I94" s="148" t="s">
        <v>583</v>
      </c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53">
        <f t="shared" si="10"/>
        <v>0</v>
      </c>
      <c r="W94" s="8"/>
      <c r="X94" s="8"/>
      <c r="Y94" s="8"/>
      <c r="Z94" s="8"/>
    </row>
    <row r="95" ht="15.0" customHeight="1">
      <c r="A95" s="8"/>
      <c r="B95" s="7" t="s">
        <v>1166</v>
      </c>
      <c r="C95" s="148"/>
      <c r="D95" s="159"/>
      <c r="E95" s="146"/>
      <c r="F95" s="162"/>
      <c r="G95" s="146"/>
      <c r="H95" s="147"/>
      <c r="I95" s="148" t="s">
        <v>491</v>
      </c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53">
        <f t="shared" si="10"/>
        <v>0</v>
      </c>
      <c r="W95" s="8"/>
      <c r="X95" s="8"/>
      <c r="Y95" s="8"/>
      <c r="Z95" s="8"/>
    </row>
    <row r="96" ht="15.0" customHeight="1">
      <c r="A96" s="8"/>
      <c r="B96" s="7" t="s">
        <v>1167</v>
      </c>
      <c r="C96" s="148"/>
      <c r="D96" s="159"/>
      <c r="E96" s="146"/>
      <c r="F96" s="162">
        <v>2.0</v>
      </c>
      <c r="G96" s="146" t="s">
        <v>1106</v>
      </c>
      <c r="H96" s="147"/>
      <c r="I96" s="148" t="s">
        <v>474</v>
      </c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53">
        <f t="shared" si="10"/>
        <v>0</v>
      </c>
      <c r="W96" s="8"/>
      <c r="X96" s="8"/>
      <c r="Y96" s="8"/>
      <c r="Z96" s="8"/>
    </row>
    <row r="97" ht="15.0" customHeight="1">
      <c r="A97" s="8"/>
      <c r="B97" s="7" t="s">
        <v>1167</v>
      </c>
      <c r="C97" s="148"/>
      <c r="D97" s="159"/>
      <c r="E97" s="146"/>
      <c r="F97" s="162"/>
      <c r="G97" s="146"/>
      <c r="H97" s="147"/>
      <c r="I97" s="148" t="s">
        <v>1101</v>
      </c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53">
        <f t="shared" si="10"/>
        <v>0</v>
      </c>
      <c r="W97" s="8"/>
      <c r="X97" s="8"/>
      <c r="Y97" s="8"/>
      <c r="Z97" s="8"/>
    </row>
    <row r="98" ht="15.0" customHeight="1">
      <c r="A98" s="8"/>
      <c r="B98" s="7" t="s">
        <v>1167</v>
      </c>
      <c r="C98" s="148"/>
      <c r="D98" s="159"/>
      <c r="E98" s="146"/>
      <c r="F98" s="162"/>
      <c r="G98" s="146"/>
      <c r="H98" s="147"/>
      <c r="I98" s="148" t="s">
        <v>583</v>
      </c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53">
        <f t="shared" si="10"/>
        <v>0</v>
      </c>
      <c r="W98" s="8"/>
      <c r="X98" s="8"/>
      <c r="Y98" s="8"/>
      <c r="Z98" s="8"/>
    </row>
    <row r="99" ht="15.0" customHeight="1">
      <c r="A99" s="8"/>
      <c r="B99" s="7" t="s">
        <v>1167</v>
      </c>
      <c r="C99" s="148"/>
      <c r="D99" s="159"/>
      <c r="E99" s="146"/>
      <c r="F99" s="162"/>
      <c r="G99" s="146"/>
      <c r="H99" s="147"/>
      <c r="I99" s="148" t="s">
        <v>491</v>
      </c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53">
        <f t="shared" si="10"/>
        <v>0</v>
      </c>
      <c r="W99" s="8"/>
      <c r="X99" s="8"/>
      <c r="Y99" s="8"/>
      <c r="Z99" s="8"/>
    </row>
    <row r="100" ht="15.0" customHeight="1">
      <c r="A100" s="8"/>
      <c r="B100" s="7" t="s">
        <v>1168</v>
      </c>
      <c r="C100" s="148"/>
      <c r="D100" s="159"/>
      <c r="E100" s="146"/>
      <c r="F100" s="162">
        <v>3.0</v>
      </c>
      <c r="G100" s="146" t="s">
        <v>1108</v>
      </c>
      <c r="H100" s="147"/>
      <c r="I100" s="148" t="s">
        <v>474</v>
      </c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53">
        <f t="shared" si="10"/>
        <v>0</v>
      </c>
      <c r="W100" s="8"/>
      <c r="X100" s="8"/>
      <c r="Y100" s="8"/>
      <c r="Z100" s="8"/>
    </row>
    <row r="101" ht="14.25" customHeight="1">
      <c r="A101" s="8"/>
      <c r="B101" s="7" t="s">
        <v>1168</v>
      </c>
      <c r="C101" s="148"/>
      <c r="D101" s="159"/>
      <c r="E101" s="146"/>
      <c r="F101" s="162"/>
      <c r="G101" s="146"/>
      <c r="H101" s="147"/>
      <c r="I101" s="148" t="s">
        <v>1101</v>
      </c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53">
        <f t="shared" si="10"/>
        <v>0</v>
      </c>
      <c r="W101" s="8"/>
      <c r="X101" s="8"/>
      <c r="Y101" s="8"/>
      <c r="Z101" s="8"/>
    </row>
    <row r="102" ht="15.0" customHeight="1">
      <c r="A102" s="8"/>
      <c r="B102" s="7" t="s">
        <v>1168</v>
      </c>
      <c r="C102" s="148"/>
      <c r="D102" s="159"/>
      <c r="E102" s="146"/>
      <c r="F102" s="162"/>
      <c r="G102" s="146"/>
      <c r="H102" s="147"/>
      <c r="I102" s="148" t="s">
        <v>583</v>
      </c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53">
        <f t="shared" si="10"/>
        <v>0</v>
      </c>
      <c r="W102" s="8"/>
      <c r="X102" s="8"/>
      <c r="Y102" s="8"/>
      <c r="Z102" s="8"/>
    </row>
    <row r="103" ht="15.0" customHeight="1">
      <c r="A103" s="8"/>
      <c r="B103" s="7" t="s">
        <v>1168</v>
      </c>
      <c r="C103" s="148"/>
      <c r="D103" s="159"/>
      <c r="E103" s="146"/>
      <c r="F103" s="162"/>
      <c r="G103" s="146"/>
      <c r="H103" s="147"/>
      <c r="I103" s="148" t="s">
        <v>491</v>
      </c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53">
        <f t="shared" si="10"/>
        <v>0</v>
      </c>
      <c r="W103" s="8"/>
      <c r="X103" s="8"/>
      <c r="Y103" s="8"/>
      <c r="Z103" s="8"/>
    </row>
    <row r="104" ht="15.0" customHeight="1">
      <c r="A104" s="8"/>
      <c r="B104" s="7" t="s">
        <v>1169</v>
      </c>
      <c r="C104" s="148"/>
      <c r="D104" s="159"/>
      <c r="E104" s="146"/>
      <c r="F104" s="162">
        <v>4.0</v>
      </c>
      <c r="G104" s="146" t="s">
        <v>1110</v>
      </c>
      <c r="H104" s="147"/>
      <c r="I104" s="148" t="s">
        <v>474</v>
      </c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53">
        <f t="shared" si="10"/>
        <v>0</v>
      </c>
      <c r="W104" s="8"/>
      <c r="X104" s="8"/>
      <c r="Y104" s="8"/>
      <c r="Z104" s="8"/>
    </row>
    <row r="105" ht="15.0" customHeight="1">
      <c r="A105" s="8"/>
      <c r="B105" s="7" t="s">
        <v>1169</v>
      </c>
      <c r="C105" s="148"/>
      <c r="D105" s="159"/>
      <c r="E105" s="146"/>
      <c r="F105" s="162"/>
      <c r="G105" s="146"/>
      <c r="H105" s="147"/>
      <c r="I105" s="148" t="s">
        <v>1101</v>
      </c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53">
        <f t="shared" si="10"/>
        <v>0</v>
      </c>
      <c r="W105" s="8"/>
      <c r="X105" s="8"/>
      <c r="Y105" s="8"/>
      <c r="Z105" s="8"/>
    </row>
    <row r="106" ht="15.0" customHeight="1">
      <c r="A106" s="8"/>
      <c r="B106" s="7" t="s">
        <v>1169</v>
      </c>
      <c r="C106" s="148"/>
      <c r="D106" s="159"/>
      <c r="E106" s="146"/>
      <c r="F106" s="162"/>
      <c r="G106" s="146"/>
      <c r="H106" s="147"/>
      <c r="I106" s="148" t="s">
        <v>583</v>
      </c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53">
        <f t="shared" si="10"/>
        <v>0</v>
      </c>
      <c r="W106" s="8"/>
      <c r="X106" s="8"/>
      <c r="Y106" s="8"/>
      <c r="Z106" s="8"/>
    </row>
    <row r="107" ht="15.0" customHeight="1">
      <c r="A107" s="8"/>
      <c r="B107" s="7" t="s">
        <v>1169</v>
      </c>
      <c r="C107" s="148"/>
      <c r="D107" s="159"/>
      <c r="E107" s="146"/>
      <c r="F107" s="162"/>
      <c r="G107" s="146"/>
      <c r="H107" s="147"/>
      <c r="I107" s="148" t="s">
        <v>491</v>
      </c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53">
        <f t="shared" si="10"/>
        <v>0</v>
      </c>
      <c r="W107" s="8"/>
      <c r="X107" s="8"/>
      <c r="Y107" s="8"/>
      <c r="Z107" s="8"/>
    </row>
    <row r="108" ht="15.0" customHeight="1">
      <c r="A108" s="8"/>
      <c r="B108" s="7" t="s">
        <v>1170</v>
      </c>
      <c r="C108" s="148"/>
      <c r="D108" s="159"/>
      <c r="E108" s="146"/>
      <c r="F108" s="162">
        <v>5.0</v>
      </c>
      <c r="G108" s="146" t="s">
        <v>1112</v>
      </c>
      <c r="H108" s="147"/>
      <c r="I108" s="148" t="s">
        <v>1113</v>
      </c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53">
        <f t="shared" si="10"/>
        <v>0</v>
      </c>
      <c r="W108" s="8"/>
      <c r="X108" s="8"/>
      <c r="Y108" s="8"/>
      <c r="Z108" s="8"/>
    </row>
    <row r="109" ht="15.0" customHeight="1">
      <c r="A109" s="8"/>
      <c r="B109" s="7" t="s">
        <v>1170</v>
      </c>
      <c r="C109" s="148"/>
      <c r="D109" s="159"/>
      <c r="E109" s="146"/>
      <c r="F109" s="162"/>
      <c r="G109" s="146"/>
      <c r="H109" s="147"/>
      <c r="I109" s="148" t="s">
        <v>491</v>
      </c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53">
        <f t="shared" si="10"/>
        <v>0</v>
      </c>
      <c r="W109" s="8"/>
      <c r="X109" s="8"/>
      <c r="Y109" s="8"/>
      <c r="Z109" s="8"/>
    </row>
    <row r="110" ht="15.0" customHeight="1">
      <c r="A110" s="8"/>
      <c r="B110" s="7" t="s">
        <v>1170</v>
      </c>
      <c r="C110" s="148"/>
      <c r="D110" s="159"/>
      <c r="E110" s="146"/>
      <c r="F110" s="162"/>
      <c r="G110" s="146"/>
      <c r="H110" s="147"/>
      <c r="I110" s="148" t="s">
        <v>1114</v>
      </c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53">
        <f t="shared" si="10"/>
        <v>0</v>
      </c>
      <c r="W110" s="8"/>
      <c r="X110" s="8"/>
      <c r="Y110" s="8"/>
      <c r="Z110" s="8"/>
    </row>
    <row r="111" ht="15.0" customHeight="1">
      <c r="A111" s="8"/>
      <c r="B111" s="7" t="s">
        <v>1171</v>
      </c>
      <c r="C111" s="148"/>
      <c r="D111" s="159"/>
      <c r="E111" s="146"/>
      <c r="F111" s="162">
        <v>6.0</v>
      </c>
      <c r="G111" s="146" t="s">
        <v>1116</v>
      </c>
      <c r="H111" s="147"/>
      <c r="I111" s="148" t="s">
        <v>474</v>
      </c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53">
        <f t="shared" si="10"/>
        <v>0</v>
      </c>
      <c r="W111" s="8"/>
      <c r="X111" s="8"/>
      <c r="Y111" s="8"/>
      <c r="Z111" s="8"/>
    </row>
    <row r="112" ht="15.0" customHeight="1">
      <c r="A112" s="8"/>
      <c r="B112" s="7" t="s">
        <v>1171</v>
      </c>
      <c r="C112" s="148"/>
      <c r="D112" s="159"/>
      <c r="E112" s="146"/>
      <c r="F112" s="162"/>
      <c r="G112" s="146"/>
      <c r="H112" s="147"/>
      <c r="I112" s="148" t="s">
        <v>1101</v>
      </c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53">
        <f t="shared" si="10"/>
        <v>0</v>
      </c>
      <c r="W112" s="8"/>
      <c r="X112" s="8"/>
      <c r="Y112" s="8"/>
      <c r="Z112" s="8"/>
    </row>
    <row r="113" ht="15.0" customHeight="1">
      <c r="A113" s="8"/>
      <c r="B113" s="7" t="s">
        <v>1171</v>
      </c>
      <c r="C113" s="148"/>
      <c r="D113" s="159"/>
      <c r="E113" s="146"/>
      <c r="F113" s="162"/>
      <c r="G113" s="146"/>
      <c r="H113" s="147"/>
      <c r="I113" s="148" t="s">
        <v>583</v>
      </c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53">
        <f t="shared" si="10"/>
        <v>0</v>
      </c>
      <c r="W113" s="8"/>
      <c r="X113" s="8"/>
      <c r="Y113" s="8"/>
      <c r="Z113" s="8"/>
    </row>
    <row r="114" ht="15.0" customHeight="1">
      <c r="A114" s="8"/>
      <c r="B114" s="7" t="s">
        <v>1171</v>
      </c>
      <c r="C114" s="148"/>
      <c r="D114" s="159"/>
      <c r="E114" s="146"/>
      <c r="F114" s="162"/>
      <c r="G114" s="146"/>
      <c r="H114" s="147"/>
      <c r="I114" s="148" t="s">
        <v>491</v>
      </c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53">
        <f t="shared" si="10"/>
        <v>0</v>
      </c>
      <c r="W114" s="8"/>
      <c r="X114" s="8"/>
      <c r="Y114" s="8"/>
      <c r="Z114" s="8"/>
    </row>
    <row r="115" ht="15.0" customHeight="1">
      <c r="A115" s="8"/>
      <c r="B115" s="7" t="s">
        <v>1172</v>
      </c>
      <c r="C115" s="148"/>
      <c r="D115" s="159"/>
      <c r="E115" s="146"/>
      <c r="F115" s="162">
        <v>7.0</v>
      </c>
      <c r="G115" s="146" t="s">
        <v>1173</v>
      </c>
      <c r="H115" s="147"/>
      <c r="I115" s="148" t="s">
        <v>474</v>
      </c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53">
        <f t="shared" si="10"/>
        <v>0</v>
      </c>
      <c r="W115" s="8"/>
      <c r="X115" s="8"/>
      <c r="Y115" s="8"/>
      <c r="Z115" s="8"/>
    </row>
    <row r="116" ht="15.0" customHeight="1">
      <c r="A116" s="8"/>
      <c r="C116" s="148"/>
      <c r="D116" s="159"/>
      <c r="E116" s="162">
        <v>3.0</v>
      </c>
      <c r="F116" s="146" t="s">
        <v>1117</v>
      </c>
      <c r="G116" s="146"/>
      <c r="H116" s="147"/>
      <c r="I116" s="148"/>
      <c r="J116" s="149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8"/>
      <c r="X116" s="8"/>
      <c r="Y116" s="8"/>
      <c r="Z116" s="8"/>
    </row>
    <row r="117" ht="14.25" customHeight="1">
      <c r="A117" s="8"/>
      <c r="B117" s="7" t="s">
        <v>1174</v>
      </c>
      <c r="C117" s="148"/>
      <c r="D117" s="159"/>
      <c r="E117" s="146"/>
      <c r="F117" s="162">
        <v>1.0</v>
      </c>
      <c r="G117" s="146" t="s">
        <v>1106</v>
      </c>
      <c r="H117" s="147"/>
      <c r="I117" s="148" t="s">
        <v>474</v>
      </c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53">
        <f t="shared" ref="V117:V130" si="11">SUM(J117:U117)</f>
        <v>0</v>
      </c>
      <c r="W117" s="8"/>
      <c r="X117" s="8"/>
      <c r="Y117" s="8"/>
      <c r="Z117" s="8"/>
    </row>
    <row r="118" ht="15.0" customHeight="1">
      <c r="A118" s="8"/>
      <c r="B118" s="7" t="s">
        <v>1174</v>
      </c>
      <c r="C118" s="148"/>
      <c r="D118" s="159"/>
      <c r="E118" s="146"/>
      <c r="F118" s="162"/>
      <c r="G118" s="146"/>
      <c r="H118" s="147"/>
      <c r="I118" s="148" t="s">
        <v>1101</v>
      </c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53">
        <f t="shared" si="11"/>
        <v>0</v>
      </c>
      <c r="W118" s="8"/>
      <c r="X118" s="8"/>
      <c r="Y118" s="8"/>
      <c r="Z118" s="8"/>
    </row>
    <row r="119" ht="15.0" customHeight="1">
      <c r="A119" s="8"/>
      <c r="B119" s="7" t="s">
        <v>1174</v>
      </c>
      <c r="C119" s="148"/>
      <c r="D119" s="159"/>
      <c r="E119" s="146"/>
      <c r="F119" s="162"/>
      <c r="G119" s="146"/>
      <c r="H119" s="147"/>
      <c r="I119" s="148" t="s">
        <v>583</v>
      </c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53">
        <f t="shared" si="11"/>
        <v>0</v>
      </c>
      <c r="W119" s="8"/>
      <c r="X119" s="8"/>
      <c r="Y119" s="8"/>
      <c r="Z119" s="8"/>
    </row>
    <row r="120" ht="15.0" customHeight="1">
      <c r="A120" s="8"/>
      <c r="B120" s="7" t="s">
        <v>1174</v>
      </c>
      <c r="C120" s="148"/>
      <c r="D120" s="159"/>
      <c r="E120" s="146"/>
      <c r="F120" s="162"/>
      <c r="G120" s="146"/>
      <c r="H120" s="147"/>
      <c r="I120" s="148" t="s">
        <v>491</v>
      </c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53">
        <f t="shared" si="11"/>
        <v>0</v>
      </c>
      <c r="W120" s="8"/>
      <c r="X120" s="8"/>
      <c r="Y120" s="8"/>
      <c r="Z120" s="8"/>
    </row>
    <row r="121" ht="15.0" customHeight="1">
      <c r="A121" s="8"/>
      <c r="B121" s="7" t="s">
        <v>1175</v>
      </c>
      <c r="C121" s="148"/>
      <c r="D121" s="159"/>
      <c r="E121" s="146"/>
      <c r="F121" s="162">
        <v>2.0</v>
      </c>
      <c r="G121" s="146" t="s">
        <v>1120</v>
      </c>
      <c r="H121" s="147"/>
      <c r="I121" s="148" t="s">
        <v>474</v>
      </c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53">
        <f t="shared" si="11"/>
        <v>0</v>
      </c>
      <c r="W121" s="8"/>
      <c r="X121" s="8"/>
      <c r="Y121" s="8"/>
      <c r="Z121" s="8"/>
    </row>
    <row r="122" ht="15.0" customHeight="1">
      <c r="A122" s="8"/>
      <c r="B122" s="7" t="s">
        <v>1175</v>
      </c>
      <c r="C122" s="148"/>
      <c r="D122" s="159"/>
      <c r="E122" s="146"/>
      <c r="F122" s="162"/>
      <c r="G122" s="146"/>
      <c r="H122" s="147"/>
      <c r="I122" s="148" t="s">
        <v>1101</v>
      </c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53">
        <f t="shared" si="11"/>
        <v>0</v>
      </c>
      <c r="W122" s="8"/>
      <c r="X122" s="8"/>
      <c r="Y122" s="8"/>
      <c r="Z122" s="8"/>
    </row>
    <row r="123" ht="15.0" customHeight="1">
      <c r="A123" s="8"/>
      <c r="B123" s="7" t="s">
        <v>1175</v>
      </c>
      <c r="C123" s="148"/>
      <c r="D123" s="159"/>
      <c r="E123" s="146"/>
      <c r="F123" s="162"/>
      <c r="G123" s="146"/>
      <c r="H123" s="147"/>
      <c r="I123" s="148" t="s">
        <v>583</v>
      </c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53">
        <f t="shared" si="11"/>
        <v>0</v>
      </c>
      <c r="W123" s="8"/>
      <c r="X123" s="8"/>
      <c r="Y123" s="8"/>
      <c r="Z123" s="8"/>
    </row>
    <row r="124" ht="15.0" customHeight="1">
      <c r="A124" s="8"/>
      <c r="B124" s="7" t="s">
        <v>1175</v>
      </c>
      <c r="C124" s="148"/>
      <c r="D124" s="159"/>
      <c r="E124" s="146"/>
      <c r="F124" s="162"/>
      <c r="G124" s="146"/>
      <c r="H124" s="147"/>
      <c r="I124" s="148" t="s">
        <v>491</v>
      </c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53">
        <f t="shared" si="11"/>
        <v>0</v>
      </c>
      <c r="W124" s="8"/>
      <c r="X124" s="8"/>
      <c r="Y124" s="8"/>
      <c r="Z124" s="8"/>
    </row>
    <row r="125" ht="15.0" customHeight="1">
      <c r="A125" s="8"/>
      <c r="B125" s="7" t="s">
        <v>1176</v>
      </c>
      <c r="C125" s="148"/>
      <c r="D125" s="159"/>
      <c r="E125" s="146"/>
      <c r="F125" s="162">
        <v>3.0</v>
      </c>
      <c r="G125" s="146" t="s">
        <v>1122</v>
      </c>
      <c r="H125" s="147"/>
      <c r="I125" s="148" t="s">
        <v>1123</v>
      </c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53">
        <f t="shared" si="11"/>
        <v>0</v>
      </c>
      <c r="W125" s="8"/>
      <c r="X125" s="8"/>
      <c r="Y125" s="8"/>
      <c r="Z125" s="8"/>
    </row>
    <row r="126" ht="15.0" customHeight="1">
      <c r="A126" s="8"/>
      <c r="B126" s="7" t="s">
        <v>1176</v>
      </c>
      <c r="C126" s="148"/>
      <c r="D126" s="159"/>
      <c r="E126" s="146"/>
      <c r="F126" s="162"/>
      <c r="G126" s="146"/>
      <c r="H126" s="147"/>
      <c r="I126" s="148" t="s">
        <v>1137</v>
      </c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53">
        <f t="shared" si="11"/>
        <v>0</v>
      </c>
      <c r="W126" s="8"/>
      <c r="X126" s="8"/>
      <c r="Y126" s="8"/>
      <c r="Z126" s="8"/>
    </row>
    <row r="127" ht="15.0" customHeight="1">
      <c r="A127" s="8"/>
      <c r="B127" s="7" t="s">
        <v>1176</v>
      </c>
      <c r="C127" s="148"/>
      <c r="D127" s="159"/>
      <c r="E127" s="146"/>
      <c r="F127" s="162"/>
      <c r="G127" s="146"/>
      <c r="H127" s="147"/>
      <c r="I127" s="148" t="s">
        <v>1138</v>
      </c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53">
        <f t="shared" si="11"/>
        <v>0</v>
      </c>
      <c r="W127" s="8"/>
      <c r="X127" s="8"/>
      <c r="Y127" s="8"/>
      <c r="Z127" s="8"/>
    </row>
    <row r="128" ht="15.0" customHeight="1">
      <c r="A128" s="8"/>
      <c r="B128" s="7" t="s">
        <v>1176</v>
      </c>
      <c r="C128" s="148"/>
      <c r="D128" s="159"/>
      <c r="E128" s="146"/>
      <c r="F128" s="162"/>
      <c r="G128" s="146"/>
      <c r="H128" s="147"/>
      <c r="I128" s="148" t="s">
        <v>1177</v>
      </c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53">
        <f t="shared" si="11"/>
        <v>0</v>
      </c>
      <c r="W128" s="8"/>
      <c r="X128" s="8"/>
      <c r="Y128" s="8"/>
      <c r="Z128" s="8"/>
    </row>
    <row r="129" ht="15.0" customHeight="1">
      <c r="A129" s="8"/>
      <c r="B129" s="7" t="s">
        <v>1178</v>
      </c>
      <c r="C129" s="148"/>
      <c r="D129" s="159"/>
      <c r="E129" s="146"/>
      <c r="F129" s="162">
        <v>4.0</v>
      </c>
      <c r="G129" s="146" t="s">
        <v>1125</v>
      </c>
      <c r="H129" s="147"/>
      <c r="I129" s="148" t="s">
        <v>1126</v>
      </c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53">
        <f t="shared" si="11"/>
        <v>0</v>
      </c>
      <c r="W129" s="8"/>
      <c r="X129" s="8"/>
      <c r="Y129" s="8"/>
      <c r="Z129" s="8"/>
    </row>
    <row r="130" ht="15.0" customHeight="1">
      <c r="A130" s="8"/>
      <c r="B130" s="7" t="s">
        <v>1178</v>
      </c>
      <c r="C130" s="148"/>
      <c r="D130" s="159"/>
      <c r="E130" s="146"/>
      <c r="F130" s="146"/>
      <c r="G130" s="146"/>
      <c r="H130" s="147"/>
      <c r="I130" s="148" t="s">
        <v>1179</v>
      </c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53">
        <f t="shared" si="11"/>
        <v>0</v>
      </c>
      <c r="W130" s="8"/>
      <c r="X130" s="8"/>
      <c r="Y130" s="8"/>
      <c r="Z130" s="8"/>
    </row>
    <row r="131" ht="15.0" customHeight="1">
      <c r="A131" s="8"/>
      <c r="C131" s="148"/>
      <c r="D131" s="159"/>
      <c r="E131" s="162">
        <v>4.0</v>
      </c>
      <c r="F131" s="146" t="s">
        <v>1139</v>
      </c>
      <c r="G131" s="146"/>
      <c r="H131" s="147"/>
      <c r="I131" s="148"/>
      <c r="J131" s="149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8"/>
      <c r="X131" s="8"/>
      <c r="Y131" s="8"/>
      <c r="Z131" s="8"/>
    </row>
    <row r="132" ht="15.0" customHeight="1">
      <c r="A132" s="8"/>
      <c r="B132" s="7" t="s">
        <v>1180</v>
      </c>
      <c r="C132" s="148"/>
      <c r="D132" s="159"/>
      <c r="E132" s="146"/>
      <c r="F132" s="162">
        <v>1.0</v>
      </c>
      <c r="G132" s="146" t="s">
        <v>1104</v>
      </c>
      <c r="H132" s="147"/>
      <c r="I132" s="148" t="s">
        <v>474</v>
      </c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53">
        <f t="shared" ref="V132:V143" si="12">SUM(J132:U132)</f>
        <v>0</v>
      </c>
      <c r="W132" s="8"/>
      <c r="X132" s="8"/>
      <c r="Y132" s="8"/>
      <c r="Z132" s="8"/>
    </row>
    <row r="133" ht="15.0" customHeight="1">
      <c r="A133" s="8"/>
      <c r="B133" s="7" t="s">
        <v>1180</v>
      </c>
      <c r="C133" s="148"/>
      <c r="D133" s="159"/>
      <c r="E133" s="146"/>
      <c r="F133" s="162"/>
      <c r="G133" s="146"/>
      <c r="H133" s="147"/>
      <c r="I133" s="148" t="s">
        <v>1101</v>
      </c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53">
        <f t="shared" si="12"/>
        <v>0</v>
      </c>
      <c r="W133" s="8"/>
      <c r="X133" s="8"/>
      <c r="Y133" s="8"/>
      <c r="Z133" s="8"/>
    </row>
    <row r="134" ht="15.0" customHeight="1">
      <c r="A134" s="8"/>
      <c r="B134" s="7" t="s">
        <v>1180</v>
      </c>
      <c r="C134" s="148"/>
      <c r="D134" s="159"/>
      <c r="E134" s="146"/>
      <c r="F134" s="162"/>
      <c r="G134" s="146"/>
      <c r="H134" s="147"/>
      <c r="I134" s="148" t="s">
        <v>583</v>
      </c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53">
        <f t="shared" si="12"/>
        <v>0</v>
      </c>
      <c r="W134" s="8"/>
      <c r="X134" s="8"/>
      <c r="Y134" s="8"/>
      <c r="Z134" s="8"/>
    </row>
    <row r="135" ht="15.0" customHeight="1">
      <c r="A135" s="8"/>
      <c r="B135" s="7" t="s">
        <v>1180</v>
      </c>
      <c r="C135" s="148"/>
      <c r="D135" s="159"/>
      <c r="E135" s="146"/>
      <c r="F135" s="162"/>
      <c r="G135" s="146"/>
      <c r="H135" s="147"/>
      <c r="I135" s="148" t="s">
        <v>491</v>
      </c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53">
        <f t="shared" si="12"/>
        <v>0</v>
      </c>
      <c r="W135" s="8"/>
      <c r="X135" s="8"/>
      <c r="Y135" s="8"/>
      <c r="Z135" s="8"/>
    </row>
    <row r="136" ht="15.0" customHeight="1">
      <c r="A136" s="8"/>
      <c r="B136" s="7" t="s">
        <v>1181</v>
      </c>
      <c r="C136" s="148"/>
      <c r="D136" s="159"/>
      <c r="E136" s="146"/>
      <c r="F136" s="162">
        <v>2.0</v>
      </c>
      <c r="G136" s="146" t="s">
        <v>1106</v>
      </c>
      <c r="H136" s="147"/>
      <c r="I136" s="148" t="s">
        <v>474</v>
      </c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53">
        <f t="shared" si="12"/>
        <v>0</v>
      </c>
      <c r="W136" s="8"/>
      <c r="X136" s="8"/>
      <c r="Y136" s="8"/>
      <c r="Z136" s="8"/>
    </row>
    <row r="137" ht="15.0" customHeight="1">
      <c r="A137" s="8"/>
      <c r="B137" s="7" t="s">
        <v>1181</v>
      </c>
      <c r="C137" s="148"/>
      <c r="D137" s="159"/>
      <c r="E137" s="146"/>
      <c r="F137" s="162"/>
      <c r="G137" s="146"/>
      <c r="H137" s="147"/>
      <c r="I137" s="148" t="s">
        <v>1101</v>
      </c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53">
        <f t="shared" si="12"/>
        <v>0</v>
      </c>
      <c r="W137" s="8"/>
      <c r="X137" s="8"/>
      <c r="Y137" s="8"/>
      <c r="Z137" s="8"/>
    </row>
    <row r="138" ht="15.0" customHeight="1">
      <c r="A138" s="8"/>
      <c r="B138" s="7" t="s">
        <v>1181</v>
      </c>
      <c r="C138" s="148"/>
      <c r="D138" s="159"/>
      <c r="E138" s="146"/>
      <c r="F138" s="162"/>
      <c r="G138" s="146"/>
      <c r="H138" s="147"/>
      <c r="I138" s="148" t="s">
        <v>583</v>
      </c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53">
        <f t="shared" si="12"/>
        <v>0</v>
      </c>
      <c r="W138" s="8"/>
      <c r="X138" s="8"/>
      <c r="Y138" s="8"/>
      <c r="Z138" s="8"/>
    </row>
    <row r="139" ht="15.0" customHeight="1">
      <c r="A139" s="8"/>
      <c r="B139" s="7" t="s">
        <v>1181</v>
      </c>
      <c r="C139" s="148"/>
      <c r="D139" s="159"/>
      <c r="E139" s="146"/>
      <c r="F139" s="162"/>
      <c r="G139" s="146"/>
      <c r="H139" s="147"/>
      <c r="I139" s="148" t="s">
        <v>491</v>
      </c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53">
        <f t="shared" si="12"/>
        <v>0</v>
      </c>
      <c r="W139" s="8"/>
      <c r="X139" s="8"/>
      <c r="Y139" s="8"/>
      <c r="Z139" s="8"/>
    </row>
    <row r="140" ht="15.0" customHeight="1">
      <c r="A140" s="8"/>
      <c r="B140" s="7" t="s">
        <v>1182</v>
      </c>
      <c r="C140" s="148"/>
      <c r="D140" s="159"/>
      <c r="E140" s="146"/>
      <c r="F140" s="162">
        <v>3.0</v>
      </c>
      <c r="G140" s="146" t="s">
        <v>1108</v>
      </c>
      <c r="H140" s="147"/>
      <c r="I140" s="148" t="s">
        <v>474</v>
      </c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53">
        <f t="shared" si="12"/>
        <v>0</v>
      </c>
      <c r="W140" s="8"/>
      <c r="X140" s="8"/>
      <c r="Y140" s="8"/>
      <c r="Z140" s="8"/>
    </row>
    <row r="141" ht="15.0" customHeight="1">
      <c r="A141" s="8"/>
      <c r="B141" s="7" t="s">
        <v>1182</v>
      </c>
      <c r="C141" s="148"/>
      <c r="D141" s="159"/>
      <c r="E141" s="146"/>
      <c r="F141" s="146"/>
      <c r="G141" s="146"/>
      <c r="H141" s="147"/>
      <c r="I141" s="148" t="s">
        <v>1101</v>
      </c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53">
        <f t="shared" si="12"/>
        <v>0</v>
      </c>
      <c r="W141" s="8"/>
      <c r="X141" s="8"/>
      <c r="Y141" s="8"/>
      <c r="Z141" s="8"/>
    </row>
    <row r="142" ht="14.25" customHeight="1">
      <c r="A142" s="8"/>
      <c r="B142" s="7" t="s">
        <v>1182</v>
      </c>
      <c r="C142" s="148"/>
      <c r="D142" s="159"/>
      <c r="E142" s="146"/>
      <c r="F142" s="146"/>
      <c r="G142" s="146"/>
      <c r="H142" s="147"/>
      <c r="I142" s="148" t="s">
        <v>583</v>
      </c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53">
        <f t="shared" si="12"/>
        <v>0</v>
      </c>
      <c r="W142" s="8"/>
      <c r="X142" s="8"/>
      <c r="Y142" s="8"/>
      <c r="Z142" s="8"/>
    </row>
    <row r="143" ht="15.0" customHeight="1">
      <c r="A143" s="8"/>
      <c r="B143" s="7" t="s">
        <v>1182</v>
      </c>
      <c r="C143" s="148"/>
      <c r="D143" s="159"/>
      <c r="E143" s="146"/>
      <c r="F143" s="146"/>
      <c r="G143" s="146"/>
      <c r="H143" s="147"/>
      <c r="I143" s="148" t="s">
        <v>491</v>
      </c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53">
        <f t="shared" si="12"/>
        <v>0</v>
      </c>
      <c r="W143" s="8"/>
      <c r="X143" s="8"/>
      <c r="Y143" s="8"/>
      <c r="Z143" s="8"/>
    </row>
    <row r="144" ht="15.0" customHeight="1">
      <c r="A144" s="8"/>
      <c r="C144" s="148"/>
      <c r="D144" s="159"/>
      <c r="E144" s="162">
        <v>5.0</v>
      </c>
      <c r="F144" s="146" t="s">
        <v>1143</v>
      </c>
      <c r="G144" s="146"/>
      <c r="H144" s="147"/>
      <c r="I144" s="148"/>
      <c r="J144" s="149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8"/>
      <c r="X144" s="8"/>
      <c r="Y144" s="8"/>
      <c r="Z144" s="8"/>
    </row>
    <row r="145" ht="15.0" customHeight="1">
      <c r="A145" s="8"/>
      <c r="C145" s="148"/>
      <c r="D145" s="159"/>
      <c r="E145" s="146"/>
      <c r="F145" s="162">
        <v>1.0</v>
      </c>
      <c r="G145" s="146" t="s">
        <v>1147</v>
      </c>
      <c r="H145" s="147"/>
      <c r="I145" s="148"/>
      <c r="J145" s="149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8"/>
      <c r="X145" s="8"/>
      <c r="Y145" s="8"/>
      <c r="Z145" s="8"/>
    </row>
    <row r="146" ht="15.0" customHeight="1">
      <c r="A146" s="8"/>
      <c r="B146" s="7" t="s">
        <v>1183</v>
      </c>
      <c r="C146" s="148"/>
      <c r="D146" s="159"/>
      <c r="E146" s="146"/>
      <c r="F146" s="162"/>
      <c r="G146" s="162">
        <v>1.0</v>
      </c>
      <c r="H146" s="147" t="s">
        <v>1120</v>
      </c>
      <c r="I146" s="148" t="s">
        <v>474</v>
      </c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53">
        <f t="shared" ref="V146:V162" si="13">SUM(J146:U146)</f>
        <v>0</v>
      </c>
      <c r="W146" s="8"/>
      <c r="X146" s="8"/>
      <c r="Y146" s="8"/>
      <c r="Z146" s="8"/>
    </row>
    <row r="147" ht="15.0" customHeight="1">
      <c r="A147" s="8"/>
      <c r="B147" s="7" t="s">
        <v>1184</v>
      </c>
      <c r="C147" s="148"/>
      <c r="D147" s="159"/>
      <c r="E147" s="146"/>
      <c r="F147" s="162"/>
      <c r="G147" s="162">
        <v>2.0</v>
      </c>
      <c r="H147" s="147" t="s">
        <v>1134</v>
      </c>
      <c r="I147" s="148" t="s">
        <v>474</v>
      </c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53">
        <f t="shared" si="13"/>
        <v>0</v>
      </c>
      <c r="W147" s="8"/>
      <c r="X147" s="8"/>
      <c r="Y147" s="8"/>
      <c r="Z147" s="8"/>
    </row>
    <row r="148" ht="15.0" customHeight="1">
      <c r="A148" s="8"/>
      <c r="B148" s="7" t="s">
        <v>1185</v>
      </c>
      <c r="C148" s="148"/>
      <c r="D148" s="159"/>
      <c r="E148" s="146"/>
      <c r="F148" s="162">
        <v>2.0</v>
      </c>
      <c r="G148" s="146" t="s">
        <v>1151</v>
      </c>
      <c r="H148" s="147"/>
      <c r="I148" s="148" t="s">
        <v>474</v>
      </c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53">
        <f t="shared" si="13"/>
        <v>0</v>
      </c>
      <c r="W148" s="8"/>
      <c r="X148" s="8"/>
      <c r="Y148" s="8"/>
      <c r="Z148" s="8"/>
    </row>
    <row r="149" ht="15.0" customHeight="1">
      <c r="A149" s="8"/>
      <c r="B149" s="7" t="s">
        <v>1186</v>
      </c>
      <c r="C149" s="148"/>
      <c r="D149" s="159"/>
      <c r="E149" s="146"/>
      <c r="F149" s="162">
        <v>3.0</v>
      </c>
      <c r="G149" s="146" t="s">
        <v>1153</v>
      </c>
      <c r="H149" s="147"/>
      <c r="I149" s="148" t="s">
        <v>474</v>
      </c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53">
        <f t="shared" si="13"/>
        <v>0</v>
      </c>
      <c r="W149" s="8"/>
      <c r="X149" s="8"/>
      <c r="Y149" s="8"/>
      <c r="Z149" s="8"/>
    </row>
    <row r="150" ht="15.0" customHeight="1">
      <c r="A150" s="8"/>
      <c r="B150" s="7" t="s">
        <v>1186</v>
      </c>
      <c r="C150" s="148"/>
      <c r="D150" s="159"/>
      <c r="E150" s="146"/>
      <c r="F150" s="162"/>
      <c r="G150" s="146"/>
      <c r="H150" s="147"/>
      <c r="I150" s="148" t="s">
        <v>1101</v>
      </c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53">
        <f t="shared" si="13"/>
        <v>0</v>
      </c>
      <c r="W150" s="8"/>
      <c r="X150" s="8"/>
      <c r="Y150" s="8"/>
      <c r="Z150" s="8"/>
    </row>
    <row r="151" ht="15.0" customHeight="1">
      <c r="A151" s="8"/>
      <c r="B151" s="7" t="s">
        <v>1186</v>
      </c>
      <c r="C151" s="148"/>
      <c r="D151" s="159"/>
      <c r="E151" s="146"/>
      <c r="F151" s="162"/>
      <c r="G151" s="146"/>
      <c r="H151" s="147"/>
      <c r="I151" s="148" t="s">
        <v>583</v>
      </c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53">
        <f t="shared" si="13"/>
        <v>0</v>
      </c>
      <c r="W151" s="8"/>
      <c r="X151" s="8"/>
      <c r="Y151" s="8"/>
      <c r="Z151" s="8"/>
    </row>
    <row r="152" ht="15.0" customHeight="1">
      <c r="A152" s="8"/>
      <c r="B152" s="7" t="s">
        <v>1186</v>
      </c>
      <c r="C152" s="148"/>
      <c r="D152" s="159"/>
      <c r="E152" s="146"/>
      <c r="F152" s="162"/>
      <c r="G152" s="146"/>
      <c r="H152" s="147"/>
      <c r="I152" s="148" t="s">
        <v>491</v>
      </c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53">
        <f t="shared" si="13"/>
        <v>0</v>
      </c>
      <c r="W152" s="8"/>
      <c r="X152" s="8"/>
      <c r="Y152" s="8"/>
      <c r="Z152" s="8"/>
    </row>
    <row r="153" ht="15.0" customHeight="1">
      <c r="A153" s="8"/>
      <c r="B153" s="7" t="s">
        <v>1187</v>
      </c>
      <c r="C153" s="148"/>
      <c r="D153" s="159"/>
      <c r="E153" s="146"/>
      <c r="F153" s="162">
        <v>4.0</v>
      </c>
      <c r="G153" s="146" t="s">
        <v>1155</v>
      </c>
      <c r="H153" s="147"/>
      <c r="I153" s="148" t="s">
        <v>474</v>
      </c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53">
        <f t="shared" si="13"/>
        <v>0</v>
      </c>
      <c r="W153" s="8"/>
      <c r="X153" s="8"/>
      <c r="Y153" s="8"/>
      <c r="Z153" s="8"/>
    </row>
    <row r="154" ht="15.0" customHeight="1">
      <c r="A154" s="8"/>
      <c r="B154" s="7" t="s">
        <v>1187</v>
      </c>
      <c r="C154" s="148"/>
      <c r="D154" s="159"/>
      <c r="E154" s="146"/>
      <c r="F154" s="162"/>
      <c r="G154" s="146"/>
      <c r="H154" s="147"/>
      <c r="I154" s="148" t="s">
        <v>1101</v>
      </c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53">
        <f t="shared" si="13"/>
        <v>0</v>
      </c>
      <c r="W154" s="8"/>
      <c r="X154" s="8"/>
      <c r="Y154" s="8"/>
      <c r="Z154" s="8"/>
    </row>
    <row r="155" ht="15.0" customHeight="1">
      <c r="A155" s="8"/>
      <c r="B155" s="7" t="s">
        <v>1187</v>
      </c>
      <c r="C155" s="148"/>
      <c r="D155" s="159"/>
      <c r="E155" s="146"/>
      <c r="F155" s="162"/>
      <c r="G155" s="146"/>
      <c r="H155" s="147"/>
      <c r="I155" s="148" t="s">
        <v>583</v>
      </c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53">
        <f t="shared" si="13"/>
        <v>0</v>
      </c>
      <c r="W155" s="8"/>
      <c r="X155" s="8"/>
      <c r="Y155" s="8"/>
      <c r="Z155" s="8"/>
    </row>
    <row r="156" ht="15.0" customHeight="1">
      <c r="A156" s="8"/>
      <c r="B156" s="7" t="s">
        <v>1187</v>
      </c>
      <c r="C156" s="148"/>
      <c r="D156" s="159"/>
      <c r="E156" s="146"/>
      <c r="F156" s="162"/>
      <c r="G156" s="146"/>
      <c r="H156" s="147"/>
      <c r="I156" s="148" t="s">
        <v>491</v>
      </c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53">
        <f t="shared" si="13"/>
        <v>0</v>
      </c>
      <c r="W156" s="8"/>
      <c r="X156" s="8"/>
      <c r="Y156" s="8"/>
      <c r="Z156" s="8"/>
    </row>
    <row r="157" ht="15.0" customHeight="1">
      <c r="A157" s="8"/>
      <c r="B157" s="7" t="s">
        <v>1188</v>
      </c>
      <c r="C157" s="148"/>
      <c r="D157" s="159"/>
      <c r="E157" s="146"/>
      <c r="F157" s="162">
        <v>5.0</v>
      </c>
      <c r="G157" s="146" t="s">
        <v>1157</v>
      </c>
      <c r="H157" s="147"/>
      <c r="I157" s="148" t="s">
        <v>474</v>
      </c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53">
        <f t="shared" si="13"/>
        <v>0</v>
      </c>
      <c r="W157" s="8"/>
      <c r="X157" s="8"/>
      <c r="Y157" s="8"/>
      <c r="Z157" s="8"/>
    </row>
    <row r="158" ht="15.0" customHeight="1">
      <c r="A158" s="8"/>
      <c r="B158" s="7" t="s">
        <v>1189</v>
      </c>
      <c r="C158" s="148"/>
      <c r="D158" s="159"/>
      <c r="E158" s="146"/>
      <c r="F158" s="162">
        <v>6.0</v>
      </c>
      <c r="G158" s="146" t="s">
        <v>1159</v>
      </c>
      <c r="H158" s="147"/>
      <c r="I158" s="148" t="s">
        <v>474</v>
      </c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53">
        <f t="shared" si="13"/>
        <v>0</v>
      </c>
      <c r="W158" s="8"/>
      <c r="X158" s="8"/>
      <c r="Y158" s="8"/>
      <c r="Z158" s="8"/>
    </row>
    <row r="159" ht="15.0" customHeight="1">
      <c r="A159" s="8"/>
      <c r="B159" s="7" t="s">
        <v>1189</v>
      </c>
      <c r="C159" s="148"/>
      <c r="D159" s="159"/>
      <c r="E159" s="146"/>
      <c r="F159" s="162"/>
      <c r="G159" s="146"/>
      <c r="H159" s="147"/>
      <c r="I159" s="148" t="s">
        <v>1101</v>
      </c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53">
        <f t="shared" si="13"/>
        <v>0</v>
      </c>
      <c r="W159" s="8"/>
      <c r="X159" s="8"/>
      <c r="Y159" s="8"/>
      <c r="Z159" s="8"/>
    </row>
    <row r="160" ht="15.0" customHeight="1">
      <c r="A160" s="8"/>
      <c r="B160" s="7" t="s">
        <v>1189</v>
      </c>
      <c r="C160" s="148"/>
      <c r="D160" s="159"/>
      <c r="E160" s="146"/>
      <c r="F160" s="162"/>
      <c r="G160" s="146"/>
      <c r="H160" s="147"/>
      <c r="I160" s="148" t="s">
        <v>583</v>
      </c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53">
        <f t="shared" si="13"/>
        <v>0</v>
      </c>
      <c r="W160" s="8"/>
      <c r="X160" s="8"/>
      <c r="Y160" s="8"/>
      <c r="Z160" s="8"/>
    </row>
    <row r="161" ht="15.0" customHeight="1">
      <c r="A161" s="8"/>
      <c r="B161" s="7" t="s">
        <v>1189</v>
      </c>
      <c r="C161" s="148"/>
      <c r="D161" s="159"/>
      <c r="E161" s="146"/>
      <c r="F161" s="162"/>
      <c r="G161" s="146"/>
      <c r="H161" s="147"/>
      <c r="I161" s="148" t="s">
        <v>491</v>
      </c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53">
        <f t="shared" si="13"/>
        <v>0</v>
      </c>
      <c r="W161" s="8"/>
      <c r="X161" s="8"/>
      <c r="Y161" s="8"/>
      <c r="Z161" s="8"/>
    </row>
    <row r="162" ht="15.0" customHeight="1">
      <c r="A162" s="8"/>
      <c r="B162" s="7" t="s">
        <v>1190</v>
      </c>
      <c r="C162" s="148"/>
      <c r="D162" s="159"/>
      <c r="E162" s="146"/>
      <c r="F162" s="162">
        <v>7.0</v>
      </c>
      <c r="G162" s="146" t="s">
        <v>1163</v>
      </c>
      <c r="H162" s="147"/>
      <c r="I162" s="148" t="s">
        <v>474</v>
      </c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53">
        <f t="shared" si="13"/>
        <v>0</v>
      </c>
      <c r="W162" s="8"/>
      <c r="X162" s="8"/>
      <c r="Y162" s="8"/>
      <c r="Z162" s="8"/>
    </row>
    <row r="163" ht="15.0" customHeight="1">
      <c r="A163" s="8"/>
      <c r="B163" s="13"/>
      <c r="C163" s="148"/>
      <c r="D163" s="159"/>
      <c r="E163" s="146"/>
      <c r="F163" s="146"/>
      <c r="G163" s="146"/>
      <c r="H163" s="147"/>
      <c r="I163" s="148"/>
      <c r="J163" s="149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8"/>
      <c r="X163" s="8"/>
      <c r="Y163" s="8"/>
      <c r="Z163" s="8"/>
    </row>
    <row r="164" ht="15.0" customHeight="1">
      <c r="A164" s="8"/>
      <c r="C164" s="144">
        <v>3.0</v>
      </c>
      <c r="D164" s="145" t="s">
        <v>1191</v>
      </c>
      <c r="E164" s="146"/>
      <c r="F164" s="146"/>
      <c r="G164" s="146"/>
      <c r="H164" s="147"/>
      <c r="I164" s="148"/>
      <c r="J164" s="149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8"/>
      <c r="X164" s="8"/>
      <c r="Y164" s="8"/>
      <c r="Z164" s="8"/>
    </row>
    <row r="165" ht="15.0" customHeight="1">
      <c r="A165" s="8"/>
      <c r="B165" s="7" t="s">
        <v>1192</v>
      </c>
      <c r="C165" s="148"/>
      <c r="D165" s="150">
        <v>1.0</v>
      </c>
      <c r="E165" s="146" t="s">
        <v>1100</v>
      </c>
      <c r="F165" s="146"/>
      <c r="G165" s="146"/>
      <c r="H165" s="147"/>
      <c r="I165" s="148" t="s">
        <v>582</v>
      </c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53">
        <f t="shared" ref="V165:V172" si="14">SUM(J165:U165)</f>
        <v>0</v>
      </c>
      <c r="W165" s="8"/>
      <c r="X165" s="8"/>
      <c r="Y165" s="8"/>
      <c r="Z165" s="8"/>
    </row>
    <row r="166" ht="14.25" customHeight="1">
      <c r="A166" s="8"/>
      <c r="B166" s="7" t="s">
        <v>1192</v>
      </c>
      <c r="C166" s="148"/>
      <c r="D166" s="150"/>
      <c r="E166" s="146"/>
      <c r="F166" s="146"/>
      <c r="G166" s="146"/>
      <c r="H166" s="147"/>
      <c r="I166" s="148" t="s">
        <v>583</v>
      </c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53">
        <f t="shared" si="14"/>
        <v>0</v>
      </c>
      <c r="W166" s="8"/>
      <c r="X166" s="8"/>
      <c r="Y166" s="8"/>
      <c r="Z166" s="8"/>
    </row>
    <row r="167" ht="14.25" customHeight="1">
      <c r="A167" s="8"/>
      <c r="B167" s="7" t="s">
        <v>1192</v>
      </c>
      <c r="C167" s="148"/>
      <c r="D167" s="150"/>
      <c r="E167" s="146"/>
      <c r="F167" s="146"/>
      <c r="G167" s="146"/>
      <c r="H167" s="147"/>
      <c r="I167" s="148" t="s">
        <v>491</v>
      </c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53">
        <f t="shared" si="14"/>
        <v>0</v>
      </c>
      <c r="W167" s="8"/>
      <c r="X167" s="8"/>
      <c r="Y167" s="8"/>
      <c r="Z167" s="8"/>
    </row>
    <row r="168" ht="14.25" customHeight="1">
      <c r="A168" s="8"/>
      <c r="B168" s="7" t="s">
        <v>1193</v>
      </c>
      <c r="C168" s="148"/>
      <c r="D168" s="150">
        <v>2.0</v>
      </c>
      <c r="E168" s="146" t="s">
        <v>1194</v>
      </c>
      <c r="F168" s="146"/>
      <c r="G168" s="146"/>
      <c r="H168" s="147"/>
      <c r="I168" s="148" t="s">
        <v>1137</v>
      </c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53">
        <f t="shared" si="14"/>
        <v>0</v>
      </c>
      <c r="W168" s="8"/>
      <c r="X168" s="8"/>
      <c r="Y168" s="8"/>
      <c r="Z168" s="8"/>
    </row>
    <row r="169" ht="14.25" customHeight="1">
      <c r="A169" s="8"/>
      <c r="B169" s="7" t="s">
        <v>1193</v>
      </c>
      <c r="C169" s="148"/>
      <c r="D169" s="150"/>
      <c r="E169" s="146"/>
      <c r="F169" s="146"/>
      <c r="G169" s="146"/>
      <c r="H169" s="147"/>
      <c r="I169" s="148" t="s">
        <v>1138</v>
      </c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53">
        <f t="shared" si="14"/>
        <v>0</v>
      </c>
      <c r="W169" s="8"/>
      <c r="X169" s="8"/>
      <c r="Y169" s="8"/>
      <c r="Z169" s="8"/>
    </row>
    <row r="170" ht="14.25" customHeight="1">
      <c r="A170" s="8"/>
      <c r="B170" s="7" t="s">
        <v>1195</v>
      </c>
      <c r="C170" s="148"/>
      <c r="D170" s="150">
        <v>3.0</v>
      </c>
      <c r="E170" s="146" t="s">
        <v>1196</v>
      </c>
      <c r="F170" s="146"/>
      <c r="G170" s="146"/>
      <c r="H170" s="147"/>
      <c r="I170" s="148" t="s">
        <v>1137</v>
      </c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53">
        <f t="shared" si="14"/>
        <v>0</v>
      </c>
      <c r="W170" s="8"/>
      <c r="X170" s="8"/>
      <c r="Y170" s="8"/>
      <c r="Z170" s="8"/>
    </row>
    <row r="171" ht="14.25" customHeight="1">
      <c r="A171" s="8"/>
      <c r="B171" s="7" t="s">
        <v>1195</v>
      </c>
      <c r="C171" s="148"/>
      <c r="D171" s="150"/>
      <c r="E171" s="146"/>
      <c r="F171" s="146"/>
      <c r="G171" s="146"/>
      <c r="H171" s="147"/>
      <c r="I171" s="148" t="s">
        <v>1138</v>
      </c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53">
        <f t="shared" si="14"/>
        <v>0</v>
      </c>
      <c r="W171" s="8"/>
      <c r="X171" s="8"/>
      <c r="Y171" s="8"/>
      <c r="Z171" s="8"/>
    </row>
    <row r="172" ht="14.25" customHeight="1">
      <c r="A172" s="8"/>
      <c r="B172" s="7" t="s">
        <v>1195</v>
      </c>
      <c r="C172" s="148"/>
      <c r="D172" s="150"/>
      <c r="E172" s="146"/>
      <c r="F172" s="146"/>
      <c r="G172" s="146"/>
      <c r="H172" s="147"/>
      <c r="I172" s="148" t="s">
        <v>1177</v>
      </c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53">
        <f t="shared" si="14"/>
        <v>0</v>
      </c>
      <c r="W172" s="8"/>
      <c r="X172" s="8"/>
      <c r="Y172" s="8"/>
      <c r="Z172" s="8"/>
    </row>
    <row r="173" ht="14.25" customHeight="1">
      <c r="A173" s="8"/>
      <c r="C173" s="148"/>
      <c r="D173" s="150">
        <v>4.0</v>
      </c>
      <c r="E173" s="146" t="s">
        <v>1197</v>
      </c>
      <c r="F173" s="146"/>
      <c r="G173" s="146"/>
      <c r="H173" s="147"/>
      <c r="I173" s="148"/>
      <c r="J173" s="149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8"/>
      <c r="X173" s="8"/>
      <c r="Y173" s="8"/>
      <c r="Z173" s="8"/>
    </row>
    <row r="174" ht="14.25" customHeight="1">
      <c r="A174" s="8"/>
      <c r="C174" s="148"/>
      <c r="D174" s="159"/>
      <c r="E174" s="162">
        <v>1.0</v>
      </c>
      <c r="F174" s="146" t="s">
        <v>1198</v>
      </c>
      <c r="G174" s="146"/>
      <c r="H174" s="147"/>
      <c r="I174" s="148"/>
      <c r="J174" s="149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8"/>
      <c r="X174" s="8"/>
      <c r="Y174" s="8"/>
      <c r="Z174" s="8"/>
    </row>
    <row r="175" ht="14.25" customHeight="1">
      <c r="A175" s="8"/>
      <c r="B175" s="7" t="s">
        <v>1199</v>
      </c>
      <c r="C175" s="148"/>
      <c r="D175" s="159"/>
      <c r="E175" s="162"/>
      <c r="F175" s="162">
        <v>1.0</v>
      </c>
      <c r="G175" s="146" t="s">
        <v>1104</v>
      </c>
      <c r="H175" s="147"/>
      <c r="I175" s="148" t="s">
        <v>582</v>
      </c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53">
        <f t="shared" ref="V175:V190" si="15">SUM(J175:U175)</f>
        <v>0</v>
      </c>
      <c r="W175" s="8"/>
      <c r="X175" s="8"/>
      <c r="Y175" s="8"/>
      <c r="Z175" s="8"/>
    </row>
    <row r="176" ht="14.25" customHeight="1">
      <c r="A176" s="8"/>
      <c r="B176" s="7" t="s">
        <v>1199</v>
      </c>
      <c r="C176" s="148"/>
      <c r="D176" s="159"/>
      <c r="E176" s="162"/>
      <c r="F176" s="162"/>
      <c r="G176" s="146"/>
      <c r="H176" s="147"/>
      <c r="I176" s="148" t="s">
        <v>583</v>
      </c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53">
        <f t="shared" si="15"/>
        <v>0</v>
      </c>
      <c r="W176" s="8"/>
      <c r="X176" s="8"/>
      <c r="Y176" s="8"/>
      <c r="Z176" s="8"/>
    </row>
    <row r="177" ht="14.25" customHeight="1">
      <c r="A177" s="8"/>
      <c r="B177" s="7" t="s">
        <v>1199</v>
      </c>
      <c r="C177" s="148"/>
      <c r="D177" s="159"/>
      <c r="E177" s="162"/>
      <c r="F177" s="162"/>
      <c r="G177" s="146"/>
      <c r="H177" s="147"/>
      <c r="I177" s="148" t="s">
        <v>491</v>
      </c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53">
        <f t="shared" si="15"/>
        <v>0</v>
      </c>
      <c r="W177" s="8"/>
      <c r="X177" s="8"/>
      <c r="Y177" s="8"/>
      <c r="Z177" s="8"/>
    </row>
    <row r="178" ht="14.25" customHeight="1">
      <c r="A178" s="8"/>
      <c r="B178" s="7" t="s">
        <v>1200</v>
      </c>
      <c r="C178" s="148"/>
      <c r="D178" s="159"/>
      <c r="E178" s="162"/>
      <c r="F178" s="162">
        <v>2.0</v>
      </c>
      <c r="G178" s="146" t="s">
        <v>1201</v>
      </c>
      <c r="H178" s="147"/>
      <c r="I178" s="148" t="s">
        <v>582</v>
      </c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53">
        <f t="shared" si="15"/>
        <v>0</v>
      </c>
      <c r="W178" s="8"/>
      <c r="X178" s="8"/>
      <c r="Y178" s="8"/>
      <c r="Z178" s="8"/>
    </row>
    <row r="179" ht="14.25" customHeight="1">
      <c r="A179" s="8"/>
      <c r="B179" s="7" t="s">
        <v>1200</v>
      </c>
      <c r="C179" s="148"/>
      <c r="D179" s="159"/>
      <c r="E179" s="162"/>
      <c r="F179" s="162"/>
      <c r="G179" s="146"/>
      <c r="H179" s="147"/>
      <c r="I179" s="148" t="s">
        <v>583</v>
      </c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53">
        <f t="shared" si="15"/>
        <v>0</v>
      </c>
      <c r="W179" s="8"/>
      <c r="X179" s="8"/>
      <c r="Y179" s="8"/>
      <c r="Z179" s="8"/>
    </row>
    <row r="180" ht="14.25" customHeight="1">
      <c r="A180" s="8"/>
      <c r="B180" s="7" t="s">
        <v>1200</v>
      </c>
      <c r="C180" s="148"/>
      <c r="D180" s="159"/>
      <c r="E180" s="162"/>
      <c r="F180" s="162"/>
      <c r="G180" s="146"/>
      <c r="H180" s="147"/>
      <c r="I180" s="148" t="s">
        <v>491</v>
      </c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53">
        <f t="shared" si="15"/>
        <v>0</v>
      </c>
      <c r="W180" s="8"/>
      <c r="X180" s="8"/>
      <c r="Y180" s="8"/>
      <c r="Z180" s="8"/>
    </row>
    <row r="181" ht="14.25" customHeight="1">
      <c r="A181" s="8"/>
      <c r="B181" s="7" t="s">
        <v>1202</v>
      </c>
      <c r="C181" s="148"/>
      <c r="D181" s="159"/>
      <c r="E181" s="162"/>
      <c r="F181" s="162">
        <v>3.0</v>
      </c>
      <c r="G181" s="146" t="s">
        <v>1203</v>
      </c>
      <c r="H181" s="147"/>
      <c r="I181" s="148" t="s">
        <v>582</v>
      </c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53">
        <f t="shared" si="15"/>
        <v>0</v>
      </c>
      <c r="W181" s="8"/>
      <c r="X181" s="8"/>
      <c r="Y181" s="8"/>
      <c r="Z181" s="8"/>
    </row>
    <row r="182" ht="14.25" customHeight="1">
      <c r="A182" s="8"/>
      <c r="B182" s="7" t="s">
        <v>1202</v>
      </c>
      <c r="C182" s="148"/>
      <c r="D182" s="159"/>
      <c r="E182" s="162"/>
      <c r="F182" s="146"/>
      <c r="G182" s="146"/>
      <c r="H182" s="147"/>
      <c r="I182" s="148" t="s">
        <v>583</v>
      </c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53">
        <f t="shared" si="15"/>
        <v>0</v>
      </c>
      <c r="W182" s="8"/>
      <c r="X182" s="8"/>
      <c r="Y182" s="8"/>
      <c r="Z182" s="8"/>
    </row>
    <row r="183" ht="14.25" customHeight="1">
      <c r="A183" s="8"/>
      <c r="B183" s="7" t="s">
        <v>1204</v>
      </c>
      <c r="C183" s="148"/>
      <c r="D183" s="159"/>
      <c r="E183" s="162">
        <v>2.0</v>
      </c>
      <c r="F183" s="146" t="s">
        <v>1205</v>
      </c>
      <c r="G183" s="146"/>
      <c r="H183" s="147"/>
      <c r="I183" s="148" t="s">
        <v>582</v>
      </c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53">
        <f t="shared" si="15"/>
        <v>0</v>
      </c>
      <c r="W183" s="8"/>
      <c r="X183" s="8"/>
      <c r="Y183" s="8"/>
      <c r="Z183" s="8"/>
    </row>
    <row r="184" ht="14.25" customHeight="1">
      <c r="A184" s="8"/>
      <c r="B184" s="7" t="s">
        <v>1204</v>
      </c>
      <c r="C184" s="148"/>
      <c r="D184" s="159"/>
      <c r="E184" s="162"/>
      <c r="F184" s="146"/>
      <c r="G184" s="146"/>
      <c r="H184" s="147"/>
      <c r="I184" s="148" t="s">
        <v>583</v>
      </c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53">
        <f t="shared" si="15"/>
        <v>0</v>
      </c>
      <c r="W184" s="8"/>
      <c r="X184" s="8"/>
      <c r="Y184" s="8"/>
      <c r="Z184" s="8"/>
    </row>
    <row r="185" ht="14.25" customHeight="1">
      <c r="A185" s="8"/>
      <c r="B185" s="7" t="s">
        <v>1206</v>
      </c>
      <c r="C185" s="148"/>
      <c r="D185" s="159"/>
      <c r="E185" s="162">
        <v>3.0</v>
      </c>
      <c r="F185" s="146" t="s">
        <v>1207</v>
      </c>
      <c r="G185" s="146"/>
      <c r="H185" s="147"/>
      <c r="I185" s="148" t="s">
        <v>582</v>
      </c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53">
        <f t="shared" si="15"/>
        <v>0</v>
      </c>
      <c r="W185" s="8"/>
      <c r="X185" s="8"/>
      <c r="Y185" s="8"/>
      <c r="Z185" s="8"/>
    </row>
    <row r="186" ht="14.25" customHeight="1">
      <c r="A186" s="8"/>
      <c r="B186" s="7" t="s">
        <v>1206</v>
      </c>
      <c r="C186" s="148"/>
      <c r="D186" s="159"/>
      <c r="E186" s="162"/>
      <c r="F186" s="146"/>
      <c r="G186" s="146"/>
      <c r="H186" s="147"/>
      <c r="I186" s="148" t="s">
        <v>583</v>
      </c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53">
        <f t="shared" si="15"/>
        <v>0</v>
      </c>
      <c r="W186" s="8"/>
      <c r="X186" s="8"/>
      <c r="Y186" s="8"/>
      <c r="Z186" s="8"/>
    </row>
    <row r="187" ht="14.25" customHeight="1">
      <c r="A187" s="8"/>
      <c r="B187" s="7" t="s">
        <v>1208</v>
      </c>
      <c r="C187" s="148"/>
      <c r="D187" s="159"/>
      <c r="E187" s="162">
        <v>4.0</v>
      </c>
      <c r="F187" s="146" t="s">
        <v>1163</v>
      </c>
      <c r="G187" s="146"/>
      <c r="H187" s="147"/>
      <c r="I187" s="148" t="s">
        <v>582</v>
      </c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53">
        <f t="shared" si="15"/>
        <v>0</v>
      </c>
      <c r="W187" s="8"/>
      <c r="X187" s="8"/>
      <c r="Y187" s="8"/>
      <c r="Z187" s="8"/>
    </row>
    <row r="188" ht="14.25" customHeight="1">
      <c r="A188" s="8"/>
      <c r="B188" s="7" t="s">
        <v>1208</v>
      </c>
      <c r="C188" s="148"/>
      <c r="D188" s="159"/>
      <c r="E188" s="162"/>
      <c r="F188" s="146"/>
      <c r="G188" s="146"/>
      <c r="H188" s="147"/>
      <c r="I188" s="148" t="s">
        <v>583</v>
      </c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53">
        <f t="shared" si="15"/>
        <v>0</v>
      </c>
      <c r="W188" s="8"/>
      <c r="X188" s="8"/>
      <c r="Y188" s="8"/>
      <c r="Z188" s="8"/>
    </row>
    <row r="189" ht="14.25" customHeight="1">
      <c r="A189" s="8"/>
      <c r="B189" s="7" t="s">
        <v>1208</v>
      </c>
      <c r="C189" s="148"/>
      <c r="D189" s="159"/>
      <c r="E189" s="162"/>
      <c r="F189" s="146"/>
      <c r="G189" s="146"/>
      <c r="H189" s="147"/>
      <c r="I189" s="148" t="s">
        <v>491</v>
      </c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53">
        <f t="shared" si="15"/>
        <v>0</v>
      </c>
      <c r="W189" s="8"/>
      <c r="X189" s="8"/>
      <c r="Y189" s="8"/>
      <c r="Z189" s="8"/>
    </row>
    <row r="190" ht="14.25" customHeight="1">
      <c r="A190" s="8"/>
      <c r="B190" s="7" t="s">
        <v>1209</v>
      </c>
      <c r="C190" s="148"/>
      <c r="D190" s="159"/>
      <c r="E190" s="162">
        <v>5.0</v>
      </c>
      <c r="F190" s="146" t="s">
        <v>1210</v>
      </c>
      <c r="G190" s="146"/>
      <c r="H190" s="147"/>
      <c r="I190" s="148" t="s">
        <v>491</v>
      </c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53">
        <f t="shared" si="15"/>
        <v>0</v>
      </c>
      <c r="W190" s="8"/>
      <c r="X190" s="8"/>
      <c r="Y190" s="8"/>
      <c r="Z190" s="8"/>
    </row>
    <row r="191" ht="14.25" customHeight="1">
      <c r="A191" s="8"/>
      <c r="B191" s="13"/>
      <c r="C191" s="148"/>
      <c r="D191" s="159"/>
      <c r="E191" s="146"/>
      <c r="F191" s="146"/>
      <c r="G191" s="146"/>
      <c r="H191" s="147"/>
      <c r="I191" s="148"/>
      <c r="J191" s="149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8"/>
      <c r="X191" s="8"/>
      <c r="Y191" s="8"/>
      <c r="Z191" s="8"/>
    </row>
    <row r="192" ht="14.25" customHeight="1">
      <c r="A192" s="8"/>
      <c r="C192" s="144">
        <v>4.0</v>
      </c>
      <c r="D192" s="145" t="s">
        <v>1211</v>
      </c>
      <c r="E192" s="146"/>
      <c r="F192" s="146"/>
      <c r="G192" s="146"/>
      <c r="H192" s="147"/>
      <c r="I192" s="148"/>
      <c r="J192" s="149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8"/>
      <c r="X192" s="8"/>
      <c r="Y192" s="8"/>
      <c r="Z192" s="8"/>
    </row>
    <row r="193" ht="14.25" customHeight="1">
      <c r="A193" s="8"/>
      <c r="B193" s="7" t="s">
        <v>1212</v>
      </c>
      <c r="C193" s="148"/>
      <c r="D193" s="150">
        <v>1.0</v>
      </c>
      <c r="E193" s="146" t="s">
        <v>1100</v>
      </c>
      <c r="F193" s="146"/>
      <c r="G193" s="146"/>
      <c r="H193" s="147"/>
      <c r="I193" s="148" t="s">
        <v>582</v>
      </c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53">
        <f t="shared" ref="V193:V197" si="16">SUM(J193:U193)</f>
        <v>0</v>
      </c>
      <c r="W193" s="8"/>
      <c r="X193" s="8"/>
      <c r="Y193" s="8"/>
      <c r="Z193" s="8"/>
    </row>
    <row r="194" ht="14.25" customHeight="1">
      <c r="A194" s="8"/>
      <c r="B194" s="7" t="s">
        <v>1212</v>
      </c>
      <c r="C194" s="148"/>
      <c r="D194" s="150"/>
      <c r="E194" s="146"/>
      <c r="F194" s="146"/>
      <c r="G194" s="146"/>
      <c r="H194" s="147"/>
      <c r="I194" s="148" t="s">
        <v>583</v>
      </c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53">
        <f t="shared" si="16"/>
        <v>0</v>
      </c>
      <c r="W194" s="8"/>
      <c r="X194" s="8"/>
      <c r="Y194" s="8"/>
      <c r="Z194" s="8"/>
    </row>
    <row r="195" ht="14.25" customHeight="1">
      <c r="A195" s="8"/>
      <c r="B195" s="7" t="s">
        <v>1213</v>
      </c>
      <c r="C195" s="148"/>
      <c r="D195" s="150">
        <v>2.0</v>
      </c>
      <c r="E195" s="146" t="s">
        <v>1194</v>
      </c>
      <c r="F195" s="146"/>
      <c r="G195" s="146"/>
      <c r="H195" s="147"/>
      <c r="I195" s="148" t="s">
        <v>1137</v>
      </c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53">
        <f t="shared" si="16"/>
        <v>0</v>
      </c>
      <c r="W195" s="8"/>
      <c r="X195" s="8"/>
      <c r="Y195" s="8"/>
      <c r="Z195" s="8"/>
    </row>
    <row r="196" ht="14.25" customHeight="1">
      <c r="A196" s="8"/>
      <c r="B196" s="7" t="s">
        <v>1214</v>
      </c>
      <c r="C196" s="148"/>
      <c r="D196" s="150">
        <v>3.0</v>
      </c>
      <c r="E196" s="146" t="s">
        <v>1196</v>
      </c>
      <c r="F196" s="146"/>
      <c r="G196" s="146"/>
      <c r="H196" s="147"/>
      <c r="I196" s="148" t="s">
        <v>1137</v>
      </c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53">
        <f t="shared" si="16"/>
        <v>0</v>
      </c>
      <c r="W196" s="8"/>
      <c r="X196" s="8"/>
      <c r="Y196" s="8"/>
      <c r="Z196" s="8"/>
    </row>
    <row r="197" ht="14.25" customHeight="1">
      <c r="A197" s="8"/>
      <c r="B197" s="7" t="s">
        <v>1215</v>
      </c>
      <c r="C197" s="148"/>
      <c r="D197" s="150">
        <v>4.0</v>
      </c>
      <c r="E197" s="146" t="s">
        <v>1216</v>
      </c>
      <c r="F197" s="146"/>
      <c r="G197" s="146"/>
      <c r="H197" s="147"/>
      <c r="I197" s="148" t="s">
        <v>582</v>
      </c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53">
        <f t="shared" si="16"/>
        <v>0</v>
      </c>
      <c r="W197" s="8"/>
      <c r="X197" s="8"/>
      <c r="Y197" s="8"/>
      <c r="Z197" s="8"/>
    </row>
    <row r="198" ht="14.25" customHeight="1">
      <c r="A198" s="8"/>
      <c r="C198" s="148"/>
      <c r="D198" s="150">
        <v>5.0</v>
      </c>
      <c r="E198" s="146" t="s">
        <v>1197</v>
      </c>
      <c r="F198" s="146"/>
      <c r="G198" s="146"/>
      <c r="H198" s="147"/>
      <c r="I198" s="148"/>
      <c r="J198" s="149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8"/>
      <c r="X198" s="8"/>
      <c r="Y198" s="8"/>
      <c r="Z198" s="8"/>
    </row>
    <row r="199" ht="14.25" customHeight="1">
      <c r="A199" s="8"/>
      <c r="C199" s="148"/>
      <c r="D199" s="159"/>
      <c r="E199" s="162">
        <v>1.0</v>
      </c>
      <c r="F199" s="146" t="s">
        <v>1198</v>
      </c>
      <c r="G199" s="146"/>
      <c r="H199" s="147"/>
      <c r="I199" s="148"/>
      <c r="J199" s="149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8"/>
      <c r="X199" s="8"/>
      <c r="Y199" s="8"/>
      <c r="Z199" s="8"/>
    </row>
    <row r="200" ht="14.25" customHeight="1">
      <c r="A200" s="8"/>
      <c r="B200" s="7" t="s">
        <v>1217</v>
      </c>
      <c r="C200" s="148"/>
      <c r="D200" s="159"/>
      <c r="E200" s="146"/>
      <c r="F200" s="162">
        <v>1.0</v>
      </c>
      <c r="G200" s="146" t="s">
        <v>1104</v>
      </c>
      <c r="H200" s="147"/>
      <c r="I200" s="148" t="s">
        <v>582</v>
      </c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53">
        <f t="shared" ref="V200:V207" si="17">SUM(J200:U200)</f>
        <v>0</v>
      </c>
      <c r="W200" s="8"/>
      <c r="X200" s="8"/>
      <c r="Y200" s="8"/>
      <c r="Z200" s="8"/>
    </row>
    <row r="201" ht="14.25" customHeight="1">
      <c r="A201" s="8"/>
      <c r="B201" s="7" t="s">
        <v>1217</v>
      </c>
      <c r="C201" s="148"/>
      <c r="D201" s="159"/>
      <c r="E201" s="146"/>
      <c r="F201" s="162"/>
      <c r="G201" s="146"/>
      <c r="H201" s="147"/>
      <c r="I201" s="148" t="s">
        <v>583</v>
      </c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53">
        <f t="shared" si="17"/>
        <v>0</v>
      </c>
      <c r="W201" s="8"/>
      <c r="X201" s="8"/>
      <c r="Y201" s="8"/>
      <c r="Z201" s="8"/>
    </row>
    <row r="202" ht="14.25" customHeight="1">
      <c r="A202" s="8"/>
      <c r="B202" s="7" t="s">
        <v>1218</v>
      </c>
      <c r="C202" s="148"/>
      <c r="D202" s="159"/>
      <c r="E202" s="146"/>
      <c r="F202" s="162">
        <v>2.0</v>
      </c>
      <c r="G202" s="146" t="s">
        <v>1201</v>
      </c>
      <c r="H202" s="147"/>
      <c r="I202" s="148" t="s">
        <v>582</v>
      </c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53">
        <f t="shared" si="17"/>
        <v>0</v>
      </c>
      <c r="W202" s="8"/>
      <c r="X202" s="8"/>
      <c r="Y202" s="8"/>
      <c r="Z202" s="8"/>
    </row>
    <row r="203" ht="14.25" customHeight="1">
      <c r="A203" s="8"/>
      <c r="B203" s="7" t="s">
        <v>1218</v>
      </c>
      <c r="C203" s="148"/>
      <c r="D203" s="159"/>
      <c r="E203" s="146"/>
      <c r="F203" s="162"/>
      <c r="G203" s="146"/>
      <c r="H203" s="147"/>
      <c r="I203" s="148" t="s">
        <v>583</v>
      </c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53">
        <f t="shared" si="17"/>
        <v>0</v>
      </c>
      <c r="W203" s="8"/>
      <c r="X203" s="8"/>
      <c r="Y203" s="8"/>
      <c r="Z203" s="8"/>
    </row>
    <row r="204" ht="14.25" customHeight="1">
      <c r="A204" s="8"/>
      <c r="B204" s="7" t="s">
        <v>1219</v>
      </c>
      <c r="C204" s="148"/>
      <c r="D204" s="159"/>
      <c r="E204" s="146"/>
      <c r="F204" s="162">
        <v>3.0</v>
      </c>
      <c r="G204" s="146" t="s">
        <v>1203</v>
      </c>
      <c r="H204" s="147"/>
      <c r="I204" s="148" t="s">
        <v>582</v>
      </c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53">
        <f t="shared" si="17"/>
        <v>0</v>
      </c>
      <c r="W204" s="8"/>
      <c r="X204" s="8"/>
      <c r="Y204" s="8"/>
      <c r="Z204" s="8"/>
    </row>
    <row r="205" ht="14.25" customHeight="1">
      <c r="A205" s="8"/>
      <c r="B205" s="7" t="s">
        <v>1219</v>
      </c>
      <c r="C205" s="148"/>
      <c r="D205" s="159"/>
      <c r="E205" s="146"/>
      <c r="F205" s="146"/>
      <c r="G205" s="146"/>
      <c r="H205" s="147"/>
      <c r="I205" s="148" t="s">
        <v>583</v>
      </c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53">
        <f t="shared" si="17"/>
        <v>0</v>
      </c>
      <c r="W205" s="8"/>
      <c r="X205" s="8"/>
      <c r="Y205" s="8"/>
      <c r="Z205" s="8"/>
    </row>
    <row r="206" ht="14.25" customHeight="1">
      <c r="A206" s="8"/>
      <c r="B206" s="7" t="s">
        <v>1220</v>
      </c>
      <c r="C206" s="148"/>
      <c r="D206" s="159"/>
      <c r="E206" s="162">
        <v>2.0</v>
      </c>
      <c r="F206" s="146" t="s">
        <v>1205</v>
      </c>
      <c r="G206" s="146"/>
      <c r="H206" s="147"/>
      <c r="I206" s="148" t="s">
        <v>582</v>
      </c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53">
        <f t="shared" si="17"/>
        <v>0</v>
      </c>
      <c r="W206" s="8"/>
      <c r="X206" s="8"/>
      <c r="Y206" s="8"/>
      <c r="Z206" s="8"/>
    </row>
    <row r="207" ht="14.25" customHeight="1">
      <c r="A207" s="8"/>
      <c r="B207" s="7" t="s">
        <v>1220</v>
      </c>
      <c r="C207" s="148"/>
      <c r="D207" s="159"/>
      <c r="E207" s="146"/>
      <c r="F207" s="146"/>
      <c r="G207" s="146"/>
      <c r="H207" s="147"/>
      <c r="I207" s="148" t="s">
        <v>583</v>
      </c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53">
        <f t="shared" si="17"/>
        <v>0</v>
      </c>
      <c r="W207" s="8"/>
      <c r="X207" s="8"/>
      <c r="Y207" s="8"/>
      <c r="Z207" s="8"/>
    </row>
    <row r="208" ht="14.25" customHeight="1">
      <c r="A208" s="8"/>
      <c r="B208" s="13"/>
      <c r="C208" s="148"/>
      <c r="D208" s="159"/>
      <c r="E208" s="146"/>
      <c r="F208" s="146"/>
      <c r="G208" s="146"/>
      <c r="H208" s="147"/>
      <c r="I208" s="148"/>
      <c r="J208" s="149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8"/>
      <c r="X208" s="8"/>
      <c r="Y208" s="8"/>
      <c r="Z208" s="8"/>
    </row>
    <row r="209" ht="14.25" customHeight="1">
      <c r="A209" s="8"/>
      <c r="C209" s="144">
        <v>5.0</v>
      </c>
      <c r="D209" s="145" t="s">
        <v>1221</v>
      </c>
      <c r="E209" s="146"/>
      <c r="F209" s="146"/>
      <c r="G209" s="146"/>
      <c r="H209" s="147"/>
      <c r="I209" s="148"/>
      <c r="J209" s="149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8"/>
      <c r="X209" s="8"/>
      <c r="Y209" s="8"/>
      <c r="Z209" s="8"/>
    </row>
    <row r="210" ht="14.25" customHeight="1">
      <c r="A210" s="8"/>
      <c r="B210" s="7" t="s">
        <v>1222</v>
      </c>
      <c r="C210" s="148"/>
      <c r="D210" s="150">
        <v>1.0</v>
      </c>
      <c r="E210" s="146" t="s">
        <v>1100</v>
      </c>
      <c r="F210" s="146"/>
      <c r="G210" s="146"/>
      <c r="H210" s="147"/>
      <c r="I210" s="148" t="s">
        <v>582</v>
      </c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53">
        <f t="shared" ref="V210:V211" si="18">SUM(J210:U210)</f>
        <v>0</v>
      </c>
      <c r="W210" s="8"/>
      <c r="X210" s="8"/>
      <c r="Y210" s="8"/>
      <c r="Z210" s="8"/>
    </row>
    <row r="211" ht="14.25" customHeight="1">
      <c r="A211" s="8"/>
      <c r="B211" s="7" t="s">
        <v>1223</v>
      </c>
      <c r="C211" s="148"/>
      <c r="D211" s="150">
        <v>2.0</v>
      </c>
      <c r="E211" s="146" t="s">
        <v>1224</v>
      </c>
      <c r="F211" s="146"/>
      <c r="G211" s="146"/>
      <c r="H211" s="147"/>
      <c r="I211" s="148" t="s">
        <v>582</v>
      </c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53">
        <f t="shared" si="18"/>
        <v>0</v>
      </c>
      <c r="W211" s="8"/>
      <c r="X211" s="8"/>
      <c r="Y211" s="8"/>
      <c r="Z211" s="8"/>
    </row>
    <row r="212" ht="14.25" customHeight="1">
      <c r="A212" s="8"/>
      <c r="C212" s="148"/>
      <c r="D212" s="150">
        <v>3.0</v>
      </c>
      <c r="E212" s="146" t="s">
        <v>1197</v>
      </c>
      <c r="F212" s="146"/>
      <c r="G212" s="146"/>
      <c r="H212" s="147"/>
      <c r="I212" s="148"/>
      <c r="J212" s="149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8"/>
      <c r="X212" s="8"/>
      <c r="Y212" s="8"/>
      <c r="Z212" s="8"/>
    </row>
    <row r="213" ht="14.25" customHeight="1">
      <c r="A213" s="8"/>
      <c r="C213" s="148"/>
      <c r="D213" s="159"/>
      <c r="E213" s="162">
        <v>1.0</v>
      </c>
      <c r="F213" s="146" t="s">
        <v>1198</v>
      </c>
      <c r="G213" s="146"/>
      <c r="H213" s="147"/>
      <c r="I213" s="148"/>
      <c r="J213" s="149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8"/>
      <c r="X213" s="8"/>
      <c r="Y213" s="8"/>
      <c r="Z213" s="8"/>
    </row>
    <row r="214" ht="14.25" customHeight="1">
      <c r="A214" s="8"/>
      <c r="B214" s="7" t="s">
        <v>1225</v>
      </c>
      <c r="C214" s="148"/>
      <c r="D214" s="159"/>
      <c r="E214" s="162"/>
      <c r="F214" s="162">
        <v>1.0</v>
      </c>
      <c r="G214" s="146" t="s">
        <v>1104</v>
      </c>
      <c r="H214" s="147"/>
      <c r="I214" s="148" t="s">
        <v>582</v>
      </c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53">
        <f t="shared" ref="V214:V218" si="19">SUM(J214:U214)</f>
        <v>0</v>
      </c>
      <c r="W214" s="8"/>
      <c r="X214" s="8"/>
      <c r="Y214" s="8"/>
      <c r="Z214" s="8"/>
    </row>
    <row r="215" ht="14.25" customHeight="1">
      <c r="A215" s="8"/>
      <c r="B215" s="7" t="s">
        <v>1226</v>
      </c>
      <c r="C215" s="148"/>
      <c r="D215" s="159"/>
      <c r="E215" s="162"/>
      <c r="F215" s="162">
        <v>2.0</v>
      </c>
      <c r="G215" s="146" t="s">
        <v>1201</v>
      </c>
      <c r="H215" s="147"/>
      <c r="I215" s="148" t="s">
        <v>582</v>
      </c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53">
        <f t="shared" si="19"/>
        <v>0</v>
      </c>
      <c r="W215" s="8"/>
      <c r="X215" s="8"/>
      <c r="Y215" s="8"/>
      <c r="Z215" s="8"/>
    </row>
    <row r="216" ht="14.25" customHeight="1">
      <c r="A216" s="8"/>
      <c r="B216" s="7" t="s">
        <v>1227</v>
      </c>
      <c r="C216" s="148"/>
      <c r="D216" s="159"/>
      <c r="E216" s="162"/>
      <c r="F216" s="162">
        <v>3.0</v>
      </c>
      <c r="G216" s="146" t="s">
        <v>1203</v>
      </c>
      <c r="H216" s="147"/>
      <c r="I216" s="148" t="s">
        <v>582</v>
      </c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53">
        <f t="shared" si="19"/>
        <v>0</v>
      </c>
      <c r="W216" s="8"/>
      <c r="X216" s="8"/>
      <c r="Y216" s="8"/>
      <c r="Z216" s="8"/>
    </row>
    <row r="217" ht="14.25" customHeight="1">
      <c r="A217" s="8"/>
      <c r="B217" s="7" t="s">
        <v>1228</v>
      </c>
      <c r="C217" s="148"/>
      <c r="D217" s="159"/>
      <c r="E217" s="162">
        <v>2.0</v>
      </c>
      <c r="F217" s="146" t="s">
        <v>1205</v>
      </c>
      <c r="G217" s="146"/>
      <c r="H217" s="147"/>
      <c r="I217" s="148" t="s">
        <v>582</v>
      </c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53">
        <f t="shared" si="19"/>
        <v>0</v>
      </c>
      <c r="W217" s="8"/>
      <c r="X217" s="8"/>
      <c r="Y217" s="8"/>
      <c r="Z217" s="8"/>
    </row>
    <row r="218" ht="14.25" customHeight="1">
      <c r="A218" s="8"/>
      <c r="B218" s="7" t="s">
        <v>1229</v>
      </c>
      <c r="C218" s="148"/>
      <c r="D218" s="159"/>
      <c r="E218" s="162">
        <v>3.0</v>
      </c>
      <c r="F218" s="146" t="s">
        <v>1230</v>
      </c>
      <c r="G218" s="146"/>
      <c r="H218" s="147"/>
      <c r="I218" s="148" t="s">
        <v>582</v>
      </c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53">
        <f t="shared" si="19"/>
        <v>0</v>
      </c>
      <c r="W218" s="8"/>
      <c r="X218" s="8"/>
      <c r="Y218" s="8"/>
      <c r="Z218" s="8"/>
    </row>
    <row r="219" ht="14.25" customHeight="1">
      <c r="A219" s="8"/>
      <c r="B219" s="13"/>
      <c r="C219" s="148"/>
      <c r="D219" s="159"/>
      <c r="E219" s="146"/>
      <c r="F219" s="146"/>
      <c r="G219" s="146"/>
      <c r="H219" s="147"/>
      <c r="I219" s="148"/>
      <c r="J219" s="149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8"/>
      <c r="X219" s="8"/>
      <c r="Y219" s="8"/>
      <c r="Z219" s="8"/>
    </row>
    <row r="220" ht="14.25" customHeight="1">
      <c r="A220" s="8"/>
      <c r="C220" s="144">
        <v>6.0</v>
      </c>
      <c r="D220" s="145" t="s">
        <v>1231</v>
      </c>
      <c r="E220" s="146"/>
      <c r="F220" s="146"/>
      <c r="G220" s="146"/>
      <c r="H220" s="147"/>
      <c r="I220" s="148"/>
      <c r="J220" s="149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8"/>
      <c r="X220" s="8"/>
      <c r="Y220" s="8"/>
      <c r="Z220" s="8"/>
    </row>
    <row r="221" ht="14.25" customHeight="1">
      <c r="A221" s="8"/>
      <c r="B221" s="7" t="s">
        <v>1232</v>
      </c>
      <c r="C221" s="148"/>
      <c r="D221" s="150">
        <v>1.0</v>
      </c>
      <c r="E221" s="146" t="s">
        <v>1100</v>
      </c>
      <c r="F221" s="146"/>
      <c r="G221" s="146"/>
      <c r="H221" s="147"/>
      <c r="I221" s="148" t="s">
        <v>590</v>
      </c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53">
        <f t="shared" ref="V221:V224" si="20">SUM(J221:U221)</f>
        <v>0</v>
      </c>
      <c r="W221" s="8"/>
      <c r="X221" s="8"/>
      <c r="Y221" s="8"/>
      <c r="Z221" s="8"/>
    </row>
    <row r="222" ht="14.25" customHeight="1">
      <c r="A222" s="8"/>
      <c r="B222" s="7" t="s">
        <v>1232</v>
      </c>
      <c r="C222" s="148"/>
      <c r="D222" s="150"/>
      <c r="E222" s="146"/>
      <c r="F222" s="146"/>
      <c r="G222" s="146"/>
      <c r="H222" s="147"/>
      <c r="I222" s="148" t="s">
        <v>582</v>
      </c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53">
        <f t="shared" si="20"/>
        <v>0</v>
      </c>
      <c r="W222" s="8"/>
      <c r="X222" s="8"/>
      <c r="Y222" s="8"/>
      <c r="Z222" s="8"/>
    </row>
    <row r="223" ht="14.25" customHeight="1">
      <c r="A223" s="8"/>
      <c r="B223" s="7" t="s">
        <v>1233</v>
      </c>
      <c r="C223" s="148"/>
      <c r="D223" s="150">
        <v>2.0</v>
      </c>
      <c r="E223" s="146" t="s">
        <v>1234</v>
      </c>
      <c r="F223" s="146"/>
      <c r="G223" s="146"/>
      <c r="H223" s="147"/>
      <c r="I223" s="148" t="s">
        <v>590</v>
      </c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53">
        <f t="shared" si="20"/>
        <v>0</v>
      </c>
      <c r="W223" s="8"/>
      <c r="X223" s="8"/>
      <c r="Y223" s="8"/>
      <c r="Z223" s="8"/>
    </row>
    <row r="224" ht="14.25" customHeight="1">
      <c r="A224" s="8"/>
      <c r="B224" s="7" t="s">
        <v>1233</v>
      </c>
      <c r="C224" s="148"/>
      <c r="D224" s="150"/>
      <c r="E224" s="146"/>
      <c r="F224" s="146"/>
      <c r="G224" s="146"/>
      <c r="H224" s="147"/>
      <c r="I224" s="148" t="s">
        <v>582</v>
      </c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53">
        <f t="shared" si="20"/>
        <v>0</v>
      </c>
      <c r="W224" s="8"/>
      <c r="X224" s="8"/>
      <c r="Y224" s="8"/>
      <c r="Z224" s="8"/>
    </row>
    <row r="225" ht="14.25" customHeight="1">
      <c r="A225" s="8"/>
      <c r="C225" s="148"/>
      <c r="D225" s="150">
        <v>3.0</v>
      </c>
      <c r="E225" s="146" t="s">
        <v>1197</v>
      </c>
      <c r="F225" s="146"/>
      <c r="G225" s="146"/>
      <c r="H225" s="147"/>
      <c r="I225" s="148"/>
      <c r="J225" s="149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8"/>
      <c r="X225" s="8"/>
      <c r="Y225" s="8"/>
      <c r="Z225" s="8"/>
    </row>
    <row r="226" ht="14.25" customHeight="1">
      <c r="A226" s="8"/>
      <c r="C226" s="148"/>
      <c r="D226" s="150"/>
      <c r="E226" s="162">
        <v>1.0</v>
      </c>
      <c r="F226" s="146" t="s">
        <v>1198</v>
      </c>
      <c r="G226" s="146"/>
      <c r="H226" s="147"/>
      <c r="I226" s="148"/>
      <c r="J226" s="149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8"/>
      <c r="X226" s="8"/>
      <c r="Y226" s="8"/>
      <c r="Z226" s="8"/>
    </row>
    <row r="227" ht="14.25" customHeight="1">
      <c r="A227" s="8"/>
      <c r="B227" s="7" t="s">
        <v>1235</v>
      </c>
      <c r="C227" s="148"/>
      <c r="D227" s="150"/>
      <c r="E227" s="146"/>
      <c r="F227" s="162">
        <v>1.0</v>
      </c>
      <c r="G227" s="146" t="s">
        <v>1104</v>
      </c>
      <c r="H227" s="147"/>
      <c r="I227" s="148" t="s">
        <v>590</v>
      </c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53">
        <f t="shared" ref="V227:V234" si="21">SUM(J227:U227)</f>
        <v>0</v>
      </c>
      <c r="W227" s="8"/>
      <c r="X227" s="8"/>
      <c r="Y227" s="8"/>
      <c r="Z227" s="8"/>
    </row>
    <row r="228" ht="14.25" customHeight="1">
      <c r="A228" s="8"/>
      <c r="B228" s="7" t="s">
        <v>1235</v>
      </c>
      <c r="C228" s="148"/>
      <c r="D228" s="150"/>
      <c r="E228" s="146"/>
      <c r="F228" s="162"/>
      <c r="G228" s="146"/>
      <c r="H228" s="147"/>
      <c r="I228" s="148" t="s">
        <v>582</v>
      </c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53">
        <f t="shared" si="21"/>
        <v>0</v>
      </c>
      <c r="W228" s="8"/>
      <c r="X228" s="8"/>
      <c r="Y228" s="8"/>
      <c r="Z228" s="8"/>
    </row>
    <row r="229" ht="14.25" customHeight="1">
      <c r="A229" s="8"/>
      <c r="B229" s="7" t="s">
        <v>1236</v>
      </c>
      <c r="C229" s="148"/>
      <c r="D229" s="150"/>
      <c r="E229" s="146"/>
      <c r="F229" s="162">
        <v>2.0</v>
      </c>
      <c r="G229" s="146" t="s">
        <v>1201</v>
      </c>
      <c r="H229" s="147"/>
      <c r="I229" s="148" t="s">
        <v>590</v>
      </c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53">
        <f t="shared" si="21"/>
        <v>0</v>
      </c>
      <c r="W229" s="8"/>
      <c r="X229" s="8"/>
      <c r="Y229" s="8"/>
      <c r="Z229" s="8"/>
    </row>
    <row r="230" ht="14.25" customHeight="1">
      <c r="A230" s="8"/>
      <c r="B230" s="7" t="s">
        <v>1236</v>
      </c>
      <c r="C230" s="148"/>
      <c r="D230" s="150"/>
      <c r="E230" s="146"/>
      <c r="F230" s="162"/>
      <c r="G230" s="146"/>
      <c r="H230" s="147"/>
      <c r="I230" s="148" t="s">
        <v>582</v>
      </c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53">
        <f t="shared" si="21"/>
        <v>0</v>
      </c>
      <c r="W230" s="8"/>
      <c r="X230" s="8"/>
      <c r="Y230" s="8"/>
      <c r="Z230" s="8"/>
    </row>
    <row r="231" ht="14.25" customHeight="1">
      <c r="A231" s="8"/>
      <c r="B231" s="7" t="s">
        <v>1237</v>
      </c>
      <c r="C231" s="148"/>
      <c r="D231" s="150"/>
      <c r="E231" s="146"/>
      <c r="F231" s="162">
        <v>3.0</v>
      </c>
      <c r="G231" s="146" t="s">
        <v>1203</v>
      </c>
      <c r="H231" s="147"/>
      <c r="I231" s="148" t="s">
        <v>590</v>
      </c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53">
        <f t="shared" si="21"/>
        <v>0</v>
      </c>
      <c r="W231" s="8"/>
      <c r="X231" s="8"/>
      <c r="Y231" s="8"/>
      <c r="Z231" s="8"/>
    </row>
    <row r="232" ht="14.25" customHeight="1">
      <c r="A232" s="8"/>
      <c r="B232" s="7" t="s">
        <v>1237</v>
      </c>
      <c r="C232" s="148"/>
      <c r="D232" s="150"/>
      <c r="E232" s="146"/>
      <c r="F232" s="146"/>
      <c r="G232" s="146"/>
      <c r="H232" s="147"/>
      <c r="I232" s="148" t="s">
        <v>582</v>
      </c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53">
        <f t="shared" si="21"/>
        <v>0</v>
      </c>
      <c r="W232" s="8"/>
      <c r="X232" s="8"/>
      <c r="Y232" s="8"/>
      <c r="Z232" s="8"/>
    </row>
    <row r="233" ht="14.25" customHeight="1">
      <c r="A233" s="8"/>
      <c r="B233" s="7" t="s">
        <v>1238</v>
      </c>
      <c r="C233" s="148"/>
      <c r="D233" s="150"/>
      <c r="E233" s="162">
        <v>2.0</v>
      </c>
      <c r="F233" s="146" t="s">
        <v>1205</v>
      </c>
      <c r="G233" s="146"/>
      <c r="H233" s="147"/>
      <c r="I233" s="148" t="s">
        <v>590</v>
      </c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53">
        <f t="shared" si="21"/>
        <v>0</v>
      </c>
      <c r="W233" s="8"/>
      <c r="X233" s="8"/>
      <c r="Y233" s="8"/>
      <c r="Z233" s="8"/>
    </row>
    <row r="234" ht="14.25" customHeight="1">
      <c r="A234" s="8"/>
      <c r="B234" s="7" t="s">
        <v>1238</v>
      </c>
      <c r="C234" s="148"/>
      <c r="D234" s="159"/>
      <c r="E234" s="146"/>
      <c r="F234" s="146"/>
      <c r="G234" s="146"/>
      <c r="H234" s="147"/>
      <c r="I234" s="148" t="s">
        <v>582</v>
      </c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53">
        <f t="shared" si="21"/>
        <v>0</v>
      </c>
      <c r="W234" s="8"/>
      <c r="X234" s="8"/>
      <c r="Y234" s="8"/>
      <c r="Z234" s="8"/>
    </row>
    <row r="235" ht="14.25" customHeight="1">
      <c r="A235" s="8"/>
      <c r="B235" s="13"/>
      <c r="C235" s="148"/>
      <c r="D235" s="159"/>
      <c r="E235" s="146"/>
      <c r="F235" s="146"/>
      <c r="G235" s="146"/>
      <c r="H235" s="147"/>
      <c r="I235" s="148"/>
      <c r="J235" s="149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8"/>
      <c r="X235" s="8"/>
      <c r="Y235" s="8"/>
      <c r="Z235" s="8"/>
    </row>
    <row r="236" ht="14.25" customHeight="1">
      <c r="A236" s="8"/>
      <c r="C236" s="144">
        <v>7.0</v>
      </c>
      <c r="D236" s="145" t="s">
        <v>1239</v>
      </c>
      <c r="E236" s="146"/>
      <c r="F236" s="146"/>
      <c r="G236" s="146"/>
      <c r="H236" s="147"/>
      <c r="I236" s="148"/>
      <c r="J236" s="149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8"/>
      <c r="X236" s="8"/>
      <c r="Y236" s="8"/>
      <c r="Z236" s="8"/>
    </row>
    <row r="237" ht="14.25" customHeight="1">
      <c r="A237" s="8"/>
      <c r="B237" s="7" t="s">
        <v>1240</v>
      </c>
      <c r="C237" s="148"/>
      <c r="D237" s="150">
        <v>1.0</v>
      </c>
      <c r="E237" s="146" t="s">
        <v>1100</v>
      </c>
      <c r="F237" s="146"/>
      <c r="G237" s="146"/>
      <c r="H237" s="147"/>
      <c r="I237" s="148" t="s">
        <v>491</v>
      </c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53">
        <f t="shared" ref="V237:V238" si="22">SUM(J237:U237)</f>
        <v>0</v>
      </c>
      <c r="W237" s="8"/>
      <c r="X237" s="8"/>
      <c r="Y237" s="8"/>
      <c r="Z237" s="8"/>
    </row>
    <row r="238" ht="14.25" customHeight="1">
      <c r="A238" s="8"/>
      <c r="B238" s="7" t="s">
        <v>1241</v>
      </c>
      <c r="C238" s="148"/>
      <c r="D238" s="150">
        <v>2.0</v>
      </c>
      <c r="E238" s="146" t="s">
        <v>1242</v>
      </c>
      <c r="F238" s="146"/>
      <c r="G238" s="146"/>
      <c r="H238" s="147"/>
      <c r="I238" s="148" t="s">
        <v>1177</v>
      </c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53">
        <f t="shared" si="22"/>
        <v>0</v>
      </c>
      <c r="W238" s="8"/>
      <c r="X238" s="8"/>
      <c r="Y238" s="8"/>
      <c r="Z238" s="8"/>
    </row>
    <row r="239" ht="14.25" customHeight="1">
      <c r="A239" s="8"/>
      <c r="C239" s="148"/>
      <c r="D239" s="150">
        <v>3.0</v>
      </c>
      <c r="E239" s="146" t="s">
        <v>1197</v>
      </c>
      <c r="F239" s="146"/>
      <c r="G239" s="146"/>
      <c r="H239" s="147"/>
      <c r="I239" s="148"/>
      <c r="J239" s="149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8"/>
      <c r="X239" s="8"/>
      <c r="Y239" s="8"/>
      <c r="Z239" s="8"/>
    </row>
    <row r="240" ht="14.25" customHeight="1">
      <c r="A240" s="8"/>
      <c r="C240" s="148"/>
      <c r="D240" s="159"/>
      <c r="E240" s="162">
        <v>1.0</v>
      </c>
      <c r="F240" s="146" t="s">
        <v>1198</v>
      </c>
      <c r="G240" s="146"/>
      <c r="H240" s="147"/>
      <c r="I240" s="148"/>
      <c r="J240" s="149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8"/>
      <c r="X240" s="8"/>
      <c r="Y240" s="8"/>
      <c r="Z240" s="8"/>
    </row>
    <row r="241" ht="14.25" customHeight="1">
      <c r="A241" s="8"/>
      <c r="B241" s="7" t="s">
        <v>1243</v>
      </c>
      <c r="C241" s="148"/>
      <c r="D241" s="159"/>
      <c r="E241" s="146"/>
      <c r="F241" s="162">
        <v>1.0</v>
      </c>
      <c r="G241" s="146" t="s">
        <v>1104</v>
      </c>
      <c r="H241" s="147"/>
      <c r="I241" s="148" t="s">
        <v>491</v>
      </c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53">
        <f t="shared" ref="V241:V244" si="23">SUM(J241:U241)</f>
        <v>0</v>
      </c>
      <c r="W241" s="8"/>
      <c r="X241" s="8"/>
      <c r="Y241" s="8"/>
      <c r="Z241" s="8"/>
    </row>
    <row r="242" ht="14.25" customHeight="1">
      <c r="A242" s="8"/>
      <c r="B242" s="7" t="s">
        <v>1244</v>
      </c>
      <c r="C242" s="148"/>
      <c r="D242" s="159"/>
      <c r="E242" s="146"/>
      <c r="F242" s="162">
        <v>2.0</v>
      </c>
      <c r="G242" s="146" t="s">
        <v>1201</v>
      </c>
      <c r="H242" s="147"/>
      <c r="I242" s="148" t="s">
        <v>491</v>
      </c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53">
        <f t="shared" si="23"/>
        <v>0</v>
      </c>
      <c r="W242" s="8"/>
      <c r="X242" s="8"/>
      <c r="Y242" s="8"/>
      <c r="Z242" s="8"/>
    </row>
    <row r="243" ht="14.25" customHeight="1">
      <c r="A243" s="8"/>
      <c r="B243" s="7" t="s">
        <v>1245</v>
      </c>
      <c r="C243" s="148"/>
      <c r="D243" s="159"/>
      <c r="E243" s="146"/>
      <c r="F243" s="162">
        <v>3.0</v>
      </c>
      <c r="G243" s="146" t="s">
        <v>1203</v>
      </c>
      <c r="H243" s="147"/>
      <c r="I243" s="148" t="s">
        <v>491</v>
      </c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53">
        <f t="shared" si="23"/>
        <v>0</v>
      </c>
      <c r="W243" s="8"/>
      <c r="X243" s="8"/>
      <c r="Y243" s="8"/>
      <c r="Z243" s="8"/>
    </row>
    <row r="244" ht="14.25" customHeight="1">
      <c r="A244" s="8"/>
      <c r="B244" s="7" t="s">
        <v>1246</v>
      </c>
      <c r="C244" s="148"/>
      <c r="D244" s="159"/>
      <c r="E244" s="162">
        <v>2.0</v>
      </c>
      <c r="F244" s="146" t="s">
        <v>1205</v>
      </c>
      <c r="G244" s="146"/>
      <c r="H244" s="147"/>
      <c r="I244" s="148" t="s">
        <v>491</v>
      </c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53">
        <f t="shared" si="23"/>
        <v>0</v>
      </c>
      <c r="W244" s="8"/>
      <c r="X244" s="8"/>
      <c r="Y244" s="8"/>
      <c r="Z244" s="8"/>
    </row>
    <row r="245" ht="14.25" customHeight="1">
      <c r="A245" s="8"/>
      <c r="B245" s="13"/>
      <c r="C245" s="148"/>
      <c r="D245" s="159"/>
      <c r="E245" s="146"/>
      <c r="F245" s="146"/>
      <c r="G245" s="146"/>
      <c r="H245" s="147"/>
      <c r="I245" s="148"/>
      <c r="J245" s="149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8"/>
      <c r="X245" s="8"/>
      <c r="Y245" s="8"/>
      <c r="Z245" s="8"/>
    </row>
    <row r="246" ht="14.25" customHeight="1">
      <c r="A246" s="8"/>
      <c r="C246" s="144">
        <v>8.0</v>
      </c>
      <c r="D246" s="145" t="s">
        <v>1247</v>
      </c>
      <c r="E246" s="146"/>
      <c r="F246" s="146"/>
      <c r="G246" s="146"/>
      <c r="H246" s="147"/>
      <c r="I246" s="148"/>
      <c r="J246" s="149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8"/>
      <c r="X246" s="8"/>
      <c r="Y246" s="8"/>
      <c r="Z246" s="8"/>
    </row>
    <row r="247" ht="14.25" customHeight="1">
      <c r="A247" s="8"/>
      <c r="B247" s="7" t="s">
        <v>1248</v>
      </c>
      <c r="C247" s="148"/>
      <c r="D247" s="150">
        <v>1.0</v>
      </c>
      <c r="E247" s="146" t="s">
        <v>1100</v>
      </c>
      <c r="F247" s="146"/>
      <c r="G247" s="146"/>
      <c r="H247" s="147"/>
      <c r="I247" s="148" t="s">
        <v>594</v>
      </c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53">
        <f t="shared" ref="V247:V248" si="24">SUM(J247:U247)</f>
        <v>0</v>
      </c>
      <c r="W247" s="8"/>
      <c r="X247" s="8"/>
      <c r="Y247" s="8"/>
      <c r="Z247" s="8"/>
    </row>
    <row r="248" ht="14.25" customHeight="1">
      <c r="A248" s="8"/>
      <c r="B248" s="7" t="s">
        <v>1249</v>
      </c>
      <c r="C248" s="148"/>
      <c r="D248" s="150">
        <v>2.0</v>
      </c>
      <c r="E248" s="146" t="s">
        <v>1242</v>
      </c>
      <c r="F248" s="146"/>
      <c r="G248" s="146"/>
      <c r="H248" s="147"/>
      <c r="I248" s="148" t="s">
        <v>1250</v>
      </c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53">
        <f t="shared" si="24"/>
        <v>0</v>
      </c>
      <c r="W248" s="8"/>
      <c r="X248" s="8"/>
      <c r="Y248" s="8"/>
      <c r="Z248" s="8"/>
    </row>
    <row r="249" ht="14.25" customHeight="1">
      <c r="A249" s="8"/>
      <c r="C249" s="148"/>
      <c r="D249" s="150">
        <v>3.0</v>
      </c>
      <c r="E249" s="146" t="s">
        <v>1197</v>
      </c>
      <c r="F249" s="146"/>
      <c r="G249" s="146"/>
      <c r="H249" s="147"/>
      <c r="I249" s="148"/>
      <c r="J249" s="149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8"/>
      <c r="X249" s="8"/>
      <c r="Y249" s="8"/>
      <c r="Z249" s="8"/>
    </row>
    <row r="250" ht="14.25" customHeight="1">
      <c r="A250" s="8"/>
      <c r="C250" s="148"/>
      <c r="D250" s="159"/>
      <c r="E250" s="162">
        <v>1.0</v>
      </c>
      <c r="F250" s="146" t="s">
        <v>1198</v>
      </c>
      <c r="G250" s="146"/>
      <c r="H250" s="147"/>
      <c r="I250" s="148"/>
      <c r="J250" s="149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8"/>
      <c r="X250" s="8"/>
      <c r="Y250" s="8"/>
      <c r="Z250" s="8"/>
    </row>
    <row r="251" ht="14.25" customHeight="1">
      <c r="A251" s="8"/>
      <c r="B251" s="7" t="s">
        <v>1251</v>
      </c>
      <c r="C251" s="148"/>
      <c r="D251" s="159"/>
      <c r="E251" s="146"/>
      <c r="F251" s="162">
        <v>1.0</v>
      </c>
      <c r="G251" s="146" t="s">
        <v>1104</v>
      </c>
      <c r="H251" s="147"/>
      <c r="I251" s="148" t="s">
        <v>594</v>
      </c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53">
        <f t="shared" ref="V251:V254" si="25">SUM(J251:U251)</f>
        <v>0</v>
      </c>
      <c r="W251" s="8"/>
      <c r="X251" s="8"/>
      <c r="Y251" s="8"/>
      <c r="Z251" s="8"/>
    </row>
    <row r="252" ht="14.25" customHeight="1">
      <c r="A252" s="8"/>
      <c r="B252" s="7" t="s">
        <v>1252</v>
      </c>
      <c r="C252" s="148"/>
      <c r="D252" s="159"/>
      <c r="E252" s="146"/>
      <c r="F252" s="162">
        <v>2.0</v>
      </c>
      <c r="G252" s="146" t="s">
        <v>1201</v>
      </c>
      <c r="H252" s="147"/>
      <c r="I252" s="148" t="s">
        <v>594</v>
      </c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53">
        <f t="shared" si="25"/>
        <v>0</v>
      </c>
      <c r="W252" s="8"/>
      <c r="X252" s="8"/>
      <c r="Y252" s="8"/>
      <c r="Z252" s="8"/>
    </row>
    <row r="253" ht="14.25" customHeight="1">
      <c r="A253" s="8"/>
      <c r="B253" s="7" t="s">
        <v>1253</v>
      </c>
      <c r="C253" s="148"/>
      <c r="D253" s="159"/>
      <c r="E253" s="146"/>
      <c r="F253" s="162">
        <v>3.0</v>
      </c>
      <c r="G253" s="146" t="s">
        <v>1203</v>
      </c>
      <c r="H253" s="147"/>
      <c r="I253" s="148" t="s">
        <v>594</v>
      </c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53">
        <f t="shared" si="25"/>
        <v>0</v>
      </c>
      <c r="W253" s="8"/>
      <c r="X253" s="8"/>
      <c r="Y253" s="8"/>
      <c r="Z253" s="8"/>
    </row>
    <row r="254" ht="14.25" customHeight="1">
      <c r="A254" s="8"/>
      <c r="B254" s="7" t="s">
        <v>1254</v>
      </c>
      <c r="C254" s="148"/>
      <c r="D254" s="159"/>
      <c r="E254" s="162">
        <v>2.0</v>
      </c>
      <c r="F254" s="146" t="s">
        <v>1205</v>
      </c>
      <c r="G254" s="146"/>
      <c r="H254" s="147"/>
      <c r="I254" s="148" t="s">
        <v>594</v>
      </c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53">
        <f t="shared" si="25"/>
        <v>0</v>
      </c>
      <c r="W254" s="8"/>
      <c r="X254" s="8"/>
      <c r="Y254" s="8"/>
      <c r="Z254" s="8"/>
    </row>
    <row r="255" ht="14.25" customHeight="1">
      <c r="A255" s="8"/>
      <c r="B255" s="13"/>
      <c r="C255" s="148"/>
      <c r="D255" s="159"/>
      <c r="E255" s="146"/>
      <c r="F255" s="146"/>
      <c r="G255" s="146"/>
      <c r="H255" s="147"/>
      <c r="I255" s="148"/>
      <c r="J255" s="149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8"/>
      <c r="X255" s="8"/>
      <c r="Y255" s="8"/>
      <c r="Z255" s="8"/>
    </row>
    <row r="256" ht="15.0" customHeight="1">
      <c r="A256" s="8"/>
      <c r="B256" s="8"/>
      <c r="C256" s="144">
        <v>9.0</v>
      </c>
      <c r="D256" s="145" t="s">
        <v>1255</v>
      </c>
      <c r="E256" s="146"/>
      <c r="F256" s="146"/>
      <c r="G256" s="146"/>
      <c r="H256" s="147"/>
      <c r="I256" s="148"/>
      <c r="J256" s="149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8"/>
      <c r="X256" s="8"/>
      <c r="Y256" s="8"/>
      <c r="Z256" s="8"/>
    </row>
    <row r="257" ht="15.0" customHeight="1">
      <c r="A257" s="8"/>
      <c r="B257" s="163" t="s">
        <v>1256</v>
      </c>
      <c r="C257" s="148"/>
      <c r="D257" s="150">
        <v>1.0</v>
      </c>
      <c r="E257" s="146" t="s">
        <v>1100</v>
      </c>
      <c r="F257" s="146"/>
      <c r="G257" s="146"/>
      <c r="H257" s="147"/>
      <c r="I257" s="148" t="s">
        <v>582</v>
      </c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53">
        <f t="shared" ref="V257:V264" si="26">SUM(J257:U257)</f>
        <v>0</v>
      </c>
      <c r="W257" s="8"/>
      <c r="X257" s="8"/>
      <c r="Y257" s="8"/>
      <c r="Z257" s="8"/>
    </row>
    <row r="258" ht="14.25" customHeight="1">
      <c r="A258" s="8"/>
      <c r="B258" s="163" t="s">
        <v>1256</v>
      </c>
      <c r="C258" s="148"/>
      <c r="D258" s="150"/>
      <c r="E258" s="146"/>
      <c r="F258" s="146"/>
      <c r="G258" s="146"/>
      <c r="H258" s="147"/>
      <c r="I258" s="148" t="s">
        <v>583</v>
      </c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53">
        <f t="shared" si="26"/>
        <v>0</v>
      </c>
      <c r="W258" s="8"/>
      <c r="X258" s="8"/>
      <c r="Y258" s="8"/>
      <c r="Z258" s="8"/>
    </row>
    <row r="259" ht="14.25" customHeight="1">
      <c r="A259" s="8"/>
      <c r="B259" s="163" t="s">
        <v>1256</v>
      </c>
      <c r="C259" s="148"/>
      <c r="D259" s="150"/>
      <c r="E259" s="146"/>
      <c r="F259" s="146"/>
      <c r="G259" s="146"/>
      <c r="H259" s="147"/>
      <c r="I259" s="148" t="s">
        <v>491</v>
      </c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53">
        <f t="shared" si="26"/>
        <v>0</v>
      </c>
      <c r="W259" s="8"/>
      <c r="X259" s="8"/>
      <c r="Y259" s="8"/>
      <c r="Z259" s="8"/>
    </row>
    <row r="260" ht="14.25" customHeight="1">
      <c r="A260" s="8"/>
      <c r="B260" s="163" t="s">
        <v>1257</v>
      </c>
      <c r="C260" s="148"/>
      <c r="D260" s="150">
        <v>2.0</v>
      </c>
      <c r="E260" s="146" t="s">
        <v>1194</v>
      </c>
      <c r="F260" s="146"/>
      <c r="G260" s="146"/>
      <c r="H260" s="147"/>
      <c r="I260" s="148" t="s">
        <v>1137</v>
      </c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53">
        <f t="shared" si="26"/>
        <v>0</v>
      </c>
      <c r="W260" s="8"/>
      <c r="X260" s="8"/>
      <c r="Y260" s="8"/>
      <c r="Z260" s="8"/>
    </row>
    <row r="261" ht="14.25" customHeight="1">
      <c r="A261" s="8"/>
      <c r="B261" s="163" t="s">
        <v>1257</v>
      </c>
      <c r="C261" s="148"/>
      <c r="D261" s="150"/>
      <c r="E261" s="146"/>
      <c r="F261" s="146"/>
      <c r="G261" s="146"/>
      <c r="H261" s="147"/>
      <c r="I261" s="148" t="s">
        <v>1138</v>
      </c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53">
        <f t="shared" si="26"/>
        <v>0</v>
      </c>
      <c r="W261" s="8"/>
      <c r="X261" s="8"/>
      <c r="Y261" s="8"/>
      <c r="Z261" s="8"/>
    </row>
    <row r="262" ht="14.25" customHeight="1">
      <c r="A262" s="8"/>
      <c r="B262" s="163" t="s">
        <v>1258</v>
      </c>
      <c r="C262" s="148"/>
      <c r="D262" s="150">
        <v>3.0</v>
      </c>
      <c r="E262" s="146" t="s">
        <v>1196</v>
      </c>
      <c r="F262" s="146"/>
      <c r="G262" s="146"/>
      <c r="H262" s="147"/>
      <c r="I262" s="148" t="s">
        <v>1137</v>
      </c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53">
        <f t="shared" si="26"/>
        <v>0</v>
      </c>
      <c r="W262" s="8"/>
      <c r="X262" s="8"/>
      <c r="Y262" s="8"/>
      <c r="Z262" s="8"/>
    </row>
    <row r="263" ht="14.25" customHeight="1">
      <c r="A263" s="8"/>
      <c r="B263" s="163" t="s">
        <v>1258</v>
      </c>
      <c r="C263" s="148"/>
      <c r="D263" s="150"/>
      <c r="E263" s="146"/>
      <c r="F263" s="146"/>
      <c r="G263" s="146"/>
      <c r="H263" s="147"/>
      <c r="I263" s="148" t="s">
        <v>1138</v>
      </c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53">
        <f t="shared" si="26"/>
        <v>0</v>
      </c>
      <c r="W263" s="8"/>
      <c r="X263" s="8"/>
      <c r="Y263" s="8"/>
      <c r="Z263" s="8"/>
    </row>
    <row r="264" ht="14.25" customHeight="1">
      <c r="A264" s="8"/>
      <c r="B264" s="163" t="s">
        <v>1258</v>
      </c>
      <c r="C264" s="148"/>
      <c r="D264" s="150"/>
      <c r="E264" s="146"/>
      <c r="F264" s="146"/>
      <c r="G264" s="146"/>
      <c r="H264" s="147"/>
      <c r="I264" s="148" t="s">
        <v>1177</v>
      </c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53">
        <f t="shared" si="26"/>
        <v>0</v>
      </c>
      <c r="W264" s="8"/>
      <c r="X264" s="8"/>
      <c r="Y264" s="8"/>
      <c r="Z264" s="8"/>
    </row>
    <row r="265" ht="14.25" customHeight="1">
      <c r="A265" s="8"/>
      <c r="B265" s="8"/>
      <c r="C265" s="148"/>
      <c r="D265" s="150">
        <v>4.0</v>
      </c>
      <c r="E265" s="146" t="s">
        <v>1197</v>
      </c>
      <c r="F265" s="146"/>
      <c r="G265" s="146"/>
      <c r="H265" s="147"/>
      <c r="I265" s="148"/>
      <c r="J265" s="149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8"/>
      <c r="X265" s="8"/>
      <c r="Y265" s="8"/>
      <c r="Z265" s="8"/>
    </row>
    <row r="266" ht="14.25" customHeight="1">
      <c r="A266" s="8"/>
      <c r="B266" s="8"/>
      <c r="C266" s="148"/>
      <c r="D266" s="159"/>
      <c r="E266" s="162">
        <v>1.0</v>
      </c>
      <c r="F266" s="146" t="s">
        <v>1198</v>
      </c>
      <c r="G266" s="146"/>
      <c r="H266" s="147"/>
      <c r="I266" s="148"/>
      <c r="J266" s="149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8"/>
      <c r="X266" s="8"/>
      <c r="Y266" s="8"/>
      <c r="Z266" s="8"/>
    </row>
    <row r="267" ht="14.25" customHeight="1">
      <c r="A267" s="8"/>
      <c r="B267" s="163" t="s">
        <v>1259</v>
      </c>
      <c r="C267" s="148"/>
      <c r="D267" s="159"/>
      <c r="E267" s="162"/>
      <c r="F267" s="162">
        <v>1.0</v>
      </c>
      <c r="G267" s="146" t="s">
        <v>1104</v>
      </c>
      <c r="H267" s="147"/>
      <c r="I267" s="148" t="s">
        <v>582</v>
      </c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53">
        <f t="shared" ref="V267:V282" si="27">SUM(J267:U267)</f>
        <v>0</v>
      </c>
      <c r="W267" s="8"/>
      <c r="X267" s="8"/>
      <c r="Y267" s="8"/>
      <c r="Z267" s="8"/>
    </row>
    <row r="268" ht="14.25" customHeight="1">
      <c r="A268" s="8"/>
      <c r="B268" s="163" t="s">
        <v>1259</v>
      </c>
      <c r="C268" s="148"/>
      <c r="D268" s="159"/>
      <c r="E268" s="162"/>
      <c r="F268" s="162"/>
      <c r="G268" s="146"/>
      <c r="H268" s="147"/>
      <c r="I268" s="148" t="s">
        <v>583</v>
      </c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53">
        <f t="shared" si="27"/>
        <v>0</v>
      </c>
      <c r="W268" s="8"/>
      <c r="X268" s="8"/>
      <c r="Y268" s="8"/>
      <c r="Z268" s="8"/>
    </row>
    <row r="269" ht="14.25" customHeight="1">
      <c r="A269" s="8"/>
      <c r="B269" s="163" t="s">
        <v>1259</v>
      </c>
      <c r="C269" s="148"/>
      <c r="D269" s="159"/>
      <c r="E269" s="162"/>
      <c r="F269" s="162"/>
      <c r="G269" s="146"/>
      <c r="H269" s="147"/>
      <c r="I269" s="148" t="s">
        <v>491</v>
      </c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53">
        <f t="shared" si="27"/>
        <v>0</v>
      </c>
      <c r="W269" s="8"/>
      <c r="X269" s="8"/>
      <c r="Y269" s="8"/>
      <c r="Z269" s="8"/>
    </row>
    <row r="270" ht="14.25" customHeight="1">
      <c r="A270" s="8"/>
      <c r="B270" s="163" t="s">
        <v>1260</v>
      </c>
      <c r="C270" s="148"/>
      <c r="D270" s="159"/>
      <c r="E270" s="162"/>
      <c r="F270" s="162">
        <v>2.0</v>
      </c>
      <c r="G270" s="146" t="s">
        <v>1201</v>
      </c>
      <c r="H270" s="147"/>
      <c r="I270" s="148" t="s">
        <v>582</v>
      </c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53">
        <f t="shared" si="27"/>
        <v>0</v>
      </c>
      <c r="W270" s="8"/>
      <c r="X270" s="8"/>
      <c r="Y270" s="8"/>
      <c r="Z270" s="8"/>
    </row>
    <row r="271" ht="14.25" customHeight="1">
      <c r="A271" s="8"/>
      <c r="B271" s="163" t="s">
        <v>1260</v>
      </c>
      <c r="C271" s="148"/>
      <c r="D271" s="159"/>
      <c r="E271" s="162"/>
      <c r="F271" s="162"/>
      <c r="G271" s="146"/>
      <c r="H271" s="147"/>
      <c r="I271" s="148" t="s">
        <v>583</v>
      </c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53">
        <f t="shared" si="27"/>
        <v>0</v>
      </c>
      <c r="W271" s="8"/>
      <c r="X271" s="8"/>
      <c r="Y271" s="8"/>
      <c r="Z271" s="8"/>
    </row>
    <row r="272" ht="14.25" customHeight="1">
      <c r="A272" s="8"/>
      <c r="B272" s="163" t="s">
        <v>1260</v>
      </c>
      <c r="C272" s="148"/>
      <c r="D272" s="159"/>
      <c r="E272" s="162"/>
      <c r="F272" s="162"/>
      <c r="G272" s="146"/>
      <c r="H272" s="147"/>
      <c r="I272" s="148" t="s">
        <v>491</v>
      </c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53">
        <f t="shared" si="27"/>
        <v>0</v>
      </c>
      <c r="W272" s="8"/>
      <c r="X272" s="8"/>
      <c r="Y272" s="8"/>
      <c r="Z272" s="8"/>
    </row>
    <row r="273" ht="14.25" customHeight="1">
      <c r="A273" s="8"/>
      <c r="B273" s="163" t="s">
        <v>1261</v>
      </c>
      <c r="C273" s="148"/>
      <c r="D273" s="159"/>
      <c r="E273" s="162"/>
      <c r="F273" s="162">
        <v>3.0</v>
      </c>
      <c r="G273" s="146" t="s">
        <v>1203</v>
      </c>
      <c r="H273" s="147"/>
      <c r="I273" s="148" t="s">
        <v>582</v>
      </c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53">
        <f t="shared" si="27"/>
        <v>0</v>
      </c>
      <c r="W273" s="8"/>
      <c r="X273" s="8"/>
      <c r="Y273" s="8"/>
      <c r="Z273" s="8"/>
    </row>
    <row r="274" ht="14.25" customHeight="1">
      <c r="A274" s="8"/>
      <c r="B274" s="163" t="s">
        <v>1261</v>
      </c>
      <c r="C274" s="148"/>
      <c r="D274" s="159"/>
      <c r="E274" s="162"/>
      <c r="F274" s="146"/>
      <c r="G274" s="146"/>
      <c r="H274" s="147"/>
      <c r="I274" s="148" t="s">
        <v>583</v>
      </c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53">
        <f t="shared" si="27"/>
        <v>0</v>
      </c>
      <c r="W274" s="8"/>
      <c r="X274" s="8"/>
      <c r="Y274" s="8"/>
      <c r="Z274" s="8"/>
    </row>
    <row r="275" ht="14.25" customHeight="1">
      <c r="A275" s="8"/>
      <c r="B275" s="163" t="s">
        <v>1262</v>
      </c>
      <c r="C275" s="148"/>
      <c r="D275" s="159"/>
      <c r="E275" s="162">
        <v>2.0</v>
      </c>
      <c r="F275" s="146" t="s">
        <v>1205</v>
      </c>
      <c r="G275" s="146"/>
      <c r="H275" s="147"/>
      <c r="I275" s="148" t="s">
        <v>582</v>
      </c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53">
        <f t="shared" si="27"/>
        <v>0</v>
      </c>
      <c r="W275" s="8"/>
      <c r="X275" s="8"/>
      <c r="Y275" s="8"/>
      <c r="Z275" s="8"/>
    </row>
    <row r="276" ht="14.25" customHeight="1">
      <c r="A276" s="8"/>
      <c r="B276" s="163" t="s">
        <v>1262</v>
      </c>
      <c r="C276" s="148"/>
      <c r="D276" s="159"/>
      <c r="E276" s="162"/>
      <c r="F276" s="146"/>
      <c r="G276" s="146"/>
      <c r="H276" s="147"/>
      <c r="I276" s="148" t="s">
        <v>583</v>
      </c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53">
        <f t="shared" si="27"/>
        <v>0</v>
      </c>
      <c r="W276" s="8"/>
      <c r="X276" s="8"/>
      <c r="Y276" s="8"/>
      <c r="Z276" s="8"/>
    </row>
    <row r="277" ht="14.25" customHeight="1">
      <c r="A277" s="8"/>
      <c r="B277" s="163" t="s">
        <v>1263</v>
      </c>
      <c r="C277" s="148"/>
      <c r="D277" s="159"/>
      <c r="E277" s="162">
        <v>3.0</v>
      </c>
      <c r="F277" s="146" t="s">
        <v>1207</v>
      </c>
      <c r="G277" s="146"/>
      <c r="H277" s="147"/>
      <c r="I277" s="148" t="s">
        <v>582</v>
      </c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53">
        <f t="shared" si="27"/>
        <v>0</v>
      </c>
      <c r="W277" s="8"/>
      <c r="X277" s="8"/>
      <c r="Y277" s="8"/>
      <c r="Z277" s="8"/>
    </row>
    <row r="278" ht="14.25" customHeight="1">
      <c r="A278" s="8"/>
      <c r="B278" s="163" t="s">
        <v>1263</v>
      </c>
      <c r="C278" s="148"/>
      <c r="D278" s="159"/>
      <c r="E278" s="162"/>
      <c r="F278" s="146"/>
      <c r="G278" s="146"/>
      <c r="H278" s="147"/>
      <c r="I278" s="148" t="s">
        <v>583</v>
      </c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53">
        <f t="shared" si="27"/>
        <v>0</v>
      </c>
      <c r="W278" s="8"/>
      <c r="X278" s="8"/>
      <c r="Y278" s="8"/>
      <c r="Z278" s="8"/>
    </row>
    <row r="279" ht="14.25" customHeight="1">
      <c r="A279" s="8"/>
      <c r="B279" s="163" t="s">
        <v>1264</v>
      </c>
      <c r="C279" s="148"/>
      <c r="D279" s="159"/>
      <c r="E279" s="162">
        <v>4.0</v>
      </c>
      <c r="F279" s="146" t="s">
        <v>1163</v>
      </c>
      <c r="G279" s="146"/>
      <c r="H279" s="147"/>
      <c r="I279" s="148" t="s">
        <v>582</v>
      </c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53">
        <f t="shared" si="27"/>
        <v>0</v>
      </c>
      <c r="W279" s="8"/>
      <c r="X279" s="8"/>
      <c r="Y279" s="8"/>
      <c r="Z279" s="8"/>
    </row>
    <row r="280" ht="14.25" customHeight="1">
      <c r="A280" s="8"/>
      <c r="B280" s="163" t="s">
        <v>1264</v>
      </c>
      <c r="C280" s="148"/>
      <c r="D280" s="159"/>
      <c r="E280" s="162"/>
      <c r="F280" s="146"/>
      <c r="G280" s="146"/>
      <c r="H280" s="147"/>
      <c r="I280" s="148" t="s">
        <v>583</v>
      </c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53">
        <f t="shared" si="27"/>
        <v>0</v>
      </c>
      <c r="W280" s="8"/>
      <c r="X280" s="8"/>
      <c r="Y280" s="8"/>
      <c r="Z280" s="8"/>
    </row>
    <row r="281" ht="14.25" customHeight="1">
      <c r="A281" s="8"/>
      <c r="B281" s="163" t="s">
        <v>1264</v>
      </c>
      <c r="C281" s="148"/>
      <c r="D281" s="159"/>
      <c r="E281" s="162"/>
      <c r="F281" s="146"/>
      <c r="G281" s="146"/>
      <c r="H281" s="147"/>
      <c r="I281" s="148" t="s">
        <v>491</v>
      </c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53">
        <f t="shared" si="27"/>
        <v>0</v>
      </c>
      <c r="W281" s="8"/>
      <c r="X281" s="8"/>
      <c r="Y281" s="8"/>
      <c r="Z281" s="8"/>
    </row>
    <row r="282" ht="14.25" customHeight="1">
      <c r="A282" s="8"/>
      <c r="B282" s="8"/>
      <c r="C282" s="148"/>
      <c r="D282" s="159"/>
      <c r="E282" s="162"/>
      <c r="F282" s="146"/>
      <c r="G282" s="146"/>
      <c r="H282" s="147"/>
      <c r="I282" s="148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53">
        <f t="shared" si="27"/>
        <v>0</v>
      </c>
      <c r="W282" s="8"/>
      <c r="X282" s="8"/>
      <c r="Y282" s="8"/>
      <c r="Z282" s="8"/>
    </row>
    <row r="283" ht="14.25" customHeight="1">
      <c r="A283" s="8"/>
      <c r="C283" s="144">
        <v>10.0</v>
      </c>
      <c r="D283" s="145" t="s">
        <v>1097</v>
      </c>
      <c r="E283" s="146"/>
      <c r="F283" s="146"/>
      <c r="G283" s="146"/>
      <c r="H283" s="147"/>
      <c r="I283" s="148"/>
      <c r="J283" s="149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8"/>
      <c r="X283" s="8"/>
      <c r="Y283" s="8"/>
      <c r="Z283" s="8"/>
    </row>
    <row r="284" ht="14.25" customHeight="1">
      <c r="A284" s="8"/>
      <c r="B284" s="7" t="s">
        <v>1265</v>
      </c>
      <c r="C284" s="148"/>
      <c r="D284" s="150">
        <v>1.0</v>
      </c>
      <c r="E284" s="146" t="s">
        <v>1129</v>
      </c>
      <c r="F284" s="146"/>
      <c r="G284" s="146"/>
      <c r="H284" s="147"/>
      <c r="I284" s="148" t="s">
        <v>474</v>
      </c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53">
        <f t="shared" ref="V284:V299" si="28">SUM(J284:U284)</f>
        <v>0</v>
      </c>
      <c r="W284" s="8"/>
      <c r="X284" s="8"/>
      <c r="Y284" s="8"/>
      <c r="Z284" s="8"/>
    </row>
    <row r="285" ht="14.25" customHeight="1">
      <c r="A285" s="8"/>
      <c r="B285" s="7" t="s">
        <v>1265</v>
      </c>
      <c r="C285" s="148"/>
      <c r="D285" s="150"/>
      <c r="E285" s="146"/>
      <c r="F285" s="146"/>
      <c r="G285" s="146"/>
      <c r="H285" s="147"/>
      <c r="I285" s="148" t="s">
        <v>582</v>
      </c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53">
        <f t="shared" si="28"/>
        <v>0</v>
      </c>
      <c r="W285" s="8"/>
      <c r="X285" s="8"/>
      <c r="Y285" s="8"/>
      <c r="Z285" s="8"/>
    </row>
    <row r="286" ht="14.25" customHeight="1">
      <c r="A286" s="8"/>
      <c r="B286" s="7" t="s">
        <v>1265</v>
      </c>
      <c r="C286" s="148"/>
      <c r="D286" s="150"/>
      <c r="E286" s="146"/>
      <c r="F286" s="146"/>
      <c r="G286" s="146"/>
      <c r="H286" s="147"/>
      <c r="I286" s="148" t="s">
        <v>583</v>
      </c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53">
        <f t="shared" si="28"/>
        <v>0</v>
      </c>
      <c r="W286" s="8"/>
      <c r="X286" s="8"/>
      <c r="Y286" s="8"/>
      <c r="Z286" s="8"/>
    </row>
    <row r="287" ht="14.25" customHeight="1">
      <c r="A287" s="8"/>
      <c r="B287" s="7" t="s">
        <v>1266</v>
      </c>
      <c r="C287" s="148"/>
      <c r="D287" s="150">
        <v>2.0</v>
      </c>
      <c r="E287" s="146" t="s">
        <v>1267</v>
      </c>
      <c r="F287" s="146"/>
      <c r="G287" s="146"/>
      <c r="H287" s="147"/>
      <c r="I287" s="148" t="s">
        <v>474</v>
      </c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53">
        <f t="shared" si="28"/>
        <v>0</v>
      </c>
      <c r="W287" s="8"/>
      <c r="X287" s="8"/>
      <c r="Y287" s="8"/>
      <c r="Z287" s="8"/>
    </row>
    <row r="288" ht="14.25" customHeight="1">
      <c r="A288" s="8"/>
      <c r="B288" s="7" t="s">
        <v>1268</v>
      </c>
      <c r="C288" s="148"/>
      <c r="D288" s="150">
        <v>3.0</v>
      </c>
      <c r="E288" s="146" t="s">
        <v>1269</v>
      </c>
      <c r="F288" s="146"/>
      <c r="G288" s="146"/>
      <c r="H288" s="147"/>
      <c r="I288" s="148" t="s">
        <v>582</v>
      </c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53">
        <f t="shared" si="28"/>
        <v>0</v>
      </c>
      <c r="W288" s="8"/>
      <c r="X288" s="8"/>
      <c r="Y288" s="8"/>
      <c r="Z288" s="8"/>
    </row>
    <row r="289" ht="14.25" customHeight="1">
      <c r="A289" s="8"/>
      <c r="B289" s="7" t="s">
        <v>1268</v>
      </c>
      <c r="C289" s="148"/>
      <c r="D289" s="150"/>
      <c r="E289" s="146"/>
      <c r="F289" s="146"/>
      <c r="G289" s="146"/>
      <c r="H289" s="147"/>
      <c r="I289" s="148" t="s">
        <v>583</v>
      </c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53">
        <f t="shared" si="28"/>
        <v>0</v>
      </c>
      <c r="W289" s="8"/>
      <c r="X289" s="8"/>
      <c r="Y289" s="8"/>
      <c r="Z289" s="8"/>
    </row>
    <row r="290" ht="14.25" customHeight="1">
      <c r="A290" s="8"/>
      <c r="B290" s="7" t="s">
        <v>1270</v>
      </c>
      <c r="C290" s="148"/>
      <c r="D290" s="150">
        <v>4.0</v>
      </c>
      <c r="E290" s="146" t="s">
        <v>1271</v>
      </c>
      <c r="F290" s="146"/>
      <c r="G290" s="146"/>
      <c r="H290" s="147"/>
      <c r="I290" s="148" t="s">
        <v>1272</v>
      </c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53">
        <f t="shared" si="28"/>
        <v>0</v>
      </c>
      <c r="W290" s="8"/>
      <c r="X290" s="8"/>
      <c r="Y290" s="8"/>
      <c r="Z290" s="8"/>
    </row>
    <row r="291" ht="14.25" customHeight="1">
      <c r="A291" s="8"/>
      <c r="B291" s="7" t="s">
        <v>1273</v>
      </c>
      <c r="C291" s="148"/>
      <c r="D291" s="150">
        <v>5.0</v>
      </c>
      <c r="E291" s="146" t="s">
        <v>1274</v>
      </c>
      <c r="F291" s="146"/>
      <c r="G291" s="146"/>
      <c r="H291" s="147"/>
      <c r="I291" s="148" t="s">
        <v>1272</v>
      </c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53">
        <f t="shared" si="28"/>
        <v>0</v>
      </c>
      <c r="W291" s="8"/>
      <c r="X291" s="8"/>
      <c r="Y291" s="8"/>
      <c r="Z291" s="8"/>
    </row>
    <row r="292" ht="14.25" customHeight="1">
      <c r="A292" s="8"/>
      <c r="B292" s="7" t="s">
        <v>1275</v>
      </c>
      <c r="C292" s="148"/>
      <c r="D292" s="150">
        <v>6.0</v>
      </c>
      <c r="E292" s="146" t="s">
        <v>1276</v>
      </c>
      <c r="F292" s="146"/>
      <c r="G292" s="146"/>
      <c r="H292" s="147"/>
      <c r="I292" s="148" t="s">
        <v>1272</v>
      </c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53">
        <f t="shared" si="28"/>
        <v>0</v>
      </c>
      <c r="W292" s="8"/>
      <c r="X292" s="8"/>
      <c r="Y292" s="8"/>
      <c r="Z292" s="8"/>
    </row>
    <row r="293" ht="14.25" customHeight="1">
      <c r="A293" s="8"/>
      <c r="B293" s="7" t="s">
        <v>1277</v>
      </c>
      <c r="C293" s="148"/>
      <c r="D293" s="150">
        <v>7.0</v>
      </c>
      <c r="E293" s="146" t="s">
        <v>1136</v>
      </c>
      <c r="F293" s="146"/>
      <c r="G293" s="146"/>
      <c r="H293" s="147"/>
      <c r="I293" s="148" t="s">
        <v>1137</v>
      </c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53">
        <f t="shared" si="28"/>
        <v>0</v>
      </c>
      <c r="W293" s="8"/>
      <c r="X293" s="8"/>
      <c r="Y293" s="8"/>
      <c r="Z293" s="8"/>
    </row>
    <row r="294" ht="14.25" customHeight="1">
      <c r="A294" s="8"/>
      <c r="B294" s="7" t="s">
        <v>1277</v>
      </c>
      <c r="C294" s="148"/>
      <c r="D294" s="150"/>
      <c r="E294" s="146"/>
      <c r="F294" s="146"/>
      <c r="G294" s="146"/>
      <c r="H294" s="147"/>
      <c r="I294" s="148" t="s">
        <v>1138</v>
      </c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53">
        <f t="shared" si="28"/>
        <v>0</v>
      </c>
      <c r="W294" s="8"/>
      <c r="X294" s="8"/>
      <c r="Y294" s="8"/>
      <c r="Z294" s="8"/>
    </row>
    <row r="295" ht="14.25" customHeight="1">
      <c r="A295" s="8"/>
      <c r="B295" s="7" t="s">
        <v>1277</v>
      </c>
      <c r="C295" s="148"/>
      <c r="D295" s="150"/>
      <c r="E295" s="146"/>
      <c r="F295" s="146"/>
      <c r="G295" s="146"/>
      <c r="H295" s="147"/>
      <c r="I295" s="148" t="s">
        <v>1123</v>
      </c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53">
        <f t="shared" si="28"/>
        <v>0</v>
      </c>
      <c r="W295" s="8"/>
      <c r="X295" s="8"/>
      <c r="Y295" s="8"/>
      <c r="Z295" s="8"/>
    </row>
    <row r="296" ht="14.25" customHeight="1">
      <c r="A296" s="8"/>
      <c r="B296" s="7" t="s">
        <v>1278</v>
      </c>
      <c r="C296" s="148"/>
      <c r="D296" s="150">
        <v>8.0</v>
      </c>
      <c r="E296" s="146" t="s">
        <v>1120</v>
      </c>
      <c r="F296" s="146"/>
      <c r="G296" s="146"/>
      <c r="H296" s="147"/>
      <c r="I296" s="148" t="s">
        <v>474</v>
      </c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53">
        <f t="shared" si="28"/>
        <v>0</v>
      </c>
      <c r="W296" s="8"/>
      <c r="X296" s="8"/>
      <c r="Y296" s="8"/>
      <c r="Z296" s="8"/>
    </row>
    <row r="297" ht="14.25" customHeight="1">
      <c r="A297" s="8"/>
      <c r="B297" s="7" t="s">
        <v>1279</v>
      </c>
      <c r="C297" s="148"/>
      <c r="D297" s="150">
        <v>9.0</v>
      </c>
      <c r="E297" s="146" t="s">
        <v>1280</v>
      </c>
      <c r="F297" s="146"/>
      <c r="G297" s="146"/>
      <c r="H297" s="147"/>
      <c r="I297" s="148" t="s">
        <v>474</v>
      </c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53">
        <f t="shared" si="28"/>
        <v>0</v>
      </c>
      <c r="W297" s="8"/>
      <c r="X297" s="8"/>
      <c r="Y297" s="8"/>
      <c r="Z297" s="8"/>
    </row>
    <row r="298" ht="14.25" customHeight="1">
      <c r="A298" s="8"/>
      <c r="B298" s="7" t="s">
        <v>1281</v>
      </c>
      <c r="C298" s="148"/>
      <c r="D298" s="150">
        <v>10.0</v>
      </c>
      <c r="E298" s="146" t="s">
        <v>1282</v>
      </c>
      <c r="F298" s="146"/>
      <c r="G298" s="146"/>
      <c r="H298" s="147"/>
      <c r="I298" s="148" t="s">
        <v>1126</v>
      </c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53">
        <f t="shared" si="28"/>
        <v>0</v>
      </c>
      <c r="W298" s="8"/>
      <c r="X298" s="8"/>
      <c r="Y298" s="8"/>
      <c r="Z298" s="8"/>
    </row>
    <row r="299" ht="14.25" customHeight="1">
      <c r="A299" s="8"/>
      <c r="B299" s="7" t="s">
        <v>1283</v>
      </c>
      <c r="C299" s="148"/>
      <c r="D299" s="150">
        <v>11.0</v>
      </c>
      <c r="E299" s="146" t="s">
        <v>1151</v>
      </c>
      <c r="F299" s="146"/>
      <c r="G299" s="146"/>
      <c r="H299" s="147"/>
      <c r="I299" s="148" t="s">
        <v>474</v>
      </c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53">
        <f t="shared" si="28"/>
        <v>0</v>
      </c>
      <c r="W299" s="8"/>
      <c r="X299" s="8"/>
      <c r="Y299" s="8"/>
      <c r="Z299" s="8"/>
    </row>
    <row r="300" ht="14.25" customHeight="1">
      <c r="A300" s="8"/>
      <c r="B300" s="13"/>
      <c r="C300" s="148"/>
      <c r="D300" s="159"/>
      <c r="E300" s="146"/>
      <c r="F300" s="146"/>
      <c r="G300" s="146"/>
      <c r="H300" s="147"/>
      <c r="I300" s="148"/>
      <c r="J300" s="149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8"/>
      <c r="X300" s="8"/>
      <c r="Y300" s="8"/>
      <c r="Z300" s="8"/>
    </row>
    <row r="301" ht="14.25" customHeight="1">
      <c r="A301" s="8"/>
      <c r="C301" s="144">
        <v>11.0</v>
      </c>
      <c r="D301" s="145" t="s">
        <v>1284</v>
      </c>
      <c r="E301" s="146"/>
      <c r="F301" s="146"/>
      <c r="G301" s="146"/>
      <c r="H301" s="147"/>
      <c r="I301" s="148"/>
      <c r="J301" s="149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8"/>
      <c r="X301" s="8"/>
      <c r="Y301" s="8"/>
      <c r="Z301" s="8"/>
    </row>
    <row r="302" ht="14.25" customHeight="1">
      <c r="A302" s="8"/>
      <c r="B302" s="7" t="s">
        <v>1285</v>
      </c>
      <c r="C302" s="148"/>
      <c r="D302" s="150">
        <v>1.0</v>
      </c>
      <c r="E302" s="146" t="s">
        <v>1286</v>
      </c>
      <c r="F302" s="146"/>
      <c r="G302" s="146"/>
      <c r="H302" s="147"/>
      <c r="I302" s="148" t="s">
        <v>582</v>
      </c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53">
        <f t="shared" ref="V302:V311" si="29">SUM(J302:U302)</f>
        <v>0</v>
      </c>
      <c r="W302" s="8"/>
      <c r="X302" s="8"/>
      <c r="Y302" s="8"/>
      <c r="Z302" s="8"/>
    </row>
    <row r="303" ht="14.25" customHeight="1">
      <c r="A303" s="8"/>
      <c r="B303" s="7" t="s">
        <v>1285</v>
      </c>
      <c r="C303" s="148"/>
      <c r="D303" s="150"/>
      <c r="E303" s="146"/>
      <c r="F303" s="146"/>
      <c r="G303" s="146"/>
      <c r="H303" s="147"/>
      <c r="I303" s="148" t="s">
        <v>583</v>
      </c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53">
        <f t="shared" si="29"/>
        <v>0</v>
      </c>
      <c r="W303" s="8"/>
      <c r="X303" s="8"/>
      <c r="Y303" s="8"/>
      <c r="Z303" s="8"/>
    </row>
    <row r="304" ht="14.25" customHeight="1">
      <c r="A304" s="8"/>
      <c r="B304" s="7" t="s">
        <v>1287</v>
      </c>
      <c r="C304" s="148"/>
      <c r="D304" s="150">
        <v>2.0</v>
      </c>
      <c r="E304" s="146" t="s">
        <v>1269</v>
      </c>
      <c r="F304" s="146"/>
      <c r="G304" s="146"/>
      <c r="H304" s="147"/>
      <c r="I304" s="148" t="s">
        <v>582</v>
      </c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53">
        <f t="shared" si="29"/>
        <v>0</v>
      </c>
      <c r="W304" s="8"/>
      <c r="X304" s="8"/>
      <c r="Y304" s="8"/>
      <c r="Z304" s="8"/>
    </row>
    <row r="305" ht="14.25" customHeight="1">
      <c r="A305" s="8"/>
      <c r="B305" s="7" t="s">
        <v>1287</v>
      </c>
      <c r="C305" s="148"/>
      <c r="D305" s="150"/>
      <c r="E305" s="146"/>
      <c r="F305" s="146"/>
      <c r="G305" s="146"/>
      <c r="H305" s="147"/>
      <c r="I305" s="148" t="s">
        <v>583</v>
      </c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53">
        <f t="shared" si="29"/>
        <v>0</v>
      </c>
      <c r="W305" s="8"/>
      <c r="X305" s="8"/>
      <c r="Y305" s="8"/>
      <c r="Z305" s="8"/>
    </row>
    <row r="306" ht="14.25" customHeight="1">
      <c r="A306" s="8"/>
      <c r="B306" s="7" t="s">
        <v>1288</v>
      </c>
      <c r="C306" s="148"/>
      <c r="D306" s="150">
        <v>3.0</v>
      </c>
      <c r="E306" s="146" t="s">
        <v>1271</v>
      </c>
      <c r="F306" s="146"/>
      <c r="G306" s="146"/>
      <c r="H306" s="147"/>
      <c r="I306" s="148" t="s">
        <v>491</v>
      </c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53">
        <f t="shared" si="29"/>
        <v>0</v>
      </c>
      <c r="W306" s="8"/>
      <c r="X306" s="8"/>
      <c r="Y306" s="8"/>
      <c r="Z306" s="8"/>
    </row>
    <row r="307" ht="14.25" customHeight="1">
      <c r="A307" s="8"/>
      <c r="B307" s="7" t="s">
        <v>1289</v>
      </c>
      <c r="C307" s="148"/>
      <c r="D307" s="150">
        <v>4.0</v>
      </c>
      <c r="E307" s="146" t="s">
        <v>1274</v>
      </c>
      <c r="F307" s="146"/>
      <c r="G307" s="146"/>
      <c r="H307" s="147"/>
      <c r="I307" s="148" t="s">
        <v>491</v>
      </c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53">
        <f t="shared" si="29"/>
        <v>0</v>
      </c>
      <c r="W307" s="8"/>
      <c r="X307" s="8"/>
      <c r="Y307" s="8"/>
      <c r="Z307" s="8"/>
    </row>
    <row r="308" ht="14.25" customHeight="1">
      <c r="A308" s="8"/>
      <c r="B308" s="7" t="s">
        <v>1290</v>
      </c>
      <c r="C308" s="148"/>
      <c r="D308" s="150">
        <v>5.0</v>
      </c>
      <c r="E308" s="146" t="s">
        <v>1276</v>
      </c>
      <c r="F308" s="146"/>
      <c r="G308" s="146"/>
      <c r="H308" s="147"/>
      <c r="I308" s="148" t="s">
        <v>491</v>
      </c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53">
        <f t="shared" si="29"/>
        <v>0</v>
      </c>
      <c r="W308" s="8"/>
      <c r="X308" s="8"/>
      <c r="Y308" s="8"/>
      <c r="Z308" s="8"/>
    </row>
    <row r="309" ht="14.25" customHeight="1">
      <c r="A309" s="8"/>
      <c r="B309" s="7" t="s">
        <v>1291</v>
      </c>
      <c r="C309" s="148"/>
      <c r="D309" s="150">
        <v>6.0</v>
      </c>
      <c r="E309" s="146" t="s">
        <v>1292</v>
      </c>
      <c r="F309" s="146"/>
      <c r="G309" s="146"/>
      <c r="H309" s="147"/>
      <c r="I309" s="148" t="s">
        <v>1137</v>
      </c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53">
        <f t="shared" si="29"/>
        <v>0</v>
      </c>
      <c r="W309" s="8"/>
      <c r="X309" s="8"/>
      <c r="Y309" s="8"/>
      <c r="Z309" s="8"/>
    </row>
    <row r="310" ht="14.25" customHeight="1">
      <c r="A310" s="8"/>
      <c r="B310" s="7" t="s">
        <v>1291</v>
      </c>
      <c r="C310" s="148"/>
      <c r="D310" s="150"/>
      <c r="E310" s="146"/>
      <c r="F310" s="146"/>
      <c r="G310" s="146"/>
      <c r="H310" s="147"/>
      <c r="I310" s="148" t="s">
        <v>1138</v>
      </c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53">
        <f t="shared" si="29"/>
        <v>0</v>
      </c>
      <c r="W310" s="8"/>
      <c r="X310" s="8"/>
      <c r="Y310" s="8"/>
      <c r="Z310" s="8"/>
    </row>
    <row r="311" ht="14.25" customHeight="1">
      <c r="A311" s="8"/>
      <c r="B311" s="7" t="s">
        <v>1293</v>
      </c>
      <c r="C311" s="148"/>
      <c r="D311" s="150">
        <v>7.0</v>
      </c>
      <c r="E311" s="146" t="s">
        <v>1151</v>
      </c>
      <c r="F311" s="146"/>
      <c r="G311" s="146"/>
      <c r="H311" s="147"/>
      <c r="I311" s="148" t="s">
        <v>474</v>
      </c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53">
        <f t="shared" si="29"/>
        <v>0</v>
      </c>
      <c r="W311" s="8"/>
      <c r="X311" s="8"/>
      <c r="Y311" s="8"/>
      <c r="Z311" s="8"/>
    </row>
    <row r="312" ht="14.25" customHeight="1">
      <c r="A312" s="8"/>
      <c r="B312" s="13"/>
      <c r="C312" s="148"/>
      <c r="D312" s="159"/>
      <c r="E312" s="146"/>
      <c r="F312" s="146"/>
      <c r="G312" s="146"/>
      <c r="H312" s="147"/>
      <c r="I312" s="148"/>
      <c r="J312" s="149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8"/>
      <c r="X312" s="8"/>
      <c r="Y312" s="8"/>
      <c r="Z312" s="8"/>
    </row>
    <row r="313" ht="14.25" customHeight="1">
      <c r="A313" s="8"/>
      <c r="C313" s="144">
        <v>12.0</v>
      </c>
      <c r="D313" s="145" t="s">
        <v>1294</v>
      </c>
      <c r="E313" s="146"/>
      <c r="F313" s="146"/>
      <c r="G313" s="146"/>
      <c r="H313" s="147"/>
      <c r="I313" s="148"/>
      <c r="J313" s="149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8"/>
      <c r="X313" s="8"/>
      <c r="Y313" s="8"/>
      <c r="Z313" s="8"/>
    </row>
    <row r="314" ht="14.25" customHeight="1">
      <c r="A314" s="8"/>
      <c r="B314" s="7" t="s">
        <v>1295</v>
      </c>
      <c r="C314" s="148"/>
      <c r="D314" s="150">
        <v>1.0</v>
      </c>
      <c r="E314" s="146" t="s">
        <v>1296</v>
      </c>
      <c r="F314" s="146"/>
      <c r="G314" s="146"/>
      <c r="H314" s="147"/>
      <c r="I314" s="148" t="s">
        <v>491</v>
      </c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53">
        <f t="shared" ref="V314:V315" si="30">SUM(J314:U314)</f>
        <v>0</v>
      </c>
      <c r="W314" s="8"/>
      <c r="X314" s="8"/>
      <c r="Y314" s="8"/>
      <c r="Z314" s="8"/>
    </row>
    <row r="315" ht="14.25" customHeight="1">
      <c r="A315" s="8"/>
      <c r="B315" s="7" t="s">
        <v>1295</v>
      </c>
      <c r="C315" s="148"/>
      <c r="D315" s="159"/>
      <c r="E315" s="146"/>
      <c r="F315" s="146"/>
      <c r="G315" s="146"/>
      <c r="H315" s="147"/>
      <c r="I315" s="148" t="s">
        <v>342</v>
      </c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53">
        <f t="shared" si="30"/>
        <v>0</v>
      </c>
      <c r="W315" s="8"/>
      <c r="X315" s="8"/>
      <c r="Y315" s="8"/>
      <c r="Z315" s="8"/>
    </row>
    <row r="316" ht="14.25" customHeight="1">
      <c r="A316" s="8"/>
      <c r="C316" s="148"/>
      <c r="D316" s="150">
        <v>2.0</v>
      </c>
      <c r="E316" s="146" t="s">
        <v>1297</v>
      </c>
      <c r="F316" s="146"/>
      <c r="G316" s="146"/>
      <c r="H316" s="147"/>
      <c r="I316" s="148"/>
      <c r="J316" s="149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8"/>
      <c r="X316" s="8"/>
      <c r="Y316" s="8"/>
      <c r="Z316" s="8"/>
    </row>
    <row r="317" ht="14.25" customHeight="1">
      <c r="A317" s="8"/>
      <c r="B317" s="7" t="s">
        <v>1298</v>
      </c>
      <c r="C317" s="148"/>
      <c r="D317" s="159"/>
      <c r="E317" s="162">
        <v>1.0</v>
      </c>
      <c r="F317" s="146" t="s">
        <v>1299</v>
      </c>
      <c r="G317" s="146"/>
      <c r="H317" s="147"/>
      <c r="I317" s="148" t="s">
        <v>1080</v>
      </c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53">
        <f t="shared" ref="V317:V328" si="31">SUM(J317:U317)</f>
        <v>0</v>
      </c>
      <c r="W317" s="8"/>
      <c r="X317" s="8"/>
      <c r="Y317" s="8"/>
      <c r="Z317" s="8"/>
    </row>
    <row r="318" ht="14.25" customHeight="1">
      <c r="A318" s="8"/>
      <c r="B318" s="7" t="s">
        <v>1300</v>
      </c>
      <c r="C318" s="148"/>
      <c r="D318" s="159"/>
      <c r="E318" s="162">
        <v>2.0</v>
      </c>
      <c r="F318" s="146" t="s">
        <v>1301</v>
      </c>
      <c r="G318" s="146"/>
      <c r="H318" s="147"/>
      <c r="I318" s="148" t="s">
        <v>1091</v>
      </c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53">
        <f t="shared" si="31"/>
        <v>0</v>
      </c>
      <c r="W318" s="8"/>
      <c r="X318" s="8"/>
      <c r="Y318" s="8"/>
      <c r="Z318" s="8"/>
    </row>
    <row r="319" ht="14.25" customHeight="1">
      <c r="A319" s="8"/>
      <c r="B319" s="7" t="s">
        <v>1302</v>
      </c>
      <c r="C319" s="148"/>
      <c r="D319" s="159"/>
      <c r="E319" s="162">
        <v>3.0</v>
      </c>
      <c r="F319" s="146" t="s">
        <v>1303</v>
      </c>
      <c r="G319" s="146"/>
      <c r="H319" s="147"/>
      <c r="I319" s="148" t="s">
        <v>1096</v>
      </c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53">
        <f t="shared" si="31"/>
        <v>0</v>
      </c>
      <c r="W319" s="8"/>
      <c r="X319" s="8"/>
      <c r="Y319" s="8"/>
      <c r="Z319" s="8"/>
    </row>
    <row r="320" ht="14.25" customHeight="1">
      <c r="A320" s="8"/>
      <c r="B320" s="7" t="s">
        <v>1302</v>
      </c>
      <c r="C320" s="148"/>
      <c r="D320" s="159"/>
      <c r="E320" s="162"/>
      <c r="F320" s="146"/>
      <c r="G320" s="146"/>
      <c r="H320" s="147"/>
      <c r="I320" s="148" t="s">
        <v>343</v>
      </c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53">
        <f t="shared" si="31"/>
        <v>0</v>
      </c>
      <c r="W320" s="8"/>
      <c r="X320" s="8"/>
      <c r="Y320" s="8"/>
      <c r="Z320" s="8"/>
    </row>
    <row r="321" ht="14.25" customHeight="1">
      <c r="A321" s="8"/>
      <c r="B321" s="7" t="s">
        <v>1304</v>
      </c>
      <c r="C321" s="148"/>
      <c r="D321" s="159"/>
      <c r="E321" s="162">
        <v>4.0</v>
      </c>
      <c r="F321" s="146" t="s">
        <v>1100</v>
      </c>
      <c r="G321" s="146"/>
      <c r="H321" s="147"/>
      <c r="I321" s="148" t="s">
        <v>582</v>
      </c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53">
        <f t="shared" si="31"/>
        <v>0</v>
      </c>
      <c r="W321" s="8"/>
      <c r="X321" s="8"/>
      <c r="Y321" s="8"/>
      <c r="Z321" s="8"/>
    </row>
    <row r="322" ht="14.25" customHeight="1">
      <c r="A322" s="8"/>
      <c r="B322" s="7" t="s">
        <v>1304</v>
      </c>
      <c r="C322" s="148"/>
      <c r="D322" s="159"/>
      <c r="E322" s="162"/>
      <c r="F322" s="146"/>
      <c r="G322" s="146"/>
      <c r="H322" s="147"/>
      <c r="I322" s="148" t="s">
        <v>583</v>
      </c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53">
        <f t="shared" si="31"/>
        <v>0</v>
      </c>
      <c r="W322" s="8"/>
      <c r="X322" s="8"/>
      <c r="Y322" s="8"/>
      <c r="Z322" s="8"/>
    </row>
    <row r="323" ht="14.25" customHeight="1">
      <c r="A323" s="8"/>
      <c r="B323" s="7" t="s">
        <v>1304</v>
      </c>
      <c r="C323" s="148"/>
      <c r="D323" s="159"/>
      <c r="E323" s="162"/>
      <c r="F323" s="146"/>
      <c r="G323" s="146"/>
      <c r="H323" s="147"/>
      <c r="I323" s="148" t="s">
        <v>594</v>
      </c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53">
        <f t="shared" si="31"/>
        <v>0</v>
      </c>
      <c r="W323" s="8"/>
      <c r="X323" s="8"/>
      <c r="Y323" s="8"/>
      <c r="Z323" s="8"/>
    </row>
    <row r="324" ht="14.25" customHeight="1">
      <c r="A324" s="8"/>
      <c r="B324" s="7" t="s">
        <v>1305</v>
      </c>
      <c r="C324" s="148"/>
      <c r="D324" s="159"/>
      <c r="E324" s="162">
        <v>5.0</v>
      </c>
      <c r="F324" s="146" t="s">
        <v>1194</v>
      </c>
      <c r="G324" s="146"/>
      <c r="H324" s="147"/>
      <c r="I324" s="148" t="s">
        <v>1137</v>
      </c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53">
        <f t="shared" si="31"/>
        <v>0</v>
      </c>
      <c r="W324" s="8"/>
      <c r="X324" s="8"/>
      <c r="Y324" s="8"/>
      <c r="Z324" s="8"/>
    </row>
    <row r="325" ht="14.25" customHeight="1">
      <c r="A325" s="8"/>
      <c r="B325" s="7" t="s">
        <v>1305</v>
      </c>
      <c r="C325" s="148"/>
      <c r="D325" s="159"/>
      <c r="E325" s="162"/>
      <c r="F325" s="146"/>
      <c r="G325" s="146"/>
      <c r="H325" s="147"/>
      <c r="I325" s="148" t="s">
        <v>1138</v>
      </c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53">
        <f t="shared" si="31"/>
        <v>0</v>
      </c>
      <c r="W325" s="8"/>
      <c r="X325" s="8"/>
      <c r="Y325" s="8"/>
      <c r="Z325" s="8"/>
    </row>
    <row r="326" ht="14.25" customHeight="1">
      <c r="A326" s="8"/>
      <c r="B326" s="7" t="s">
        <v>1306</v>
      </c>
      <c r="C326" s="148"/>
      <c r="D326" s="159"/>
      <c r="E326" s="162">
        <v>6.0</v>
      </c>
      <c r="F326" s="146" t="s">
        <v>1196</v>
      </c>
      <c r="G326" s="146"/>
      <c r="H326" s="147"/>
      <c r="I326" s="148" t="s">
        <v>1137</v>
      </c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53">
        <f t="shared" si="31"/>
        <v>0</v>
      </c>
      <c r="W326" s="8"/>
      <c r="X326" s="8"/>
      <c r="Y326" s="8"/>
      <c r="Z326" s="8"/>
    </row>
    <row r="327" ht="14.25" customHeight="1">
      <c r="A327" s="8"/>
      <c r="B327" s="7" t="s">
        <v>1306</v>
      </c>
      <c r="C327" s="148"/>
      <c r="D327" s="159"/>
      <c r="E327" s="146"/>
      <c r="F327" s="146"/>
      <c r="G327" s="146"/>
      <c r="H327" s="147"/>
      <c r="I327" s="148" t="s">
        <v>1138</v>
      </c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53">
        <f t="shared" si="31"/>
        <v>0</v>
      </c>
      <c r="W327" s="8"/>
      <c r="X327" s="8"/>
      <c r="Y327" s="8"/>
      <c r="Z327" s="8"/>
    </row>
    <row r="328" ht="14.25" customHeight="1">
      <c r="A328" s="8"/>
      <c r="B328" s="7" t="s">
        <v>1306</v>
      </c>
      <c r="C328" s="148"/>
      <c r="D328" s="159"/>
      <c r="E328" s="146"/>
      <c r="F328" s="146"/>
      <c r="G328" s="146"/>
      <c r="H328" s="147"/>
      <c r="I328" s="148" t="s">
        <v>1250</v>
      </c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53">
        <f t="shared" si="31"/>
        <v>0</v>
      </c>
      <c r="W328" s="8"/>
      <c r="X328" s="8"/>
      <c r="Y328" s="8"/>
      <c r="Z328" s="8"/>
    </row>
    <row r="329" ht="14.25" customHeight="1">
      <c r="A329" s="8"/>
      <c r="C329" s="148"/>
      <c r="D329" s="159"/>
      <c r="E329" s="162">
        <v>7.0</v>
      </c>
      <c r="F329" s="146" t="s">
        <v>1197</v>
      </c>
      <c r="G329" s="146"/>
      <c r="H329" s="147"/>
      <c r="I329" s="148"/>
      <c r="J329" s="149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8"/>
      <c r="X329" s="8"/>
      <c r="Y329" s="8"/>
      <c r="Z329" s="8"/>
    </row>
    <row r="330" ht="14.25" customHeight="1">
      <c r="A330" s="8"/>
      <c r="C330" s="148"/>
      <c r="D330" s="159"/>
      <c r="E330" s="146"/>
      <c r="F330" s="162">
        <v>1.0</v>
      </c>
      <c r="G330" s="146" t="s">
        <v>1198</v>
      </c>
      <c r="H330" s="147"/>
      <c r="I330" s="148"/>
      <c r="J330" s="149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8"/>
      <c r="X330" s="8"/>
      <c r="Y330" s="8"/>
      <c r="Z330" s="8"/>
    </row>
    <row r="331" ht="14.25" customHeight="1">
      <c r="A331" s="8"/>
      <c r="B331" s="7" t="s">
        <v>1307</v>
      </c>
      <c r="C331" s="148"/>
      <c r="D331" s="159"/>
      <c r="E331" s="146"/>
      <c r="F331" s="146"/>
      <c r="G331" s="162">
        <v>1.0</v>
      </c>
      <c r="H331" s="147" t="s">
        <v>1104</v>
      </c>
      <c r="I331" s="148" t="s">
        <v>582</v>
      </c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53">
        <f t="shared" ref="V331:V341" si="32">SUM(J331:U331)</f>
        <v>0</v>
      </c>
      <c r="W331" s="8"/>
      <c r="X331" s="8"/>
      <c r="Y331" s="8"/>
      <c r="Z331" s="8"/>
    </row>
    <row r="332" ht="14.25" customHeight="1">
      <c r="A332" s="8"/>
      <c r="B332" s="7" t="s">
        <v>1307</v>
      </c>
      <c r="C332" s="148"/>
      <c r="D332" s="159"/>
      <c r="E332" s="146"/>
      <c r="F332" s="146"/>
      <c r="G332" s="162"/>
      <c r="H332" s="147"/>
      <c r="I332" s="148" t="s">
        <v>583</v>
      </c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53">
        <f t="shared" si="32"/>
        <v>0</v>
      </c>
      <c r="W332" s="8"/>
      <c r="X332" s="8"/>
      <c r="Y332" s="8"/>
      <c r="Z332" s="8"/>
    </row>
    <row r="333" ht="14.25" customHeight="1">
      <c r="A333" s="8"/>
      <c r="B333" s="7" t="s">
        <v>1308</v>
      </c>
      <c r="C333" s="148"/>
      <c r="D333" s="159"/>
      <c r="E333" s="146"/>
      <c r="F333" s="146"/>
      <c r="G333" s="162">
        <v>2.0</v>
      </c>
      <c r="H333" s="147" t="s">
        <v>1201</v>
      </c>
      <c r="I333" s="148" t="s">
        <v>582</v>
      </c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53">
        <f t="shared" si="32"/>
        <v>0</v>
      </c>
      <c r="W333" s="8"/>
      <c r="X333" s="8"/>
      <c r="Y333" s="8"/>
      <c r="Z333" s="8"/>
    </row>
    <row r="334" ht="14.25" customHeight="1">
      <c r="A334" s="8"/>
      <c r="B334" s="7" t="s">
        <v>1308</v>
      </c>
      <c r="C334" s="148"/>
      <c r="D334" s="159"/>
      <c r="E334" s="146"/>
      <c r="F334" s="146"/>
      <c r="G334" s="162"/>
      <c r="H334" s="147"/>
      <c r="I334" s="148" t="s">
        <v>583</v>
      </c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53">
        <f t="shared" si="32"/>
        <v>0</v>
      </c>
      <c r="W334" s="8"/>
      <c r="X334" s="8"/>
      <c r="Y334" s="8"/>
      <c r="Z334" s="8"/>
    </row>
    <row r="335" ht="14.25" customHeight="1">
      <c r="A335" s="8"/>
      <c r="B335" s="7" t="s">
        <v>1309</v>
      </c>
      <c r="C335" s="148"/>
      <c r="D335" s="159"/>
      <c r="E335" s="146"/>
      <c r="F335" s="146"/>
      <c r="G335" s="162">
        <v>3.0</v>
      </c>
      <c r="H335" s="147" t="s">
        <v>1203</v>
      </c>
      <c r="I335" s="148" t="s">
        <v>582</v>
      </c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53">
        <f t="shared" si="32"/>
        <v>0</v>
      </c>
      <c r="W335" s="8"/>
      <c r="X335" s="8"/>
      <c r="Y335" s="8"/>
      <c r="Z335" s="8"/>
    </row>
    <row r="336" ht="14.25" customHeight="1">
      <c r="A336" s="8"/>
      <c r="B336" s="7" t="s">
        <v>1309</v>
      </c>
      <c r="C336" s="148"/>
      <c r="D336" s="159"/>
      <c r="E336" s="146"/>
      <c r="F336" s="146"/>
      <c r="G336" s="162"/>
      <c r="H336" s="147"/>
      <c r="I336" s="148" t="s">
        <v>583</v>
      </c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53">
        <f t="shared" si="32"/>
        <v>0</v>
      </c>
      <c r="W336" s="8"/>
      <c r="X336" s="8"/>
      <c r="Y336" s="8"/>
      <c r="Z336" s="8"/>
    </row>
    <row r="337" ht="14.25" customHeight="1">
      <c r="A337" s="8"/>
      <c r="B337" s="7" t="s">
        <v>1310</v>
      </c>
      <c r="C337" s="148"/>
      <c r="D337" s="159"/>
      <c r="E337" s="146"/>
      <c r="F337" s="146"/>
      <c r="G337" s="162">
        <v>4.0</v>
      </c>
      <c r="H337" s="147" t="s">
        <v>1205</v>
      </c>
      <c r="I337" s="148" t="s">
        <v>582</v>
      </c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53">
        <f t="shared" si="32"/>
        <v>0</v>
      </c>
      <c r="W337" s="8"/>
      <c r="X337" s="8"/>
      <c r="Y337" s="8"/>
      <c r="Z337" s="8"/>
    </row>
    <row r="338" ht="14.25" customHeight="1">
      <c r="A338" s="8"/>
      <c r="B338" s="7" t="s">
        <v>1310</v>
      </c>
      <c r="C338" s="148"/>
      <c r="D338" s="159"/>
      <c r="E338" s="146"/>
      <c r="F338" s="146"/>
      <c r="G338" s="162"/>
      <c r="H338" s="147"/>
      <c r="I338" s="148" t="s">
        <v>583</v>
      </c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53">
        <f t="shared" si="32"/>
        <v>0</v>
      </c>
      <c r="W338" s="8"/>
      <c r="X338" s="8"/>
      <c r="Y338" s="8"/>
      <c r="Z338" s="8"/>
    </row>
    <row r="339" ht="14.25" customHeight="1">
      <c r="A339" s="8"/>
      <c r="B339" s="7" t="s">
        <v>1310</v>
      </c>
      <c r="C339" s="148"/>
      <c r="D339" s="159"/>
      <c r="E339" s="146"/>
      <c r="F339" s="146"/>
      <c r="G339" s="162"/>
      <c r="H339" s="147"/>
      <c r="I339" s="148" t="s">
        <v>594</v>
      </c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53">
        <f t="shared" si="32"/>
        <v>0</v>
      </c>
      <c r="W339" s="8"/>
      <c r="X339" s="8"/>
      <c r="Y339" s="8"/>
      <c r="Z339" s="8"/>
    </row>
    <row r="340" ht="14.25" customHeight="1">
      <c r="A340" s="8"/>
      <c r="B340" s="7" t="s">
        <v>1311</v>
      </c>
      <c r="C340" s="148"/>
      <c r="D340" s="159"/>
      <c r="E340" s="146"/>
      <c r="F340" s="146"/>
      <c r="G340" s="162">
        <v>5.0</v>
      </c>
      <c r="H340" s="147" t="s">
        <v>1173</v>
      </c>
      <c r="I340" s="148" t="s">
        <v>582</v>
      </c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53">
        <f t="shared" si="32"/>
        <v>0</v>
      </c>
      <c r="W340" s="8"/>
      <c r="X340" s="8"/>
      <c r="Y340" s="8"/>
      <c r="Z340" s="8"/>
    </row>
    <row r="341" ht="14.25" customHeight="1">
      <c r="A341" s="8"/>
      <c r="B341" s="7" t="s">
        <v>1311</v>
      </c>
      <c r="C341" s="148"/>
      <c r="D341" s="159"/>
      <c r="E341" s="146"/>
      <c r="F341" s="146"/>
      <c r="G341" s="146"/>
      <c r="H341" s="147"/>
      <c r="I341" s="148" t="s">
        <v>583</v>
      </c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53">
        <f t="shared" si="32"/>
        <v>0</v>
      </c>
      <c r="W341" s="8"/>
      <c r="X341" s="8"/>
      <c r="Y341" s="8"/>
      <c r="Z341" s="8"/>
    </row>
    <row r="342" ht="14.25" customHeight="1">
      <c r="A342" s="8"/>
      <c r="B342" s="13"/>
      <c r="C342" s="148"/>
      <c r="D342" s="159"/>
      <c r="E342" s="146"/>
      <c r="F342" s="146"/>
      <c r="G342" s="146"/>
      <c r="H342" s="147"/>
      <c r="I342" s="148"/>
      <c r="J342" s="149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8"/>
      <c r="X342" s="8"/>
      <c r="Y342" s="8"/>
      <c r="Z342" s="8"/>
    </row>
    <row r="343" ht="14.25" customHeight="1">
      <c r="A343" s="8"/>
      <c r="C343" s="144">
        <v>13.0</v>
      </c>
      <c r="D343" s="145" t="s">
        <v>1312</v>
      </c>
      <c r="E343" s="146"/>
      <c r="F343" s="146"/>
      <c r="G343" s="146"/>
      <c r="H343" s="147"/>
      <c r="I343" s="148"/>
      <c r="J343" s="149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8"/>
      <c r="X343" s="8"/>
      <c r="Y343" s="8"/>
      <c r="Z343" s="8"/>
    </row>
    <row r="344" ht="14.25" customHeight="1">
      <c r="A344" s="8"/>
      <c r="C344" s="148"/>
      <c r="D344" s="150">
        <v>1.0</v>
      </c>
      <c r="E344" s="146" t="s">
        <v>1313</v>
      </c>
      <c r="F344" s="146"/>
      <c r="G344" s="146"/>
      <c r="H344" s="147"/>
      <c r="I344" s="148"/>
      <c r="J344" s="149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8"/>
      <c r="X344" s="8"/>
      <c r="Y344" s="8"/>
      <c r="Z344" s="8"/>
    </row>
    <row r="345" ht="14.25" customHeight="1">
      <c r="A345" s="8"/>
      <c r="B345" s="7" t="s">
        <v>1314</v>
      </c>
      <c r="C345" s="148"/>
      <c r="D345" s="159"/>
      <c r="E345" s="162">
        <v>1.0</v>
      </c>
      <c r="F345" s="146" t="s">
        <v>1315</v>
      </c>
      <c r="G345" s="146"/>
      <c r="H345" s="147"/>
      <c r="I345" s="148" t="s">
        <v>474</v>
      </c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53">
        <f t="shared" ref="V345:V382" si="33">SUM(J345:U345)</f>
        <v>0</v>
      </c>
      <c r="W345" s="8"/>
      <c r="X345" s="8"/>
      <c r="Y345" s="8"/>
      <c r="Z345" s="8"/>
    </row>
    <row r="346" ht="14.25" customHeight="1">
      <c r="A346" s="8"/>
      <c r="B346" s="7" t="s">
        <v>1314</v>
      </c>
      <c r="C346" s="148"/>
      <c r="D346" s="159"/>
      <c r="E346" s="162"/>
      <c r="F346" s="146"/>
      <c r="G346" s="146"/>
      <c r="H346" s="147"/>
      <c r="I346" s="148" t="s">
        <v>582</v>
      </c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53">
        <f t="shared" si="33"/>
        <v>0</v>
      </c>
      <c r="W346" s="8"/>
      <c r="X346" s="8"/>
      <c r="Y346" s="8"/>
      <c r="Z346" s="8"/>
    </row>
    <row r="347" ht="14.25" customHeight="1">
      <c r="A347" s="8"/>
      <c r="B347" s="7" t="s">
        <v>1314</v>
      </c>
      <c r="C347" s="148"/>
      <c r="D347" s="159"/>
      <c r="E347" s="162"/>
      <c r="F347" s="146"/>
      <c r="G347" s="146"/>
      <c r="H347" s="147"/>
      <c r="I347" s="148" t="s">
        <v>662</v>
      </c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53">
        <f t="shared" si="33"/>
        <v>0</v>
      </c>
      <c r="W347" s="8"/>
      <c r="X347" s="8"/>
      <c r="Y347" s="8"/>
      <c r="Z347" s="8"/>
    </row>
    <row r="348" ht="14.25" customHeight="1">
      <c r="A348" s="8"/>
      <c r="B348" s="7" t="s">
        <v>1316</v>
      </c>
      <c r="C348" s="148"/>
      <c r="D348" s="159"/>
      <c r="E348" s="162">
        <v>2.0</v>
      </c>
      <c r="F348" s="146" t="s">
        <v>1317</v>
      </c>
      <c r="G348" s="146"/>
      <c r="H348" s="147"/>
      <c r="I348" s="148" t="s">
        <v>474</v>
      </c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53">
        <f t="shared" si="33"/>
        <v>0</v>
      </c>
      <c r="W348" s="8"/>
      <c r="X348" s="8"/>
      <c r="Y348" s="8"/>
      <c r="Z348" s="8"/>
    </row>
    <row r="349" ht="14.25" customHeight="1">
      <c r="A349" s="8"/>
      <c r="B349" s="7" t="s">
        <v>1316</v>
      </c>
      <c r="C349" s="148"/>
      <c r="D349" s="159"/>
      <c r="E349" s="162"/>
      <c r="F349" s="146"/>
      <c r="G349" s="146"/>
      <c r="H349" s="147"/>
      <c r="I349" s="148" t="s">
        <v>582</v>
      </c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53">
        <f t="shared" si="33"/>
        <v>0</v>
      </c>
      <c r="W349" s="8"/>
      <c r="X349" s="8"/>
      <c r="Y349" s="8"/>
      <c r="Z349" s="8"/>
    </row>
    <row r="350" ht="14.25" customHeight="1">
      <c r="A350" s="8"/>
      <c r="B350" s="7" t="s">
        <v>1316</v>
      </c>
      <c r="C350" s="148"/>
      <c r="D350" s="159"/>
      <c r="E350" s="162"/>
      <c r="F350" s="146"/>
      <c r="G350" s="146"/>
      <c r="H350" s="147"/>
      <c r="I350" s="148" t="s">
        <v>583</v>
      </c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53">
        <f t="shared" si="33"/>
        <v>0</v>
      </c>
      <c r="W350" s="8"/>
      <c r="X350" s="8"/>
      <c r="Y350" s="8"/>
      <c r="Z350" s="8"/>
    </row>
    <row r="351" ht="14.25" customHeight="1">
      <c r="A351" s="8"/>
      <c r="B351" s="7" t="s">
        <v>1316</v>
      </c>
      <c r="C351" s="148"/>
      <c r="D351" s="159"/>
      <c r="E351" s="162"/>
      <c r="F351" s="146"/>
      <c r="G351" s="146"/>
      <c r="H351" s="147"/>
      <c r="I351" s="148" t="s">
        <v>662</v>
      </c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53">
        <f t="shared" si="33"/>
        <v>0</v>
      </c>
      <c r="W351" s="8"/>
      <c r="X351" s="8"/>
      <c r="Y351" s="8"/>
      <c r="Z351" s="8"/>
    </row>
    <row r="352" ht="14.25" customHeight="1">
      <c r="A352" s="8"/>
      <c r="B352" s="7" t="s">
        <v>1318</v>
      </c>
      <c r="C352" s="148"/>
      <c r="D352" s="159"/>
      <c r="E352" s="162">
        <v>3.0</v>
      </c>
      <c r="F352" s="146" t="s">
        <v>1043</v>
      </c>
      <c r="G352" s="146"/>
      <c r="H352" s="147"/>
      <c r="I352" s="148" t="s">
        <v>474</v>
      </c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53">
        <f t="shared" si="33"/>
        <v>0</v>
      </c>
      <c r="W352" s="8"/>
      <c r="X352" s="8"/>
      <c r="Y352" s="8"/>
      <c r="Z352" s="8"/>
    </row>
    <row r="353" ht="14.25" customHeight="1">
      <c r="A353" s="8"/>
      <c r="B353" s="7" t="s">
        <v>1318</v>
      </c>
      <c r="C353" s="148"/>
      <c r="D353" s="159"/>
      <c r="E353" s="162"/>
      <c r="F353" s="146"/>
      <c r="G353" s="146"/>
      <c r="H353" s="147"/>
      <c r="I353" s="148" t="s">
        <v>582</v>
      </c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53">
        <f t="shared" si="33"/>
        <v>0</v>
      </c>
      <c r="W353" s="8"/>
      <c r="X353" s="8"/>
      <c r="Y353" s="8"/>
      <c r="Z353" s="8"/>
    </row>
    <row r="354" ht="14.25" customHeight="1">
      <c r="A354" s="8"/>
      <c r="B354" s="7" t="s">
        <v>1318</v>
      </c>
      <c r="C354" s="148"/>
      <c r="D354" s="159"/>
      <c r="E354" s="162"/>
      <c r="F354" s="146"/>
      <c r="G354" s="146"/>
      <c r="H354" s="147"/>
      <c r="I354" s="148" t="s">
        <v>662</v>
      </c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53">
        <f t="shared" si="33"/>
        <v>0</v>
      </c>
      <c r="W354" s="8"/>
      <c r="X354" s="8"/>
      <c r="Y354" s="8"/>
      <c r="Z354" s="8"/>
    </row>
    <row r="355" ht="14.25" customHeight="1">
      <c r="A355" s="8"/>
      <c r="B355" s="7" t="s">
        <v>1319</v>
      </c>
      <c r="C355" s="148"/>
      <c r="D355" s="159"/>
      <c r="E355" s="162">
        <v>4.0</v>
      </c>
      <c r="F355" s="146" t="s">
        <v>1023</v>
      </c>
      <c r="G355" s="146"/>
      <c r="H355" s="147"/>
      <c r="I355" s="148" t="s">
        <v>474</v>
      </c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53">
        <f t="shared" si="33"/>
        <v>0</v>
      </c>
      <c r="W355" s="8"/>
      <c r="X355" s="8"/>
      <c r="Y355" s="8"/>
      <c r="Z355" s="8"/>
    </row>
    <row r="356" ht="14.25" customHeight="1">
      <c r="A356" s="8"/>
      <c r="B356" s="7" t="s">
        <v>1319</v>
      </c>
      <c r="C356" s="148"/>
      <c r="D356" s="159"/>
      <c r="E356" s="162"/>
      <c r="F356" s="146"/>
      <c r="G356" s="146"/>
      <c r="H356" s="147"/>
      <c r="I356" s="148" t="s">
        <v>582</v>
      </c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53">
        <f t="shared" si="33"/>
        <v>0</v>
      </c>
      <c r="W356" s="8"/>
      <c r="X356" s="8"/>
      <c r="Y356" s="8"/>
      <c r="Z356" s="8"/>
    </row>
    <row r="357" ht="14.25" customHeight="1">
      <c r="A357" s="8"/>
      <c r="B357" s="7" t="s">
        <v>1319</v>
      </c>
      <c r="C357" s="148"/>
      <c r="D357" s="159"/>
      <c r="E357" s="162"/>
      <c r="F357" s="146"/>
      <c r="G357" s="146"/>
      <c r="H357" s="147"/>
      <c r="I357" s="148" t="s">
        <v>583</v>
      </c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53">
        <f t="shared" si="33"/>
        <v>0</v>
      </c>
      <c r="W357" s="8"/>
      <c r="X357" s="8"/>
      <c r="Y357" s="8"/>
      <c r="Z357" s="8"/>
    </row>
    <row r="358" ht="14.25" customHeight="1">
      <c r="A358" s="8"/>
      <c r="B358" s="7" t="s">
        <v>1319</v>
      </c>
      <c r="C358" s="148"/>
      <c r="D358" s="159"/>
      <c r="E358" s="162"/>
      <c r="F358" s="146"/>
      <c r="G358" s="146"/>
      <c r="H358" s="147"/>
      <c r="I358" s="148" t="s">
        <v>662</v>
      </c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53">
        <f t="shared" si="33"/>
        <v>0</v>
      </c>
      <c r="W358" s="8"/>
      <c r="X358" s="8"/>
      <c r="Y358" s="8"/>
      <c r="Z358" s="8"/>
    </row>
    <row r="359" ht="14.25" customHeight="1">
      <c r="A359" s="8"/>
      <c r="B359" s="7" t="s">
        <v>1320</v>
      </c>
      <c r="C359" s="148"/>
      <c r="D359" s="159"/>
      <c r="E359" s="162">
        <v>5.0</v>
      </c>
      <c r="F359" s="146" t="s">
        <v>1021</v>
      </c>
      <c r="G359" s="146"/>
      <c r="H359" s="147"/>
      <c r="I359" s="148" t="s">
        <v>474</v>
      </c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53">
        <f t="shared" si="33"/>
        <v>0</v>
      </c>
      <c r="W359" s="8"/>
      <c r="X359" s="8"/>
      <c r="Y359" s="8"/>
      <c r="Z359" s="8"/>
    </row>
    <row r="360" ht="14.25" customHeight="1">
      <c r="A360" s="8"/>
      <c r="B360" s="7" t="s">
        <v>1320</v>
      </c>
      <c r="C360" s="148"/>
      <c r="D360" s="159"/>
      <c r="E360" s="162"/>
      <c r="F360" s="146"/>
      <c r="G360" s="146"/>
      <c r="H360" s="147"/>
      <c r="I360" s="148" t="s">
        <v>582</v>
      </c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53">
        <f t="shared" si="33"/>
        <v>0</v>
      </c>
      <c r="W360" s="8"/>
      <c r="X360" s="8"/>
      <c r="Y360" s="8"/>
      <c r="Z360" s="8"/>
    </row>
    <row r="361" ht="14.25" customHeight="1">
      <c r="A361" s="8"/>
      <c r="B361" s="7" t="s">
        <v>1320</v>
      </c>
      <c r="C361" s="148"/>
      <c r="D361" s="159"/>
      <c r="E361" s="162"/>
      <c r="F361" s="146"/>
      <c r="G361" s="146"/>
      <c r="H361" s="147"/>
      <c r="I361" s="148" t="s">
        <v>662</v>
      </c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53">
        <f t="shared" si="33"/>
        <v>0</v>
      </c>
      <c r="W361" s="8"/>
      <c r="X361" s="8"/>
      <c r="Y361" s="8"/>
      <c r="Z361" s="8"/>
    </row>
    <row r="362" ht="14.25" customHeight="1">
      <c r="A362" s="8"/>
      <c r="B362" s="7" t="s">
        <v>1320</v>
      </c>
      <c r="C362" s="148"/>
      <c r="D362" s="159"/>
      <c r="E362" s="162"/>
      <c r="F362" s="146"/>
      <c r="G362" s="146"/>
      <c r="H362" s="147"/>
      <c r="I362" s="148" t="s">
        <v>1179</v>
      </c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53">
        <f t="shared" si="33"/>
        <v>0</v>
      </c>
      <c r="W362" s="8"/>
      <c r="X362" s="8"/>
      <c r="Y362" s="8"/>
      <c r="Z362" s="8"/>
    </row>
    <row r="363" ht="14.25" customHeight="1">
      <c r="A363" s="8"/>
      <c r="B363" s="7" t="s">
        <v>1321</v>
      </c>
      <c r="C363" s="148"/>
      <c r="D363" s="159"/>
      <c r="E363" s="162">
        <v>6.0</v>
      </c>
      <c r="F363" s="146" t="s">
        <v>1322</v>
      </c>
      <c r="G363" s="146"/>
      <c r="H363" s="147"/>
      <c r="I363" s="148" t="s">
        <v>662</v>
      </c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53">
        <f t="shared" si="33"/>
        <v>0</v>
      </c>
      <c r="W363" s="8"/>
      <c r="X363" s="8"/>
      <c r="Y363" s="8"/>
      <c r="Z363" s="8"/>
    </row>
    <row r="364" ht="14.25" customHeight="1">
      <c r="A364" s="8"/>
      <c r="B364" s="7" t="s">
        <v>1323</v>
      </c>
      <c r="C364" s="148"/>
      <c r="D364" s="159"/>
      <c r="E364" s="162">
        <v>7.0</v>
      </c>
      <c r="F364" s="146" t="s">
        <v>1324</v>
      </c>
      <c r="G364" s="146"/>
      <c r="H364" s="147"/>
      <c r="I364" s="148" t="s">
        <v>474</v>
      </c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53">
        <f t="shared" si="33"/>
        <v>0</v>
      </c>
      <c r="W364" s="8"/>
      <c r="X364" s="8"/>
      <c r="Y364" s="8"/>
      <c r="Z364" s="8"/>
    </row>
    <row r="365" ht="14.25" customHeight="1">
      <c r="A365" s="8"/>
      <c r="B365" s="163" t="s">
        <v>1323</v>
      </c>
      <c r="C365" s="148"/>
      <c r="D365" s="159"/>
      <c r="E365" s="162"/>
      <c r="F365" s="146"/>
      <c r="G365" s="146"/>
      <c r="H365" s="147"/>
      <c r="I365" s="148" t="s">
        <v>582</v>
      </c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53">
        <f t="shared" si="33"/>
        <v>0</v>
      </c>
      <c r="W365" s="8"/>
      <c r="X365" s="8"/>
      <c r="Y365" s="8"/>
      <c r="Z365" s="8"/>
    </row>
    <row r="366" ht="14.25" customHeight="1">
      <c r="A366" s="8"/>
      <c r="B366" s="7" t="s">
        <v>1325</v>
      </c>
      <c r="C366" s="148"/>
      <c r="D366" s="159"/>
      <c r="E366" s="162">
        <v>8.0</v>
      </c>
      <c r="F366" s="146" t="s">
        <v>1009</v>
      </c>
      <c r="G366" s="146"/>
      <c r="H366" s="147"/>
      <c r="I366" s="148" t="s">
        <v>474</v>
      </c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53">
        <f t="shared" si="33"/>
        <v>0</v>
      </c>
      <c r="W366" s="8"/>
      <c r="X366" s="8"/>
      <c r="Y366" s="8"/>
      <c r="Z366" s="8"/>
    </row>
    <row r="367" ht="14.25" customHeight="1">
      <c r="A367" s="8"/>
      <c r="B367" s="7" t="s">
        <v>1325</v>
      </c>
      <c r="C367" s="148"/>
      <c r="D367" s="159"/>
      <c r="E367" s="162"/>
      <c r="F367" s="146"/>
      <c r="G367" s="146"/>
      <c r="H367" s="147"/>
      <c r="I367" s="148" t="s">
        <v>662</v>
      </c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53">
        <f t="shared" si="33"/>
        <v>0</v>
      </c>
      <c r="W367" s="8"/>
      <c r="X367" s="8"/>
      <c r="Y367" s="8"/>
      <c r="Z367" s="8"/>
    </row>
    <row r="368" ht="14.25" customHeight="1">
      <c r="A368" s="8"/>
      <c r="B368" s="7" t="s">
        <v>1325</v>
      </c>
      <c r="C368" s="148"/>
      <c r="D368" s="159"/>
      <c r="E368" s="162"/>
      <c r="F368" s="146"/>
      <c r="G368" s="146"/>
      <c r="H368" s="147"/>
      <c r="I368" s="148" t="s">
        <v>582</v>
      </c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53">
        <f t="shared" si="33"/>
        <v>0</v>
      </c>
      <c r="W368" s="8"/>
      <c r="X368" s="8"/>
      <c r="Y368" s="8"/>
      <c r="Z368" s="8"/>
    </row>
    <row r="369" ht="14.25" customHeight="1">
      <c r="A369" s="8"/>
      <c r="B369" s="7" t="s">
        <v>1326</v>
      </c>
      <c r="C369" s="148"/>
      <c r="D369" s="159"/>
      <c r="E369" s="162">
        <v>9.0</v>
      </c>
      <c r="F369" s="146" t="s">
        <v>1013</v>
      </c>
      <c r="G369" s="146"/>
      <c r="H369" s="147"/>
      <c r="I369" s="148" t="s">
        <v>474</v>
      </c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53">
        <f t="shared" si="33"/>
        <v>0</v>
      </c>
      <c r="W369" s="8"/>
      <c r="X369" s="8"/>
      <c r="Y369" s="8"/>
      <c r="Z369" s="8"/>
    </row>
    <row r="370" ht="14.25" customHeight="1">
      <c r="A370" s="8"/>
      <c r="B370" s="7" t="s">
        <v>1326</v>
      </c>
      <c r="C370" s="148"/>
      <c r="D370" s="159"/>
      <c r="E370" s="162"/>
      <c r="F370" s="146"/>
      <c r="G370" s="146"/>
      <c r="H370" s="147"/>
      <c r="I370" s="148" t="s">
        <v>662</v>
      </c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53">
        <f t="shared" si="33"/>
        <v>0</v>
      </c>
      <c r="W370" s="8"/>
      <c r="X370" s="8"/>
      <c r="Y370" s="8"/>
      <c r="Z370" s="8"/>
    </row>
    <row r="371" ht="14.25" customHeight="1">
      <c r="A371" s="8"/>
      <c r="B371" s="7" t="s">
        <v>1326</v>
      </c>
      <c r="C371" s="148"/>
      <c r="D371" s="159"/>
      <c r="E371" s="162"/>
      <c r="F371" s="146"/>
      <c r="G371" s="146"/>
      <c r="H371" s="147"/>
      <c r="I371" s="148" t="s">
        <v>582</v>
      </c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53">
        <f t="shared" si="33"/>
        <v>0</v>
      </c>
      <c r="W371" s="8"/>
      <c r="X371" s="8"/>
      <c r="Y371" s="8"/>
      <c r="Z371" s="8"/>
    </row>
    <row r="372" ht="14.25" customHeight="1">
      <c r="A372" s="8"/>
      <c r="B372" s="7" t="s">
        <v>1327</v>
      </c>
      <c r="C372" s="148"/>
      <c r="D372" s="159"/>
      <c r="E372" s="162">
        <v>10.0</v>
      </c>
      <c r="F372" s="146" t="s">
        <v>1035</v>
      </c>
      <c r="G372" s="146"/>
      <c r="H372" s="147"/>
      <c r="I372" s="148" t="s">
        <v>582</v>
      </c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53">
        <f t="shared" si="33"/>
        <v>0</v>
      </c>
      <c r="W372" s="8"/>
      <c r="X372" s="8"/>
      <c r="Y372" s="8"/>
      <c r="Z372" s="8"/>
    </row>
    <row r="373" ht="14.25" customHeight="1">
      <c r="A373" s="8"/>
      <c r="B373" s="7" t="s">
        <v>1327</v>
      </c>
      <c r="C373" s="148"/>
      <c r="D373" s="159"/>
      <c r="E373" s="162"/>
      <c r="F373" s="146"/>
      <c r="G373" s="146"/>
      <c r="H373" s="147"/>
      <c r="I373" s="148" t="s">
        <v>662</v>
      </c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53">
        <f t="shared" si="33"/>
        <v>0</v>
      </c>
      <c r="W373" s="8"/>
      <c r="X373" s="8"/>
      <c r="Y373" s="8"/>
      <c r="Z373" s="8"/>
    </row>
    <row r="374" ht="14.25" customHeight="1">
      <c r="A374" s="8"/>
      <c r="B374" s="7" t="s">
        <v>1328</v>
      </c>
      <c r="C374" s="148"/>
      <c r="D374" s="159"/>
      <c r="E374" s="162">
        <v>11.0</v>
      </c>
      <c r="F374" s="146" t="s">
        <v>1329</v>
      </c>
      <c r="G374" s="146"/>
      <c r="H374" s="147"/>
      <c r="I374" s="148" t="s">
        <v>474</v>
      </c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53">
        <f t="shared" si="33"/>
        <v>0</v>
      </c>
      <c r="W374" s="8"/>
      <c r="X374" s="8"/>
      <c r="Y374" s="8"/>
      <c r="Z374" s="8"/>
    </row>
    <row r="375" ht="14.25" customHeight="1">
      <c r="A375" s="8"/>
      <c r="B375" s="7" t="s">
        <v>1328</v>
      </c>
      <c r="C375" s="148"/>
      <c r="D375" s="159"/>
      <c r="E375" s="162"/>
      <c r="F375" s="146"/>
      <c r="G375" s="146"/>
      <c r="H375" s="147"/>
      <c r="I375" s="148" t="s">
        <v>582</v>
      </c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53">
        <f t="shared" si="33"/>
        <v>0</v>
      </c>
      <c r="W375" s="8"/>
      <c r="X375" s="8"/>
      <c r="Y375" s="8"/>
      <c r="Z375" s="8"/>
    </row>
    <row r="376" ht="14.25" customHeight="1">
      <c r="A376" s="8"/>
      <c r="B376" s="7" t="s">
        <v>1328</v>
      </c>
      <c r="C376" s="148"/>
      <c r="D376" s="159"/>
      <c r="E376" s="162"/>
      <c r="F376" s="146"/>
      <c r="G376" s="146"/>
      <c r="H376" s="147"/>
      <c r="I376" s="148" t="s">
        <v>583</v>
      </c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53">
        <f t="shared" si="33"/>
        <v>0</v>
      </c>
      <c r="W376" s="8"/>
      <c r="X376" s="8"/>
      <c r="Y376" s="8"/>
      <c r="Z376" s="8"/>
    </row>
    <row r="377" ht="14.25" customHeight="1">
      <c r="A377" s="8"/>
      <c r="B377" s="7" t="s">
        <v>1330</v>
      </c>
      <c r="C377" s="148"/>
      <c r="D377" s="159"/>
      <c r="E377" s="162">
        <v>12.0</v>
      </c>
      <c r="F377" s="146" t="s">
        <v>1011</v>
      </c>
      <c r="G377" s="146"/>
      <c r="H377" s="147"/>
      <c r="I377" s="148" t="s">
        <v>474</v>
      </c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53">
        <f t="shared" si="33"/>
        <v>0</v>
      </c>
      <c r="W377" s="8"/>
      <c r="X377" s="8"/>
      <c r="Y377" s="8"/>
      <c r="Z377" s="8"/>
    </row>
    <row r="378" ht="14.25" customHeight="1">
      <c r="A378" s="8"/>
      <c r="B378" s="7" t="s">
        <v>1330</v>
      </c>
      <c r="C378" s="148"/>
      <c r="D378" s="159"/>
      <c r="E378" s="162"/>
      <c r="F378" s="146"/>
      <c r="G378" s="146"/>
      <c r="H378" s="147"/>
      <c r="I378" s="148" t="s">
        <v>662</v>
      </c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53">
        <f t="shared" si="33"/>
        <v>0</v>
      </c>
      <c r="W378" s="8"/>
      <c r="X378" s="8"/>
      <c r="Y378" s="8"/>
      <c r="Z378" s="8"/>
    </row>
    <row r="379" ht="14.25" customHeight="1">
      <c r="A379" s="8"/>
      <c r="B379" s="7" t="s">
        <v>1330</v>
      </c>
      <c r="C379" s="148"/>
      <c r="D379" s="159"/>
      <c r="E379" s="162"/>
      <c r="F379" s="146"/>
      <c r="G379" s="146"/>
      <c r="H379" s="147"/>
      <c r="I379" s="148" t="s">
        <v>582</v>
      </c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53">
        <f t="shared" si="33"/>
        <v>0</v>
      </c>
      <c r="W379" s="8"/>
      <c r="X379" s="8"/>
      <c r="Y379" s="8"/>
      <c r="Z379" s="8"/>
    </row>
    <row r="380" ht="14.25" customHeight="1">
      <c r="A380" s="8"/>
      <c r="B380" s="7" t="s">
        <v>1331</v>
      </c>
      <c r="C380" s="148"/>
      <c r="D380" s="159"/>
      <c r="E380" s="162">
        <v>13.0</v>
      </c>
      <c r="F380" s="146" t="s">
        <v>1029</v>
      </c>
      <c r="G380" s="146"/>
      <c r="H380" s="147"/>
      <c r="I380" s="148" t="s">
        <v>662</v>
      </c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53">
        <f t="shared" si="33"/>
        <v>0</v>
      </c>
      <c r="W380" s="8"/>
      <c r="X380" s="8"/>
      <c r="Y380" s="8"/>
      <c r="Z380" s="8"/>
    </row>
    <row r="381" ht="14.25" customHeight="1">
      <c r="A381" s="8"/>
      <c r="B381" s="7" t="s">
        <v>1331</v>
      </c>
      <c r="C381" s="148"/>
      <c r="D381" s="159"/>
      <c r="E381" s="162"/>
      <c r="F381" s="146"/>
      <c r="G381" s="146"/>
      <c r="H381" s="147"/>
      <c r="I381" s="148" t="s">
        <v>582</v>
      </c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53">
        <f t="shared" si="33"/>
        <v>0</v>
      </c>
      <c r="W381" s="8"/>
      <c r="X381" s="8"/>
      <c r="Y381" s="8"/>
      <c r="Z381" s="8"/>
    </row>
    <row r="382" ht="14.25" customHeight="1">
      <c r="A382" s="8"/>
      <c r="B382" s="7" t="s">
        <v>1332</v>
      </c>
      <c r="C382" s="148"/>
      <c r="D382" s="159"/>
      <c r="E382" s="162">
        <v>14.0</v>
      </c>
      <c r="F382" s="146" t="s">
        <v>1007</v>
      </c>
      <c r="G382" s="146"/>
      <c r="H382" s="147"/>
      <c r="I382" s="148" t="s">
        <v>474</v>
      </c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53">
        <f t="shared" si="33"/>
        <v>0</v>
      </c>
      <c r="W382" s="8"/>
      <c r="X382" s="8"/>
      <c r="Y382" s="8"/>
      <c r="Z382" s="8"/>
    </row>
    <row r="383" ht="14.25" customHeight="1">
      <c r="A383" s="8"/>
      <c r="C383" s="148"/>
      <c r="D383" s="150">
        <v>2.0</v>
      </c>
      <c r="E383" s="146" t="s">
        <v>1333</v>
      </c>
      <c r="F383" s="146"/>
      <c r="G383" s="146"/>
      <c r="H383" s="147"/>
      <c r="I383" s="148"/>
      <c r="J383" s="149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8"/>
      <c r="X383" s="8"/>
      <c r="Y383" s="8"/>
      <c r="Z383" s="8"/>
    </row>
    <row r="384" ht="14.25" customHeight="1">
      <c r="A384" s="8"/>
      <c r="B384" s="7" t="s">
        <v>1334</v>
      </c>
      <c r="C384" s="148"/>
      <c r="D384" s="159"/>
      <c r="E384" s="162">
        <v>1.0</v>
      </c>
      <c r="F384" s="146" t="s">
        <v>1015</v>
      </c>
      <c r="G384" s="146"/>
      <c r="H384" s="147"/>
      <c r="I384" s="148" t="s">
        <v>474</v>
      </c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53">
        <f t="shared" ref="V384:V400" si="34">SUM(J384:U384)</f>
        <v>0</v>
      </c>
      <c r="W384" s="8"/>
      <c r="X384" s="8"/>
      <c r="Y384" s="8"/>
      <c r="Z384" s="8"/>
    </row>
    <row r="385" ht="14.25" customHeight="1">
      <c r="A385" s="8"/>
      <c r="B385" s="7" t="s">
        <v>1334</v>
      </c>
      <c r="C385" s="148"/>
      <c r="D385" s="159"/>
      <c r="E385" s="162"/>
      <c r="F385" s="146"/>
      <c r="G385" s="146"/>
      <c r="H385" s="147"/>
      <c r="I385" s="148" t="s">
        <v>1335</v>
      </c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53">
        <f t="shared" si="34"/>
        <v>0</v>
      </c>
      <c r="W385" s="8"/>
      <c r="X385" s="8"/>
      <c r="Y385" s="8"/>
      <c r="Z385" s="8"/>
    </row>
    <row r="386" ht="14.25" customHeight="1">
      <c r="A386" s="8"/>
      <c r="B386" s="7" t="s">
        <v>1334</v>
      </c>
      <c r="C386" s="148"/>
      <c r="D386" s="159"/>
      <c r="E386" s="162"/>
      <c r="F386" s="146"/>
      <c r="G386" s="146"/>
      <c r="H386" s="147"/>
      <c r="I386" s="148" t="s">
        <v>662</v>
      </c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53">
        <f t="shared" si="34"/>
        <v>0</v>
      </c>
      <c r="W386" s="8"/>
      <c r="X386" s="8"/>
      <c r="Y386" s="8"/>
      <c r="Z386" s="8"/>
    </row>
    <row r="387" ht="14.25" customHeight="1">
      <c r="A387" s="8"/>
      <c r="B387" s="7" t="s">
        <v>1334</v>
      </c>
      <c r="C387" s="148"/>
      <c r="D387" s="159"/>
      <c r="E387" s="162"/>
      <c r="F387" s="146"/>
      <c r="G387" s="146"/>
      <c r="H387" s="147"/>
      <c r="I387" s="148" t="s">
        <v>582</v>
      </c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53">
        <f t="shared" si="34"/>
        <v>0</v>
      </c>
      <c r="W387" s="8"/>
      <c r="X387" s="8"/>
      <c r="Y387" s="8"/>
      <c r="Z387" s="8"/>
    </row>
    <row r="388" ht="14.25" customHeight="1">
      <c r="A388" s="8"/>
      <c r="B388" s="7" t="s">
        <v>1336</v>
      </c>
      <c r="C388" s="148"/>
      <c r="D388" s="159"/>
      <c r="E388" s="162">
        <v>2.0</v>
      </c>
      <c r="F388" s="146" t="s">
        <v>1017</v>
      </c>
      <c r="G388" s="146"/>
      <c r="H388" s="147"/>
      <c r="I388" s="148" t="s">
        <v>474</v>
      </c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53">
        <f t="shared" si="34"/>
        <v>0</v>
      </c>
      <c r="W388" s="8"/>
      <c r="X388" s="8"/>
      <c r="Y388" s="8"/>
      <c r="Z388" s="8"/>
    </row>
    <row r="389" ht="14.25" customHeight="1">
      <c r="A389" s="8"/>
      <c r="B389" s="7" t="s">
        <v>1336</v>
      </c>
      <c r="C389" s="148"/>
      <c r="D389" s="159"/>
      <c r="E389" s="162"/>
      <c r="F389" s="146"/>
      <c r="G389" s="146"/>
      <c r="H389" s="147"/>
      <c r="I389" s="148" t="s">
        <v>1335</v>
      </c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53">
        <f t="shared" si="34"/>
        <v>0</v>
      </c>
      <c r="W389" s="8"/>
      <c r="X389" s="8"/>
      <c r="Y389" s="8"/>
      <c r="Z389" s="8"/>
    </row>
    <row r="390" ht="14.25" customHeight="1">
      <c r="A390" s="8"/>
      <c r="B390" s="7" t="s">
        <v>1336</v>
      </c>
      <c r="C390" s="148"/>
      <c r="D390" s="159"/>
      <c r="E390" s="162"/>
      <c r="F390" s="146"/>
      <c r="G390" s="146"/>
      <c r="H390" s="147"/>
      <c r="I390" s="148" t="s">
        <v>662</v>
      </c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53">
        <f t="shared" si="34"/>
        <v>0</v>
      </c>
      <c r="W390" s="8"/>
      <c r="X390" s="8"/>
      <c r="Y390" s="8"/>
      <c r="Z390" s="8"/>
    </row>
    <row r="391" ht="14.25" customHeight="1">
      <c r="A391" s="8"/>
      <c r="B391" s="7" t="s">
        <v>1336</v>
      </c>
      <c r="C391" s="148"/>
      <c r="D391" s="159"/>
      <c r="E391" s="162"/>
      <c r="F391" s="146"/>
      <c r="G391" s="146"/>
      <c r="H391" s="147"/>
      <c r="I391" s="148" t="s">
        <v>582</v>
      </c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53">
        <f t="shared" si="34"/>
        <v>0</v>
      </c>
      <c r="W391" s="8"/>
      <c r="X391" s="8"/>
      <c r="Y391" s="8"/>
      <c r="Z391" s="8"/>
    </row>
    <row r="392" ht="14.25" customHeight="1">
      <c r="A392" s="8"/>
      <c r="B392" s="7" t="s">
        <v>1337</v>
      </c>
      <c r="C392" s="148"/>
      <c r="D392" s="159"/>
      <c r="E392" s="162">
        <v>3.0</v>
      </c>
      <c r="F392" s="146" t="s">
        <v>1338</v>
      </c>
      <c r="G392" s="146"/>
      <c r="H392" s="147"/>
      <c r="I392" s="148" t="s">
        <v>474</v>
      </c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53">
        <f t="shared" si="34"/>
        <v>0</v>
      </c>
      <c r="W392" s="8"/>
      <c r="X392" s="8"/>
      <c r="Y392" s="8"/>
      <c r="Z392" s="8"/>
    </row>
    <row r="393" ht="14.25" customHeight="1">
      <c r="A393" s="8"/>
      <c r="B393" s="7" t="s">
        <v>1337</v>
      </c>
      <c r="C393" s="148"/>
      <c r="D393" s="159"/>
      <c r="E393" s="162"/>
      <c r="F393" s="146"/>
      <c r="G393" s="146"/>
      <c r="H393" s="147"/>
      <c r="I393" s="148" t="s">
        <v>662</v>
      </c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53">
        <f t="shared" si="34"/>
        <v>0</v>
      </c>
      <c r="W393" s="8"/>
      <c r="X393" s="8"/>
      <c r="Y393" s="8"/>
      <c r="Z393" s="8"/>
    </row>
    <row r="394" ht="14.25" customHeight="1">
      <c r="A394" s="8"/>
      <c r="B394" s="7" t="s">
        <v>1339</v>
      </c>
      <c r="C394" s="148"/>
      <c r="D394" s="159"/>
      <c r="E394" s="162">
        <v>4.0</v>
      </c>
      <c r="F394" s="146" t="s">
        <v>1039</v>
      </c>
      <c r="G394" s="146"/>
      <c r="H394" s="147"/>
      <c r="I394" s="148" t="s">
        <v>582</v>
      </c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53">
        <f t="shared" si="34"/>
        <v>0</v>
      </c>
      <c r="W394" s="8"/>
      <c r="X394" s="8"/>
      <c r="Y394" s="8"/>
      <c r="Z394" s="8"/>
    </row>
    <row r="395" ht="14.25" customHeight="1">
      <c r="A395" s="8"/>
      <c r="B395" s="7" t="s">
        <v>1339</v>
      </c>
      <c r="C395" s="148"/>
      <c r="D395" s="159"/>
      <c r="E395" s="162"/>
      <c r="F395" s="146"/>
      <c r="G395" s="146"/>
      <c r="H395" s="147"/>
      <c r="I395" s="148" t="s">
        <v>662</v>
      </c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53">
        <f t="shared" si="34"/>
        <v>0</v>
      </c>
      <c r="W395" s="8"/>
      <c r="X395" s="8"/>
      <c r="Y395" s="8"/>
      <c r="Z395" s="8"/>
    </row>
    <row r="396" ht="14.25" customHeight="1">
      <c r="A396" s="8"/>
      <c r="B396" s="7" t="s">
        <v>1340</v>
      </c>
      <c r="C396" s="148"/>
      <c r="D396" s="159"/>
      <c r="E396" s="162">
        <v>5.0</v>
      </c>
      <c r="F396" s="146" t="s">
        <v>1341</v>
      </c>
      <c r="G396" s="146"/>
      <c r="H396" s="147"/>
      <c r="I396" s="148" t="s">
        <v>582</v>
      </c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53">
        <f t="shared" si="34"/>
        <v>0</v>
      </c>
      <c r="W396" s="8"/>
      <c r="X396" s="8"/>
      <c r="Y396" s="8"/>
      <c r="Z396" s="8"/>
    </row>
    <row r="397" ht="14.25" customHeight="1">
      <c r="A397" s="8"/>
      <c r="B397" s="7" t="s">
        <v>1340</v>
      </c>
      <c r="C397" s="148"/>
      <c r="D397" s="159"/>
      <c r="E397" s="162"/>
      <c r="F397" s="146"/>
      <c r="G397" s="146"/>
      <c r="H397" s="147"/>
      <c r="I397" s="148" t="s">
        <v>1335</v>
      </c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53">
        <f t="shared" si="34"/>
        <v>0</v>
      </c>
      <c r="W397" s="8"/>
      <c r="X397" s="8"/>
      <c r="Y397" s="8"/>
      <c r="Z397" s="8"/>
    </row>
    <row r="398" ht="14.25" customHeight="1">
      <c r="A398" s="8"/>
      <c r="B398" s="7" t="s">
        <v>1340</v>
      </c>
      <c r="C398" s="148"/>
      <c r="D398" s="159"/>
      <c r="E398" s="162"/>
      <c r="F398" s="146"/>
      <c r="G398" s="146"/>
      <c r="H398" s="147"/>
      <c r="I398" s="148" t="s">
        <v>662</v>
      </c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53">
        <f t="shared" si="34"/>
        <v>0</v>
      </c>
      <c r="W398" s="8"/>
      <c r="X398" s="8"/>
      <c r="Y398" s="8"/>
      <c r="Z398" s="8"/>
    </row>
    <row r="399" ht="14.25" customHeight="1">
      <c r="A399" s="8"/>
      <c r="B399" s="163" t="s">
        <v>1340</v>
      </c>
      <c r="C399" s="148"/>
      <c r="D399" s="159"/>
      <c r="E399" s="162"/>
      <c r="F399" s="146"/>
      <c r="G399" s="146"/>
      <c r="H399" s="147"/>
      <c r="I399" s="148" t="s">
        <v>590</v>
      </c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53">
        <f t="shared" si="34"/>
        <v>0</v>
      </c>
      <c r="W399" s="8"/>
      <c r="X399" s="8"/>
      <c r="Y399" s="8"/>
      <c r="Z399" s="8"/>
    </row>
    <row r="400" ht="14.25" customHeight="1">
      <c r="A400" s="8"/>
      <c r="B400" s="7" t="s">
        <v>1342</v>
      </c>
      <c r="C400" s="148"/>
      <c r="D400" s="159"/>
      <c r="E400" s="162">
        <v>6.0</v>
      </c>
      <c r="F400" s="146" t="s">
        <v>1343</v>
      </c>
      <c r="G400" s="146"/>
      <c r="H400" s="147"/>
      <c r="I400" s="148" t="s">
        <v>474</v>
      </c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53">
        <f t="shared" si="34"/>
        <v>0</v>
      </c>
      <c r="W400" s="8"/>
      <c r="X400" s="8"/>
      <c r="Y400" s="8"/>
      <c r="Z400" s="8"/>
    </row>
    <row r="401" ht="14.25" customHeight="1">
      <c r="A401" s="8"/>
      <c r="C401" s="148"/>
      <c r="D401" s="150">
        <v>3.0</v>
      </c>
      <c r="E401" s="146" t="s">
        <v>1344</v>
      </c>
      <c r="F401" s="146"/>
      <c r="G401" s="146"/>
      <c r="H401" s="147"/>
      <c r="I401" s="148"/>
      <c r="J401" s="149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8"/>
      <c r="X401" s="8"/>
      <c r="Y401" s="8"/>
      <c r="Z401" s="8"/>
    </row>
    <row r="402" ht="14.25" customHeight="1">
      <c r="A402" s="8"/>
      <c r="B402" s="7" t="s">
        <v>1345</v>
      </c>
      <c r="C402" s="148"/>
      <c r="D402" s="159"/>
      <c r="E402" s="162">
        <v>1.0</v>
      </c>
      <c r="F402" s="146" t="s">
        <v>1346</v>
      </c>
      <c r="G402" s="146"/>
      <c r="H402" s="147"/>
      <c r="I402" s="148" t="s">
        <v>582</v>
      </c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53">
        <f t="shared" ref="V402:V416" si="35">SUM(J402:U402)</f>
        <v>0</v>
      </c>
      <c r="W402" s="8"/>
      <c r="X402" s="8"/>
      <c r="Y402" s="8"/>
      <c r="Z402" s="8"/>
    </row>
    <row r="403" ht="14.25" customHeight="1">
      <c r="A403" s="8"/>
      <c r="B403" s="7" t="s">
        <v>1345</v>
      </c>
      <c r="C403" s="148"/>
      <c r="D403" s="159"/>
      <c r="E403" s="162"/>
      <c r="F403" s="146"/>
      <c r="G403" s="146"/>
      <c r="H403" s="147"/>
      <c r="I403" s="148" t="s">
        <v>662</v>
      </c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53">
        <f t="shared" si="35"/>
        <v>0</v>
      </c>
      <c r="W403" s="8"/>
      <c r="X403" s="8"/>
      <c r="Y403" s="8"/>
      <c r="Z403" s="8"/>
    </row>
    <row r="404" ht="14.25" customHeight="1">
      <c r="A404" s="8"/>
      <c r="B404" s="7" t="s">
        <v>1345</v>
      </c>
      <c r="C404" s="148"/>
      <c r="D404" s="159"/>
      <c r="E404" s="162"/>
      <c r="F404" s="146"/>
      <c r="G404" s="146"/>
      <c r="H404" s="147"/>
      <c r="I404" s="148" t="s">
        <v>474</v>
      </c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53">
        <f t="shared" si="35"/>
        <v>0</v>
      </c>
      <c r="W404" s="8"/>
      <c r="X404" s="8"/>
      <c r="Y404" s="8"/>
      <c r="Z404" s="8"/>
    </row>
    <row r="405" ht="14.25" customHeight="1">
      <c r="A405" s="8"/>
      <c r="B405" s="7" t="s">
        <v>1347</v>
      </c>
      <c r="C405" s="148"/>
      <c r="D405" s="159"/>
      <c r="E405" s="162">
        <v>2.0</v>
      </c>
      <c r="F405" s="146" t="s">
        <v>1348</v>
      </c>
      <c r="G405" s="146"/>
      <c r="H405" s="147"/>
      <c r="I405" s="148" t="s">
        <v>582</v>
      </c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53">
        <f t="shared" si="35"/>
        <v>0</v>
      </c>
      <c r="W405" s="8"/>
      <c r="X405" s="8"/>
      <c r="Y405" s="8"/>
      <c r="Z405" s="8"/>
    </row>
    <row r="406" ht="14.25" customHeight="1">
      <c r="A406" s="8"/>
      <c r="B406" s="7" t="s">
        <v>1347</v>
      </c>
      <c r="C406" s="148"/>
      <c r="D406" s="159"/>
      <c r="E406" s="162"/>
      <c r="F406" s="146"/>
      <c r="G406" s="146"/>
      <c r="H406" s="147"/>
      <c r="I406" s="148" t="s">
        <v>662</v>
      </c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53">
        <f t="shared" si="35"/>
        <v>0</v>
      </c>
      <c r="W406" s="8"/>
      <c r="X406" s="8"/>
      <c r="Y406" s="8"/>
      <c r="Z406" s="8"/>
    </row>
    <row r="407" ht="14.25" customHeight="1">
      <c r="A407" s="8"/>
      <c r="B407" s="7" t="s">
        <v>1349</v>
      </c>
      <c r="C407" s="148"/>
      <c r="D407" s="159"/>
      <c r="E407" s="162">
        <v>3.0</v>
      </c>
      <c r="F407" s="146" t="s">
        <v>1027</v>
      </c>
      <c r="G407" s="146"/>
      <c r="H407" s="147"/>
      <c r="I407" s="148" t="s">
        <v>582</v>
      </c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53">
        <f t="shared" si="35"/>
        <v>0</v>
      </c>
      <c r="W407" s="8"/>
      <c r="X407" s="8"/>
      <c r="Y407" s="8"/>
      <c r="Z407" s="8"/>
    </row>
    <row r="408" ht="14.25" customHeight="1">
      <c r="A408" s="8"/>
      <c r="B408" s="7" t="s">
        <v>1349</v>
      </c>
      <c r="C408" s="148"/>
      <c r="D408" s="159"/>
      <c r="E408" s="162"/>
      <c r="F408" s="146"/>
      <c r="G408" s="146"/>
      <c r="H408" s="147"/>
      <c r="I408" s="148" t="s">
        <v>662</v>
      </c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53">
        <f t="shared" si="35"/>
        <v>0</v>
      </c>
      <c r="W408" s="8"/>
      <c r="X408" s="8"/>
      <c r="Y408" s="8"/>
      <c r="Z408" s="8"/>
    </row>
    <row r="409" ht="14.25" customHeight="1">
      <c r="A409" s="8"/>
      <c r="B409" s="7" t="s">
        <v>1350</v>
      </c>
      <c r="C409" s="148"/>
      <c r="D409" s="159"/>
      <c r="E409" s="162">
        <v>4.0</v>
      </c>
      <c r="F409" s="146" t="s">
        <v>1351</v>
      </c>
      <c r="G409" s="146"/>
      <c r="H409" s="147"/>
      <c r="I409" s="148" t="s">
        <v>662</v>
      </c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53">
        <f t="shared" si="35"/>
        <v>0</v>
      </c>
      <c r="W409" s="8"/>
      <c r="X409" s="8"/>
      <c r="Y409" s="8"/>
      <c r="Z409" s="8"/>
    </row>
    <row r="410" ht="14.25" customHeight="1">
      <c r="A410" s="8"/>
      <c r="B410" s="7" t="s">
        <v>1352</v>
      </c>
      <c r="C410" s="148"/>
      <c r="D410" s="159"/>
      <c r="E410" s="162">
        <v>5.0</v>
      </c>
      <c r="F410" s="146" t="s">
        <v>1353</v>
      </c>
      <c r="G410" s="146"/>
      <c r="H410" s="147"/>
      <c r="I410" s="148" t="s">
        <v>582</v>
      </c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53">
        <f t="shared" si="35"/>
        <v>0</v>
      </c>
      <c r="W410" s="8"/>
      <c r="X410" s="8"/>
      <c r="Y410" s="8"/>
      <c r="Z410" s="8"/>
    </row>
    <row r="411" ht="14.25" customHeight="1">
      <c r="A411" s="8"/>
      <c r="B411" s="7" t="s">
        <v>1352</v>
      </c>
      <c r="C411" s="148"/>
      <c r="D411" s="159"/>
      <c r="E411" s="162"/>
      <c r="F411" s="146"/>
      <c r="G411" s="146"/>
      <c r="H411" s="147"/>
      <c r="I411" s="148" t="s">
        <v>662</v>
      </c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53">
        <f t="shared" si="35"/>
        <v>0</v>
      </c>
      <c r="W411" s="8"/>
      <c r="X411" s="8"/>
      <c r="Y411" s="8"/>
      <c r="Z411" s="8"/>
    </row>
    <row r="412" ht="14.25" customHeight="1">
      <c r="A412" s="8"/>
      <c r="B412" s="7" t="s">
        <v>1354</v>
      </c>
      <c r="C412" s="148"/>
      <c r="D412" s="159"/>
      <c r="E412" s="162">
        <v>6.0</v>
      </c>
      <c r="F412" s="146" t="s">
        <v>1355</v>
      </c>
      <c r="G412" s="146"/>
      <c r="H412" s="147"/>
      <c r="I412" s="148" t="s">
        <v>582</v>
      </c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53">
        <f t="shared" si="35"/>
        <v>0</v>
      </c>
      <c r="W412" s="8"/>
      <c r="X412" s="8"/>
      <c r="Y412" s="8"/>
      <c r="Z412" s="8"/>
    </row>
    <row r="413" ht="14.25" customHeight="1">
      <c r="A413" s="8"/>
      <c r="B413" s="7" t="s">
        <v>1354</v>
      </c>
      <c r="C413" s="148"/>
      <c r="D413" s="159"/>
      <c r="E413" s="162"/>
      <c r="F413" s="146"/>
      <c r="G413" s="146"/>
      <c r="H413" s="147"/>
      <c r="I413" s="148" t="s">
        <v>662</v>
      </c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53">
        <f t="shared" si="35"/>
        <v>0</v>
      </c>
      <c r="W413" s="8"/>
      <c r="X413" s="8"/>
      <c r="Y413" s="8"/>
      <c r="Z413" s="8"/>
    </row>
    <row r="414" ht="14.25" customHeight="1">
      <c r="A414" s="8"/>
      <c r="B414" s="7" t="s">
        <v>1356</v>
      </c>
      <c r="C414" s="148"/>
      <c r="D414" s="159"/>
      <c r="E414" s="162">
        <v>7.0</v>
      </c>
      <c r="F414" s="146" t="s">
        <v>1357</v>
      </c>
      <c r="G414" s="146"/>
      <c r="H414" s="147"/>
      <c r="I414" s="148" t="s">
        <v>662</v>
      </c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53">
        <f t="shared" si="35"/>
        <v>0</v>
      </c>
      <c r="W414" s="8"/>
      <c r="X414" s="8"/>
      <c r="Y414" s="8"/>
      <c r="Z414" s="8"/>
    </row>
    <row r="415" ht="14.25" customHeight="1">
      <c r="A415" s="8"/>
      <c r="B415" s="7" t="s">
        <v>1358</v>
      </c>
      <c r="C415" s="148"/>
      <c r="D415" s="159"/>
      <c r="E415" s="162">
        <v>8.0</v>
      </c>
      <c r="F415" s="146" t="s">
        <v>1359</v>
      </c>
      <c r="G415" s="146"/>
      <c r="H415" s="147"/>
      <c r="I415" s="148" t="s">
        <v>474</v>
      </c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53">
        <f t="shared" si="35"/>
        <v>0</v>
      </c>
      <c r="W415" s="8"/>
      <c r="X415" s="8"/>
      <c r="Y415" s="8"/>
      <c r="Z415" s="8"/>
    </row>
    <row r="416" ht="14.25" customHeight="1">
      <c r="A416" s="8"/>
      <c r="B416" s="163" t="s">
        <v>1360</v>
      </c>
      <c r="C416" s="148"/>
      <c r="D416" s="159"/>
      <c r="E416" s="162">
        <v>9.0</v>
      </c>
      <c r="F416" s="146" t="s">
        <v>1361</v>
      </c>
      <c r="G416" s="146"/>
      <c r="H416" s="147"/>
      <c r="I416" s="148" t="s">
        <v>590</v>
      </c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53">
        <f t="shared" si="35"/>
        <v>0</v>
      </c>
      <c r="W416" s="8"/>
      <c r="X416" s="8"/>
      <c r="Y416" s="8"/>
      <c r="Z416" s="8"/>
    </row>
    <row r="417" ht="14.25" customHeight="1">
      <c r="A417" s="8"/>
      <c r="C417" s="148"/>
      <c r="D417" s="150">
        <v>4.0</v>
      </c>
      <c r="E417" s="146" t="s">
        <v>1362</v>
      </c>
      <c r="F417" s="146"/>
      <c r="G417" s="146"/>
      <c r="H417" s="147"/>
      <c r="I417" s="148"/>
      <c r="J417" s="149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8"/>
      <c r="X417" s="8"/>
      <c r="Y417" s="8"/>
      <c r="Z417" s="8"/>
    </row>
    <row r="418" ht="14.25" customHeight="1">
      <c r="A418" s="8"/>
      <c r="B418" s="7" t="s">
        <v>1363</v>
      </c>
      <c r="C418" s="148"/>
      <c r="D418" s="159"/>
      <c r="E418" s="162">
        <v>1.0</v>
      </c>
      <c r="F418" s="146" t="s">
        <v>1364</v>
      </c>
      <c r="G418" s="146"/>
      <c r="H418" s="147"/>
      <c r="I418" s="148" t="s">
        <v>662</v>
      </c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53">
        <f t="shared" ref="V418:V427" si="36">SUM(J418:U418)</f>
        <v>0</v>
      </c>
      <c r="W418" s="8"/>
      <c r="X418" s="8"/>
      <c r="Y418" s="8"/>
      <c r="Z418" s="8"/>
    </row>
    <row r="419" ht="14.25" customHeight="1">
      <c r="A419" s="8"/>
      <c r="B419" s="7" t="s">
        <v>1363</v>
      </c>
      <c r="C419" s="148"/>
      <c r="D419" s="159"/>
      <c r="E419" s="146"/>
      <c r="F419" s="146"/>
      <c r="G419" s="146"/>
      <c r="H419" s="147"/>
      <c r="I419" s="148" t="s">
        <v>582</v>
      </c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53">
        <f t="shared" si="36"/>
        <v>0</v>
      </c>
      <c r="W419" s="8"/>
      <c r="X419" s="8"/>
      <c r="Y419" s="8"/>
      <c r="Z419" s="8"/>
    </row>
    <row r="420" ht="14.25" customHeight="1">
      <c r="A420" s="8"/>
      <c r="B420" s="7" t="s">
        <v>1365</v>
      </c>
      <c r="C420" s="148"/>
      <c r="D420" s="159"/>
      <c r="E420" s="162">
        <v>2.0</v>
      </c>
      <c r="F420" s="146" t="s">
        <v>957</v>
      </c>
      <c r="G420" s="146"/>
      <c r="H420" s="147"/>
      <c r="I420" s="148" t="s">
        <v>662</v>
      </c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53">
        <f t="shared" si="36"/>
        <v>0</v>
      </c>
      <c r="W420" s="8"/>
      <c r="X420" s="8"/>
      <c r="Y420" s="8"/>
      <c r="Z420" s="8"/>
    </row>
    <row r="421" ht="14.25" customHeight="1">
      <c r="A421" s="8"/>
      <c r="B421" s="7" t="s">
        <v>1365</v>
      </c>
      <c r="C421" s="148"/>
      <c r="D421" s="159"/>
      <c r="E421" s="146"/>
      <c r="F421" s="146"/>
      <c r="G421" s="146"/>
      <c r="H421" s="147"/>
      <c r="I421" s="148" t="s">
        <v>582</v>
      </c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53">
        <f t="shared" si="36"/>
        <v>0</v>
      </c>
      <c r="W421" s="8"/>
      <c r="X421" s="8"/>
      <c r="Y421" s="8"/>
      <c r="Z421" s="8"/>
    </row>
    <row r="422" ht="14.25" customHeight="1">
      <c r="A422" s="8"/>
      <c r="B422" s="7" t="s">
        <v>1366</v>
      </c>
      <c r="C422" s="148"/>
      <c r="D422" s="159"/>
      <c r="E422" s="162">
        <v>3.0</v>
      </c>
      <c r="F422" s="146" t="s">
        <v>959</v>
      </c>
      <c r="G422" s="146"/>
      <c r="H422" s="147"/>
      <c r="I422" s="148" t="s">
        <v>662</v>
      </c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53">
        <f t="shared" si="36"/>
        <v>0</v>
      </c>
      <c r="W422" s="8"/>
      <c r="X422" s="8"/>
      <c r="Y422" s="8"/>
      <c r="Z422" s="8"/>
    </row>
    <row r="423" ht="14.25" customHeight="1">
      <c r="A423" s="8"/>
      <c r="B423" s="7" t="s">
        <v>1367</v>
      </c>
      <c r="C423" s="148"/>
      <c r="D423" s="159"/>
      <c r="E423" s="162">
        <v>4.0</v>
      </c>
      <c r="F423" s="146" t="s">
        <v>961</v>
      </c>
      <c r="G423" s="146"/>
      <c r="H423" s="147"/>
      <c r="I423" s="148" t="s">
        <v>662</v>
      </c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53">
        <f t="shared" si="36"/>
        <v>0</v>
      </c>
      <c r="W423" s="8"/>
      <c r="X423" s="8"/>
      <c r="Y423" s="8"/>
      <c r="Z423" s="8"/>
    </row>
    <row r="424" ht="14.25" customHeight="1">
      <c r="A424" s="8"/>
      <c r="B424" s="7" t="s">
        <v>1368</v>
      </c>
      <c r="C424" s="148"/>
      <c r="D424" s="159"/>
      <c r="E424" s="162">
        <v>5.0</v>
      </c>
      <c r="F424" s="146" t="s">
        <v>963</v>
      </c>
      <c r="G424" s="146"/>
      <c r="H424" s="147"/>
      <c r="I424" s="148" t="s">
        <v>1369</v>
      </c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53">
        <f t="shared" si="36"/>
        <v>0</v>
      </c>
      <c r="W424" s="8"/>
      <c r="X424" s="8"/>
      <c r="Y424" s="8"/>
      <c r="Z424" s="8"/>
    </row>
    <row r="425" ht="14.25" customHeight="1">
      <c r="A425" s="8"/>
      <c r="B425" s="7" t="s">
        <v>1370</v>
      </c>
      <c r="C425" s="148"/>
      <c r="D425" s="159"/>
      <c r="E425" s="162">
        <v>6.0</v>
      </c>
      <c r="F425" s="146" t="s">
        <v>965</v>
      </c>
      <c r="G425" s="146"/>
      <c r="H425" s="147"/>
      <c r="I425" s="148" t="s">
        <v>662</v>
      </c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53">
        <f t="shared" si="36"/>
        <v>0</v>
      </c>
      <c r="W425" s="8"/>
      <c r="X425" s="8"/>
      <c r="Y425" s="8"/>
      <c r="Z425" s="8"/>
    </row>
    <row r="426" ht="14.25" customHeight="1">
      <c r="A426" s="8"/>
      <c r="B426" s="7" t="s">
        <v>1371</v>
      </c>
      <c r="C426" s="148"/>
      <c r="D426" s="159"/>
      <c r="E426" s="162">
        <v>7.0</v>
      </c>
      <c r="F426" s="146" t="s">
        <v>1372</v>
      </c>
      <c r="G426" s="146"/>
      <c r="H426" s="147"/>
      <c r="I426" s="148" t="s">
        <v>662</v>
      </c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53">
        <f t="shared" si="36"/>
        <v>0</v>
      </c>
      <c r="W426" s="8"/>
      <c r="X426" s="8"/>
      <c r="Y426" s="8"/>
      <c r="Z426" s="8"/>
    </row>
    <row r="427" ht="14.25" customHeight="1">
      <c r="A427" s="8"/>
      <c r="B427" s="7" t="s">
        <v>1371</v>
      </c>
      <c r="C427" s="148"/>
      <c r="D427" s="159"/>
      <c r="E427" s="162"/>
      <c r="F427" s="146"/>
      <c r="G427" s="146"/>
      <c r="H427" s="147"/>
      <c r="I427" s="148" t="s">
        <v>491</v>
      </c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53">
        <f t="shared" si="36"/>
        <v>0</v>
      </c>
      <c r="W427" s="8"/>
      <c r="X427" s="8"/>
      <c r="Y427" s="8"/>
      <c r="Z427" s="8"/>
    </row>
    <row r="428" ht="14.25" customHeight="1">
      <c r="A428" s="8"/>
      <c r="B428" s="13"/>
      <c r="C428" s="148"/>
      <c r="D428" s="159"/>
      <c r="E428" s="146"/>
      <c r="F428" s="146"/>
      <c r="G428" s="146"/>
      <c r="H428" s="147"/>
      <c r="I428" s="148"/>
      <c r="J428" s="149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8"/>
      <c r="X428" s="8"/>
      <c r="Y428" s="8"/>
      <c r="Z428" s="8"/>
    </row>
    <row r="429" ht="14.25" customHeight="1">
      <c r="A429" s="8"/>
      <c r="C429" s="144">
        <v>14.0</v>
      </c>
      <c r="D429" s="145" t="s">
        <v>1373</v>
      </c>
      <c r="E429" s="146"/>
      <c r="F429" s="146"/>
      <c r="G429" s="146"/>
      <c r="H429" s="147"/>
      <c r="I429" s="148"/>
      <c r="J429" s="149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8"/>
      <c r="X429" s="8"/>
      <c r="Y429" s="8"/>
      <c r="Z429" s="8"/>
    </row>
    <row r="430" ht="14.25" customHeight="1">
      <c r="A430" s="8"/>
      <c r="C430" s="148"/>
      <c r="D430" s="150">
        <v>1.0</v>
      </c>
      <c r="E430" s="146" t="s">
        <v>1374</v>
      </c>
      <c r="F430" s="146"/>
      <c r="G430" s="146"/>
      <c r="H430" s="147"/>
      <c r="I430" s="148"/>
      <c r="J430" s="149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8"/>
      <c r="X430" s="8"/>
      <c r="Y430" s="8"/>
      <c r="Z430" s="8"/>
    </row>
    <row r="431" ht="14.25" customHeight="1">
      <c r="A431" s="8"/>
      <c r="B431" s="7" t="s">
        <v>1375</v>
      </c>
      <c r="C431" s="148"/>
      <c r="D431" s="150"/>
      <c r="E431" s="116">
        <v>1.0</v>
      </c>
      <c r="F431" s="146" t="s">
        <v>1376</v>
      </c>
      <c r="G431" s="146"/>
      <c r="H431" s="147"/>
      <c r="I431" s="148" t="s">
        <v>1377</v>
      </c>
      <c r="J431" s="164">
        <v>750889.0</v>
      </c>
      <c r="K431" s="165">
        <v>750889.0</v>
      </c>
      <c r="L431" s="165">
        <v>750889.0</v>
      </c>
      <c r="M431" s="165">
        <v>750889.0</v>
      </c>
      <c r="N431" s="165">
        <v>750889.0</v>
      </c>
      <c r="O431" s="165">
        <v>750889.0</v>
      </c>
      <c r="P431" s="151"/>
      <c r="Q431" s="151"/>
      <c r="R431" s="151"/>
      <c r="S431" s="151"/>
      <c r="T431" s="151"/>
      <c r="U431" s="151"/>
      <c r="V431" s="53">
        <f t="shared" ref="V431:V435" si="37">SUM(J431:U431)</f>
        <v>4505334</v>
      </c>
      <c r="W431" s="8"/>
      <c r="X431" s="8"/>
      <c r="Y431" s="8"/>
      <c r="Z431" s="8"/>
    </row>
    <row r="432" ht="14.25" customHeight="1">
      <c r="A432" s="8"/>
      <c r="B432" s="7" t="s">
        <v>1378</v>
      </c>
      <c r="C432" s="148"/>
      <c r="D432" s="150"/>
      <c r="E432" s="116">
        <v>2.0</v>
      </c>
      <c r="F432" s="146" t="s">
        <v>1379</v>
      </c>
      <c r="G432" s="146"/>
      <c r="H432" s="147"/>
      <c r="I432" s="148" t="s">
        <v>582</v>
      </c>
      <c r="J432" s="65"/>
      <c r="K432" s="166"/>
      <c r="L432" s="151"/>
      <c r="M432" s="167"/>
      <c r="N432" s="151"/>
      <c r="O432" s="151"/>
      <c r="P432" s="151"/>
      <c r="Q432" s="151"/>
      <c r="R432" s="151"/>
      <c r="S432" s="151"/>
      <c r="T432" s="151"/>
      <c r="U432" s="151"/>
      <c r="V432" s="53">
        <f t="shared" si="37"/>
        <v>0</v>
      </c>
      <c r="W432" s="8"/>
      <c r="X432" s="8"/>
      <c r="Y432" s="8"/>
      <c r="Z432" s="8"/>
    </row>
    <row r="433" ht="14.25" customHeight="1">
      <c r="A433" s="8"/>
      <c r="B433" s="7" t="s">
        <v>1378</v>
      </c>
      <c r="C433" s="148"/>
      <c r="D433" s="150"/>
      <c r="E433" s="146"/>
      <c r="F433" s="146"/>
      <c r="G433" s="146"/>
      <c r="H433" s="147"/>
      <c r="I433" s="148" t="s">
        <v>491</v>
      </c>
      <c r="J433" s="65"/>
      <c r="K433" s="166"/>
      <c r="L433" s="151"/>
      <c r="M433" s="167"/>
      <c r="N433" s="151"/>
      <c r="O433" s="151"/>
      <c r="P433" s="151"/>
      <c r="Q433" s="151"/>
      <c r="R433" s="151"/>
      <c r="S433" s="151"/>
      <c r="T433" s="151"/>
      <c r="U433" s="151"/>
      <c r="V433" s="53">
        <f t="shared" si="37"/>
        <v>0</v>
      </c>
      <c r="W433" s="8"/>
      <c r="X433" s="8"/>
      <c r="Y433" s="8"/>
      <c r="Z433" s="8"/>
    </row>
    <row r="434" ht="14.25" customHeight="1">
      <c r="A434" s="8"/>
      <c r="B434" s="7" t="s">
        <v>1378</v>
      </c>
      <c r="C434" s="148"/>
      <c r="D434" s="150"/>
      <c r="E434" s="146"/>
      <c r="F434" s="146"/>
      <c r="G434" s="146"/>
      <c r="H434" s="147"/>
      <c r="I434" s="148" t="s">
        <v>583</v>
      </c>
      <c r="J434" s="65"/>
      <c r="K434" s="166"/>
      <c r="L434" s="151"/>
      <c r="M434" s="167"/>
      <c r="N434" s="151"/>
      <c r="O434" s="151"/>
      <c r="P434" s="151"/>
      <c r="Q434" s="151"/>
      <c r="R434" s="151"/>
      <c r="S434" s="151"/>
      <c r="T434" s="151"/>
      <c r="U434" s="151"/>
      <c r="V434" s="53">
        <f t="shared" si="37"/>
        <v>0</v>
      </c>
      <c r="W434" s="8"/>
      <c r="X434" s="8"/>
      <c r="Y434" s="8"/>
      <c r="Z434" s="8"/>
    </row>
    <row r="435" ht="14.25" customHeight="1">
      <c r="A435" s="8"/>
      <c r="B435" s="7" t="s">
        <v>1378</v>
      </c>
      <c r="C435" s="148"/>
      <c r="D435" s="150"/>
      <c r="E435" s="146"/>
      <c r="F435" s="146"/>
      <c r="G435" s="146"/>
      <c r="H435" s="147"/>
      <c r="I435" s="148" t="s">
        <v>1377</v>
      </c>
      <c r="J435" s="65"/>
      <c r="K435" s="166"/>
      <c r="L435" s="151"/>
      <c r="M435" s="167"/>
      <c r="N435" s="151"/>
      <c r="O435" s="151"/>
      <c r="P435" s="151"/>
      <c r="Q435" s="151"/>
      <c r="R435" s="151"/>
      <c r="S435" s="151"/>
      <c r="T435" s="151"/>
      <c r="U435" s="151"/>
      <c r="V435" s="53">
        <f t="shared" si="37"/>
        <v>0</v>
      </c>
      <c r="W435" s="8"/>
      <c r="X435" s="8"/>
      <c r="Y435" s="8"/>
      <c r="Z435" s="8"/>
    </row>
    <row r="436" ht="14.25" customHeight="1">
      <c r="A436" s="8"/>
      <c r="B436" s="7" t="s">
        <v>1380</v>
      </c>
      <c r="C436" s="148"/>
      <c r="D436" s="150">
        <v>2.0</v>
      </c>
      <c r="E436" s="146" t="s">
        <v>1381</v>
      </c>
      <c r="F436" s="146"/>
      <c r="G436" s="146"/>
      <c r="H436" s="147"/>
      <c r="I436" s="148" t="s">
        <v>1377</v>
      </c>
      <c r="J436" s="65"/>
      <c r="K436" s="166"/>
      <c r="L436" s="151"/>
      <c r="M436" s="167"/>
      <c r="N436" s="151"/>
      <c r="O436" s="151"/>
      <c r="P436" s="151"/>
      <c r="Q436" s="151"/>
      <c r="R436" s="151"/>
      <c r="S436" s="151"/>
      <c r="T436" s="151"/>
      <c r="U436" s="151"/>
      <c r="V436" s="53">
        <f>IFERROR(LOOKUP(2,1/(J436:U436&lt;&gt;""),J436:U436),0)</f>
        <v>0</v>
      </c>
      <c r="W436" s="8"/>
      <c r="X436" s="8"/>
      <c r="Y436" s="8"/>
      <c r="Z436" s="8"/>
    </row>
    <row r="437" ht="14.25" customHeight="1">
      <c r="A437" s="8"/>
      <c r="B437" s="7" t="s">
        <v>1382</v>
      </c>
      <c r="C437" s="148"/>
      <c r="D437" s="150">
        <v>3.0</v>
      </c>
      <c r="E437" s="146" t="s">
        <v>1383</v>
      </c>
      <c r="F437" s="146"/>
      <c r="G437" s="146"/>
      <c r="H437" s="147"/>
      <c r="I437" s="148" t="s">
        <v>582</v>
      </c>
      <c r="J437" s="168"/>
      <c r="K437" s="166"/>
      <c r="L437" s="151"/>
      <c r="M437" s="167"/>
      <c r="N437" s="151"/>
      <c r="O437" s="151"/>
      <c r="P437" s="151"/>
      <c r="Q437" s="151"/>
      <c r="R437" s="151"/>
      <c r="S437" s="151"/>
      <c r="T437" s="151"/>
      <c r="U437" s="151"/>
      <c r="V437" s="53">
        <f t="shared" ref="V437:V438" si="38">SUM(J437:U437)</f>
        <v>0</v>
      </c>
      <c r="W437" s="8"/>
      <c r="X437" s="8"/>
      <c r="Y437" s="8"/>
      <c r="Z437" s="8"/>
    </row>
    <row r="438" ht="14.25" customHeight="1">
      <c r="A438" s="8"/>
      <c r="B438" s="7" t="s">
        <v>1382</v>
      </c>
      <c r="C438" s="148"/>
      <c r="D438" s="150"/>
      <c r="E438" s="146"/>
      <c r="F438" s="146"/>
      <c r="G438" s="146"/>
      <c r="H438" s="147"/>
      <c r="I438" s="148" t="s">
        <v>583</v>
      </c>
      <c r="J438" s="65"/>
      <c r="K438" s="166"/>
      <c r="L438" s="151"/>
      <c r="M438" s="167"/>
      <c r="N438" s="151"/>
      <c r="O438" s="151"/>
      <c r="P438" s="151"/>
      <c r="Q438" s="151"/>
      <c r="R438" s="151"/>
      <c r="S438" s="151"/>
      <c r="T438" s="151"/>
      <c r="U438" s="151"/>
      <c r="V438" s="53">
        <f t="shared" si="38"/>
        <v>0</v>
      </c>
      <c r="W438" s="8"/>
      <c r="X438" s="8"/>
      <c r="Y438" s="8"/>
      <c r="Z438" s="8"/>
    </row>
    <row r="439" ht="14.25" customHeight="1">
      <c r="A439" s="8"/>
      <c r="B439" s="7" t="s">
        <v>1382</v>
      </c>
      <c r="C439" s="148"/>
      <c r="D439" s="150"/>
      <c r="E439" s="146"/>
      <c r="F439" s="146"/>
      <c r="G439" s="146"/>
      <c r="H439" s="147"/>
      <c r="I439" s="148" t="s">
        <v>1377</v>
      </c>
      <c r="J439" s="169">
        <v>1347.0</v>
      </c>
      <c r="K439" s="155">
        <v>1347.0</v>
      </c>
      <c r="L439" s="155">
        <v>1347.0</v>
      </c>
      <c r="M439" s="165">
        <v>1347.0</v>
      </c>
      <c r="N439" s="165">
        <v>1347.0</v>
      </c>
      <c r="O439" s="165">
        <v>1347.0</v>
      </c>
      <c r="P439" s="151"/>
      <c r="Q439" s="151"/>
      <c r="R439" s="151"/>
      <c r="S439" s="151"/>
      <c r="T439" s="151"/>
      <c r="U439" s="151"/>
      <c r="V439" s="53">
        <f>IFERROR(LOOKUP(2,1/(J439:U439&lt;&gt;""),J439:U439),0)</f>
        <v>0</v>
      </c>
      <c r="W439" s="8"/>
      <c r="X439" s="8"/>
      <c r="Y439" s="8"/>
      <c r="Z439" s="8"/>
    </row>
    <row r="440" ht="14.25" customHeight="1">
      <c r="A440" s="8"/>
      <c r="B440" s="7" t="s">
        <v>1382</v>
      </c>
      <c r="C440" s="148"/>
      <c r="D440" s="150"/>
      <c r="E440" s="146"/>
      <c r="F440" s="146"/>
      <c r="G440" s="146"/>
      <c r="H440" s="147"/>
      <c r="I440" s="148" t="s">
        <v>1384</v>
      </c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53">
        <f t="shared" ref="V440:V441" si="39">SUM(J440:U440)</f>
        <v>0</v>
      </c>
      <c r="W440" s="8"/>
      <c r="X440" s="8"/>
      <c r="Y440" s="8"/>
      <c r="Z440" s="8"/>
    </row>
    <row r="441" ht="14.25" customHeight="1">
      <c r="A441" s="8"/>
      <c r="B441" s="7" t="s">
        <v>1385</v>
      </c>
      <c r="C441" s="148"/>
      <c r="D441" s="150">
        <v>4.0</v>
      </c>
      <c r="E441" s="146" t="s">
        <v>1386</v>
      </c>
      <c r="F441" s="146"/>
      <c r="G441" s="146"/>
      <c r="H441" s="147"/>
      <c r="I441" s="148" t="s">
        <v>1387</v>
      </c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53">
        <f t="shared" si="39"/>
        <v>0</v>
      </c>
      <c r="W441" s="8"/>
      <c r="X441" s="8"/>
      <c r="Y441" s="8"/>
      <c r="Z441" s="8"/>
    </row>
    <row r="442" ht="14.25" customHeight="1">
      <c r="A442" s="8"/>
      <c r="B442" s="13"/>
      <c r="C442" s="148"/>
      <c r="D442" s="159"/>
      <c r="E442" s="146"/>
      <c r="F442" s="146"/>
      <c r="G442" s="146"/>
      <c r="H442" s="147"/>
      <c r="I442" s="148"/>
      <c r="J442" s="149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8"/>
      <c r="X442" s="8"/>
      <c r="Y442" s="8"/>
      <c r="Z442" s="8"/>
    </row>
    <row r="443" ht="14.25" customHeight="1">
      <c r="A443" s="8"/>
      <c r="C443" s="144">
        <v>15.0</v>
      </c>
      <c r="D443" s="145" t="s">
        <v>1388</v>
      </c>
      <c r="E443" s="146"/>
      <c r="F443" s="146"/>
      <c r="G443" s="146"/>
      <c r="H443" s="147"/>
      <c r="I443" s="148"/>
      <c r="J443" s="149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8"/>
      <c r="X443" s="8"/>
      <c r="Y443" s="8"/>
      <c r="Z443" s="8"/>
    </row>
    <row r="444" ht="14.25" customHeight="1">
      <c r="A444" s="8"/>
      <c r="C444" s="148"/>
      <c r="D444" s="150">
        <v>1.0</v>
      </c>
      <c r="E444" s="146" t="s">
        <v>1389</v>
      </c>
      <c r="F444" s="146"/>
      <c r="G444" s="146"/>
      <c r="H444" s="147"/>
      <c r="I444" s="148"/>
      <c r="J444" s="149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8"/>
      <c r="X444" s="8"/>
      <c r="Y444" s="8"/>
      <c r="Z444" s="8"/>
    </row>
    <row r="445" ht="14.25" customHeight="1">
      <c r="A445" s="8"/>
      <c r="C445" s="148"/>
      <c r="D445" s="150"/>
      <c r="E445" s="162">
        <v>1.0</v>
      </c>
      <c r="F445" s="146" t="s">
        <v>1390</v>
      </c>
      <c r="G445" s="146"/>
      <c r="H445" s="147"/>
      <c r="I445" s="148"/>
      <c r="J445" s="149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8"/>
      <c r="X445" s="8"/>
      <c r="Y445" s="8"/>
      <c r="Z445" s="8"/>
    </row>
    <row r="446" ht="14.25" customHeight="1">
      <c r="A446" s="8"/>
      <c r="B446" s="7" t="s">
        <v>1391</v>
      </c>
      <c r="C446" s="148"/>
      <c r="D446" s="150"/>
      <c r="E446" s="162"/>
      <c r="F446" s="162">
        <v>1.0</v>
      </c>
      <c r="G446" s="146" t="s">
        <v>1392</v>
      </c>
      <c r="H446" s="147"/>
      <c r="I446" s="148" t="s">
        <v>582</v>
      </c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53">
        <f t="shared" ref="V446:V447" si="40">SUM(J446:U446)</f>
        <v>0</v>
      </c>
      <c r="W446" s="8"/>
      <c r="X446" s="8"/>
      <c r="Y446" s="8"/>
      <c r="Z446" s="8"/>
    </row>
    <row r="447" ht="14.25" customHeight="1">
      <c r="A447" s="8"/>
      <c r="B447" s="7" t="s">
        <v>1393</v>
      </c>
      <c r="C447" s="148"/>
      <c r="D447" s="150"/>
      <c r="E447" s="162"/>
      <c r="F447" s="162">
        <v>2.0</v>
      </c>
      <c r="G447" s="146" t="s">
        <v>1394</v>
      </c>
      <c r="H447" s="147"/>
      <c r="I447" s="148" t="s">
        <v>582</v>
      </c>
      <c r="J447" s="170"/>
      <c r="K447" s="170"/>
      <c r="L447" s="170"/>
      <c r="M447" s="170"/>
      <c r="N447" s="170"/>
      <c r="O447" s="170"/>
      <c r="P447" s="151"/>
      <c r="Q447" s="151"/>
      <c r="R447" s="151"/>
      <c r="S447" s="151"/>
      <c r="T447" s="151"/>
      <c r="U447" s="151"/>
      <c r="V447" s="53">
        <f t="shared" si="40"/>
        <v>0</v>
      </c>
      <c r="W447" s="8"/>
      <c r="X447" s="8"/>
      <c r="Y447" s="8"/>
      <c r="Z447" s="8"/>
    </row>
    <row r="448" ht="14.25" customHeight="1">
      <c r="A448" s="8"/>
      <c r="C448" s="148"/>
      <c r="D448" s="150"/>
      <c r="E448" s="162">
        <v>2.0</v>
      </c>
      <c r="F448" s="146" t="s">
        <v>1395</v>
      </c>
      <c r="G448" s="146"/>
      <c r="H448" s="147"/>
      <c r="I448" s="148"/>
      <c r="J448" s="149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8"/>
      <c r="X448" s="8"/>
      <c r="Y448" s="8"/>
      <c r="Z448" s="8"/>
    </row>
    <row r="449" ht="14.25" customHeight="1">
      <c r="A449" s="8"/>
      <c r="B449" s="7" t="s">
        <v>1396</v>
      </c>
      <c r="C449" s="148"/>
      <c r="D449" s="150"/>
      <c r="E449" s="146"/>
      <c r="F449" s="162">
        <v>1.0</v>
      </c>
      <c r="G449" s="146" t="s">
        <v>1392</v>
      </c>
      <c r="H449" s="147"/>
      <c r="I449" s="148" t="s">
        <v>582</v>
      </c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53">
        <f t="shared" ref="V449:V450" si="41">SUM(J449:U449)</f>
        <v>0</v>
      </c>
      <c r="W449" s="8"/>
      <c r="X449" s="8"/>
      <c r="Y449" s="8"/>
      <c r="Z449" s="8"/>
    </row>
    <row r="450" ht="14.25" customHeight="1">
      <c r="A450" s="8"/>
      <c r="B450" s="7" t="s">
        <v>1397</v>
      </c>
      <c r="C450" s="148"/>
      <c r="D450" s="150"/>
      <c r="E450" s="146"/>
      <c r="F450" s="162">
        <v>2.0</v>
      </c>
      <c r="G450" s="146" t="s">
        <v>1394</v>
      </c>
      <c r="H450" s="147"/>
      <c r="I450" s="148" t="s">
        <v>582</v>
      </c>
      <c r="J450" s="170"/>
      <c r="K450" s="170"/>
      <c r="L450" s="170"/>
      <c r="M450" s="170"/>
      <c r="N450" s="170"/>
      <c r="O450" s="170"/>
      <c r="P450" s="151"/>
      <c r="Q450" s="151"/>
      <c r="R450" s="151"/>
      <c r="S450" s="151"/>
      <c r="T450" s="151"/>
      <c r="U450" s="151"/>
      <c r="V450" s="53">
        <f t="shared" si="41"/>
        <v>0</v>
      </c>
      <c r="W450" s="8"/>
      <c r="X450" s="8"/>
      <c r="Y450" s="8"/>
      <c r="Z450" s="8"/>
    </row>
    <row r="451" ht="14.25" customHeight="1">
      <c r="A451" s="8"/>
      <c r="B451" s="163"/>
      <c r="C451" s="148"/>
      <c r="D451" s="150">
        <v>2.0</v>
      </c>
      <c r="E451" s="146" t="s">
        <v>1398</v>
      </c>
      <c r="F451" s="146"/>
      <c r="G451" s="146"/>
      <c r="H451" s="147"/>
      <c r="I451" s="148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8"/>
      <c r="X451" s="8"/>
      <c r="Y451" s="8"/>
      <c r="Z451" s="8"/>
    </row>
    <row r="452" ht="14.25" customHeight="1">
      <c r="A452" s="8"/>
      <c r="B452" s="163" t="s">
        <v>1399</v>
      </c>
      <c r="C452" s="148"/>
      <c r="D452" s="150"/>
      <c r="E452" s="162">
        <v>1.0</v>
      </c>
      <c r="F452" s="146" t="s">
        <v>1400</v>
      </c>
      <c r="G452" s="146"/>
      <c r="H452" s="147"/>
      <c r="I452" s="148" t="s">
        <v>1401</v>
      </c>
      <c r="J452" s="170">
        <v>142586.0</v>
      </c>
      <c r="K452" s="170">
        <v>174203.0</v>
      </c>
      <c r="L452" s="170">
        <v>140499.0</v>
      </c>
      <c r="M452" s="152">
        <v>239645.0</v>
      </c>
      <c r="N452" s="170">
        <v>179502.0</v>
      </c>
      <c r="O452" s="170">
        <v>195730.0</v>
      </c>
      <c r="P452" s="151"/>
      <c r="Q452" s="151"/>
      <c r="R452" s="151"/>
      <c r="S452" s="151"/>
      <c r="T452" s="151"/>
      <c r="U452" s="151"/>
      <c r="V452" s="53">
        <f t="shared" ref="V452:V455" si="42">SUM(J452:U452)</f>
        <v>1072165</v>
      </c>
      <c r="W452" s="8"/>
      <c r="X452" s="8"/>
      <c r="Y452" s="8"/>
      <c r="Z452" s="8"/>
    </row>
    <row r="453" ht="14.25" customHeight="1">
      <c r="A453" s="8"/>
      <c r="B453" s="163" t="s">
        <v>1402</v>
      </c>
      <c r="C453" s="148"/>
      <c r="D453" s="150"/>
      <c r="E453" s="162">
        <v>2.0</v>
      </c>
      <c r="F453" s="146" t="s">
        <v>1403</v>
      </c>
      <c r="G453" s="146"/>
      <c r="H453" s="147"/>
      <c r="I453" s="148" t="s">
        <v>1401</v>
      </c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53">
        <f t="shared" si="42"/>
        <v>0</v>
      </c>
      <c r="W453" s="8"/>
      <c r="X453" s="8"/>
      <c r="Y453" s="8"/>
      <c r="Z453" s="8"/>
    </row>
    <row r="454" ht="14.25" customHeight="1">
      <c r="A454" s="8"/>
      <c r="B454" s="163" t="s">
        <v>1404</v>
      </c>
      <c r="C454" s="148"/>
      <c r="D454" s="150"/>
      <c r="E454" s="162">
        <v>3.0</v>
      </c>
      <c r="F454" s="146" t="s">
        <v>1405</v>
      </c>
      <c r="G454" s="146"/>
      <c r="H454" s="147"/>
      <c r="I454" s="148" t="s">
        <v>1401</v>
      </c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53">
        <f t="shared" si="42"/>
        <v>0</v>
      </c>
      <c r="W454" s="8"/>
      <c r="X454" s="8"/>
      <c r="Y454" s="8"/>
      <c r="Z454" s="8"/>
    </row>
    <row r="455" ht="14.25" customHeight="1">
      <c r="A455" s="8"/>
      <c r="B455" s="163" t="s">
        <v>1406</v>
      </c>
      <c r="C455" s="148"/>
      <c r="D455" s="150"/>
      <c r="E455" s="162">
        <v>4.0</v>
      </c>
      <c r="F455" s="146" t="s">
        <v>1407</v>
      </c>
      <c r="G455" s="146"/>
      <c r="H455" s="147"/>
      <c r="I455" s="148" t="s">
        <v>1401</v>
      </c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53">
        <f t="shared" si="42"/>
        <v>0</v>
      </c>
      <c r="W455" s="8"/>
      <c r="X455" s="8"/>
      <c r="Y455" s="8"/>
      <c r="Z455" s="8"/>
    </row>
    <row r="456" ht="14.25" customHeight="1">
      <c r="A456" s="8"/>
      <c r="B456" s="13"/>
      <c r="C456" s="148"/>
      <c r="D456" s="159"/>
      <c r="E456" s="146"/>
      <c r="F456" s="146"/>
      <c r="G456" s="146"/>
      <c r="H456" s="147"/>
      <c r="I456" s="148"/>
      <c r="J456" s="149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8"/>
      <c r="X456" s="8"/>
      <c r="Y456" s="8"/>
      <c r="Z456" s="8"/>
    </row>
    <row r="457" ht="14.25" customHeight="1">
      <c r="A457" s="8"/>
      <c r="C457" s="144">
        <v>16.0</v>
      </c>
      <c r="D457" s="145" t="s">
        <v>1408</v>
      </c>
      <c r="E457" s="146"/>
      <c r="F457" s="146"/>
      <c r="G457" s="146"/>
      <c r="H457" s="147"/>
      <c r="I457" s="148"/>
      <c r="J457" s="149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8"/>
      <c r="X457" s="8"/>
      <c r="Y457" s="8"/>
      <c r="Z457" s="8"/>
    </row>
    <row r="458" ht="14.25" customHeight="1">
      <c r="A458" s="8"/>
      <c r="C458" s="148"/>
      <c r="D458" s="150">
        <v>1.0</v>
      </c>
      <c r="E458" s="146" t="s">
        <v>1409</v>
      </c>
      <c r="F458" s="146"/>
      <c r="G458" s="146"/>
      <c r="H458" s="147"/>
      <c r="I458" s="148"/>
      <c r="J458" s="149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8"/>
      <c r="X458" s="8"/>
      <c r="Y458" s="8"/>
      <c r="Z458" s="8"/>
    </row>
    <row r="459" ht="14.25" customHeight="1">
      <c r="A459" s="8"/>
      <c r="B459" s="7" t="s">
        <v>1410</v>
      </c>
      <c r="C459" s="148"/>
      <c r="D459" s="150"/>
      <c r="E459" s="162">
        <v>1.0</v>
      </c>
      <c r="F459" s="146" t="s">
        <v>1411</v>
      </c>
      <c r="G459" s="146"/>
      <c r="H459" s="147"/>
      <c r="I459" s="148" t="s">
        <v>202</v>
      </c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53">
        <f>SUM(J459:U459)</f>
        <v>0</v>
      </c>
      <c r="W459" s="8"/>
      <c r="X459" s="8"/>
      <c r="Y459" s="8"/>
      <c r="Z459" s="8"/>
    </row>
    <row r="460" ht="14.25" customHeight="1">
      <c r="A460" s="8"/>
      <c r="C460" s="148"/>
      <c r="D460" s="150">
        <v>2.0</v>
      </c>
      <c r="E460" s="146" t="s">
        <v>1412</v>
      </c>
      <c r="F460" s="146"/>
      <c r="G460" s="146"/>
      <c r="H460" s="147"/>
      <c r="I460" s="148"/>
      <c r="J460" s="149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8"/>
      <c r="X460" s="8"/>
      <c r="Y460" s="8"/>
      <c r="Z460" s="8"/>
    </row>
    <row r="461" ht="14.25" customHeight="1">
      <c r="A461" s="8"/>
      <c r="B461" s="7" t="s">
        <v>1413</v>
      </c>
      <c r="C461" s="148"/>
      <c r="D461" s="150"/>
      <c r="E461" s="162">
        <v>1.0</v>
      </c>
      <c r="F461" s="146" t="s">
        <v>1414</v>
      </c>
      <c r="G461" s="146"/>
      <c r="H461" s="147"/>
      <c r="I461" s="148" t="s">
        <v>202</v>
      </c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53">
        <f t="shared" ref="V461:V462" si="43">SUM(J461:U461)</f>
        <v>0</v>
      </c>
      <c r="W461" s="8"/>
      <c r="X461" s="8"/>
      <c r="Y461" s="8"/>
      <c r="Z461" s="8"/>
    </row>
    <row r="462" ht="14.25" customHeight="1">
      <c r="A462" s="8"/>
      <c r="B462" s="7" t="s">
        <v>1415</v>
      </c>
      <c r="C462" s="148"/>
      <c r="D462" s="150"/>
      <c r="E462" s="162">
        <v>2.0</v>
      </c>
      <c r="F462" s="146" t="s">
        <v>1416</v>
      </c>
      <c r="G462" s="146"/>
      <c r="H462" s="147"/>
      <c r="I462" s="148" t="s">
        <v>202</v>
      </c>
      <c r="J462" s="164">
        <v>268.0</v>
      </c>
      <c r="K462" s="171">
        <v>30.0</v>
      </c>
      <c r="L462" s="170">
        <v>11.0</v>
      </c>
      <c r="M462" s="152">
        <v>9.0</v>
      </c>
      <c r="N462" s="152">
        <v>0.0</v>
      </c>
      <c r="O462" s="172">
        <v>0.0</v>
      </c>
      <c r="P462" s="151"/>
      <c r="Q462" s="151"/>
      <c r="R462" s="151"/>
      <c r="S462" s="151"/>
      <c r="T462" s="151"/>
      <c r="U462" s="151"/>
      <c r="V462" s="53">
        <f t="shared" si="43"/>
        <v>318</v>
      </c>
      <c r="W462" s="8"/>
      <c r="X462" s="8"/>
      <c r="Y462" s="8"/>
      <c r="Z462" s="8"/>
    </row>
    <row r="463" ht="14.25" customHeight="1">
      <c r="A463" s="8"/>
      <c r="C463" s="148"/>
      <c r="D463" s="150">
        <v>3.0</v>
      </c>
      <c r="E463" s="146" t="s">
        <v>1417</v>
      </c>
      <c r="F463" s="146"/>
      <c r="G463" s="146"/>
      <c r="H463" s="147"/>
      <c r="I463" s="148"/>
      <c r="J463" s="149"/>
      <c r="K463" s="173"/>
      <c r="L463" s="45"/>
      <c r="M463" s="45"/>
      <c r="N463" s="45"/>
      <c r="O463" s="98"/>
      <c r="P463" s="98"/>
      <c r="Q463" s="98"/>
      <c r="R463" s="98"/>
      <c r="S463" s="98"/>
      <c r="T463" s="98"/>
      <c r="U463" s="98"/>
      <c r="V463" s="98"/>
      <c r="W463" s="8"/>
      <c r="X463" s="8"/>
      <c r="Y463" s="8"/>
      <c r="Z463" s="8"/>
    </row>
    <row r="464" ht="14.25" customHeight="1">
      <c r="A464" s="8"/>
      <c r="B464" s="7" t="s">
        <v>1418</v>
      </c>
      <c r="C464" s="148"/>
      <c r="D464" s="150"/>
      <c r="E464" s="162">
        <v>1.0</v>
      </c>
      <c r="F464" s="146" t="s">
        <v>1419</v>
      </c>
      <c r="G464" s="146"/>
      <c r="H464" s="147"/>
      <c r="I464" s="148" t="s">
        <v>202</v>
      </c>
      <c r="J464" s="171">
        <v>12324.0</v>
      </c>
      <c r="K464" s="171">
        <v>8225.0</v>
      </c>
      <c r="L464" s="171">
        <v>7555.0</v>
      </c>
      <c r="M464" s="174">
        <v>15419.0</v>
      </c>
      <c r="N464" s="175">
        <v>14894.0</v>
      </c>
      <c r="O464" s="175">
        <v>13245.0</v>
      </c>
      <c r="P464" s="151"/>
      <c r="Q464" s="151"/>
      <c r="R464" s="151"/>
      <c r="S464" s="151"/>
      <c r="T464" s="151"/>
      <c r="U464" s="151"/>
      <c r="V464" s="53">
        <f t="shared" ref="V464:V477" si="44">SUM(J464:U464)</f>
        <v>71662</v>
      </c>
      <c r="W464" s="8"/>
      <c r="X464" s="8"/>
      <c r="Y464" s="8"/>
      <c r="Z464" s="8"/>
    </row>
    <row r="465" ht="14.25" customHeight="1">
      <c r="A465" s="8"/>
      <c r="B465" s="7" t="s">
        <v>1418</v>
      </c>
      <c r="C465" s="148"/>
      <c r="D465" s="150"/>
      <c r="E465" s="146"/>
      <c r="F465" s="146"/>
      <c r="G465" s="146"/>
      <c r="H465" s="147"/>
      <c r="I465" s="148" t="s">
        <v>474</v>
      </c>
      <c r="J465" s="151"/>
      <c r="K465" s="166"/>
      <c r="L465" s="167"/>
      <c r="M465" s="167"/>
      <c r="N465" s="167"/>
      <c r="O465" s="151"/>
      <c r="P465" s="151"/>
      <c r="Q465" s="151"/>
      <c r="R465" s="151"/>
      <c r="S465" s="151"/>
      <c r="T465" s="151"/>
      <c r="U465" s="151"/>
      <c r="V465" s="53">
        <f t="shared" si="44"/>
        <v>0</v>
      </c>
      <c r="W465" s="8"/>
      <c r="X465" s="8"/>
      <c r="Y465" s="8"/>
      <c r="Z465" s="8"/>
    </row>
    <row r="466" ht="14.25" customHeight="1">
      <c r="A466" s="8"/>
      <c r="B466" s="7" t="s">
        <v>1418</v>
      </c>
      <c r="C466" s="148"/>
      <c r="D466" s="150"/>
      <c r="E466" s="146"/>
      <c r="F466" s="146"/>
      <c r="G466" s="146"/>
      <c r="H466" s="147"/>
      <c r="I466" s="148" t="s">
        <v>582</v>
      </c>
      <c r="J466" s="152">
        <v>296163.8</v>
      </c>
      <c r="K466" s="154">
        <v>407555.75</v>
      </c>
      <c r="L466" s="154">
        <v>282846.0</v>
      </c>
      <c r="M466" s="154">
        <v>329821.13</v>
      </c>
      <c r="N466" s="154">
        <v>329821.13</v>
      </c>
      <c r="O466" s="151"/>
      <c r="P466" s="151"/>
      <c r="Q466" s="151"/>
      <c r="R466" s="151"/>
      <c r="S466" s="151"/>
      <c r="T466" s="151"/>
      <c r="U466" s="151"/>
      <c r="V466" s="53">
        <f t="shared" si="44"/>
        <v>1646207.81</v>
      </c>
      <c r="W466" s="8"/>
      <c r="X466" s="8"/>
      <c r="Y466" s="8"/>
      <c r="Z466" s="8"/>
    </row>
    <row r="467" ht="14.25" customHeight="1">
      <c r="A467" s="8"/>
      <c r="B467" s="7" t="s">
        <v>1418</v>
      </c>
      <c r="C467" s="148"/>
      <c r="D467" s="150"/>
      <c r="E467" s="146"/>
      <c r="F467" s="146"/>
      <c r="G467" s="146"/>
      <c r="H467" s="147"/>
      <c r="I467" s="148" t="s">
        <v>583</v>
      </c>
      <c r="J467" s="151"/>
      <c r="K467" s="154">
        <v>23676.0</v>
      </c>
      <c r="L467" s="154">
        <v>88806.0</v>
      </c>
      <c r="M467" s="154">
        <v>1464.0</v>
      </c>
      <c r="N467" s="154">
        <v>1464.0</v>
      </c>
      <c r="O467" s="151"/>
      <c r="P467" s="151"/>
      <c r="Q467" s="151"/>
      <c r="R467" s="151"/>
      <c r="S467" s="151"/>
      <c r="T467" s="151"/>
      <c r="U467" s="151"/>
      <c r="V467" s="53">
        <f t="shared" si="44"/>
        <v>115410</v>
      </c>
      <c r="W467" s="8"/>
      <c r="X467" s="8"/>
      <c r="Y467" s="8"/>
      <c r="Z467" s="8"/>
    </row>
    <row r="468" ht="14.25" customHeight="1">
      <c r="A468" s="8"/>
      <c r="B468" s="7" t="s">
        <v>1418</v>
      </c>
      <c r="C468" s="148"/>
      <c r="D468" s="150"/>
      <c r="E468" s="146"/>
      <c r="F468" s="146"/>
      <c r="G468" s="146"/>
      <c r="H468" s="147"/>
      <c r="I468" s="148" t="s">
        <v>491</v>
      </c>
      <c r="J468" s="151"/>
      <c r="K468" s="176"/>
      <c r="L468" s="177"/>
      <c r="M468" s="177"/>
      <c r="N468" s="177"/>
      <c r="O468" s="151"/>
      <c r="P468" s="151"/>
      <c r="Q468" s="151"/>
      <c r="R468" s="151"/>
      <c r="S468" s="151"/>
      <c r="T468" s="151"/>
      <c r="U468" s="151"/>
      <c r="V468" s="53">
        <f t="shared" si="44"/>
        <v>0</v>
      </c>
      <c r="W468" s="8"/>
      <c r="X468" s="8"/>
      <c r="Y468" s="8"/>
      <c r="Z468" s="8"/>
    </row>
    <row r="469" ht="14.25" customHeight="1">
      <c r="A469" s="8"/>
      <c r="B469" s="7" t="s">
        <v>1418</v>
      </c>
      <c r="C469" s="148"/>
      <c r="D469" s="150"/>
      <c r="E469" s="146"/>
      <c r="F469" s="146"/>
      <c r="G469" s="146"/>
      <c r="H469" s="147"/>
      <c r="I469" s="148" t="s">
        <v>594</v>
      </c>
      <c r="J469" s="151"/>
      <c r="K469" s="166"/>
      <c r="L469" s="167"/>
      <c r="M469" s="177"/>
      <c r="N469" s="177"/>
      <c r="O469" s="151"/>
      <c r="P469" s="151"/>
      <c r="Q469" s="151"/>
      <c r="R469" s="151"/>
      <c r="S469" s="151"/>
      <c r="T469" s="151"/>
      <c r="U469" s="151"/>
      <c r="V469" s="53">
        <f t="shared" si="44"/>
        <v>0</v>
      </c>
      <c r="W469" s="8"/>
      <c r="X469" s="8"/>
      <c r="Y469" s="8"/>
      <c r="Z469" s="8"/>
    </row>
    <row r="470" ht="14.25" customHeight="1">
      <c r="A470" s="8"/>
      <c r="B470" s="7" t="s">
        <v>1420</v>
      </c>
      <c r="C470" s="148"/>
      <c r="D470" s="150"/>
      <c r="E470" s="162">
        <v>2.0</v>
      </c>
      <c r="F470" s="146" t="s">
        <v>1421</v>
      </c>
      <c r="G470" s="146"/>
      <c r="H470" s="147"/>
      <c r="I470" s="148" t="s">
        <v>202</v>
      </c>
      <c r="J470" s="164">
        <v>312.0</v>
      </c>
      <c r="K470" s="178">
        <v>45.0</v>
      </c>
      <c r="L470" s="170">
        <v>11.0</v>
      </c>
      <c r="M470" s="170">
        <v>7.0</v>
      </c>
      <c r="N470" s="170">
        <v>7.0</v>
      </c>
      <c r="O470" s="172">
        <v>0.0</v>
      </c>
      <c r="P470" s="151"/>
      <c r="Q470" s="151"/>
      <c r="R470" s="151"/>
      <c r="S470" s="151"/>
      <c r="T470" s="151"/>
      <c r="U470" s="151"/>
      <c r="V470" s="53">
        <f t="shared" si="44"/>
        <v>382</v>
      </c>
      <c r="W470" s="8"/>
      <c r="X470" s="8"/>
      <c r="Y470" s="8"/>
      <c r="Z470" s="8"/>
    </row>
    <row r="471" ht="14.25" customHeight="1">
      <c r="A471" s="8"/>
      <c r="B471" s="7" t="s">
        <v>1420</v>
      </c>
      <c r="C471" s="148"/>
      <c r="D471" s="150"/>
      <c r="E471" s="146"/>
      <c r="F471" s="146"/>
      <c r="G471" s="146"/>
      <c r="H471" s="147"/>
      <c r="I471" s="148" t="s">
        <v>474</v>
      </c>
      <c r="J471" s="177"/>
      <c r="K471" s="151"/>
      <c r="L471" s="167"/>
      <c r="M471" s="177"/>
      <c r="N471" s="177"/>
      <c r="O471" s="151"/>
      <c r="P471" s="151"/>
      <c r="Q471" s="151"/>
      <c r="R471" s="151"/>
      <c r="S471" s="151"/>
      <c r="T471" s="151"/>
      <c r="U471" s="151"/>
      <c r="V471" s="53">
        <f t="shared" si="44"/>
        <v>0</v>
      </c>
      <c r="W471" s="8"/>
      <c r="X471" s="8"/>
      <c r="Y471" s="8"/>
      <c r="Z471" s="8"/>
    </row>
    <row r="472" ht="14.25" customHeight="1">
      <c r="A472" s="8"/>
      <c r="B472" s="7" t="s">
        <v>1420</v>
      </c>
      <c r="C472" s="148"/>
      <c r="D472" s="150"/>
      <c r="E472" s="146"/>
      <c r="F472" s="146"/>
      <c r="G472" s="146"/>
      <c r="H472" s="147"/>
      <c r="I472" s="148" t="s">
        <v>582</v>
      </c>
      <c r="J472" s="169">
        <v>296163.8</v>
      </c>
      <c r="K472" s="152">
        <v>431231.75</v>
      </c>
      <c r="L472" s="154">
        <v>371652.0</v>
      </c>
      <c r="M472" s="165">
        <v>331285.0</v>
      </c>
      <c r="N472" s="165">
        <v>331285.0</v>
      </c>
      <c r="O472" s="151"/>
      <c r="P472" s="151"/>
      <c r="Q472" s="151"/>
      <c r="R472" s="151"/>
      <c r="S472" s="151"/>
      <c r="T472" s="151"/>
      <c r="U472" s="151"/>
      <c r="V472" s="53">
        <f t="shared" si="44"/>
        <v>1761617.55</v>
      </c>
      <c r="W472" s="8"/>
      <c r="X472" s="8"/>
      <c r="Y472" s="8"/>
      <c r="Z472" s="8"/>
    </row>
    <row r="473" ht="14.25" customHeight="1">
      <c r="A473" s="8"/>
      <c r="B473" s="7" t="s">
        <v>1420</v>
      </c>
      <c r="C473" s="148"/>
      <c r="D473" s="150"/>
      <c r="E473" s="146"/>
      <c r="F473" s="146"/>
      <c r="G473" s="146"/>
      <c r="H473" s="147"/>
      <c r="I473" s="148" t="s">
        <v>583</v>
      </c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53">
        <f t="shared" si="44"/>
        <v>0</v>
      </c>
      <c r="W473" s="8"/>
      <c r="X473" s="8"/>
      <c r="Y473" s="8"/>
      <c r="Z473" s="8"/>
    </row>
    <row r="474" ht="14.25" customHeight="1">
      <c r="A474" s="8"/>
      <c r="B474" s="7" t="s">
        <v>1420</v>
      </c>
      <c r="C474" s="148"/>
      <c r="D474" s="150"/>
      <c r="E474" s="146"/>
      <c r="F474" s="146"/>
      <c r="G474" s="146"/>
      <c r="H474" s="147"/>
      <c r="I474" s="148" t="s">
        <v>491</v>
      </c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53">
        <f t="shared" si="44"/>
        <v>0</v>
      </c>
      <c r="W474" s="8"/>
      <c r="X474" s="8"/>
      <c r="Y474" s="8"/>
      <c r="Z474" s="8"/>
    </row>
    <row r="475" ht="14.25" customHeight="1">
      <c r="A475" s="8"/>
      <c r="B475" s="7" t="s">
        <v>1420</v>
      </c>
      <c r="C475" s="148"/>
      <c r="D475" s="150"/>
      <c r="E475" s="146"/>
      <c r="F475" s="146"/>
      <c r="G475" s="146"/>
      <c r="H475" s="147"/>
      <c r="I475" s="148" t="s">
        <v>594</v>
      </c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53">
        <f t="shared" si="44"/>
        <v>0</v>
      </c>
      <c r="W475" s="8"/>
      <c r="X475" s="8"/>
      <c r="Y475" s="8"/>
      <c r="Z475" s="8"/>
    </row>
    <row r="476" ht="14.25" customHeight="1">
      <c r="A476" s="8"/>
      <c r="B476" s="163" t="s">
        <v>1422</v>
      </c>
      <c r="C476" s="148"/>
      <c r="D476" s="150"/>
      <c r="E476" s="162">
        <v>3.0</v>
      </c>
      <c r="F476" s="146" t="s">
        <v>1423</v>
      </c>
      <c r="G476" s="146"/>
      <c r="H476" s="147"/>
      <c r="I476" s="148" t="s">
        <v>662</v>
      </c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53">
        <f t="shared" si="44"/>
        <v>0</v>
      </c>
      <c r="W476" s="8"/>
      <c r="X476" s="8"/>
      <c r="Y476" s="8"/>
      <c r="Z476" s="8"/>
    </row>
    <row r="477" ht="14.25" customHeight="1">
      <c r="A477" s="8"/>
      <c r="B477" s="163" t="s">
        <v>1424</v>
      </c>
      <c r="C477" s="148"/>
      <c r="D477" s="150"/>
      <c r="E477" s="162">
        <v>4.0</v>
      </c>
      <c r="F477" s="146" t="s">
        <v>1425</v>
      </c>
      <c r="G477" s="146"/>
      <c r="H477" s="147"/>
      <c r="I477" s="148" t="s">
        <v>662</v>
      </c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53">
        <f t="shared" si="44"/>
        <v>0</v>
      </c>
      <c r="W477" s="8"/>
      <c r="X477" s="8"/>
      <c r="Y477" s="8"/>
      <c r="Z477" s="8"/>
    </row>
    <row r="478" ht="14.25" customHeight="1">
      <c r="A478" s="8"/>
      <c r="C478" s="148"/>
      <c r="D478" s="150">
        <v>4.0</v>
      </c>
      <c r="E478" s="146" t="s">
        <v>1426</v>
      </c>
      <c r="F478" s="146"/>
      <c r="G478" s="146"/>
      <c r="H478" s="147"/>
      <c r="I478" s="148"/>
      <c r="J478" s="149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8"/>
      <c r="X478" s="8"/>
      <c r="Y478" s="8"/>
      <c r="Z478" s="8"/>
    </row>
    <row r="479" ht="14.25" customHeight="1">
      <c r="A479" s="8"/>
      <c r="B479" s="7" t="s">
        <v>1427</v>
      </c>
      <c r="C479" s="148"/>
      <c r="D479" s="150"/>
      <c r="E479" s="162">
        <v>1.0</v>
      </c>
      <c r="F479" s="146" t="s">
        <v>1428</v>
      </c>
      <c r="G479" s="146"/>
      <c r="H479" s="147"/>
      <c r="I479" s="148" t="s">
        <v>491</v>
      </c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53">
        <f>SUM(J479:U479)</f>
        <v>0</v>
      </c>
      <c r="W479" s="8"/>
      <c r="X479" s="8"/>
      <c r="Y479" s="8"/>
      <c r="Z479" s="8"/>
    </row>
    <row r="480" ht="14.25" customHeight="1">
      <c r="A480" s="8"/>
      <c r="C480" s="148"/>
      <c r="D480" s="150">
        <v>5.0</v>
      </c>
      <c r="E480" s="146" t="s">
        <v>1429</v>
      </c>
      <c r="F480" s="146"/>
      <c r="G480" s="146"/>
      <c r="H480" s="147"/>
      <c r="I480" s="148"/>
      <c r="J480" s="149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8"/>
      <c r="X480" s="8"/>
      <c r="Y480" s="8"/>
      <c r="Z480" s="8"/>
    </row>
    <row r="481" ht="14.25" customHeight="1">
      <c r="A481" s="8"/>
      <c r="B481" s="7" t="s">
        <v>1430</v>
      </c>
      <c r="C481" s="148"/>
      <c r="D481" s="150"/>
      <c r="E481" s="162">
        <v>1.0</v>
      </c>
      <c r="F481" s="146" t="s">
        <v>1431</v>
      </c>
      <c r="G481" s="146"/>
      <c r="H481" s="147"/>
      <c r="I481" s="148" t="s">
        <v>491</v>
      </c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53">
        <f t="shared" ref="V481:V534" si="45">SUM(J481:U481)</f>
        <v>0</v>
      </c>
      <c r="W481" s="8"/>
      <c r="X481" s="8"/>
      <c r="Y481" s="8"/>
      <c r="Z481" s="8"/>
    </row>
    <row r="482" ht="14.25" customHeight="1">
      <c r="A482" s="8"/>
      <c r="B482" s="7" t="s">
        <v>1430</v>
      </c>
      <c r="C482" s="148"/>
      <c r="D482" s="150"/>
      <c r="E482" s="162"/>
      <c r="F482" s="146"/>
      <c r="G482" s="146"/>
      <c r="H482" s="147"/>
      <c r="I482" s="148" t="s">
        <v>662</v>
      </c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53">
        <f t="shared" si="45"/>
        <v>0</v>
      </c>
      <c r="W482" s="8"/>
      <c r="X482" s="8"/>
      <c r="Y482" s="8"/>
      <c r="Z482" s="8"/>
    </row>
    <row r="483" ht="14.25" customHeight="1">
      <c r="A483" s="8"/>
      <c r="B483" s="7" t="s">
        <v>1430</v>
      </c>
      <c r="C483" s="148"/>
      <c r="D483" s="150"/>
      <c r="E483" s="162"/>
      <c r="F483" s="146"/>
      <c r="G483" s="146"/>
      <c r="H483" s="147"/>
      <c r="I483" s="148" t="s">
        <v>582</v>
      </c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53">
        <f t="shared" si="45"/>
        <v>0</v>
      </c>
      <c r="W483" s="8"/>
      <c r="X483" s="8"/>
      <c r="Y483" s="8"/>
      <c r="Z483" s="8"/>
    </row>
    <row r="484" ht="14.25" customHeight="1">
      <c r="A484" s="8"/>
      <c r="B484" s="7" t="s">
        <v>1430</v>
      </c>
      <c r="C484" s="148"/>
      <c r="D484" s="150"/>
      <c r="E484" s="162"/>
      <c r="F484" s="146"/>
      <c r="G484" s="146"/>
      <c r="H484" s="147"/>
      <c r="I484" s="148" t="s">
        <v>583</v>
      </c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53">
        <f t="shared" si="45"/>
        <v>0</v>
      </c>
      <c r="W484" s="8"/>
      <c r="X484" s="8"/>
      <c r="Y484" s="8"/>
      <c r="Z484" s="8"/>
    </row>
    <row r="485" ht="14.25" customHeight="1">
      <c r="A485" s="8"/>
      <c r="B485" s="7" t="s">
        <v>1430</v>
      </c>
      <c r="C485" s="148"/>
      <c r="D485" s="150"/>
      <c r="E485" s="162"/>
      <c r="F485" s="146"/>
      <c r="G485" s="146"/>
      <c r="H485" s="147"/>
      <c r="I485" s="148" t="s">
        <v>474</v>
      </c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53">
        <f t="shared" si="45"/>
        <v>0</v>
      </c>
      <c r="W485" s="8"/>
      <c r="X485" s="8"/>
      <c r="Y485" s="8"/>
      <c r="Z485" s="8"/>
    </row>
    <row r="486" ht="14.25" customHeight="1">
      <c r="A486" s="8"/>
      <c r="B486" s="7" t="s">
        <v>1430</v>
      </c>
      <c r="C486" s="148"/>
      <c r="D486" s="150"/>
      <c r="E486" s="162"/>
      <c r="F486" s="146"/>
      <c r="G486" s="146"/>
      <c r="H486" s="147"/>
      <c r="I486" s="148" t="s">
        <v>342</v>
      </c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53">
        <f t="shared" si="45"/>
        <v>0</v>
      </c>
      <c r="W486" s="8"/>
      <c r="X486" s="8"/>
      <c r="Y486" s="8"/>
      <c r="Z486" s="8"/>
    </row>
    <row r="487" ht="14.25" customHeight="1">
      <c r="A487" s="8"/>
      <c r="B487" s="7" t="s">
        <v>1432</v>
      </c>
      <c r="C487" s="148"/>
      <c r="D487" s="150"/>
      <c r="E487" s="162">
        <v>2.0</v>
      </c>
      <c r="F487" s="146" t="s">
        <v>1433</v>
      </c>
      <c r="G487" s="146"/>
      <c r="H487" s="147"/>
      <c r="I487" s="148" t="s">
        <v>662</v>
      </c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53">
        <f t="shared" si="45"/>
        <v>0</v>
      </c>
      <c r="W487" s="8"/>
      <c r="X487" s="8"/>
      <c r="Y487" s="8"/>
      <c r="Z487" s="8"/>
    </row>
    <row r="488" ht="14.25" customHeight="1">
      <c r="A488" s="8"/>
      <c r="B488" s="7" t="s">
        <v>1432</v>
      </c>
      <c r="C488" s="148"/>
      <c r="D488" s="150"/>
      <c r="E488" s="162"/>
      <c r="F488" s="146"/>
      <c r="G488" s="146"/>
      <c r="H488" s="147"/>
      <c r="I488" s="148" t="s">
        <v>1377</v>
      </c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53">
        <f t="shared" si="45"/>
        <v>0</v>
      </c>
      <c r="W488" s="8"/>
      <c r="X488" s="8"/>
      <c r="Y488" s="8"/>
      <c r="Z488" s="8"/>
    </row>
    <row r="489" ht="14.25" customHeight="1">
      <c r="A489" s="8"/>
      <c r="B489" s="7" t="s">
        <v>1432</v>
      </c>
      <c r="C489" s="148"/>
      <c r="D489" s="150"/>
      <c r="E489" s="162"/>
      <c r="F489" s="146"/>
      <c r="G489" s="146"/>
      <c r="H489" s="147"/>
      <c r="I489" s="148" t="s">
        <v>1434</v>
      </c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53">
        <f t="shared" si="45"/>
        <v>0</v>
      </c>
      <c r="W489" s="8"/>
      <c r="X489" s="8"/>
      <c r="Y489" s="8"/>
      <c r="Z489" s="8"/>
    </row>
    <row r="490" ht="14.25" customHeight="1">
      <c r="A490" s="8"/>
      <c r="B490" s="7" t="s">
        <v>1435</v>
      </c>
      <c r="C490" s="148"/>
      <c r="D490" s="150"/>
      <c r="E490" s="162">
        <v>3.0</v>
      </c>
      <c r="F490" s="146" t="s">
        <v>1436</v>
      </c>
      <c r="G490" s="146"/>
      <c r="H490" s="147"/>
      <c r="I490" s="148" t="s">
        <v>662</v>
      </c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53">
        <f t="shared" si="45"/>
        <v>0</v>
      </c>
      <c r="W490" s="8"/>
      <c r="X490" s="8"/>
      <c r="Y490" s="8"/>
      <c r="Z490" s="8"/>
    </row>
    <row r="491" ht="14.25" customHeight="1">
      <c r="A491" s="8"/>
      <c r="B491" s="7" t="s">
        <v>1435</v>
      </c>
      <c r="C491" s="148"/>
      <c r="D491" s="150"/>
      <c r="E491" s="162"/>
      <c r="F491" s="146"/>
      <c r="G491" s="146"/>
      <c r="H491" s="147"/>
      <c r="I491" s="148" t="s">
        <v>582</v>
      </c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53">
        <f t="shared" si="45"/>
        <v>0</v>
      </c>
      <c r="W491" s="8"/>
      <c r="X491" s="8"/>
      <c r="Y491" s="8"/>
      <c r="Z491" s="8"/>
    </row>
    <row r="492" ht="14.25" customHeight="1">
      <c r="A492" s="8"/>
      <c r="B492" s="7" t="s">
        <v>1435</v>
      </c>
      <c r="C492" s="148"/>
      <c r="D492" s="150"/>
      <c r="E492" s="162"/>
      <c r="F492" s="146"/>
      <c r="G492" s="146"/>
      <c r="H492" s="147"/>
      <c r="I492" s="148" t="s">
        <v>583</v>
      </c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53">
        <f t="shared" si="45"/>
        <v>0</v>
      </c>
      <c r="W492" s="8"/>
      <c r="X492" s="8"/>
      <c r="Y492" s="8"/>
      <c r="Z492" s="8"/>
    </row>
    <row r="493" ht="14.25" customHeight="1">
      <c r="A493" s="8"/>
      <c r="B493" s="7" t="s">
        <v>1435</v>
      </c>
      <c r="C493" s="148"/>
      <c r="D493" s="150"/>
      <c r="E493" s="162"/>
      <c r="F493" s="146"/>
      <c r="G493" s="146"/>
      <c r="H493" s="147"/>
      <c r="I493" s="148" t="s">
        <v>342</v>
      </c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53">
        <f t="shared" si="45"/>
        <v>0</v>
      </c>
      <c r="W493" s="8"/>
      <c r="X493" s="8"/>
      <c r="Y493" s="8"/>
      <c r="Z493" s="8"/>
    </row>
    <row r="494" ht="14.25" customHeight="1">
      <c r="A494" s="8"/>
      <c r="B494" s="7" t="s">
        <v>1435</v>
      </c>
      <c r="C494" s="148"/>
      <c r="D494" s="150"/>
      <c r="E494" s="162"/>
      <c r="F494" s="146"/>
      <c r="G494" s="146"/>
      <c r="H494" s="147"/>
      <c r="I494" s="148" t="s">
        <v>343</v>
      </c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53">
        <f t="shared" si="45"/>
        <v>0</v>
      </c>
      <c r="W494" s="8"/>
      <c r="X494" s="8"/>
      <c r="Y494" s="8"/>
      <c r="Z494" s="8"/>
    </row>
    <row r="495" ht="14.25" customHeight="1">
      <c r="A495" s="8"/>
      <c r="B495" s="7" t="s">
        <v>1435</v>
      </c>
      <c r="C495" s="148"/>
      <c r="D495" s="150"/>
      <c r="E495" s="162"/>
      <c r="F495" s="146"/>
      <c r="G495" s="146"/>
      <c r="H495" s="147"/>
      <c r="I495" s="148" t="s">
        <v>1437</v>
      </c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53">
        <f t="shared" si="45"/>
        <v>0</v>
      </c>
      <c r="W495" s="8"/>
      <c r="X495" s="8"/>
      <c r="Y495" s="8"/>
      <c r="Z495" s="8"/>
    </row>
    <row r="496" ht="14.25" customHeight="1">
      <c r="A496" s="8"/>
      <c r="B496" s="163" t="s">
        <v>1435</v>
      </c>
      <c r="C496" s="148"/>
      <c r="D496" s="150"/>
      <c r="E496" s="162"/>
      <c r="F496" s="146"/>
      <c r="G496" s="146"/>
      <c r="H496" s="147"/>
      <c r="I496" s="148" t="s">
        <v>491</v>
      </c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53">
        <f t="shared" si="45"/>
        <v>0</v>
      </c>
      <c r="W496" s="8"/>
      <c r="X496" s="8"/>
      <c r="Y496" s="8"/>
      <c r="Z496" s="8"/>
    </row>
    <row r="497" ht="14.25" customHeight="1">
      <c r="A497" s="8"/>
      <c r="B497" s="163" t="s">
        <v>1435</v>
      </c>
      <c r="C497" s="148"/>
      <c r="D497" s="150"/>
      <c r="E497" s="162"/>
      <c r="F497" s="146"/>
      <c r="G497" s="146"/>
      <c r="H497" s="147"/>
      <c r="I497" s="148" t="s">
        <v>474</v>
      </c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53">
        <f t="shared" si="45"/>
        <v>0</v>
      </c>
      <c r="W497" s="8"/>
      <c r="X497" s="8"/>
      <c r="Y497" s="8"/>
      <c r="Z497" s="8"/>
    </row>
    <row r="498" ht="14.25" customHeight="1">
      <c r="A498" s="8"/>
      <c r="B498" s="163" t="s">
        <v>1435</v>
      </c>
      <c r="C498" s="148"/>
      <c r="D498" s="150"/>
      <c r="E498" s="162"/>
      <c r="F498" s="146"/>
      <c r="G498" s="146"/>
      <c r="H498" s="147"/>
      <c r="I498" s="148" t="s">
        <v>594</v>
      </c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53">
        <f t="shared" si="45"/>
        <v>0</v>
      </c>
      <c r="W498" s="8"/>
      <c r="X498" s="8"/>
      <c r="Y498" s="8"/>
      <c r="Z498" s="8"/>
    </row>
    <row r="499" ht="14.25" customHeight="1">
      <c r="A499" s="8"/>
      <c r="B499" s="7" t="s">
        <v>1438</v>
      </c>
      <c r="C499" s="148"/>
      <c r="D499" s="150"/>
      <c r="E499" s="162">
        <v>4.0</v>
      </c>
      <c r="F499" s="146" t="s">
        <v>1439</v>
      </c>
      <c r="G499" s="146"/>
      <c r="H499" s="147"/>
      <c r="I499" s="148" t="s">
        <v>582</v>
      </c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53">
        <f t="shared" si="45"/>
        <v>0</v>
      </c>
      <c r="W499" s="8"/>
      <c r="X499" s="8"/>
      <c r="Y499" s="8"/>
      <c r="Z499" s="8"/>
    </row>
    <row r="500" ht="14.25" customHeight="1">
      <c r="A500" s="8"/>
      <c r="B500" s="7" t="s">
        <v>1440</v>
      </c>
      <c r="C500" s="148"/>
      <c r="D500" s="150"/>
      <c r="E500" s="162">
        <v>5.0</v>
      </c>
      <c r="F500" s="146" t="s">
        <v>1441</v>
      </c>
      <c r="G500" s="146"/>
      <c r="H500" s="147"/>
      <c r="I500" s="148" t="s">
        <v>582</v>
      </c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53">
        <f t="shared" si="45"/>
        <v>0</v>
      </c>
      <c r="W500" s="8"/>
      <c r="X500" s="8"/>
      <c r="Y500" s="8"/>
      <c r="Z500" s="8"/>
    </row>
    <row r="501" ht="14.25" customHeight="1">
      <c r="A501" s="8"/>
      <c r="B501" s="7" t="s">
        <v>1442</v>
      </c>
      <c r="C501" s="148"/>
      <c r="D501" s="150"/>
      <c r="E501" s="162">
        <v>6.0</v>
      </c>
      <c r="F501" s="146" t="s">
        <v>1443</v>
      </c>
      <c r="G501" s="146"/>
      <c r="H501" s="147"/>
      <c r="I501" s="148" t="s">
        <v>582</v>
      </c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53">
        <f t="shared" si="45"/>
        <v>0</v>
      </c>
      <c r="W501" s="8"/>
      <c r="X501" s="8"/>
      <c r="Y501" s="8"/>
      <c r="Z501" s="8"/>
    </row>
    <row r="502" ht="14.25" customHeight="1">
      <c r="A502" s="8"/>
      <c r="B502" s="7" t="s">
        <v>1444</v>
      </c>
      <c r="C502" s="148"/>
      <c r="D502" s="150"/>
      <c r="E502" s="162">
        <v>7.0</v>
      </c>
      <c r="F502" s="146" t="s">
        <v>1445</v>
      </c>
      <c r="G502" s="146"/>
      <c r="H502" s="147"/>
      <c r="I502" s="148" t="s">
        <v>491</v>
      </c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53">
        <f t="shared" si="45"/>
        <v>0</v>
      </c>
      <c r="W502" s="8"/>
      <c r="X502" s="8"/>
      <c r="Y502" s="8"/>
      <c r="Z502" s="8"/>
    </row>
    <row r="503" ht="14.25" customHeight="1">
      <c r="A503" s="8"/>
      <c r="B503" s="7" t="s">
        <v>1444</v>
      </c>
      <c r="C503" s="148"/>
      <c r="D503" s="150"/>
      <c r="E503" s="162"/>
      <c r="F503" s="146"/>
      <c r="G503" s="146"/>
      <c r="H503" s="147"/>
      <c r="I503" s="148" t="s">
        <v>1387</v>
      </c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53">
        <f t="shared" si="45"/>
        <v>0</v>
      </c>
      <c r="W503" s="8"/>
      <c r="X503" s="8"/>
      <c r="Y503" s="8"/>
      <c r="Z503" s="8"/>
    </row>
    <row r="504" ht="14.25" customHeight="1">
      <c r="A504" s="8"/>
      <c r="B504" s="7" t="s">
        <v>1446</v>
      </c>
      <c r="C504" s="148"/>
      <c r="D504" s="150"/>
      <c r="E504" s="162">
        <v>8.0</v>
      </c>
      <c r="F504" s="146" t="s">
        <v>1447</v>
      </c>
      <c r="G504" s="146"/>
      <c r="H504" s="147"/>
      <c r="I504" s="148" t="s">
        <v>582</v>
      </c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53">
        <f t="shared" si="45"/>
        <v>0</v>
      </c>
      <c r="W504" s="8"/>
      <c r="X504" s="8"/>
      <c r="Y504" s="8"/>
      <c r="Z504" s="8"/>
    </row>
    <row r="505" ht="14.25" customHeight="1">
      <c r="A505" s="8"/>
      <c r="B505" s="7" t="s">
        <v>1448</v>
      </c>
      <c r="C505" s="148"/>
      <c r="D505" s="150"/>
      <c r="E505" s="162">
        <v>9.0</v>
      </c>
      <c r="F505" s="146" t="s">
        <v>1449</v>
      </c>
      <c r="G505" s="146"/>
      <c r="H505" s="147"/>
      <c r="I505" s="148" t="s">
        <v>1450</v>
      </c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53">
        <f t="shared" si="45"/>
        <v>0</v>
      </c>
      <c r="W505" s="8"/>
      <c r="X505" s="8"/>
      <c r="Y505" s="8"/>
      <c r="Z505" s="8"/>
    </row>
    <row r="506" ht="14.25" customHeight="1">
      <c r="A506" s="8"/>
      <c r="B506" s="7" t="s">
        <v>1451</v>
      </c>
      <c r="C506" s="148"/>
      <c r="D506" s="150"/>
      <c r="E506" s="162">
        <v>10.0</v>
      </c>
      <c r="F506" s="146" t="s">
        <v>1452</v>
      </c>
      <c r="G506" s="146"/>
      <c r="H506" s="147"/>
      <c r="I506" s="148" t="s">
        <v>582</v>
      </c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53">
        <f t="shared" si="45"/>
        <v>0</v>
      </c>
      <c r="W506" s="8"/>
      <c r="X506" s="8"/>
      <c r="Y506" s="8"/>
      <c r="Z506" s="8"/>
    </row>
    <row r="507" ht="14.25" customHeight="1">
      <c r="A507" s="8"/>
      <c r="B507" s="7" t="s">
        <v>1451</v>
      </c>
      <c r="C507" s="148"/>
      <c r="D507" s="150"/>
      <c r="E507" s="162"/>
      <c r="F507" s="146"/>
      <c r="G507" s="146"/>
      <c r="H507" s="147"/>
      <c r="I507" s="148" t="s">
        <v>583</v>
      </c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53">
        <f t="shared" si="45"/>
        <v>0</v>
      </c>
      <c r="W507" s="8"/>
      <c r="X507" s="8"/>
      <c r="Y507" s="8"/>
      <c r="Z507" s="8"/>
    </row>
    <row r="508" ht="14.25" customHeight="1">
      <c r="A508" s="8"/>
      <c r="B508" s="7" t="s">
        <v>1451</v>
      </c>
      <c r="C508" s="148"/>
      <c r="D508" s="150"/>
      <c r="E508" s="162"/>
      <c r="F508" s="146"/>
      <c r="G508" s="146"/>
      <c r="H508" s="147"/>
      <c r="I508" s="148" t="s">
        <v>491</v>
      </c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53">
        <f t="shared" si="45"/>
        <v>0</v>
      </c>
      <c r="W508" s="8"/>
      <c r="X508" s="8"/>
      <c r="Y508" s="8"/>
      <c r="Z508" s="8"/>
    </row>
    <row r="509" ht="14.25" customHeight="1">
      <c r="A509" s="8"/>
      <c r="B509" s="7" t="s">
        <v>1451</v>
      </c>
      <c r="C509" s="148"/>
      <c r="D509" s="150"/>
      <c r="E509" s="162"/>
      <c r="F509" s="146"/>
      <c r="G509" s="146"/>
      <c r="H509" s="147"/>
      <c r="I509" s="148" t="s">
        <v>474</v>
      </c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53">
        <f t="shared" si="45"/>
        <v>0</v>
      </c>
      <c r="W509" s="8"/>
      <c r="X509" s="8"/>
      <c r="Y509" s="8"/>
      <c r="Z509" s="8"/>
    </row>
    <row r="510" ht="14.25" customHeight="1">
      <c r="A510" s="8"/>
      <c r="B510" s="163" t="s">
        <v>1451</v>
      </c>
      <c r="C510" s="148"/>
      <c r="D510" s="150"/>
      <c r="E510" s="162"/>
      <c r="F510" s="146"/>
      <c r="G510" s="146"/>
      <c r="H510" s="147"/>
      <c r="I510" s="148" t="s">
        <v>1387</v>
      </c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53">
        <f t="shared" si="45"/>
        <v>0</v>
      </c>
      <c r="W510" s="8"/>
      <c r="X510" s="8"/>
      <c r="Y510" s="8"/>
      <c r="Z510" s="8"/>
    </row>
    <row r="511" ht="14.25" customHeight="1">
      <c r="A511" s="8"/>
      <c r="B511" s="7" t="s">
        <v>1453</v>
      </c>
      <c r="C511" s="148"/>
      <c r="D511" s="150"/>
      <c r="E511" s="162">
        <v>11.0</v>
      </c>
      <c r="F511" s="146" t="s">
        <v>1454</v>
      </c>
      <c r="G511" s="146"/>
      <c r="H511" s="147"/>
      <c r="I511" s="148" t="s">
        <v>1450</v>
      </c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53">
        <f t="shared" si="45"/>
        <v>0</v>
      </c>
      <c r="W511" s="8"/>
      <c r="X511" s="8"/>
      <c r="Y511" s="8"/>
      <c r="Z511" s="8"/>
    </row>
    <row r="512" ht="14.25" customHeight="1">
      <c r="A512" s="8"/>
      <c r="B512" s="7" t="s">
        <v>1455</v>
      </c>
      <c r="C512" s="148"/>
      <c r="D512" s="150"/>
      <c r="E512" s="162">
        <v>12.0</v>
      </c>
      <c r="F512" s="146" t="s">
        <v>1456</v>
      </c>
      <c r="G512" s="146"/>
      <c r="H512" s="147"/>
      <c r="I512" s="148" t="s">
        <v>491</v>
      </c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53">
        <f t="shared" si="45"/>
        <v>0</v>
      </c>
      <c r="W512" s="8"/>
      <c r="X512" s="8"/>
      <c r="Y512" s="8"/>
      <c r="Z512" s="8"/>
    </row>
    <row r="513" ht="14.25" customHeight="1">
      <c r="A513" s="8"/>
      <c r="B513" s="81" t="s">
        <v>1457</v>
      </c>
      <c r="C513" s="148"/>
      <c r="D513" s="150"/>
      <c r="E513" s="162">
        <v>14.0</v>
      </c>
      <c r="F513" s="179" t="s">
        <v>1458</v>
      </c>
      <c r="G513" s="146"/>
      <c r="H513" s="147"/>
      <c r="I513" s="148" t="s">
        <v>582</v>
      </c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53">
        <f t="shared" si="45"/>
        <v>0</v>
      </c>
      <c r="W513" s="8"/>
      <c r="X513" s="8"/>
      <c r="Y513" s="8"/>
      <c r="Z513" s="8"/>
    </row>
    <row r="514" ht="14.25" customHeight="1">
      <c r="A514" s="8"/>
      <c r="B514" s="81" t="s">
        <v>1457</v>
      </c>
      <c r="C514" s="148"/>
      <c r="D514" s="150"/>
      <c r="E514" s="179"/>
      <c r="F514" s="146"/>
      <c r="G514" s="146"/>
      <c r="H514" s="147"/>
      <c r="I514" s="148" t="s">
        <v>583</v>
      </c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53">
        <f t="shared" si="45"/>
        <v>0</v>
      </c>
      <c r="W514" s="8"/>
      <c r="X514" s="8"/>
      <c r="Y514" s="8"/>
      <c r="Z514" s="8"/>
    </row>
    <row r="515" ht="14.25" customHeight="1">
      <c r="A515" s="8"/>
      <c r="B515" s="81" t="s">
        <v>1457</v>
      </c>
      <c r="C515" s="148"/>
      <c r="D515" s="150"/>
      <c r="E515" s="179"/>
      <c r="F515" s="146"/>
      <c r="G515" s="146"/>
      <c r="H515" s="147"/>
      <c r="I515" s="148" t="s">
        <v>491</v>
      </c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53">
        <f t="shared" si="45"/>
        <v>0</v>
      </c>
      <c r="W515" s="8"/>
      <c r="X515" s="8"/>
      <c r="Y515" s="8"/>
      <c r="Z515" s="8"/>
    </row>
    <row r="516" ht="14.25" customHeight="1">
      <c r="A516" s="8"/>
      <c r="B516" s="81" t="s">
        <v>1457</v>
      </c>
      <c r="C516" s="148"/>
      <c r="D516" s="150"/>
      <c r="E516" s="162"/>
      <c r="F516" s="146"/>
      <c r="G516" s="146"/>
      <c r="H516" s="147"/>
      <c r="I516" s="148" t="s">
        <v>474</v>
      </c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53">
        <f t="shared" si="45"/>
        <v>0</v>
      </c>
      <c r="W516" s="8"/>
      <c r="X516" s="8"/>
      <c r="Y516" s="8"/>
      <c r="Z516" s="8"/>
    </row>
    <row r="517" ht="14.25" customHeight="1">
      <c r="A517" s="8"/>
      <c r="B517" s="7" t="s">
        <v>1459</v>
      </c>
      <c r="C517" s="148"/>
      <c r="D517" s="150">
        <v>6.0</v>
      </c>
      <c r="E517" s="146" t="s">
        <v>1460</v>
      </c>
      <c r="F517" s="146"/>
      <c r="G517" s="146"/>
      <c r="H517" s="147"/>
      <c r="I517" s="148" t="s">
        <v>582</v>
      </c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53">
        <f t="shared" si="45"/>
        <v>0</v>
      </c>
      <c r="W517" s="8"/>
      <c r="X517" s="8"/>
      <c r="Y517" s="8"/>
      <c r="Z517" s="8"/>
    </row>
    <row r="518" ht="14.25" customHeight="1">
      <c r="A518" s="8"/>
      <c r="B518" s="7" t="s">
        <v>1459</v>
      </c>
      <c r="C518" s="148"/>
      <c r="D518" s="150"/>
      <c r="E518" s="146"/>
      <c r="F518" s="146"/>
      <c r="G518" s="146"/>
      <c r="H518" s="147"/>
      <c r="I518" s="148" t="s">
        <v>583</v>
      </c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53">
        <f t="shared" si="45"/>
        <v>0</v>
      </c>
      <c r="W518" s="8"/>
      <c r="X518" s="8"/>
      <c r="Y518" s="8"/>
      <c r="Z518" s="8"/>
    </row>
    <row r="519" ht="14.25" customHeight="1">
      <c r="A519" s="8"/>
      <c r="B519" s="7" t="s">
        <v>1461</v>
      </c>
      <c r="C519" s="148"/>
      <c r="D519" s="150">
        <v>7.0</v>
      </c>
      <c r="E519" s="146" t="s">
        <v>1462</v>
      </c>
      <c r="F519" s="146"/>
      <c r="G519" s="146"/>
      <c r="H519" s="147"/>
      <c r="I519" s="148" t="s">
        <v>1387</v>
      </c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53">
        <f t="shared" si="45"/>
        <v>0</v>
      </c>
      <c r="W519" s="8"/>
      <c r="X519" s="8"/>
      <c r="Y519" s="8"/>
      <c r="Z519" s="8"/>
    </row>
    <row r="520" ht="14.25" customHeight="1">
      <c r="A520" s="8"/>
      <c r="B520" s="7" t="s">
        <v>1461</v>
      </c>
      <c r="C520" s="148"/>
      <c r="D520" s="150"/>
      <c r="E520" s="146"/>
      <c r="F520" s="146"/>
      <c r="G520" s="146"/>
      <c r="H520" s="147"/>
      <c r="I520" s="148" t="s">
        <v>582</v>
      </c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53">
        <f t="shared" si="45"/>
        <v>0</v>
      </c>
      <c r="W520" s="8"/>
      <c r="X520" s="8"/>
      <c r="Y520" s="8"/>
      <c r="Z520" s="8"/>
    </row>
    <row r="521" ht="14.25" customHeight="1">
      <c r="A521" s="8"/>
      <c r="B521" s="7" t="s">
        <v>1461</v>
      </c>
      <c r="C521" s="148"/>
      <c r="D521" s="150"/>
      <c r="E521" s="146"/>
      <c r="F521" s="146"/>
      <c r="G521" s="146"/>
      <c r="H521" s="147"/>
      <c r="I521" s="148" t="s">
        <v>583</v>
      </c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53">
        <f t="shared" si="45"/>
        <v>0</v>
      </c>
      <c r="W521" s="8"/>
      <c r="X521" s="8"/>
      <c r="Y521" s="8"/>
      <c r="Z521" s="8"/>
    </row>
    <row r="522" ht="14.25" customHeight="1">
      <c r="A522" s="8"/>
      <c r="B522" s="7" t="s">
        <v>1461</v>
      </c>
      <c r="C522" s="148"/>
      <c r="D522" s="150"/>
      <c r="E522" s="146"/>
      <c r="F522" s="146"/>
      <c r="G522" s="146"/>
      <c r="H522" s="147"/>
      <c r="I522" s="148" t="s">
        <v>491</v>
      </c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53">
        <f t="shared" si="45"/>
        <v>0</v>
      </c>
      <c r="W522" s="8"/>
      <c r="X522" s="8"/>
      <c r="Y522" s="8"/>
      <c r="Z522" s="8"/>
    </row>
    <row r="523" ht="14.25" customHeight="1">
      <c r="A523" s="8"/>
      <c r="B523" s="7" t="s">
        <v>1461</v>
      </c>
      <c r="C523" s="148"/>
      <c r="D523" s="150"/>
      <c r="E523" s="146"/>
      <c r="F523" s="146"/>
      <c r="G523" s="146"/>
      <c r="H523" s="147"/>
      <c r="I523" s="148" t="s">
        <v>474</v>
      </c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53">
        <f t="shared" si="45"/>
        <v>0</v>
      </c>
      <c r="W523" s="8"/>
      <c r="X523" s="8"/>
      <c r="Y523" s="8"/>
      <c r="Z523" s="8"/>
    </row>
    <row r="524" ht="14.25" customHeight="1">
      <c r="A524" s="8"/>
      <c r="B524" s="7" t="s">
        <v>1461</v>
      </c>
      <c r="C524" s="148"/>
      <c r="D524" s="150"/>
      <c r="E524" s="146"/>
      <c r="F524" s="146"/>
      <c r="G524" s="146"/>
      <c r="H524" s="147"/>
      <c r="I524" s="148" t="s">
        <v>342</v>
      </c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53">
        <f t="shared" si="45"/>
        <v>0</v>
      </c>
      <c r="W524" s="8"/>
      <c r="X524" s="8"/>
      <c r="Y524" s="8"/>
      <c r="Z524" s="8"/>
    </row>
    <row r="525" ht="14.25" customHeight="1">
      <c r="A525" s="8"/>
      <c r="B525" s="7" t="s">
        <v>1461</v>
      </c>
      <c r="C525" s="148"/>
      <c r="D525" s="150"/>
      <c r="E525" s="146"/>
      <c r="F525" s="146"/>
      <c r="G525" s="146"/>
      <c r="H525" s="147"/>
      <c r="I525" s="148" t="s">
        <v>1084</v>
      </c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53">
        <f t="shared" si="45"/>
        <v>0</v>
      </c>
      <c r="W525" s="8"/>
      <c r="X525" s="8"/>
      <c r="Y525" s="8"/>
      <c r="Z525" s="8"/>
    </row>
    <row r="526" ht="14.25" customHeight="1">
      <c r="A526" s="8"/>
      <c r="B526" s="7" t="s">
        <v>1461</v>
      </c>
      <c r="C526" s="148"/>
      <c r="D526" s="150"/>
      <c r="E526" s="146"/>
      <c r="F526" s="146"/>
      <c r="G526" s="146"/>
      <c r="H526" s="147"/>
      <c r="I526" s="148" t="s">
        <v>1088</v>
      </c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53">
        <f t="shared" si="45"/>
        <v>0</v>
      </c>
      <c r="W526" s="8"/>
      <c r="X526" s="8"/>
      <c r="Y526" s="8"/>
      <c r="Z526" s="8"/>
    </row>
    <row r="527" ht="14.25" customHeight="1">
      <c r="A527" s="8"/>
      <c r="B527" s="163" t="s">
        <v>1463</v>
      </c>
      <c r="C527" s="148"/>
      <c r="D527" s="150">
        <v>8.0</v>
      </c>
      <c r="E527" s="146" t="s">
        <v>1464</v>
      </c>
      <c r="F527" s="146"/>
      <c r="G527" s="146"/>
      <c r="H527" s="147"/>
      <c r="I527" s="148" t="s">
        <v>582</v>
      </c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53">
        <f t="shared" si="45"/>
        <v>0</v>
      </c>
      <c r="W527" s="8"/>
      <c r="X527" s="8"/>
      <c r="Y527" s="8"/>
      <c r="Z527" s="8"/>
    </row>
    <row r="528" ht="14.25" customHeight="1">
      <c r="A528" s="8"/>
      <c r="B528" s="7" t="s">
        <v>1465</v>
      </c>
      <c r="C528" s="148"/>
      <c r="D528" s="150">
        <v>9.0</v>
      </c>
      <c r="E528" s="146" t="s">
        <v>1466</v>
      </c>
      <c r="F528" s="146"/>
      <c r="G528" s="146"/>
      <c r="H528" s="147"/>
      <c r="I528" s="148" t="s">
        <v>1467</v>
      </c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53">
        <f t="shared" si="45"/>
        <v>0</v>
      </c>
      <c r="W528" s="8"/>
      <c r="X528" s="8"/>
      <c r="Y528" s="8"/>
      <c r="Z528" s="8"/>
    </row>
    <row r="529" ht="14.25" customHeight="1">
      <c r="A529" s="8"/>
      <c r="B529" s="7" t="s">
        <v>1465</v>
      </c>
      <c r="C529" s="148"/>
      <c r="D529" s="150"/>
      <c r="E529" s="146"/>
      <c r="F529" s="146"/>
      <c r="G529" s="146"/>
      <c r="H529" s="147"/>
      <c r="I529" s="148" t="s">
        <v>1468</v>
      </c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53">
        <f t="shared" si="45"/>
        <v>0</v>
      </c>
      <c r="W529" s="8"/>
      <c r="X529" s="8"/>
      <c r="Y529" s="8"/>
      <c r="Z529" s="8"/>
    </row>
    <row r="530" ht="14.25" customHeight="1">
      <c r="A530" s="8"/>
      <c r="B530" s="7" t="s">
        <v>1469</v>
      </c>
      <c r="C530" s="148"/>
      <c r="D530" s="150">
        <v>99.0</v>
      </c>
      <c r="E530" s="146" t="s">
        <v>1470</v>
      </c>
      <c r="F530" s="146"/>
      <c r="G530" s="146"/>
      <c r="H530" s="147"/>
      <c r="I530" s="148" t="s">
        <v>474</v>
      </c>
      <c r="J530" s="151">
        <v>15365.0</v>
      </c>
      <c r="K530" s="151">
        <v>65953.0</v>
      </c>
      <c r="L530" s="151">
        <v>70305.0</v>
      </c>
      <c r="M530" s="151">
        <v>24471.0</v>
      </c>
      <c r="N530" s="151">
        <v>24471.0</v>
      </c>
      <c r="O530" s="151"/>
      <c r="P530" s="151"/>
      <c r="Q530" s="151"/>
      <c r="R530" s="151"/>
      <c r="S530" s="151"/>
      <c r="T530" s="151"/>
      <c r="U530" s="151"/>
      <c r="V530" s="53">
        <f t="shared" si="45"/>
        <v>200565</v>
      </c>
      <c r="W530" s="8"/>
      <c r="X530" s="8"/>
      <c r="Y530" s="8"/>
      <c r="Z530" s="8"/>
    </row>
    <row r="531" ht="14.25" customHeight="1">
      <c r="A531" s="8"/>
      <c r="B531" s="7" t="s">
        <v>1469</v>
      </c>
      <c r="C531" s="148"/>
      <c r="D531" s="150"/>
      <c r="E531" s="146"/>
      <c r="F531" s="146"/>
      <c r="G531" s="146"/>
      <c r="H531" s="147"/>
      <c r="I531" s="148" t="s">
        <v>582</v>
      </c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53">
        <f t="shared" si="45"/>
        <v>0</v>
      </c>
      <c r="W531" s="8"/>
      <c r="X531" s="8"/>
      <c r="Y531" s="8"/>
      <c r="Z531" s="8"/>
    </row>
    <row r="532" ht="14.25" customHeight="1">
      <c r="A532" s="8"/>
      <c r="B532" s="7" t="s">
        <v>1469</v>
      </c>
      <c r="C532" s="148"/>
      <c r="D532" s="150"/>
      <c r="E532" s="146"/>
      <c r="F532" s="146"/>
      <c r="G532" s="146"/>
      <c r="H532" s="147"/>
      <c r="I532" s="148" t="s">
        <v>491</v>
      </c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53">
        <f t="shared" si="45"/>
        <v>0</v>
      </c>
      <c r="W532" s="8"/>
      <c r="X532" s="8"/>
      <c r="Y532" s="8"/>
      <c r="Z532" s="8"/>
    </row>
    <row r="533" ht="14.25" customHeight="1">
      <c r="A533" s="8"/>
      <c r="B533" s="7" t="s">
        <v>1469</v>
      </c>
      <c r="C533" s="148"/>
      <c r="D533" s="150"/>
      <c r="E533" s="146"/>
      <c r="F533" s="146"/>
      <c r="G533" s="146"/>
      <c r="H533" s="147"/>
      <c r="I533" s="148" t="s">
        <v>1377</v>
      </c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53">
        <f t="shared" si="45"/>
        <v>0</v>
      </c>
      <c r="W533" s="8"/>
      <c r="X533" s="8"/>
      <c r="Y533" s="8"/>
      <c r="Z533" s="8"/>
    </row>
    <row r="534" ht="14.25" customHeight="1">
      <c r="A534" s="8"/>
      <c r="B534" s="7" t="s">
        <v>1469</v>
      </c>
      <c r="C534" s="148"/>
      <c r="D534" s="150"/>
      <c r="E534" s="146"/>
      <c r="F534" s="146"/>
      <c r="G534" s="146"/>
      <c r="H534" s="147"/>
      <c r="I534" s="148" t="s">
        <v>1387</v>
      </c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53">
        <f t="shared" si="45"/>
        <v>0</v>
      </c>
      <c r="W534" s="8"/>
      <c r="X534" s="8"/>
      <c r="Y534" s="8"/>
      <c r="Z534" s="8"/>
    </row>
    <row r="535" ht="14.25" customHeight="1">
      <c r="A535" s="8"/>
      <c r="B535" s="13"/>
      <c r="C535" s="148"/>
      <c r="D535" s="159"/>
      <c r="E535" s="146"/>
      <c r="F535" s="146"/>
      <c r="G535" s="146"/>
      <c r="H535" s="147"/>
      <c r="I535" s="148"/>
      <c r="J535" s="149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8"/>
      <c r="X535" s="8"/>
      <c r="Y535" s="8"/>
      <c r="Z535" s="8"/>
    </row>
    <row r="536" ht="14.25" customHeight="1">
      <c r="A536" s="8"/>
      <c r="C536" s="144">
        <v>17.0</v>
      </c>
      <c r="D536" s="145" t="s">
        <v>1471</v>
      </c>
      <c r="E536" s="146"/>
      <c r="F536" s="146"/>
      <c r="G536" s="146"/>
      <c r="H536" s="147"/>
      <c r="I536" s="148"/>
      <c r="J536" s="149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8"/>
      <c r="X536" s="8"/>
      <c r="Y536" s="8"/>
      <c r="Z536" s="8"/>
    </row>
    <row r="537" ht="14.25" customHeight="1">
      <c r="A537" s="8"/>
      <c r="B537" s="7" t="s">
        <v>1472</v>
      </c>
      <c r="C537" s="148"/>
      <c r="D537" s="150">
        <v>1.0</v>
      </c>
      <c r="E537" s="146" t="s">
        <v>1473</v>
      </c>
      <c r="F537" s="146"/>
      <c r="G537" s="146"/>
      <c r="H537" s="147"/>
      <c r="I537" s="148" t="s">
        <v>474</v>
      </c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53">
        <f t="shared" ref="V537:V544" si="46">SUM(J537:U537)</f>
        <v>0</v>
      </c>
      <c r="W537" s="8"/>
      <c r="X537" s="8"/>
      <c r="Y537" s="8"/>
      <c r="Z537" s="8"/>
    </row>
    <row r="538" ht="14.25" customHeight="1">
      <c r="A538" s="8"/>
      <c r="B538" s="7" t="s">
        <v>1474</v>
      </c>
      <c r="C538" s="148"/>
      <c r="D538" s="150">
        <v>2.0</v>
      </c>
      <c r="E538" s="146" t="s">
        <v>1475</v>
      </c>
      <c r="F538" s="146"/>
      <c r="G538" s="146"/>
      <c r="H538" s="147"/>
      <c r="I538" s="148" t="s">
        <v>1476</v>
      </c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53">
        <f t="shared" si="46"/>
        <v>0</v>
      </c>
      <c r="W538" s="8"/>
      <c r="X538" s="8"/>
      <c r="Y538" s="8"/>
      <c r="Z538" s="8"/>
    </row>
    <row r="539" ht="14.25" customHeight="1">
      <c r="A539" s="8"/>
      <c r="B539" s="7" t="s">
        <v>1477</v>
      </c>
      <c r="C539" s="148"/>
      <c r="D539" s="150">
        <v>3.0</v>
      </c>
      <c r="E539" s="146" t="s">
        <v>1478</v>
      </c>
      <c r="F539" s="146"/>
      <c r="G539" s="146"/>
      <c r="H539" s="147"/>
      <c r="I539" s="148" t="s">
        <v>474</v>
      </c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53">
        <f t="shared" si="46"/>
        <v>0</v>
      </c>
      <c r="W539" s="8"/>
      <c r="X539" s="8"/>
      <c r="Y539" s="8"/>
      <c r="Z539" s="8"/>
    </row>
    <row r="540" ht="14.25" customHeight="1">
      <c r="A540" s="8"/>
      <c r="B540" s="81" t="s">
        <v>1477</v>
      </c>
      <c r="C540" s="148"/>
      <c r="D540" s="150"/>
      <c r="E540" s="146"/>
      <c r="F540" s="146"/>
      <c r="G540" s="146"/>
      <c r="H540" s="147"/>
      <c r="I540" s="148" t="s">
        <v>1387</v>
      </c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53">
        <f t="shared" si="46"/>
        <v>0</v>
      </c>
      <c r="W540" s="8"/>
      <c r="X540" s="8"/>
      <c r="Y540" s="8"/>
      <c r="Z540" s="8"/>
    </row>
    <row r="541" ht="14.25" customHeight="1">
      <c r="A541" s="8"/>
      <c r="B541" s="7" t="s">
        <v>1479</v>
      </c>
      <c r="C541" s="148"/>
      <c r="D541" s="150">
        <v>4.0</v>
      </c>
      <c r="E541" s="146" t="s">
        <v>1480</v>
      </c>
      <c r="F541" s="146"/>
      <c r="G541" s="146"/>
      <c r="H541" s="147"/>
      <c r="I541" s="148" t="s">
        <v>474</v>
      </c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53">
        <f t="shared" si="46"/>
        <v>0</v>
      </c>
      <c r="W541" s="8"/>
      <c r="X541" s="8"/>
      <c r="Y541" s="8"/>
      <c r="Z541" s="8"/>
    </row>
    <row r="542" ht="14.25" customHeight="1">
      <c r="A542" s="8"/>
      <c r="B542" s="7" t="s">
        <v>1481</v>
      </c>
      <c r="C542" s="148"/>
      <c r="D542" s="150">
        <v>5.0</v>
      </c>
      <c r="E542" s="146" t="s">
        <v>1482</v>
      </c>
      <c r="F542" s="146"/>
      <c r="G542" s="146"/>
      <c r="H542" s="147"/>
      <c r="I542" s="148" t="s">
        <v>474</v>
      </c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53">
        <f t="shared" si="46"/>
        <v>0</v>
      </c>
      <c r="W542" s="8"/>
      <c r="X542" s="8"/>
      <c r="Y542" s="8"/>
      <c r="Z542" s="8"/>
    </row>
    <row r="543" ht="14.25" customHeight="1">
      <c r="A543" s="8"/>
      <c r="B543" s="7" t="s">
        <v>1481</v>
      </c>
      <c r="C543" s="148"/>
      <c r="D543" s="150"/>
      <c r="E543" s="146"/>
      <c r="F543" s="146"/>
      <c r="G543" s="146"/>
      <c r="H543" s="147"/>
      <c r="I543" s="148" t="s">
        <v>583</v>
      </c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53">
        <f t="shared" si="46"/>
        <v>0</v>
      </c>
      <c r="W543" s="8"/>
      <c r="X543" s="8"/>
      <c r="Y543" s="8"/>
      <c r="Z543" s="8"/>
    </row>
    <row r="544" ht="14.25" customHeight="1">
      <c r="A544" s="8"/>
      <c r="B544" s="7" t="s">
        <v>1481</v>
      </c>
      <c r="C544" s="148"/>
      <c r="D544" s="150"/>
      <c r="E544" s="146"/>
      <c r="F544" s="146"/>
      <c r="G544" s="146"/>
      <c r="H544" s="147"/>
      <c r="I544" s="148" t="s">
        <v>582</v>
      </c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53">
        <f t="shared" si="46"/>
        <v>0</v>
      </c>
      <c r="W544" s="8"/>
      <c r="X544" s="8"/>
      <c r="Y544" s="8"/>
      <c r="Z544" s="8"/>
    </row>
    <row r="545" ht="14.25" customHeight="1">
      <c r="A545" s="8"/>
      <c r="B545" s="13"/>
      <c r="C545" s="148"/>
      <c r="D545" s="159"/>
      <c r="E545" s="146"/>
      <c r="F545" s="146"/>
      <c r="G545" s="146"/>
      <c r="H545" s="147"/>
      <c r="I545" s="148"/>
      <c r="J545" s="149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8"/>
      <c r="X545" s="8"/>
      <c r="Y545" s="8"/>
      <c r="Z545" s="8"/>
    </row>
    <row r="546" ht="14.25" customHeight="1">
      <c r="A546" s="8"/>
      <c r="C546" s="144">
        <v>18.0</v>
      </c>
      <c r="D546" s="145" t="s">
        <v>1483</v>
      </c>
      <c r="E546" s="146"/>
      <c r="F546" s="146"/>
      <c r="G546" s="146"/>
      <c r="H546" s="147"/>
      <c r="I546" s="148"/>
      <c r="J546" s="149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8"/>
      <c r="X546" s="8"/>
      <c r="Y546" s="8"/>
      <c r="Z546" s="8"/>
    </row>
    <row r="547" ht="14.25" customHeight="1">
      <c r="A547" s="8"/>
      <c r="B547" s="7" t="s">
        <v>1484</v>
      </c>
      <c r="C547" s="148"/>
      <c r="D547" s="150">
        <v>1.0</v>
      </c>
      <c r="E547" s="146" t="s">
        <v>1299</v>
      </c>
      <c r="F547" s="146"/>
      <c r="G547" s="146"/>
      <c r="H547" s="147"/>
      <c r="I547" s="148" t="s">
        <v>1080</v>
      </c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53">
        <f t="shared" ref="V547:V556" si="47">SUM(J547:U547)</f>
        <v>0</v>
      </c>
      <c r="W547" s="8"/>
      <c r="X547" s="8"/>
      <c r="Y547" s="8"/>
      <c r="Z547" s="8"/>
    </row>
    <row r="548" ht="14.25" customHeight="1">
      <c r="A548" s="8"/>
      <c r="B548" s="7" t="s">
        <v>1485</v>
      </c>
      <c r="C548" s="148"/>
      <c r="D548" s="150">
        <v>2.0</v>
      </c>
      <c r="E548" s="146" t="s">
        <v>1486</v>
      </c>
      <c r="F548" s="146"/>
      <c r="G548" s="146"/>
      <c r="H548" s="147"/>
      <c r="I548" s="148" t="s">
        <v>1083</v>
      </c>
      <c r="J548" s="152">
        <v>542.0</v>
      </c>
      <c r="K548" s="153">
        <v>480.0</v>
      </c>
      <c r="L548" s="154">
        <v>502.0</v>
      </c>
      <c r="M548" s="59">
        <v>516.0</v>
      </c>
      <c r="N548" s="155">
        <v>556.0</v>
      </c>
      <c r="O548" s="51">
        <v>562.0</v>
      </c>
      <c r="P548" s="151"/>
      <c r="Q548" s="151"/>
      <c r="R548" s="151"/>
      <c r="S548" s="151"/>
      <c r="T548" s="151"/>
      <c r="U548" s="151"/>
      <c r="V548" s="53">
        <f t="shared" si="47"/>
        <v>3158</v>
      </c>
      <c r="W548" s="8"/>
      <c r="X548" s="8"/>
      <c r="Y548" s="8"/>
      <c r="Z548" s="8"/>
    </row>
    <row r="549" ht="14.25" customHeight="1">
      <c r="A549" s="8"/>
      <c r="B549" s="7" t="s">
        <v>1485</v>
      </c>
      <c r="C549" s="148"/>
      <c r="D549" s="150"/>
      <c r="E549" s="146"/>
      <c r="F549" s="146"/>
      <c r="G549" s="146"/>
      <c r="H549" s="147"/>
      <c r="I549" s="148" t="s">
        <v>1084</v>
      </c>
      <c r="J549" s="152">
        <v>5402039.0</v>
      </c>
      <c r="K549" s="156">
        <v>4799862.0</v>
      </c>
      <c r="L549" s="154">
        <v>5206015.0</v>
      </c>
      <c r="M549" s="59">
        <v>5200290.0</v>
      </c>
      <c r="N549" s="157">
        <v>5894988.0</v>
      </c>
      <c r="O549" s="59">
        <v>5819021.0</v>
      </c>
      <c r="P549" s="151"/>
      <c r="Q549" s="151"/>
      <c r="R549" s="151"/>
      <c r="S549" s="151"/>
      <c r="T549" s="151"/>
      <c r="U549" s="151"/>
      <c r="V549" s="53">
        <f t="shared" si="47"/>
        <v>32322215</v>
      </c>
      <c r="W549" s="8"/>
      <c r="X549" s="8"/>
      <c r="Y549" s="8"/>
      <c r="Z549" s="8"/>
    </row>
    <row r="550" ht="14.25" customHeight="1">
      <c r="A550" s="8"/>
      <c r="B550" s="7" t="s">
        <v>1487</v>
      </c>
      <c r="C550" s="148"/>
      <c r="D550" s="150">
        <v>3.0</v>
      </c>
      <c r="E550" s="146" t="s">
        <v>1488</v>
      </c>
      <c r="F550" s="146"/>
      <c r="G550" s="146"/>
      <c r="H550" s="147"/>
      <c r="I550" s="148" t="s">
        <v>1087</v>
      </c>
      <c r="J550" s="152">
        <v>1533.0</v>
      </c>
      <c r="K550" s="156">
        <v>1305.08</v>
      </c>
      <c r="L550" s="154">
        <v>1433.1000000032946</v>
      </c>
      <c r="M550" s="59">
        <v>1390.266666665615</v>
      </c>
      <c r="N550" s="157">
        <v>1532.32</v>
      </c>
      <c r="O550" s="59">
        <v>1554.400000000489</v>
      </c>
      <c r="P550" s="151"/>
      <c r="Q550" s="151"/>
      <c r="R550" s="151"/>
      <c r="S550" s="151"/>
      <c r="T550" s="151"/>
      <c r="U550" s="151"/>
      <c r="V550" s="53">
        <f t="shared" si="47"/>
        <v>8748.166667</v>
      </c>
      <c r="W550" s="8"/>
      <c r="X550" s="8"/>
      <c r="Y550" s="8"/>
      <c r="Z550" s="8"/>
    </row>
    <row r="551" ht="14.25" customHeight="1">
      <c r="A551" s="8"/>
      <c r="B551" s="7" t="s">
        <v>1487</v>
      </c>
      <c r="C551" s="148"/>
      <c r="D551" s="150"/>
      <c r="E551" s="146"/>
      <c r="F551" s="146"/>
      <c r="G551" s="146"/>
      <c r="H551" s="147"/>
      <c r="I551" s="148" t="s">
        <v>1088</v>
      </c>
      <c r="J551" s="152">
        <v>1.6861261E7</v>
      </c>
      <c r="K551" s="156">
        <v>1.4344691E7</v>
      </c>
      <c r="L551" s="154">
        <v>1.618844555003453E7</v>
      </c>
      <c r="M551" s="59">
        <v>1.5829445650007032E7</v>
      </c>
      <c r="N551" s="157">
        <v>1.816982932E7</v>
      </c>
      <c r="O551" s="59">
        <v>1.813887535003522E7</v>
      </c>
      <c r="P551" s="151"/>
      <c r="Q551" s="151"/>
      <c r="R551" s="151"/>
      <c r="S551" s="151"/>
      <c r="T551" s="151"/>
      <c r="U551" s="151"/>
      <c r="V551" s="53">
        <f t="shared" si="47"/>
        <v>99532547.87</v>
      </c>
      <c r="W551" s="8"/>
      <c r="X551" s="8"/>
      <c r="Y551" s="8"/>
      <c r="Z551" s="8"/>
    </row>
    <row r="552" ht="14.25" customHeight="1">
      <c r="A552" s="8"/>
      <c r="B552" s="7" t="s">
        <v>1489</v>
      </c>
      <c r="C552" s="148"/>
      <c r="D552" s="150">
        <v>4.0</v>
      </c>
      <c r="E552" s="146" t="s">
        <v>1301</v>
      </c>
      <c r="F552" s="146"/>
      <c r="G552" s="146"/>
      <c r="H552" s="147"/>
      <c r="I552" s="148" t="s">
        <v>1091</v>
      </c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53">
        <f t="shared" si="47"/>
        <v>0</v>
      </c>
      <c r="W552" s="8"/>
      <c r="X552" s="8"/>
      <c r="Y552" s="8"/>
      <c r="Z552" s="8"/>
    </row>
    <row r="553" ht="14.25" customHeight="1">
      <c r="A553" s="8"/>
      <c r="B553" s="7" t="s">
        <v>1490</v>
      </c>
      <c r="C553" s="148"/>
      <c r="D553" s="150">
        <v>5.0</v>
      </c>
      <c r="E553" s="146" t="s">
        <v>1100</v>
      </c>
      <c r="F553" s="146"/>
      <c r="G553" s="146"/>
      <c r="H553" s="147"/>
      <c r="I553" s="148" t="s">
        <v>582</v>
      </c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53">
        <f t="shared" si="47"/>
        <v>0</v>
      </c>
      <c r="W553" s="8"/>
      <c r="X553" s="8"/>
      <c r="Y553" s="8"/>
      <c r="Z553" s="8"/>
    </row>
    <row r="554" ht="14.25" customHeight="1">
      <c r="A554" s="8"/>
      <c r="B554" s="7" t="s">
        <v>1490</v>
      </c>
      <c r="C554" s="148"/>
      <c r="D554" s="150"/>
      <c r="E554" s="146"/>
      <c r="F554" s="146"/>
      <c r="G554" s="146"/>
      <c r="H554" s="147"/>
      <c r="I554" s="148" t="s">
        <v>583</v>
      </c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53">
        <f t="shared" si="47"/>
        <v>0</v>
      </c>
      <c r="W554" s="8"/>
      <c r="X554" s="8"/>
      <c r="Y554" s="8"/>
      <c r="Z554" s="8"/>
    </row>
    <row r="555" ht="14.25" customHeight="1">
      <c r="A555" s="8"/>
      <c r="B555" s="7" t="s">
        <v>1491</v>
      </c>
      <c r="C555" s="148"/>
      <c r="D555" s="150">
        <v>6.0</v>
      </c>
      <c r="E555" s="146" t="s">
        <v>1492</v>
      </c>
      <c r="F555" s="146"/>
      <c r="G555" s="146"/>
      <c r="H555" s="147"/>
      <c r="I555" s="148" t="s">
        <v>582</v>
      </c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53">
        <f t="shared" si="47"/>
        <v>0</v>
      </c>
      <c r="W555" s="8"/>
      <c r="X555" s="8"/>
      <c r="Y555" s="8"/>
      <c r="Z555" s="8"/>
    </row>
    <row r="556" ht="14.25" customHeight="1">
      <c r="A556" s="8"/>
      <c r="B556" s="7" t="s">
        <v>1491</v>
      </c>
      <c r="C556" s="148"/>
      <c r="D556" s="159"/>
      <c r="E556" s="146"/>
      <c r="F556" s="146"/>
      <c r="G556" s="146"/>
      <c r="H556" s="147"/>
      <c r="I556" s="148" t="s">
        <v>583</v>
      </c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53">
        <f t="shared" si="47"/>
        <v>0</v>
      </c>
      <c r="W556" s="8"/>
      <c r="X556" s="8"/>
      <c r="Y556" s="8"/>
      <c r="Z556" s="8"/>
    </row>
    <row r="557" ht="14.25" customHeight="1">
      <c r="A557" s="8"/>
      <c r="B557" s="13"/>
      <c r="C557" s="148"/>
      <c r="D557" s="159"/>
      <c r="E557" s="146"/>
      <c r="F557" s="146"/>
      <c r="G557" s="146"/>
      <c r="H557" s="147"/>
      <c r="I557" s="148"/>
      <c r="J557" s="149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8"/>
      <c r="X557" s="8"/>
      <c r="Y557" s="8"/>
      <c r="Z557" s="8"/>
    </row>
    <row r="558" ht="14.25" customHeight="1">
      <c r="A558" s="8"/>
      <c r="C558" s="144">
        <v>19.0</v>
      </c>
      <c r="D558" s="145" t="s">
        <v>1493</v>
      </c>
      <c r="E558" s="146"/>
      <c r="F558" s="146"/>
      <c r="G558" s="146"/>
      <c r="H558" s="147"/>
      <c r="I558" s="148"/>
      <c r="J558" s="149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8"/>
      <c r="X558" s="8"/>
      <c r="Y558" s="8"/>
      <c r="Z558" s="8"/>
    </row>
    <row r="559" ht="14.25" customHeight="1">
      <c r="A559" s="8"/>
      <c r="C559" s="148"/>
      <c r="D559" s="150">
        <v>1.0</v>
      </c>
      <c r="E559" s="146" t="s">
        <v>1494</v>
      </c>
      <c r="F559" s="146"/>
      <c r="G559" s="146"/>
      <c r="H559" s="147"/>
      <c r="I559" s="148"/>
      <c r="J559" s="149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8"/>
      <c r="X559" s="8"/>
      <c r="Y559" s="8"/>
      <c r="Z559" s="8"/>
    </row>
    <row r="560" ht="14.25" customHeight="1">
      <c r="A560" s="8"/>
      <c r="B560" s="7" t="s">
        <v>1495</v>
      </c>
      <c r="C560" s="148"/>
      <c r="D560" s="150"/>
      <c r="E560" s="162">
        <v>1.0</v>
      </c>
      <c r="F560" s="146" t="s">
        <v>1496</v>
      </c>
      <c r="G560" s="146"/>
      <c r="H560" s="147"/>
      <c r="I560" s="148" t="s">
        <v>491</v>
      </c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53">
        <f t="shared" ref="V560:V561" si="48">SUM(J560:U560)</f>
        <v>0</v>
      </c>
      <c r="W560" s="8"/>
      <c r="X560" s="8"/>
      <c r="Y560" s="8"/>
      <c r="Z560" s="8"/>
    </row>
    <row r="561" ht="14.25" customHeight="1">
      <c r="A561" s="8"/>
      <c r="B561" s="7" t="s">
        <v>1497</v>
      </c>
      <c r="C561" s="148"/>
      <c r="D561" s="150"/>
      <c r="E561" s="162">
        <v>2.0</v>
      </c>
      <c r="F561" s="146" t="s">
        <v>1498</v>
      </c>
      <c r="G561" s="146"/>
      <c r="H561" s="147"/>
      <c r="I561" s="148" t="s">
        <v>1177</v>
      </c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53">
        <f t="shared" si="48"/>
        <v>0</v>
      </c>
      <c r="W561" s="8"/>
      <c r="X561" s="8"/>
      <c r="Y561" s="8"/>
      <c r="Z561" s="8"/>
    </row>
    <row r="562" ht="14.25" customHeight="1">
      <c r="A562" s="8"/>
      <c r="C562" s="148"/>
      <c r="D562" s="150">
        <v>2.0</v>
      </c>
      <c r="E562" s="146" t="s">
        <v>1499</v>
      </c>
      <c r="F562" s="146"/>
      <c r="G562" s="146"/>
      <c r="H562" s="147"/>
      <c r="I562" s="148"/>
      <c r="J562" s="149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8"/>
      <c r="X562" s="8"/>
      <c r="Y562" s="8"/>
      <c r="Z562" s="8"/>
    </row>
    <row r="563" ht="14.25" customHeight="1">
      <c r="A563" s="8"/>
      <c r="B563" s="7" t="s">
        <v>1500</v>
      </c>
      <c r="C563" s="148"/>
      <c r="D563" s="150"/>
      <c r="E563" s="162">
        <v>1.0</v>
      </c>
      <c r="F563" s="146" t="s">
        <v>1486</v>
      </c>
      <c r="G563" s="146"/>
      <c r="H563" s="147"/>
      <c r="I563" s="148" t="s">
        <v>1501</v>
      </c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53">
        <f t="shared" ref="V563:V565" si="49">SUM(J563:U563)</f>
        <v>0</v>
      </c>
      <c r="W563" s="8"/>
      <c r="X563" s="8"/>
      <c r="Y563" s="8"/>
      <c r="Z563" s="8"/>
    </row>
    <row r="564" ht="14.25" customHeight="1">
      <c r="A564" s="8"/>
      <c r="B564" s="7" t="s">
        <v>1502</v>
      </c>
      <c r="C564" s="148"/>
      <c r="D564" s="150"/>
      <c r="E564" s="162">
        <v>2.0</v>
      </c>
      <c r="F564" s="146" t="s">
        <v>1488</v>
      </c>
      <c r="G564" s="146"/>
      <c r="H564" s="147"/>
      <c r="I564" s="148" t="s">
        <v>662</v>
      </c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53">
        <f t="shared" si="49"/>
        <v>0</v>
      </c>
      <c r="W564" s="8"/>
      <c r="X564" s="8"/>
      <c r="Y564" s="8"/>
      <c r="Z564" s="8"/>
    </row>
    <row r="565" ht="14.25" customHeight="1">
      <c r="A565" s="8"/>
      <c r="B565" s="7" t="s">
        <v>1503</v>
      </c>
      <c r="C565" s="148"/>
      <c r="D565" s="150"/>
      <c r="E565" s="162">
        <v>3.0</v>
      </c>
      <c r="F565" s="146" t="s">
        <v>1504</v>
      </c>
      <c r="G565" s="146"/>
      <c r="H565" s="147"/>
      <c r="I565" s="148" t="s">
        <v>1505</v>
      </c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53">
        <f t="shared" si="49"/>
        <v>0</v>
      </c>
      <c r="W565" s="8"/>
      <c r="X565" s="8"/>
      <c r="Y565" s="8"/>
      <c r="Z565" s="8"/>
    </row>
    <row r="566" ht="14.25" customHeight="1">
      <c r="A566" s="8"/>
      <c r="C566" s="148"/>
      <c r="D566" s="150">
        <v>3.0</v>
      </c>
      <c r="E566" s="146" t="s">
        <v>1506</v>
      </c>
      <c r="F566" s="146"/>
      <c r="G566" s="146"/>
      <c r="H566" s="147"/>
      <c r="I566" s="148"/>
      <c r="J566" s="149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8"/>
      <c r="X566" s="8"/>
      <c r="Y566" s="8"/>
      <c r="Z566" s="8"/>
    </row>
    <row r="567" ht="14.25" customHeight="1">
      <c r="A567" s="8"/>
      <c r="B567" s="7" t="s">
        <v>1507</v>
      </c>
      <c r="C567" s="148"/>
      <c r="D567" s="150"/>
      <c r="E567" s="162">
        <v>1.0</v>
      </c>
      <c r="F567" s="146" t="s">
        <v>1508</v>
      </c>
      <c r="G567" s="146"/>
      <c r="H567" s="147"/>
      <c r="I567" s="148" t="s">
        <v>1335</v>
      </c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53">
        <f t="shared" ref="V567:V568" si="50">SUM(J567:U567)</f>
        <v>0</v>
      </c>
      <c r="W567" s="8"/>
      <c r="X567" s="8"/>
      <c r="Y567" s="8"/>
      <c r="Z567" s="8"/>
    </row>
    <row r="568" ht="14.25" customHeight="1">
      <c r="A568" s="8"/>
      <c r="B568" s="7" t="s">
        <v>1509</v>
      </c>
      <c r="C568" s="148"/>
      <c r="D568" s="150"/>
      <c r="E568" s="162">
        <v>2.0</v>
      </c>
      <c r="F568" s="146" t="s">
        <v>1510</v>
      </c>
      <c r="G568" s="146"/>
      <c r="H568" s="147"/>
      <c r="I568" s="148" t="s">
        <v>662</v>
      </c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53">
        <f t="shared" si="50"/>
        <v>0</v>
      </c>
      <c r="W568" s="8"/>
      <c r="X568" s="8"/>
      <c r="Y568" s="8"/>
      <c r="Z568" s="8"/>
    </row>
    <row r="569" ht="14.25" customHeight="1">
      <c r="A569" s="8"/>
      <c r="C569" s="148"/>
      <c r="D569" s="150">
        <v>4.0</v>
      </c>
      <c r="E569" s="146" t="s">
        <v>1511</v>
      </c>
      <c r="F569" s="146"/>
      <c r="G569" s="146"/>
      <c r="H569" s="147"/>
      <c r="I569" s="148"/>
      <c r="J569" s="149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8"/>
      <c r="X569" s="8"/>
      <c r="Y569" s="8"/>
      <c r="Z569" s="8"/>
    </row>
    <row r="570" ht="14.25" customHeight="1">
      <c r="A570" s="8"/>
      <c r="B570" s="7" t="s">
        <v>1512</v>
      </c>
      <c r="C570" s="148"/>
      <c r="D570" s="150"/>
      <c r="E570" s="162">
        <v>1.0</v>
      </c>
      <c r="F570" s="146" t="s">
        <v>1513</v>
      </c>
      <c r="G570" s="146"/>
      <c r="H570" s="147"/>
      <c r="I570" s="148" t="s">
        <v>1335</v>
      </c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53">
        <f t="shared" ref="V570:V571" si="51">SUM(J570:U570)</f>
        <v>0</v>
      </c>
      <c r="W570" s="8"/>
      <c r="X570" s="8"/>
      <c r="Y570" s="8"/>
      <c r="Z570" s="8"/>
    </row>
    <row r="571" ht="14.25" customHeight="1">
      <c r="A571" s="8"/>
      <c r="B571" s="7" t="s">
        <v>1514</v>
      </c>
      <c r="C571" s="148"/>
      <c r="D571" s="150"/>
      <c r="E571" s="162">
        <v>2.0</v>
      </c>
      <c r="F571" s="146" t="s">
        <v>1515</v>
      </c>
      <c r="G571" s="146"/>
      <c r="H571" s="147"/>
      <c r="I571" s="148" t="s">
        <v>662</v>
      </c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53">
        <f t="shared" si="51"/>
        <v>0</v>
      </c>
      <c r="W571" s="8"/>
      <c r="X571" s="8"/>
      <c r="Y571" s="8"/>
      <c r="Z571" s="8"/>
    </row>
    <row r="572" ht="14.25" customHeight="1">
      <c r="A572" s="8"/>
      <c r="C572" s="148"/>
      <c r="D572" s="150"/>
      <c r="E572" s="162">
        <v>3.0</v>
      </c>
      <c r="F572" s="146" t="s">
        <v>1516</v>
      </c>
      <c r="G572" s="146"/>
      <c r="H572" s="147"/>
      <c r="I572" s="148"/>
      <c r="J572" s="149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8"/>
      <c r="X572" s="8"/>
      <c r="Y572" s="8"/>
      <c r="Z572" s="8"/>
    </row>
    <row r="573" ht="14.25" customHeight="1">
      <c r="A573" s="8"/>
      <c r="B573" s="7" t="s">
        <v>1517</v>
      </c>
      <c r="C573" s="148"/>
      <c r="D573" s="150"/>
      <c r="E573" s="146"/>
      <c r="F573" s="162">
        <v>1.0</v>
      </c>
      <c r="G573" s="146" t="s">
        <v>1518</v>
      </c>
      <c r="H573" s="147"/>
      <c r="I573" s="148" t="s">
        <v>1387</v>
      </c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53">
        <f t="shared" ref="V573:V574" si="52">SUM(J573:U573)</f>
        <v>0</v>
      </c>
      <c r="W573" s="8"/>
      <c r="X573" s="8"/>
      <c r="Y573" s="8"/>
      <c r="Z573" s="8"/>
    </row>
    <row r="574" ht="14.25" customHeight="1">
      <c r="A574" s="8"/>
      <c r="B574" s="7" t="s">
        <v>1519</v>
      </c>
      <c r="C574" s="148"/>
      <c r="D574" s="150"/>
      <c r="E574" s="146"/>
      <c r="F574" s="162">
        <v>2.0</v>
      </c>
      <c r="G574" s="146" t="s">
        <v>1520</v>
      </c>
      <c r="H574" s="147"/>
      <c r="I574" s="148" t="s">
        <v>1335</v>
      </c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53">
        <f t="shared" si="52"/>
        <v>0</v>
      </c>
      <c r="W574" s="8"/>
      <c r="X574" s="8"/>
      <c r="Y574" s="8"/>
      <c r="Z574" s="8"/>
    </row>
    <row r="575" ht="14.25" customHeight="1">
      <c r="A575" s="8"/>
      <c r="C575" s="148"/>
      <c r="D575" s="150">
        <v>5.0</v>
      </c>
      <c r="E575" s="146" t="s">
        <v>1521</v>
      </c>
      <c r="F575" s="146"/>
      <c r="G575" s="146"/>
      <c r="H575" s="147"/>
      <c r="I575" s="148"/>
      <c r="J575" s="149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8"/>
      <c r="X575" s="8"/>
      <c r="Y575" s="8"/>
      <c r="Z575" s="8"/>
    </row>
    <row r="576" ht="14.25" customHeight="1">
      <c r="A576" s="8"/>
      <c r="B576" s="7" t="s">
        <v>1522</v>
      </c>
      <c r="C576" s="148"/>
      <c r="D576" s="150"/>
      <c r="E576" s="162">
        <v>1.0</v>
      </c>
      <c r="F576" s="146" t="s">
        <v>1523</v>
      </c>
      <c r="G576" s="146"/>
      <c r="H576" s="147"/>
      <c r="I576" s="148" t="s">
        <v>1335</v>
      </c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53">
        <f t="shared" ref="V576:V577" si="53">SUM(J576:U576)</f>
        <v>0</v>
      </c>
      <c r="W576" s="8"/>
      <c r="X576" s="8"/>
      <c r="Y576" s="8"/>
      <c r="Z576" s="8"/>
    </row>
    <row r="577" ht="14.25" customHeight="1">
      <c r="A577" s="8"/>
      <c r="B577" s="7" t="s">
        <v>1524</v>
      </c>
      <c r="C577" s="148"/>
      <c r="D577" s="150"/>
      <c r="E577" s="162">
        <v>2.0</v>
      </c>
      <c r="F577" s="146" t="s">
        <v>1525</v>
      </c>
      <c r="G577" s="146"/>
      <c r="H577" s="147"/>
      <c r="I577" s="148" t="s">
        <v>320</v>
      </c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53">
        <f t="shared" si="53"/>
        <v>0</v>
      </c>
      <c r="W577" s="8"/>
      <c r="X577" s="8"/>
      <c r="Y577" s="8"/>
      <c r="Z577" s="8"/>
    </row>
    <row r="578" ht="14.25" customHeight="1">
      <c r="A578" s="8"/>
      <c r="C578" s="148"/>
      <c r="D578" s="150">
        <v>6.0</v>
      </c>
      <c r="E578" s="146" t="s">
        <v>1526</v>
      </c>
      <c r="F578" s="146"/>
      <c r="G578" s="146"/>
      <c r="H578" s="147"/>
      <c r="I578" s="148"/>
      <c r="J578" s="149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8"/>
      <c r="X578" s="8"/>
      <c r="Y578" s="8"/>
      <c r="Z578" s="8"/>
    </row>
    <row r="579" ht="14.25" customHeight="1">
      <c r="A579" s="8"/>
      <c r="B579" s="7" t="s">
        <v>1527</v>
      </c>
      <c r="C579" s="148"/>
      <c r="D579" s="150"/>
      <c r="E579" s="162">
        <v>1.0</v>
      </c>
      <c r="F579" s="146" t="s">
        <v>1528</v>
      </c>
      <c r="G579" s="146"/>
      <c r="H579" s="147"/>
      <c r="I579" s="148" t="s">
        <v>1529</v>
      </c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53">
        <f t="shared" ref="V579:V580" si="54">SUM(J579:U579)</f>
        <v>0</v>
      </c>
      <c r="W579" s="8"/>
      <c r="X579" s="8"/>
      <c r="Y579" s="8"/>
      <c r="Z579" s="8"/>
    </row>
    <row r="580" ht="14.25" customHeight="1">
      <c r="A580" s="8"/>
      <c r="B580" s="7" t="s">
        <v>1530</v>
      </c>
      <c r="C580" s="148"/>
      <c r="D580" s="150"/>
      <c r="E580" s="162">
        <v>2.0</v>
      </c>
      <c r="F580" s="146" t="s">
        <v>1531</v>
      </c>
      <c r="G580" s="146"/>
      <c r="H580" s="147"/>
      <c r="I580" s="148" t="s">
        <v>582</v>
      </c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53">
        <f t="shared" si="54"/>
        <v>0</v>
      </c>
      <c r="W580" s="8"/>
      <c r="X580" s="8"/>
      <c r="Y580" s="8"/>
      <c r="Z580" s="8"/>
    </row>
    <row r="581" ht="14.25" customHeight="1">
      <c r="A581" s="8"/>
      <c r="C581" s="148"/>
      <c r="D581" s="150"/>
      <c r="E581" s="162">
        <v>3.0</v>
      </c>
      <c r="F581" s="146" t="s">
        <v>1398</v>
      </c>
      <c r="G581" s="146"/>
      <c r="H581" s="147"/>
      <c r="I581" s="148"/>
      <c r="J581" s="149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8"/>
      <c r="X581" s="8"/>
      <c r="Y581" s="8"/>
      <c r="Z581" s="8"/>
    </row>
    <row r="582" ht="14.25" customHeight="1">
      <c r="A582" s="8"/>
      <c r="B582" s="7" t="s">
        <v>1532</v>
      </c>
      <c r="C582" s="148"/>
      <c r="D582" s="150"/>
      <c r="E582" s="162"/>
      <c r="F582" s="162">
        <v>1.0</v>
      </c>
      <c r="G582" s="146" t="s">
        <v>1533</v>
      </c>
      <c r="H582" s="147"/>
      <c r="I582" s="148" t="s">
        <v>1534</v>
      </c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53">
        <f t="shared" ref="V582:V585" si="55">SUM(J582:U582)</f>
        <v>0</v>
      </c>
      <c r="W582" s="8"/>
      <c r="X582" s="8"/>
      <c r="Y582" s="8"/>
      <c r="Z582" s="8"/>
    </row>
    <row r="583" ht="14.25" customHeight="1">
      <c r="A583" s="8"/>
      <c r="B583" s="7" t="s">
        <v>1535</v>
      </c>
      <c r="C583" s="148"/>
      <c r="D583" s="150"/>
      <c r="E583" s="162"/>
      <c r="F583" s="162">
        <v>2.0</v>
      </c>
      <c r="G583" s="146" t="s">
        <v>1536</v>
      </c>
      <c r="H583" s="147"/>
      <c r="I583" s="148" t="s">
        <v>1537</v>
      </c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53">
        <f t="shared" si="55"/>
        <v>0</v>
      </c>
      <c r="W583" s="8"/>
      <c r="X583" s="8"/>
      <c r="Y583" s="8"/>
      <c r="Z583" s="8"/>
    </row>
    <row r="584" ht="14.25" customHeight="1">
      <c r="A584" s="8"/>
      <c r="B584" s="7" t="s">
        <v>1538</v>
      </c>
      <c r="C584" s="148"/>
      <c r="D584" s="150"/>
      <c r="E584" s="162">
        <v>4.0</v>
      </c>
      <c r="F584" s="146" t="s">
        <v>1539</v>
      </c>
      <c r="G584" s="146"/>
      <c r="H584" s="147"/>
      <c r="I584" s="148" t="s">
        <v>590</v>
      </c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53">
        <f t="shared" si="55"/>
        <v>0</v>
      </c>
      <c r="W584" s="8"/>
      <c r="X584" s="8"/>
      <c r="Y584" s="8"/>
      <c r="Z584" s="8"/>
    </row>
    <row r="585" ht="14.25" customHeight="1">
      <c r="A585" s="8"/>
      <c r="B585" s="7" t="s">
        <v>1540</v>
      </c>
      <c r="C585" s="148"/>
      <c r="D585" s="150"/>
      <c r="E585" s="162">
        <v>5.0</v>
      </c>
      <c r="F585" s="146" t="s">
        <v>1541</v>
      </c>
      <c r="G585" s="146"/>
      <c r="H585" s="147"/>
      <c r="I585" s="148" t="s">
        <v>1529</v>
      </c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53">
        <f t="shared" si="55"/>
        <v>0</v>
      </c>
      <c r="W585" s="8"/>
      <c r="X585" s="8"/>
      <c r="Y585" s="8"/>
      <c r="Z585" s="8"/>
    </row>
    <row r="586" ht="14.25" customHeight="1">
      <c r="A586" s="8"/>
      <c r="C586" s="148"/>
      <c r="D586" s="150">
        <v>7.0</v>
      </c>
      <c r="E586" s="146" t="s">
        <v>1542</v>
      </c>
      <c r="F586" s="146"/>
      <c r="G586" s="146"/>
      <c r="H586" s="147"/>
      <c r="I586" s="148"/>
      <c r="J586" s="149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8"/>
      <c r="X586" s="8"/>
      <c r="Y586" s="8"/>
      <c r="Z586" s="8"/>
    </row>
    <row r="587" ht="14.25" customHeight="1">
      <c r="A587" s="8"/>
      <c r="B587" s="7" t="s">
        <v>1543</v>
      </c>
      <c r="C587" s="148"/>
      <c r="D587" s="159"/>
      <c r="E587" s="162">
        <v>1.0</v>
      </c>
      <c r="F587" s="146" t="s">
        <v>1544</v>
      </c>
      <c r="G587" s="146"/>
      <c r="H587" s="147"/>
      <c r="I587" s="148" t="s">
        <v>1501</v>
      </c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53">
        <f t="shared" ref="V587:V595" si="56">SUM(J587:U587)</f>
        <v>0</v>
      </c>
      <c r="W587" s="8"/>
      <c r="X587" s="8"/>
      <c r="Y587" s="8"/>
      <c r="Z587" s="8"/>
    </row>
    <row r="588" ht="14.25" customHeight="1">
      <c r="A588" s="8"/>
      <c r="B588" s="7" t="s">
        <v>1545</v>
      </c>
      <c r="C588" s="148"/>
      <c r="D588" s="159"/>
      <c r="E588" s="162">
        <v>2.0</v>
      </c>
      <c r="F588" s="146" t="s">
        <v>1546</v>
      </c>
      <c r="G588" s="146"/>
      <c r="H588" s="147"/>
      <c r="I588" s="148" t="s">
        <v>582</v>
      </c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53">
        <f t="shared" si="56"/>
        <v>0</v>
      </c>
      <c r="W588" s="8"/>
      <c r="X588" s="8"/>
      <c r="Y588" s="8"/>
      <c r="Z588" s="8"/>
    </row>
    <row r="589" ht="14.25" customHeight="1">
      <c r="A589" s="8"/>
      <c r="B589" s="7" t="s">
        <v>1547</v>
      </c>
      <c r="C589" s="148"/>
      <c r="D589" s="159"/>
      <c r="E589" s="162">
        <v>3.0</v>
      </c>
      <c r="F589" s="146" t="s">
        <v>1548</v>
      </c>
      <c r="G589" s="146"/>
      <c r="H589" s="147"/>
      <c r="I589" s="148" t="s">
        <v>342</v>
      </c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53">
        <f t="shared" si="56"/>
        <v>0</v>
      </c>
      <c r="W589" s="8"/>
      <c r="X589" s="8"/>
      <c r="Y589" s="8"/>
      <c r="Z589" s="8"/>
    </row>
    <row r="590" ht="14.25" customHeight="1">
      <c r="A590" s="8"/>
      <c r="B590" s="7" t="s">
        <v>1547</v>
      </c>
      <c r="C590" s="148"/>
      <c r="D590" s="159"/>
      <c r="E590" s="162"/>
      <c r="F590" s="146"/>
      <c r="G590" s="146"/>
      <c r="H590" s="147"/>
      <c r="I590" s="148" t="s">
        <v>474</v>
      </c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53">
        <f t="shared" si="56"/>
        <v>0</v>
      </c>
      <c r="W590" s="8"/>
      <c r="X590" s="8"/>
      <c r="Y590" s="8"/>
      <c r="Z590" s="8"/>
    </row>
    <row r="591" ht="14.25" customHeight="1">
      <c r="A591" s="8"/>
      <c r="B591" s="7" t="s">
        <v>1547</v>
      </c>
      <c r="C591" s="148"/>
      <c r="D591" s="159"/>
      <c r="E591" s="162"/>
      <c r="F591" s="146"/>
      <c r="G591" s="146"/>
      <c r="H591" s="147"/>
      <c r="I591" s="148" t="s">
        <v>582</v>
      </c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53">
        <f t="shared" si="56"/>
        <v>0</v>
      </c>
      <c r="W591" s="8"/>
      <c r="X591" s="8"/>
      <c r="Y591" s="8"/>
      <c r="Z591" s="8"/>
    </row>
    <row r="592" ht="14.25" customHeight="1">
      <c r="A592" s="8"/>
      <c r="B592" s="7" t="s">
        <v>1549</v>
      </c>
      <c r="C592" s="148"/>
      <c r="D592" s="159"/>
      <c r="E592" s="162">
        <v>4.0</v>
      </c>
      <c r="F592" s="146" t="s">
        <v>1550</v>
      </c>
      <c r="G592" s="146"/>
      <c r="H592" s="147"/>
      <c r="I592" s="148" t="s">
        <v>582</v>
      </c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53">
        <f t="shared" si="56"/>
        <v>0</v>
      </c>
      <c r="W592" s="8"/>
      <c r="X592" s="8"/>
      <c r="Y592" s="8"/>
      <c r="Z592" s="8"/>
    </row>
    <row r="593" ht="14.25" customHeight="1">
      <c r="A593" s="8"/>
      <c r="B593" s="7" t="s">
        <v>1549</v>
      </c>
      <c r="C593" s="148"/>
      <c r="D593" s="159"/>
      <c r="E593" s="162"/>
      <c r="F593" s="146"/>
      <c r="G593" s="146"/>
      <c r="H593" s="147"/>
      <c r="I593" s="148" t="s">
        <v>1551</v>
      </c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53">
        <f t="shared" si="56"/>
        <v>0</v>
      </c>
      <c r="W593" s="8"/>
      <c r="X593" s="8"/>
      <c r="Y593" s="8"/>
      <c r="Z593" s="8"/>
    </row>
    <row r="594" ht="14.25" customHeight="1">
      <c r="A594" s="8"/>
      <c r="B594" s="7" t="s">
        <v>1552</v>
      </c>
      <c r="C594" s="180"/>
      <c r="D594" s="181"/>
      <c r="E594" s="182">
        <v>5.0</v>
      </c>
      <c r="F594" s="183" t="s">
        <v>1553</v>
      </c>
      <c r="G594" s="183"/>
      <c r="H594" s="184"/>
      <c r="I594" s="180" t="s">
        <v>1501</v>
      </c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6">
        <f t="shared" si="56"/>
        <v>0</v>
      </c>
      <c r="W594" s="8"/>
      <c r="X594" s="8"/>
      <c r="Y594" s="8"/>
      <c r="Z594" s="8"/>
    </row>
    <row r="595" ht="14.25" customHeight="1">
      <c r="A595" s="8"/>
      <c r="B595" s="7" t="s">
        <v>1554</v>
      </c>
      <c r="C595" s="148"/>
      <c r="D595" s="148"/>
      <c r="E595" s="83">
        <v>6.0</v>
      </c>
      <c r="F595" s="148" t="s">
        <v>1555</v>
      </c>
      <c r="G595" s="148"/>
      <c r="H595" s="148"/>
      <c r="I595" s="148" t="s">
        <v>1501</v>
      </c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3">
        <f t="shared" si="56"/>
        <v>0</v>
      </c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8"/>
      <c r="X1000" s="8"/>
      <c r="Y1000" s="8"/>
      <c r="Z1000" s="8"/>
    </row>
  </sheetData>
  <mergeCells count="10">
    <mergeCell ref="D15:H15"/>
    <mergeCell ref="J15:U15"/>
    <mergeCell ref="D16:H16"/>
    <mergeCell ref="C2:G2"/>
    <mergeCell ref="C4:G4"/>
    <mergeCell ref="C6:G6"/>
    <mergeCell ref="C12:C14"/>
    <mergeCell ref="D12:H14"/>
    <mergeCell ref="I12:I14"/>
    <mergeCell ref="J12:V1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2021-08-22T08:56:02Z</dcterms:created>
  <dc:creator>Akhmad Fadilah</dc:creator>
</cp:coreProperties>
</file>