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adl\Documents\Jimmy Greei Ganap\performance-dashboard\"/>
    </mc:Choice>
  </mc:AlternateContent>
  <xr:revisionPtr revIDLastSave="0" documentId="13_ncr:1_{5E16DD5F-8BD0-427E-97FA-0A1B0EAC20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INERJ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AGH2LjIqGRuvcy9VybfUzAfPC9dmn9E7oJMI4WJEW8="/>
    </ext>
  </extLst>
</workbook>
</file>

<file path=xl/calcChain.xml><?xml version="1.0" encoding="utf-8"?>
<calcChain xmlns="http://schemas.openxmlformats.org/spreadsheetml/2006/main">
  <c r="V371" i="3" l="1"/>
  <c r="V370" i="3"/>
  <c r="V369" i="3"/>
  <c r="V368" i="3"/>
  <c r="V367" i="3"/>
  <c r="V366" i="3"/>
  <c r="V365" i="3"/>
  <c r="V364" i="3"/>
  <c r="J363" i="3"/>
  <c r="V363" i="3" s="1"/>
  <c r="J362" i="3"/>
  <c r="V362" i="3" s="1"/>
  <c r="V361" i="3"/>
  <c r="V360" i="3"/>
  <c r="V359" i="3"/>
  <c r="V358" i="3"/>
  <c r="J357" i="3"/>
  <c r="V357" i="3" s="1"/>
  <c r="J356" i="3"/>
  <c r="V356" i="3" s="1"/>
  <c r="V355" i="3"/>
  <c r="V354" i="3"/>
  <c r="V353" i="3"/>
  <c r="V352" i="3"/>
  <c r="V351" i="3"/>
  <c r="V350" i="3"/>
  <c r="J349" i="3"/>
  <c r="V349" i="3" s="1"/>
  <c r="J348" i="3"/>
  <c r="V348" i="3" s="1"/>
  <c r="V347" i="3"/>
  <c r="V346" i="3"/>
  <c r="V345" i="3"/>
  <c r="V344" i="3"/>
  <c r="V343" i="3"/>
  <c r="V342" i="3"/>
  <c r="J341" i="3"/>
  <c r="V341" i="3" s="1"/>
  <c r="J340" i="3"/>
  <c r="V340" i="3" s="1"/>
  <c r="J339" i="3"/>
  <c r="V339" i="3" s="1"/>
  <c r="J338" i="3"/>
  <c r="V338" i="3" s="1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53" i="3"/>
  <c r="V252" i="3"/>
  <c r="V250" i="3"/>
  <c r="V249" i="3"/>
  <c r="V247" i="3"/>
  <c r="V246" i="3"/>
  <c r="V245" i="3"/>
  <c r="V244" i="3"/>
  <c r="V243" i="3"/>
  <c r="V242" i="3"/>
  <c r="V240" i="3"/>
  <c r="V239" i="3"/>
  <c r="V238" i="3"/>
  <c r="V237" i="3"/>
  <c r="V236" i="3"/>
  <c r="V235" i="3"/>
  <c r="V231" i="3"/>
  <c r="V230" i="3"/>
  <c r="V228" i="3"/>
  <c r="V227" i="3"/>
  <c r="V226" i="3"/>
  <c r="V225" i="3"/>
  <c r="V224" i="3"/>
  <c r="V223" i="3"/>
  <c r="V221" i="3"/>
  <c r="V220" i="3"/>
  <c r="V219" i="3"/>
  <c r="V218" i="3"/>
  <c r="V217" i="3"/>
  <c r="V216" i="3"/>
  <c r="V211" i="3"/>
  <c r="V210" i="3"/>
  <c r="V209" i="3"/>
  <c r="V207" i="3"/>
  <c r="V206" i="3"/>
  <c r="V205" i="3"/>
  <c r="V201" i="3"/>
  <c r="V200" i="3"/>
  <c r="V199" i="3"/>
  <c r="V197" i="3"/>
  <c r="V196" i="3"/>
  <c r="V195" i="3"/>
  <c r="V191" i="3"/>
  <c r="V190" i="3"/>
  <c r="V189" i="3"/>
  <c r="V187" i="3"/>
  <c r="V186" i="3"/>
  <c r="V185" i="3"/>
  <c r="V173" i="3"/>
  <c r="V172" i="3"/>
  <c r="V171" i="3"/>
  <c r="V170" i="3"/>
  <c r="V169" i="3"/>
  <c r="V168" i="3"/>
  <c r="V165" i="3"/>
  <c r="V164" i="3"/>
  <c r="V163" i="3"/>
  <c r="V162" i="3"/>
  <c r="V161" i="3"/>
  <c r="V160" i="3"/>
  <c r="V157" i="3"/>
  <c r="V156" i="3"/>
  <c r="V155" i="3"/>
  <c r="V154" i="3"/>
  <c r="V153" i="3"/>
  <c r="V152" i="3"/>
  <c r="V149" i="3"/>
  <c r="V148" i="3"/>
  <c r="V147" i="3"/>
  <c r="V146" i="3"/>
  <c r="V145" i="3"/>
  <c r="V144" i="3"/>
  <c r="V141" i="3"/>
  <c r="V140" i="3"/>
  <c r="V139" i="3"/>
  <c r="V138" i="3"/>
  <c r="V137" i="3"/>
  <c r="V136" i="3"/>
  <c r="V132" i="3"/>
  <c r="V131" i="3"/>
  <c r="V130" i="3"/>
  <c r="V129" i="3"/>
  <c r="V128" i="3"/>
  <c r="V127" i="3"/>
  <c r="V124" i="3"/>
  <c r="V123" i="3"/>
  <c r="V122" i="3"/>
  <c r="V121" i="3"/>
  <c r="V120" i="3"/>
  <c r="V119" i="3"/>
  <c r="V116" i="3"/>
  <c r="V115" i="3"/>
  <c r="V114" i="3"/>
  <c r="V113" i="3"/>
  <c r="V112" i="3"/>
  <c r="V111" i="3"/>
  <c r="V108" i="3"/>
  <c r="W108" i="3" s="1"/>
  <c r="V107" i="3"/>
  <c r="V106" i="3"/>
  <c r="V105" i="3"/>
  <c r="V104" i="3"/>
  <c r="V103" i="3"/>
  <c r="V100" i="3"/>
  <c r="V99" i="3"/>
  <c r="V98" i="3"/>
  <c r="V97" i="3"/>
  <c r="V96" i="3"/>
  <c r="V95" i="3"/>
  <c r="V91" i="3"/>
  <c r="V90" i="3"/>
  <c r="V89" i="3"/>
  <c r="V88" i="3"/>
  <c r="V87" i="3"/>
  <c r="V86" i="3"/>
  <c r="V83" i="3"/>
  <c r="V82" i="3"/>
  <c r="V81" i="3"/>
  <c r="V80" i="3"/>
  <c r="V79" i="3"/>
  <c r="V78" i="3"/>
  <c r="V75" i="3"/>
  <c r="V74" i="3"/>
  <c r="V73" i="3"/>
  <c r="V72" i="3"/>
  <c r="V71" i="3"/>
  <c r="V70" i="3"/>
  <c r="V67" i="3"/>
  <c r="V66" i="3"/>
  <c r="V65" i="3"/>
  <c r="V64" i="3"/>
  <c r="V63" i="3"/>
  <c r="V62" i="3"/>
  <c r="V59" i="3"/>
  <c r="V58" i="3"/>
  <c r="V57" i="3"/>
  <c r="V56" i="3"/>
  <c r="V55" i="3"/>
  <c r="V54" i="3"/>
  <c r="V43" i="3"/>
  <c r="V42" i="3"/>
  <c r="V41" i="3"/>
  <c r="V40" i="3"/>
  <c r="V39" i="3"/>
  <c r="V36" i="3"/>
  <c r="V35" i="3"/>
  <c r="V34" i="3"/>
  <c r="V33" i="3"/>
  <c r="V32" i="3"/>
  <c r="V29" i="3"/>
  <c r="V28" i="3"/>
  <c r="V27" i="3"/>
  <c r="V26" i="3"/>
  <c r="V25" i="3"/>
  <c r="V22" i="3"/>
  <c r="V21" i="3"/>
  <c r="V20" i="3"/>
  <c r="V19" i="3"/>
  <c r="V18" i="3"/>
  <c r="H6" i="3"/>
  <c r="B5" i="3"/>
  <c r="H4" i="3"/>
  <c r="B4" i="3"/>
  <c r="H2" i="3"/>
  <c r="J47" i="3" s="1"/>
  <c r="J12" i="3" l="1"/>
  <c r="J257" i="3"/>
  <c r="J177" i="3"/>
  <c r="B6" i="3"/>
</calcChain>
</file>

<file path=xl/sharedStrings.xml><?xml version="1.0" encoding="utf-8"?>
<sst xmlns="http://schemas.openxmlformats.org/spreadsheetml/2006/main" count="846" uniqueCount="304">
  <si>
    <t xml:space="preserve">TAHUN (YYYY) : </t>
  </si>
  <si>
    <t xml:space="preserve">REGIONAL : </t>
  </si>
  <si>
    <t xml:space="preserve">CABANG / TERMINAL : 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</si>
  <si>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</si>
  <si>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</si>
  <si>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</si>
  <si>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</si>
  <si>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</si>
  <si>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</si>
  <si>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</si>
  <si>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</si>
  <si>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</si>
  <si>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</si>
  <si>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</si>
  <si>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</si>
  <si>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</si>
  <si>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</si>
  <si>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</si>
  <si>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</si>
  <si>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</si>
  <si>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General Cargo</t>
  </si>
  <si>
    <t>Curah Kering</t>
  </si>
  <si>
    <t>LUAR NEGERI</t>
  </si>
  <si>
    <t>Impor</t>
  </si>
  <si>
    <t>Full</t>
  </si>
  <si>
    <t>Empty</t>
  </si>
  <si>
    <t>Ekspor</t>
  </si>
  <si>
    <t>DALAM NEGERI</t>
  </si>
  <si>
    <t>Bongkar</t>
  </si>
  <si>
    <t>Muat</t>
  </si>
  <si>
    <t>Bag Cargo</t>
  </si>
  <si>
    <t>Curah Cair</t>
  </si>
  <si>
    <t>Kinerja Pelayanan Kapal</t>
  </si>
  <si>
    <t>E110100000000</t>
  </si>
  <si>
    <t>Waiting Time (WT) for Pilot</t>
  </si>
  <si>
    <t>Jam</t>
  </si>
  <si>
    <t>E110200000000</t>
  </si>
  <si>
    <t>Waiting for Berth</t>
  </si>
  <si>
    <t>E110300000000</t>
  </si>
  <si>
    <t>Postpone Time (PT)</t>
  </si>
  <si>
    <t>E110400000000</t>
  </si>
  <si>
    <t>Approach Time (AT)</t>
  </si>
  <si>
    <t>E110500000000</t>
  </si>
  <si>
    <t>Turn Round Time (TRT)</t>
  </si>
  <si>
    <t>E120100000000</t>
  </si>
  <si>
    <t>E120200000000</t>
  </si>
  <si>
    <t>E120300000000</t>
  </si>
  <si>
    <t>E120400000000</t>
  </si>
  <si>
    <t>E120500000000</t>
  </si>
  <si>
    <t>KONSOLIDASI</t>
  </si>
  <si>
    <t>E130100000000</t>
  </si>
  <si>
    <t>E130200000000</t>
  </si>
  <si>
    <t>E130300000000</t>
  </si>
  <si>
    <t>E130400000000</t>
  </si>
  <si>
    <t>E130500000000</t>
  </si>
  <si>
    <t>KINERJA PELAYANAN DI DUKS / TUKS</t>
  </si>
  <si>
    <t>E140100000000</t>
  </si>
  <si>
    <t>E140200000000</t>
  </si>
  <si>
    <t>E140300000000</t>
  </si>
  <si>
    <t>E140400000000</t>
  </si>
  <si>
    <t>E140500000000</t>
  </si>
  <si>
    <t>Kinerja Pelayanan Tambatan</t>
  </si>
  <si>
    <t>Terminal Petikemas</t>
  </si>
  <si>
    <t>F110101000000</t>
  </si>
  <si>
    <t>Berthing Time (BT)</t>
  </si>
  <si>
    <t>F110102000000</t>
  </si>
  <si>
    <t>Berth Working Time (BWT)</t>
  </si>
  <si>
    <t>F110103000000</t>
  </si>
  <si>
    <t>Effective Time (ET)</t>
  </si>
  <si>
    <t>F110104000000</t>
  </si>
  <si>
    <t>Idle Time (IT)</t>
  </si>
  <si>
    <t>F110105000000</t>
  </si>
  <si>
    <t>Not Operation Time (NOT)</t>
  </si>
  <si>
    <t>F110106000000</t>
  </si>
  <si>
    <t>ET / BT</t>
  </si>
  <si>
    <t>%</t>
  </si>
  <si>
    <t>Terminal Multipurpose</t>
  </si>
  <si>
    <t>F110201000000</t>
  </si>
  <si>
    <t>F110202000000</t>
  </si>
  <si>
    <t>F110203000000</t>
  </si>
  <si>
    <t>F110204000000</t>
  </si>
  <si>
    <t>F110205000000</t>
  </si>
  <si>
    <t>F110206000000</t>
  </si>
  <si>
    <t>Terminal Curah Cair</t>
  </si>
  <si>
    <t>F110301000000</t>
  </si>
  <si>
    <t>F110302000000</t>
  </si>
  <si>
    <t>F110303000000</t>
  </si>
  <si>
    <t>F110304000000</t>
  </si>
  <si>
    <t>F110305000000</t>
  </si>
  <si>
    <t>F110306000000</t>
  </si>
  <si>
    <t>Terminal Curah Kering</t>
  </si>
  <si>
    <t>F110401000000</t>
  </si>
  <si>
    <t>F110402000000</t>
  </si>
  <si>
    <t>F110403000000</t>
  </si>
  <si>
    <t>F110404000000</t>
  </si>
  <si>
    <t>F110405000000</t>
  </si>
  <si>
    <t>F110406000000</t>
  </si>
  <si>
    <t>Terminal Kendaraan</t>
  </si>
  <si>
    <t>F110501000000</t>
  </si>
  <si>
    <t>F110502000000</t>
  </si>
  <si>
    <t>F110503000000</t>
  </si>
  <si>
    <t>F110504000000</t>
  </si>
  <si>
    <t>F110505000000</t>
  </si>
  <si>
    <t>F110506000000</t>
  </si>
  <si>
    <t>F120101000000</t>
  </si>
  <si>
    <t>F120102000000</t>
  </si>
  <si>
    <t>F120103000000</t>
  </si>
  <si>
    <t>F120104000000</t>
  </si>
  <si>
    <t>F120105000000</t>
  </si>
  <si>
    <t>F120106000000</t>
  </si>
  <si>
    <t>F120201000000</t>
  </si>
  <si>
    <t>F120202000000</t>
  </si>
  <si>
    <t>F120203000000</t>
  </si>
  <si>
    <t>F120204000000</t>
  </si>
  <si>
    <t>F120205000000</t>
  </si>
  <si>
    <t>F120206000000</t>
  </si>
  <si>
    <t>F120301000000</t>
  </si>
  <si>
    <t>F120302000000</t>
  </si>
  <si>
    <t>F120303000000</t>
  </si>
  <si>
    <t>F120304000000</t>
  </si>
  <si>
    <t>F120305000000</t>
  </si>
  <si>
    <t>F120306000000</t>
  </si>
  <si>
    <t>F120401000000</t>
  </si>
  <si>
    <t>F120402000000</t>
  </si>
  <si>
    <t>F120403000000</t>
  </si>
  <si>
    <t>F120404000000</t>
  </si>
  <si>
    <t>F120405000000</t>
  </si>
  <si>
    <t>F120406000000</t>
  </si>
  <si>
    <t>F120501000000</t>
  </si>
  <si>
    <t>F120502000000</t>
  </si>
  <si>
    <t>F120503000000</t>
  </si>
  <si>
    <t>F120504000000</t>
  </si>
  <si>
    <t>F120505000000</t>
  </si>
  <si>
    <t>F120506000000</t>
  </si>
  <si>
    <t>F130101000000</t>
  </si>
  <si>
    <t>F130102000000</t>
  </si>
  <si>
    <t>F130103000000</t>
  </si>
  <si>
    <t>F130104000000</t>
  </si>
  <si>
    <t>F130105000000</t>
  </si>
  <si>
    <t>F130106000000</t>
  </si>
  <si>
    <t>F130201000000</t>
  </si>
  <si>
    <t>F130202000000</t>
  </si>
  <si>
    <t>F130203000000</t>
  </si>
  <si>
    <t>F130204000000</t>
  </si>
  <si>
    <t>F130205000000</t>
  </si>
  <si>
    <t>F130206000000</t>
  </si>
  <si>
    <t>F130301000000</t>
  </si>
  <si>
    <t>F130302000000</t>
  </si>
  <si>
    <t>F130303000000</t>
  </si>
  <si>
    <t>F130304000000</t>
  </si>
  <si>
    <t>F130305000000</t>
  </si>
  <si>
    <t>F130306000000</t>
  </si>
  <si>
    <t>F130401000000</t>
  </si>
  <si>
    <t>F130402000000</t>
  </si>
  <si>
    <t>F130403000000</t>
  </si>
  <si>
    <t>F130404000000</t>
  </si>
  <si>
    <t>F130405000000</t>
  </si>
  <si>
    <t>F130406000000</t>
  </si>
  <si>
    <t>F130501000000</t>
  </si>
  <si>
    <t>F130502000000</t>
  </si>
  <si>
    <t>F130503000000</t>
  </si>
  <si>
    <t>F130504000000</t>
  </si>
  <si>
    <t>F130505000000</t>
  </si>
  <si>
    <t>F130506000000</t>
  </si>
  <si>
    <t>Kinerja Pelayanan Petikemas</t>
  </si>
  <si>
    <t>KINERJA OPERASI DERMAGA</t>
  </si>
  <si>
    <t>Luar negeri</t>
  </si>
  <si>
    <t>Bongkar muat per crane</t>
  </si>
  <si>
    <t>B110101010000</t>
  </si>
  <si>
    <t>BCH (ET)</t>
  </si>
  <si>
    <t>bph</t>
  </si>
  <si>
    <t>B110101020000</t>
  </si>
  <si>
    <t>BCH (BWT)</t>
  </si>
  <si>
    <t>B110101030000</t>
  </si>
  <si>
    <t>BCH Gross / GCR (BT)</t>
  </si>
  <si>
    <t>Bongkar muat per kapal</t>
  </si>
  <si>
    <t>B110102010000</t>
  </si>
  <si>
    <t>BSH (ET)</t>
  </si>
  <si>
    <t>B110102020000</t>
  </si>
  <si>
    <t>BSH (BWT)</t>
  </si>
  <si>
    <t>B110102030000</t>
  </si>
  <si>
    <t>BSH Gross / VOR (BT)</t>
  </si>
  <si>
    <t>Dalam negeri</t>
  </si>
  <si>
    <t>B110201010000</t>
  </si>
  <si>
    <t>B110201020000</t>
  </si>
  <si>
    <t>B110201030000</t>
  </si>
  <si>
    <t>B110202010000</t>
  </si>
  <si>
    <t>B110202020000</t>
  </si>
  <si>
    <t>B110202030000</t>
  </si>
  <si>
    <t>Kinerja non ship crane dalam negeri</t>
  </si>
  <si>
    <t>B110301010000</t>
  </si>
  <si>
    <t>B110301020000</t>
  </si>
  <si>
    <t>B110301030000</t>
  </si>
  <si>
    <t>B110302010000</t>
  </si>
  <si>
    <t>B110302020000</t>
  </si>
  <si>
    <t>B110302030000</t>
  </si>
  <si>
    <t>KINERJA OPERASI LAPANGAN</t>
  </si>
  <si>
    <t>Luar Negeri</t>
  </si>
  <si>
    <t>B120101010000</t>
  </si>
  <si>
    <t>Dwelling Time</t>
  </si>
  <si>
    <t>hari</t>
  </si>
  <si>
    <t>B120101010100</t>
  </si>
  <si>
    <t>B120101010200</t>
  </si>
  <si>
    <t>B120101020000</t>
  </si>
  <si>
    <t>External Truck Round Time</t>
  </si>
  <si>
    <t>menit</t>
  </si>
  <si>
    <t>B120101020100</t>
  </si>
  <si>
    <t>Delivery Full</t>
  </si>
  <si>
    <t>B120101020200</t>
  </si>
  <si>
    <t>Delivery Empty</t>
  </si>
  <si>
    <t>B120102010000</t>
  </si>
  <si>
    <t>B120102010100</t>
  </si>
  <si>
    <t>B120102010200</t>
  </si>
  <si>
    <t>B120102020000</t>
  </si>
  <si>
    <t>B120102020100</t>
  </si>
  <si>
    <t>Receiving Full</t>
  </si>
  <si>
    <t>B120102020200</t>
  </si>
  <si>
    <t>Receiving Empty</t>
  </si>
  <si>
    <t>B120103000000</t>
  </si>
  <si>
    <t>Dwelling Time Rekap Luar Negeri</t>
  </si>
  <si>
    <t>B120104000000</t>
  </si>
  <si>
    <t>External Truck Round Time Rekap Luar Negeri</t>
  </si>
  <si>
    <t>Dalam Negeri</t>
  </si>
  <si>
    <t>B120201010000</t>
  </si>
  <si>
    <t>B120201010100</t>
  </si>
  <si>
    <t>B120201010200</t>
  </si>
  <si>
    <t>B120201020000</t>
  </si>
  <si>
    <t>B120201020100</t>
  </si>
  <si>
    <t>B120201020200</t>
  </si>
  <si>
    <t>B120202010000</t>
  </si>
  <si>
    <t>B120202010100</t>
  </si>
  <si>
    <t>B120202010200</t>
  </si>
  <si>
    <t>B120202020000</t>
  </si>
  <si>
    <t>B120202020100</t>
  </si>
  <si>
    <t>B120202020200</t>
  </si>
  <si>
    <t>B120203000000</t>
  </si>
  <si>
    <t>Dwelling Time Dalam Negeri</t>
  </si>
  <si>
    <t>B120204000000</t>
  </si>
  <si>
    <t>External Truck Round Time Dalam Negeri</t>
  </si>
  <si>
    <t>B120300000000</t>
  </si>
  <si>
    <t>Dwelling Time Konsolidasi</t>
  </si>
  <si>
    <t>B120400000000</t>
  </si>
  <si>
    <t>External Truck Round Time Konsolidasi</t>
  </si>
  <si>
    <t>Kinerja Pelayanan Non Petikemas</t>
  </si>
  <si>
    <t>D110101000000</t>
  </si>
  <si>
    <t>T/G/H</t>
  </si>
  <si>
    <t>T/S/D</t>
  </si>
  <si>
    <t>D110102000000</t>
  </si>
  <si>
    <t>D110103000000</t>
  </si>
  <si>
    <t>D110103010000</t>
  </si>
  <si>
    <t>Melalui truk</t>
  </si>
  <si>
    <t>D110103020000</t>
  </si>
  <si>
    <t>Melalui pipa</t>
  </si>
  <si>
    <t>D110104000000</t>
  </si>
  <si>
    <t>D110104010000</t>
  </si>
  <si>
    <t>D110104020000</t>
  </si>
  <si>
    <t>D110104030000</t>
  </si>
  <si>
    <t>Melalui konveyor</t>
  </si>
  <si>
    <t>D110200000000</t>
  </si>
  <si>
    <t>D110201000000</t>
  </si>
  <si>
    <t>D110202000000</t>
  </si>
  <si>
    <t>D110300000000</t>
  </si>
  <si>
    <t>D110301000000</t>
  </si>
  <si>
    <t>D110302000000</t>
  </si>
  <si>
    <t>D110303000000</t>
  </si>
  <si>
    <t>D110400000000</t>
  </si>
  <si>
    <t>B/M Terminal Kendaraan</t>
  </si>
  <si>
    <t>U/G/H</t>
  </si>
  <si>
    <t>U/S/D</t>
  </si>
  <si>
    <t>D120101000000</t>
  </si>
  <si>
    <t>D120102000000</t>
  </si>
  <si>
    <t>D120103000000</t>
  </si>
  <si>
    <t>D120103010000</t>
  </si>
  <si>
    <t>D120103020000</t>
  </si>
  <si>
    <t>D120104000000</t>
  </si>
  <si>
    <t>D120104010000</t>
  </si>
  <si>
    <t>D120104020000</t>
  </si>
  <si>
    <t>D120104030000</t>
  </si>
  <si>
    <t>D120200000000</t>
  </si>
  <si>
    <t>D120201000000</t>
  </si>
  <si>
    <t>D120202000000</t>
  </si>
  <si>
    <t>D120300000000</t>
  </si>
  <si>
    <t>D120301000000</t>
  </si>
  <si>
    <t>D120302000000</t>
  </si>
  <si>
    <t>D120303000000</t>
  </si>
  <si>
    <t>D120400000000</t>
  </si>
  <si>
    <t>KONSOLIDASI CABANG</t>
  </si>
  <si>
    <t>D130101000000</t>
  </si>
  <si>
    <t>D130102000000</t>
  </si>
  <si>
    <t>D130103000000</t>
  </si>
  <si>
    <t>D130103010000</t>
  </si>
  <si>
    <t>D130103020000</t>
  </si>
  <si>
    <t>D130104000000</t>
  </si>
  <si>
    <t>D130104010000</t>
  </si>
  <si>
    <t>D130104020000</t>
  </si>
  <si>
    <t>D130104030000</t>
  </si>
  <si>
    <t>D130200000000</t>
  </si>
  <si>
    <t>D130201000000</t>
  </si>
  <si>
    <t>D130202000000</t>
  </si>
  <si>
    <t>D130300000000</t>
  </si>
  <si>
    <t>D130301000000</t>
  </si>
  <si>
    <t>D130302000000</t>
  </si>
  <si>
    <t>D130303000000</t>
  </si>
  <si>
    <t>D130400000000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</si>
</sst>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4"/>
      <color rgb="FF00000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" fontId="1" fillId="3" borderId="14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  <xf numFmtId="4" fontId="1" fillId="0" borderId="14" xfId="0" applyNumberFormat="1" applyFont="1" applyBorder="1"/>
    <xf numFmtId="1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horizontal="right" wrapText="1"/>
    </xf>
    <xf numFmtId="4" fontId="1" fillId="4" borderId="14" xfId="0" applyNumberFormat="1" applyFont="1" applyFill="1" applyBorder="1" applyAlignment="1">
      <alignment horizontal="right"/>
    </xf>
    <xf numFmtId="4" fontId="7" fillId="4" borderId="14" xfId="0" applyNumberFormat="1" applyFont="1" applyFill="1" applyBorder="1" applyAlignment="1">
      <alignment horizontal="right"/>
    </xf>
    <xf numFmtId="4" fontId="1" fillId="5" borderId="14" xfId="0" applyNumberFormat="1" applyFont="1" applyFill="1" applyBorder="1"/>
    <xf numFmtId="4" fontId="1" fillId="0" borderId="0" xfId="0" applyNumberFormat="1" applyFont="1"/>
    <xf numFmtId="1" fontId="1" fillId="0" borderId="15" xfId="0" applyNumberFormat="1" applyFont="1" applyBorder="1" applyAlignment="1">
      <alignment horizontal="center" vertical="center" wrapText="1"/>
    </xf>
    <xf numFmtId="4" fontId="1" fillId="4" borderId="18" xfId="0" applyNumberFormat="1" applyFont="1" applyFill="1" applyBorder="1" applyAlignment="1">
      <alignment horizontal="right"/>
    </xf>
    <xf numFmtId="4" fontId="1" fillId="4" borderId="18" xfId="0" applyNumberFormat="1" applyFont="1" applyFill="1" applyBorder="1" applyAlignment="1">
      <alignment horizontal="right" wrapText="1"/>
    </xf>
    <xf numFmtId="4" fontId="1" fillId="4" borderId="14" xfId="0" applyNumberFormat="1" applyFont="1" applyFill="1" applyBorder="1"/>
    <xf numFmtId="4" fontId="1" fillId="4" borderId="18" xfId="0" applyNumberFormat="1" applyFont="1" applyFill="1" applyBorder="1"/>
    <xf numFmtId="4" fontId="7" fillId="4" borderId="14" xfId="0" applyNumberFormat="1" applyFont="1" applyFill="1" applyBorder="1"/>
    <xf numFmtId="1" fontId="1" fillId="0" borderId="14" xfId="0" applyNumberFormat="1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vertical="center" wrapText="1"/>
    </xf>
    <xf numFmtId="4" fontId="1" fillId="4" borderId="10" xfId="0" applyNumberFormat="1" applyFont="1" applyFill="1" applyBorder="1"/>
    <xf numFmtId="4" fontId="1" fillId="0" borderId="10" xfId="0" applyNumberFormat="1" applyFont="1" applyBorder="1"/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4" fontId="7" fillId="4" borderId="10" xfId="0" applyNumberFormat="1" applyFont="1" applyFill="1" applyBorder="1" applyAlignment="1">
      <alignment horizontal="right"/>
    </xf>
    <xf numFmtId="4" fontId="7" fillId="4" borderId="10" xfId="0" applyNumberFormat="1" applyFont="1" applyFill="1" applyBorder="1"/>
    <xf numFmtId="0" fontId="1" fillId="5" borderId="19" xfId="0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3" fontId="1" fillId="4" borderId="14" xfId="0" applyNumberFormat="1" applyFont="1" applyFill="1" applyBorder="1"/>
    <xf numFmtId="1" fontId="1" fillId="0" borderId="16" xfId="0" applyNumberFormat="1" applyFont="1" applyBorder="1" applyAlignment="1">
      <alignment horizontal="center" vertical="center" wrapText="1"/>
    </xf>
    <xf numFmtId="3" fontId="1" fillId="4" borderId="18" xfId="0" applyNumberFormat="1" applyFont="1" applyFill="1" applyBorder="1"/>
    <xf numFmtId="1" fontId="1" fillId="3" borderId="18" xfId="0" applyNumberFormat="1" applyFont="1" applyFill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4" fontId="1" fillId="0" borderId="15" xfId="0" applyNumberFormat="1" applyFont="1" applyBorder="1"/>
    <xf numFmtId="4" fontId="7" fillId="0" borderId="14" xfId="0" applyNumberFormat="1" applyFont="1" applyBorder="1"/>
    <xf numFmtId="4" fontId="7" fillId="0" borderId="10" xfId="0" applyNumberFormat="1" applyFont="1" applyBorder="1"/>
    <xf numFmtId="4" fontId="1" fillId="0" borderId="14" xfId="0" applyNumberFormat="1" applyFont="1" applyBorder="1" applyAlignment="1">
      <alignment horizontal="right" vertical="center"/>
    </xf>
    <xf numFmtId="4" fontId="7" fillId="0" borderId="14" xfId="0" applyNumberFormat="1" applyFont="1" applyBorder="1" applyAlignment="1">
      <alignment horizontal="center"/>
    </xf>
    <xf numFmtId="4" fontId="1" fillId="4" borderId="14" xfId="0" applyNumberFormat="1" applyFont="1" applyFill="1" applyBorder="1" applyAlignment="1">
      <alignment horizontal="right" vertical="center" wrapText="1"/>
    </xf>
    <xf numFmtId="4" fontId="7" fillId="4" borderId="14" xfId="0" applyNumberFormat="1" applyFont="1" applyFill="1" applyBorder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horizontal="right" vertic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" fontId="1" fillId="0" borderId="14" xfId="0" applyNumberFormat="1" applyFont="1" applyBorder="1" applyAlignment="1">
      <alignment horizontal="center" vertical="center" wrapText="1"/>
    </xf>
    <xf numFmtId="4" fontId="1" fillId="0" borderId="14" xfId="0" applyNumberFormat="1" applyFont="1" applyBorder="1" applyAlignment="1">
      <alignment vertical="center" wrapText="1"/>
    </xf>
    <xf numFmtId="4" fontId="1" fillId="5" borderId="14" xfId="0" applyNumberFormat="1" applyFont="1" applyFill="1" applyBorder="1" applyAlignment="1">
      <alignment horizontal="right" vertical="center"/>
    </xf>
    <xf numFmtId="4" fontId="7" fillId="0" borderId="10" xfId="0" applyNumberFormat="1" applyFont="1" applyBorder="1" applyAlignment="1">
      <alignment horizontal="center"/>
    </xf>
    <xf numFmtId="0" fontId="9" fillId="0" borderId="0" xfId="0" applyFont="1"/>
    <xf numFmtId="1" fontId="1" fillId="0" borderId="0" xfId="0" applyNumberFormat="1" applyFont="1" applyAlignment="1">
      <alignment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4" fontId="1" fillId="0" borderId="0" xfId="0" applyNumberFormat="1" applyFont="1" applyAlignment="1">
      <alignment horizontal="left" vertical="center" wrapText="1"/>
    </xf>
    <xf numFmtId="3" fontId="7" fillId="4" borderId="14" xfId="0" applyNumberFormat="1" applyFont="1" applyFill="1" applyBorder="1"/>
    <xf numFmtId="3" fontId="1" fillId="4" borderId="18" xfId="0" applyNumberFormat="1" applyFont="1" applyFill="1" applyBorder="1" applyAlignment="1">
      <alignment horizontal="right"/>
    </xf>
    <xf numFmtId="4" fontId="1" fillId="5" borderId="18" xfId="0" applyNumberFormat="1" applyFont="1" applyFill="1" applyBorder="1" applyAlignment="1">
      <alignment horizontal="right"/>
    </xf>
    <xf numFmtId="0" fontId="2" fillId="0" borderId="2" xfId="0" applyFont="1" applyBorder="1"/>
    <xf numFmtId="0" fontId="3" fillId="2" borderId="1" xfId="0" applyFon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3" borderId="3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" fillId="0" borderId="15" xfId="0" applyFont="1" applyBorder="1" applyAlignment="1">
      <alignment horizontal="left" vertical="center" wrapText="1"/>
    </xf>
    <xf numFmtId="1" fontId="1" fillId="0" borderId="15" xfId="0" applyNumberFormat="1" applyFont="1" applyBorder="1" applyAlignment="1">
      <alignment horizontal="left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3" fontId="1" fillId="3" borderId="15" xfId="0" applyNumberFormat="1" applyFont="1" applyFill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2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heet1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heet1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heet1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Sheet1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Sheet1-style 6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Sheet1-style 7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heet1-style 8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-style 9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tabSelected="1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L19" sqref="L19"/>
    </sheetView>
  </sheetViews>
  <sheetFormatPr defaultColWidth="14.3984375" defaultRowHeight="15" customHeight="1" x14ac:dyDescent="0.45"/>
  <cols>
    <col min="1" max="1" width="2.73046875" customWidth="1"/>
    <col min="2" max="2" width="15.53125" hidden="1" customWidth="1"/>
    <col min="3" max="7" width="6.3984375" customWidth="1"/>
    <col min="8" max="8" width="16.3984375" customWidth="1"/>
    <col min="9" max="9" width="7.86328125" customWidth="1"/>
    <col min="10" max="22" width="15.265625" customWidth="1"/>
    <col min="23" max="26" width="8.73046875" customWidth="1"/>
  </cols>
  <sheetData>
    <row r="1" spans="1:22" ht="14.25" customHeight="1" x14ac:dyDescent="0.4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45">
      <c r="A2" s="1"/>
      <c r="B2" s="1"/>
      <c r="C2" s="76" t="s">
        <v>0</v>
      </c>
      <c r="D2" s="75"/>
      <c r="E2" s="75"/>
      <c r="F2" s="75"/>
      <c r="G2" s="75"/>
      <c r="H2" s="3" t="e">
        <f>#REF!</f>
        <v>#REF!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.25" customHeight="1" x14ac:dyDescent="0.4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4.25" customHeight="1" x14ac:dyDescent="0.45">
      <c r="A4" s="1"/>
      <c r="B4" s="1" t="e">
        <f>#REF!</f>
        <v>#REF!</v>
      </c>
      <c r="C4" s="76" t="s">
        <v>1</v>
      </c>
      <c r="D4" s="75"/>
      <c r="E4" s="75"/>
      <c r="F4" s="75"/>
      <c r="G4" s="75"/>
      <c r="H4" s="1" t="e">
        <f>#REF!</f>
        <v>#REF!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.5" customHeight="1" x14ac:dyDescent="0.45">
      <c r="A5" s="1"/>
      <c r="B5" s="1" t="e">
        <f>#REF!</f>
        <v>#REF!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4.25" customHeight="1" x14ac:dyDescent="0.45">
      <c r="A6" s="1"/>
      <c r="B6" s="1" t="e">
        <f>#REF!</f>
        <v>#REF!</v>
      </c>
      <c r="C6" s="76" t="s">
        <v>2</v>
      </c>
      <c r="D6" s="75"/>
      <c r="E6" s="75"/>
      <c r="F6" s="75"/>
      <c r="G6" s="75"/>
      <c r="H6" s="1" t="e">
        <f>#REF!</f>
        <v>#REF!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2.25" customHeight="1" x14ac:dyDescent="0.45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23.25" customHeight="1" x14ac:dyDescent="0.55000000000000004">
      <c r="A8" s="4">
        <v>1</v>
      </c>
      <c r="B8" s="5"/>
      <c r="C8" s="4" t="s">
        <v>32</v>
      </c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4.25" hidden="1" customHeight="1" x14ac:dyDescent="0.55000000000000004">
      <c r="A9" s="5"/>
      <c r="B9" s="5"/>
      <c r="C9" s="4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4.25" hidden="1" customHeight="1" x14ac:dyDescent="0.55000000000000004">
      <c r="A10" s="5"/>
      <c r="B10" s="5" t="s">
        <v>3</v>
      </c>
      <c r="C10" s="4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</row>
    <row r="11" spans="1:22" ht="6" customHeight="1" x14ac:dyDescent="0.45">
      <c r="A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" customHeight="1" x14ac:dyDescent="0.45">
      <c r="A12" s="1"/>
      <c r="B12" s="1"/>
      <c r="C12" s="77" t="s">
        <v>4</v>
      </c>
      <c r="D12" s="87" t="s">
        <v>5</v>
      </c>
      <c r="E12" s="82"/>
      <c r="F12" s="82"/>
      <c r="G12" s="82"/>
      <c r="H12" s="83"/>
      <c r="I12" s="80" t="s">
        <v>6</v>
      </c>
      <c r="J12" s="81" t="e">
        <f>$H$2</f>
        <v>#REF!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3"/>
    </row>
    <row r="13" spans="1:22" ht="14.25" customHeight="1" x14ac:dyDescent="0.45">
      <c r="A13" s="1"/>
      <c r="B13" s="1"/>
      <c r="C13" s="78"/>
      <c r="D13" s="84"/>
      <c r="E13" s="85"/>
      <c r="F13" s="85"/>
      <c r="G13" s="85"/>
      <c r="H13" s="86"/>
      <c r="I13" s="78"/>
      <c r="J13" s="88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90"/>
    </row>
    <row r="14" spans="1:22" ht="14.25" customHeight="1" x14ac:dyDescent="0.45">
      <c r="A14" s="1"/>
      <c r="B14" s="1"/>
      <c r="C14" s="79"/>
      <c r="D14" s="88"/>
      <c r="E14" s="89"/>
      <c r="F14" s="89"/>
      <c r="G14" s="89"/>
      <c r="H14" s="90"/>
      <c r="I14" s="79"/>
      <c r="J14" s="40" t="s">
        <v>7</v>
      </c>
      <c r="K14" s="40" t="s">
        <v>8</v>
      </c>
      <c r="L14" s="40" t="s">
        <v>9</v>
      </c>
      <c r="M14" s="40" t="s">
        <v>10</v>
      </c>
      <c r="N14" s="40" t="s">
        <v>11</v>
      </c>
      <c r="O14" s="40" t="s">
        <v>12</v>
      </c>
      <c r="P14" s="40" t="s">
        <v>13</v>
      </c>
      <c r="Q14" s="40" t="s">
        <v>14</v>
      </c>
      <c r="R14" s="40" t="s">
        <v>15</v>
      </c>
      <c r="S14" s="40" t="s">
        <v>16</v>
      </c>
      <c r="T14" s="40" t="s">
        <v>17</v>
      </c>
      <c r="U14" s="40" t="s">
        <v>18</v>
      </c>
      <c r="V14" s="40" t="s">
        <v>19</v>
      </c>
    </row>
    <row r="15" spans="1:22" ht="14.25" customHeight="1" x14ac:dyDescent="0.45">
      <c r="A15" s="1"/>
      <c r="B15" s="1"/>
      <c r="C15" s="6">
        <v>1</v>
      </c>
      <c r="D15" s="91">
        <v>2</v>
      </c>
      <c r="E15" s="92"/>
      <c r="F15" s="92"/>
      <c r="G15" s="92"/>
      <c r="H15" s="93"/>
      <c r="I15" s="7">
        <v>3</v>
      </c>
      <c r="J15" s="97">
        <v>4</v>
      </c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3"/>
      <c r="V15" s="7">
        <v>5</v>
      </c>
    </row>
    <row r="16" spans="1:22" ht="14.25" customHeight="1" x14ac:dyDescent="0.45">
      <c r="A16" s="1"/>
      <c r="B16" s="1"/>
      <c r="C16" s="11"/>
      <c r="D16" s="96"/>
      <c r="E16" s="92"/>
      <c r="F16" s="92"/>
      <c r="G16" s="92"/>
      <c r="H16" s="93"/>
      <c r="I16" s="26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spans="1:22" ht="14.25" customHeight="1" x14ac:dyDescent="0.45">
      <c r="A17" s="1"/>
      <c r="B17" s="34"/>
      <c r="C17" s="11">
        <v>1</v>
      </c>
      <c r="D17" s="94" t="s">
        <v>22</v>
      </c>
      <c r="E17" s="92"/>
      <c r="F17" s="92"/>
      <c r="G17" s="92"/>
      <c r="H17" s="93"/>
      <c r="I17" s="26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</row>
    <row r="18" spans="1:22" ht="14.25" customHeight="1" x14ac:dyDescent="0.45">
      <c r="A18" s="1"/>
      <c r="B18" s="34" t="s">
        <v>33</v>
      </c>
      <c r="C18" s="11"/>
      <c r="D18" s="19">
        <v>1</v>
      </c>
      <c r="E18" s="98" t="s">
        <v>34</v>
      </c>
      <c r="F18" s="92"/>
      <c r="G18" s="92"/>
      <c r="H18" s="93"/>
      <c r="I18" s="26" t="s">
        <v>35</v>
      </c>
      <c r="J18" s="14">
        <v>0</v>
      </c>
      <c r="K18" s="15">
        <v>0</v>
      </c>
      <c r="L18" s="14">
        <v>1.1904761904761904E-2</v>
      </c>
      <c r="M18" s="14">
        <v>0.01</v>
      </c>
      <c r="N18" s="16">
        <v>0.01</v>
      </c>
      <c r="O18" s="15"/>
      <c r="P18" s="14"/>
      <c r="Q18" s="14"/>
      <c r="R18" s="14"/>
      <c r="S18" s="14"/>
      <c r="T18" s="16"/>
      <c r="U18" s="14"/>
      <c r="V18" s="17">
        <f t="shared" ref="V18:V22" si="0">IFERROR(AVERAGE(J18:U18),"")</f>
        <v>6.3809523809523813E-3</v>
      </c>
    </row>
    <row r="19" spans="1:22" ht="14.25" customHeight="1" x14ac:dyDescent="0.45">
      <c r="A19" s="1"/>
      <c r="B19" s="34" t="s">
        <v>36</v>
      </c>
      <c r="C19" s="11"/>
      <c r="D19" s="19">
        <v>2</v>
      </c>
      <c r="E19" s="98" t="s">
        <v>37</v>
      </c>
      <c r="F19" s="92"/>
      <c r="G19" s="92"/>
      <c r="H19" s="93"/>
      <c r="I19" s="26" t="s">
        <v>35</v>
      </c>
      <c r="J19" s="22"/>
      <c r="K19" s="23"/>
      <c r="L19" s="22"/>
      <c r="M19" s="23"/>
      <c r="N19" s="24"/>
      <c r="O19" s="23"/>
      <c r="P19" s="22"/>
      <c r="Q19" s="22"/>
      <c r="R19" s="22"/>
      <c r="S19" s="23"/>
      <c r="T19" s="33"/>
      <c r="U19" s="22"/>
      <c r="V19" s="17" t="str">
        <f t="shared" si="0"/>
        <v/>
      </c>
    </row>
    <row r="20" spans="1:22" ht="14.25" customHeight="1" x14ac:dyDescent="0.45">
      <c r="A20" s="1"/>
      <c r="B20" s="34" t="s">
        <v>38</v>
      </c>
      <c r="C20" s="11"/>
      <c r="D20" s="13">
        <v>3</v>
      </c>
      <c r="E20" s="99" t="s">
        <v>39</v>
      </c>
      <c r="F20" s="92"/>
      <c r="G20" s="92"/>
      <c r="H20" s="93"/>
      <c r="I20" s="26" t="s">
        <v>35</v>
      </c>
      <c r="J20" s="22"/>
      <c r="K20" s="23"/>
      <c r="L20" s="22"/>
      <c r="M20" s="23"/>
      <c r="N20" s="24"/>
      <c r="O20" s="23"/>
      <c r="P20" s="22"/>
      <c r="Q20" s="22"/>
      <c r="R20" s="22"/>
      <c r="S20" s="23"/>
      <c r="T20" s="33"/>
      <c r="U20" s="22"/>
      <c r="V20" s="17" t="str">
        <f t="shared" si="0"/>
        <v/>
      </c>
    </row>
    <row r="21" spans="1:22" ht="14.25" customHeight="1" x14ac:dyDescent="0.45">
      <c r="A21" s="1"/>
      <c r="B21" s="34" t="s">
        <v>40</v>
      </c>
      <c r="C21" s="11"/>
      <c r="D21" s="19">
        <v>4</v>
      </c>
      <c r="E21" s="98" t="s">
        <v>41</v>
      </c>
      <c r="F21" s="92"/>
      <c r="G21" s="92"/>
      <c r="H21" s="93"/>
      <c r="I21" s="26" t="s">
        <v>35</v>
      </c>
      <c r="J21" s="14">
        <v>0.75</v>
      </c>
      <c r="K21" s="20">
        <v>0.77</v>
      </c>
      <c r="L21" s="14">
        <v>0.75277777777777799</v>
      </c>
      <c r="M21" s="21">
        <v>0.78985507246376818</v>
      </c>
      <c r="N21" s="16">
        <v>0.69</v>
      </c>
      <c r="O21" s="20"/>
      <c r="P21" s="14"/>
      <c r="Q21" s="14"/>
      <c r="R21" s="14"/>
      <c r="S21" s="21"/>
      <c r="T21" s="32"/>
      <c r="U21" s="14"/>
      <c r="V21" s="17">
        <f t="shared" si="0"/>
        <v>0.75052657004830914</v>
      </c>
    </row>
    <row r="22" spans="1:22" ht="14.25" customHeight="1" x14ac:dyDescent="0.45">
      <c r="A22" s="1"/>
      <c r="B22" s="34" t="s">
        <v>42</v>
      </c>
      <c r="C22" s="11"/>
      <c r="D22" s="19">
        <v>5</v>
      </c>
      <c r="E22" s="98" t="s">
        <v>43</v>
      </c>
      <c r="F22" s="92"/>
      <c r="G22" s="92"/>
      <c r="H22" s="93"/>
      <c r="I22" s="26" t="s">
        <v>35</v>
      </c>
      <c r="J22" s="22"/>
      <c r="K22" s="22"/>
      <c r="L22" s="22"/>
      <c r="M22" s="23"/>
      <c r="N22" s="24"/>
      <c r="O22" s="23"/>
      <c r="P22" s="22"/>
      <c r="Q22" s="22"/>
      <c r="R22" s="22"/>
      <c r="S22" s="23"/>
      <c r="T22" s="33"/>
      <c r="U22" s="22"/>
      <c r="V22" s="17" t="str">
        <f t="shared" si="0"/>
        <v/>
      </c>
    </row>
    <row r="23" spans="1:22" ht="14.25" customHeight="1" x14ac:dyDescent="0.45">
      <c r="A23" s="1"/>
      <c r="B23" s="34"/>
      <c r="C23" s="11"/>
      <c r="D23" s="96"/>
      <c r="E23" s="92"/>
      <c r="F23" s="92"/>
      <c r="G23" s="92"/>
      <c r="H23" s="93"/>
      <c r="I23" s="36"/>
      <c r="J23" s="42"/>
      <c r="K23" s="10"/>
      <c r="L23" s="10"/>
      <c r="M23" s="29"/>
      <c r="N23" s="43"/>
      <c r="O23" s="29"/>
      <c r="P23" s="10"/>
      <c r="Q23" s="10"/>
      <c r="R23" s="10"/>
      <c r="S23" s="29"/>
      <c r="T23" s="44"/>
      <c r="U23" s="10"/>
      <c r="V23" s="45"/>
    </row>
    <row r="24" spans="1:22" ht="14.25" customHeight="1" x14ac:dyDescent="0.45">
      <c r="A24" s="1"/>
      <c r="B24" s="34"/>
      <c r="C24" s="11">
        <v>2</v>
      </c>
      <c r="D24" s="94" t="s">
        <v>27</v>
      </c>
      <c r="E24" s="92"/>
      <c r="F24" s="92"/>
      <c r="G24" s="92"/>
      <c r="H24" s="93"/>
      <c r="I24" s="26"/>
      <c r="J24" s="10"/>
      <c r="K24" s="10"/>
      <c r="L24" s="10"/>
      <c r="M24" s="29"/>
      <c r="N24" s="46"/>
      <c r="O24" s="29"/>
      <c r="P24" s="10"/>
      <c r="Q24" s="10"/>
      <c r="R24" s="10"/>
      <c r="S24" s="29"/>
      <c r="T24" s="44"/>
      <c r="U24" s="10"/>
      <c r="V24" s="45"/>
    </row>
    <row r="25" spans="1:22" ht="14.25" customHeight="1" x14ac:dyDescent="0.45">
      <c r="A25" s="1"/>
      <c r="B25" s="34" t="s">
        <v>44</v>
      </c>
      <c r="C25" s="11"/>
      <c r="D25" s="19">
        <v>1</v>
      </c>
      <c r="E25" s="98" t="s">
        <v>34</v>
      </c>
      <c r="F25" s="92"/>
      <c r="G25" s="92"/>
      <c r="H25" s="93"/>
      <c r="I25" s="26" t="s">
        <v>35</v>
      </c>
      <c r="J25" s="14">
        <v>0.15</v>
      </c>
      <c r="K25" s="15">
        <v>0.05</v>
      </c>
      <c r="L25" s="14">
        <v>4.1666666666666664E-2</v>
      </c>
      <c r="M25" s="14">
        <v>0.01</v>
      </c>
      <c r="N25" s="16">
        <v>0.01</v>
      </c>
      <c r="O25" s="20"/>
      <c r="P25" s="14"/>
      <c r="Q25" s="14"/>
      <c r="R25" s="14"/>
      <c r="S25" s="21"/>
      <c r="T25" s="32"/>
      <c r="U25" s="14"/>
      <c r="V25" s="17">
        <f t="shared" ref="V25:V29" si="1">IFERROR(AVERAGE(J25:U25),"")</f>
        <v>5.2333333333333329E-2</v>
      </c>
    </row>
    <row r="26" spans="1:22" ht="14.25" customHeight="1" x14ac:dyDescent="0.45">
      <c r="A26" s="1"/>
      <c r="B26" s="34" t="s">
        <v>45</v>
      </c>
      <c r="C26" s="11"/>
      <c r="D26" s="19">
        <v>2</v>
      </c>
      <c r="E26" s="98" t="s">
        <v>37</v>
      </c>
      <c r="F26" s="92"/>
      <c r="G26" s="92"/>
      <c r="H26" s="93"/>
      <c r="I26" s="26" t="s">
        <v>35</v>
      </c>
      <c r="J26" s="22"/>
      <c r="K26" s="23"/>
      <c r="L26" s="22"/>
      <c r="M26" s="23"/>
      <c r="N26" s="24"/>
      <c r="O26" s="23"/>
      <c r="P26" s="22"/>
      <c r="Q26" s="22"/>
      <c r="R26" s="22"/>
      <c r="S26" s="23"/>
      <c r="T26" s="33"/>
      <c r="U26" s="22"/>
      <c r="V26" s="17" t="str">
        <f t="shared" si="1"/>
        <v/>
      </c>
    </row>
    <row r="27" spans="1:22" ht="14.25" customHeight="1" x14ac:dyDescent="0.45">
      <c r="A27" s="1"/>
      <c r="B27" s="34" t="s">
        <v>46</v>
      </c>
      <c r="C27" s="11"/>
      <c r="D27" s="13">
        <v>3</v>
      </c>
      <c r="E27" s="99" t="s">
        <v>39</v>
      </c>
      <c r="F27" s="92"/>
      <c r="G27" s="92"/>
      <c r="H27" s="93"/>
      <c r="I27" s="26" t="s">
        <v>35</v>
      </c>
      <c r="J27" s="22"/>
      <c r="K27" s="23"/>
      <c r="L27" s="22"/>
      <c r="M27" s="23"/>
      <c r="N27" s="24"/>
      <c r="O27" s="23"/>
      <c r="P27" s="22"/>
      <c r="Q27" s="22"/>
      <c r="R27" s="22"/>
      <c r="S27" s="23"/>
      <c r="T27" s="33"/>
      <c r="U27" s="22"/>
      <c r="V27" s="17" t="str">
        <f t="shared" si="1"/>
        <v/>
      </c>
    </row>
    <row r="28" spans="1:22" ht="14.25" customHeight="1" x14ac:dyDescent="0.45">
      <c r="A28" s="1"/>
      <c r="B28" s="34" t="s">
        <v>47</v>
      </c>
      <c r="C28" s="11"/>
      <c r="D28" s="19">
        <v>4</v>
      </c>
      <c r="E28" s="98" t="s">
        <v>41</v>
      </c>
      <c r="F28" s="92"/>
      <c r="G28" s="92"/>
      <c r="H28" s="93"/>
      <c r="I28" s="26" t="s">
        <v>35</v>
      </c>
      <c r="J28" s="14">
        <v>0.5</v>
      </c>
      <c r="K28" s="20">
        <v>0.53</v>
      </c>
      <c r="L28" s="14">
        <v>0.48104575163398677</v>
      </c>
      <c r="M28" s="21">
        <v>0.4946483180428134</v>
      </c>
      <c r="N28" s="16">
        <v>0.53</v>
      </c>
      <c r="O28" s="20"/>
      <c r="P28" s="14"/>
      <c r="Q28" s="14"/>
      <c r="R28" s="14"/>
      <c r="S28" s="21"/>
      <c r="T28" s="32"/>
      <c r="U28" s="14"/>
      <c r="V28" s="17">
        <f t="shared" si="1"/>
        <v>0.50713881393536009</v>
      </c>
    </row>
    <row r="29" spans="1:22" ht="14.25" customHeight="1" x14ac:dyDescent="0.45">
      <c r="A29" s="1"/>
      <c r="B29" s="34" t="s">
        <v>48</v>
      </c>
      <c r="C29" s="11"/>
      <c r="D29" s="19">
        <v>5</v>
      </c>
      <c r="E29" s="98" t="s">
        <v>43</v>
      </c>
      <c r="F29" s="92"/>
      <c r="G29" s="92"/>
      <c r="H29" s="93"/>
      <c r="I29" s="26" t="s">
        <v>35</v>
      </c>
      <c r="J29" s="22"/>
      <c r="K29" s="22"/>
      <c r="L29" s="22"/>
      <c r="M29" s="23"/>
      <c r="N29" s="24"/>
      <c r="O29" s="33"/>
      <c r="P29" s="22"/>
      <c r="Q29" s="22"/>
      <c r="R29" s="22"/>
      <c r="S29" s="23"/>
      <c r="T29" s="33"/>
      <c r="U29" s="22"/>
      <c r="V29" s="17" t="str">
        <f t="shared" si="1"/>
        <v/>
      </c>
    </row>
    <row r="30" spans="1:22" ht="14.25" customHeight="1" x14ac:dyDescent="0.45">
      <c r="A30" s="1"/>
      <c r="B30" s="34"/>
      <c r="C30" s="11"/>
      <c r="D30" s="96"/>
      <c r="E30" s="92"/>
      <c r="F30" s="92"/>
      <c r="G30" s="92"/>
      <c r="H30" s="93"/>
      <c r="I30" s="36"/>
      <c r="J30" s="10"/>
      <c r="K30" s="10"/>
      <c r="L30" s="10"/>
      <c r="M30" s="29"/>
      <c r="N30" s="43"/>
      <c r="O30" s="44"/>
      <c r="P30" s="10"/>
      <c r="Q30" s="10"/>
      <c r="R30" s="10"/>
      <c r="S30" s="29"/>
      <c r="T30" s="44"/>
      <c r="U30" s="10"/>
      <c r="V30" s="45"/>
    </row>
    <row r="31" spans="1:22" ht="14.25" customHeight="1" x14ac:dyDescent="0.45">
      <c r="A31" s="1"/>
      <c r="B31" s="34"/>
      <c r="C31" s="11">
        <v>3</v>
      </c>
      <c r="D31" s="94" t="s">
        <v>49</v>
      </c>
      <c r="E31" s="92"/>
      <c r="F31" s="92"/>
      <c r="G31" s="92"/>
      <c r="H31" s="93"/>
      <c r="I31" s="26"/>
      <c r="J31" s="10"/>
      <c r="K31" s="10"/>
      <c r="L31" s="10"/>
      <c r="M31" s="29"/>
      <c r="N31" s="43"/>
      <c r="O31" s="44"/>
      <c r="P31" s="10"/>
      <c r="Q31" s="10"/>
      <c r="R31" s="10"/>
      <c r="S31" s="29"/>
      <c r="T31" s="44"/>
      <c r="U31" s="10"/>
      <c r="V31" s="45"/>
    </row>
    <row r="32" spans="1:22" ht="14.25" customHeight="1" x14ac:dyDescent="0.45">
      <c r="A32" s="1"/>
      <c r="B32" s="34" t="s">
        <v>50</v>
      </c>
      <c r="C32" s="11"/>
      <c r="D32" s="19">
        <v>1</v>
      </c>
      <c r="E32" s="98" t="s">
        <v>34</v>
      </c>
      <c r="F32" s="92"/>
      <c r="G32" s="92"/>
      <c r="H32" s="93"/>
      <c r="I32" s="26" t="s">
        <v>35</v>
      </c>
      <c r="J32" s="14">
        <v>7.0000000000000007E-2</v>
      </c>
      <c r="K32" s="15">
        <v>0.03</v>
      </c>
      <c r="L32" s="14">
        <v>2.6785714285714284E-2</v>
      </c>
      <c r="M32" s="14">
        <v>0.01</v>
      </c>
      <c r="N32" s="16">
        <v>0</v>
      </c>
      <c r="O32" s="20"/>
      <c r="P32" s="14"/>
      <c r="Q32" s="14"/>
      <c r="R32" s="14"/>
      <c r="S32" s="21"/>
      <c r="T32" s="32"/>
      <c r="U32" s="14"/>
      <c r="V32" s="17">
        <f t="shared" ref="V32:V36" si="2">IFERROR(AVERAGE(J32:U32),"")</f>
        <v>2.7357142857142858E-2</v>
      </c>
    </row>
    <row r="33" spans="1:22" ht="14.25" customHeight="1" x14ac:dyDescent="0.45">
      <c r="A33" s="1"/>
      <c r="B33" s="34" t="s">
        <v>51</v>
      </c>
      <c r="C33" s="11"/>
      <c r="D33" s="19">
        <v>2</v>
      </c>
      <c r="E33" s="98" t="s">
        <v>37</v>
      </c>
      <c r="F33" s="92"/>
      <c r="G33" s="92"/>
      <c r="H33" s="93"/>
      <c r="I33" s="26" t="s">
        <v>35</v>
      </c>
      <c r="J33" s="22"/>
      <c r="K33" s="23"/>
      <c r="L33" s="22"/>
      <c r="M33" s="23"/>
      <c r="N33" s="24"/>
      <c r="O33" s="23"/>
      <c r="P33" s="22"/>
      <c r="Q33" s="22"/>
      <c r="R33" s="22"/>
      <c r="S33" s="23"/>
      <c r="T33" s="33"/>
      <c r="U33" s="22"/>
      <c r="V33" s="17" t="str">
        <f t="shared" si="2"/>
        <v/>
      </c>
    </row>
    <row r="34" spans="1:22" ht="14.25" customHeight="1" x14ac:dyDescent="0.45">
      <c r="A34" s="1"/>
      <c r="B34" s="34" t="s">
        <v>52</v>
      </c>
      <c r="C34" s="11"/>
      <c r="D34" s="13">
        <v>3</v>
      </c>
      <c r="E34" s="99" t="s">
        <v>39</v>
      </c>
      <c r="F34" s="92"/>
      <c r="G34" s="92"/>
      <c r="H34" s="93"/>
      <c r="I34" s="26" t="s">
        <v>35</v>
      </c>
      <c r="J34" s="22"/>
      <c r="K34" s="23"/>
      <c r="L34" s="22"/>
      <c r="M34" s="23"/>
      <c r="N34" s="24"/>
      <c r="O34" s="23"/>
      <c r="P34" s="22"/>
      <c r="Q34" s="22"/>
      <c r="R34" s="22"/>
      <c r="S34" s="23"/>
      <c r="T34" s="33"/>
      <c r="U34" s="22"/>
      <c r="V34" s="17" t="str">
        <f t="shared" si="2"/>
        <v/>
      </c>
    </row>
    <row r="35" spans="1:22" ht="14.25" customHeight="1" x14ac:dyDescent="0.45">
      <c r="A35" s="1"/>
      <c r="B35" s="34" t="s">
        <v>53</v>
      </c>
      <c r="C35" s="11"/>
      <c r="D35" s="19">
        <v>4</v>
      </c>
      <c r="E35" s="98" t="s">
        <v>41</v>
      </c>
      <c r="F35" s="92"/>
      <c r="G35" s="92"/>
      <c r="H35" s="93"/>
      <c r="I35" s="26" t="s">
        <v>35</v>
      </c>
      <c r="J35" s="14">
        <v>0.62</v>
      </c>
      <c r="K35" s="20">
        <v>0.65</v>
      </c>
      <c r="L35" s="14">
        <v>0.61691176470588238</v>
      </c>
      <c r="M35" s="21">
        <v>0.64225169525329084</v>
      </c>
      <c r="N35" s="16">
        <v>0.61</v>
      </c>
      <c r="O35" s="20"/>
      <c r="P35" s="14"/>
      <c r="Q35" s="14"/>
      <c r="R35" s="14"/>
      <c r="S35" s="21"/>
      <c r="T35" s="32"/>
      <c r="U35" s="14"/>
      <c r="V35" s="17">
        <f t="shared" si="2"/>
        <v>0.62783269199183467</v>
      </c>
    </row>
    <row r="36" spans="1:22" ht="14.25" customHeight="1" x14ac:dyDescent="0.45">
      <c r="A36" s="1"/>
      <c r="B36" s="34" t="s">
        <v>54</v>
      </c>
      <c r="C36" s="11"/>
      <c r="D36" s="19">
        <v>5</v>
      </c>
      <c r="E36" s="98" t="s">
        <v>43</v>
      </c>
      <c r="F36" s="92"/>
      <c r="G36" s="92"/>
      <c r="H36" s="93"/>
      <c r="I36" s="26" t="s">
        <v>35</v>
      </c>
      <c r="J36" s="22"/>
      <c r="K36" s="22"/>
      <c r="L36" s="22"/>
      <c r="M36" s="23"/>
      <c r="N36" s="24"/>
      <c r="O36" s="23"/>
      <c r="P36" s="22"/>
      <c r="Q36" s="22"/>
      <c r="R36" s="22"/>
      <c r="S36" s="23"/>
      <c r="T36" s="33"/>
      <c r="U36" s="22"/>
      <c r="V36" s="17" t="str">
        <f t="shared" si="2"/>
        <v/>
      </c>
    </row>
    <row r="37" spans="1:22" ht="14.25" customHeight="1" x14ac:dyDescent="0.45">
      <c r="A37" s="1"/>
      <c r="B37" s="34"/>
      <c r="C37" s="11"/>
      <c r="D37" s="96"/>
      <c r="E37" s="92"/>
      <c r="F37" s="92"/>
      <c r="G37" s="92"/>
      <c r="H37" s="93"/>
      <c r="I37" s="36"/>
      <c r="J37" s="10"/>
      <c r="K37" s="10"/>
      <c r="L37" s="10"/>
      <c r="M37" s="29"/>
      <c r="N37" s="43"/>
      <c r="O37" s="29"/>
      <c r="P37" s="10"/>
      <c r="Q37" s="10"/>
      <c r="R37" s="10"/>
      <c r="S37" s="29"/>
      <c r="T37" s="44"/>
      <c r="U37" s="10"/>
      <c r="V37" s="45"/>
    </row>
    <row r="38" spans="1:22" ht="14.25" customHeight="1" x14ac:dyDescent="0.45">
      <c r="A38" s="1"/>
      <c r="B38" s="34"/>
      <c r="C38" s="11">
        <v>4</v>
      </c>
      <c r="D38" s="94" t="s">
        <v>55</v>
      </c>
      <c r="E38" s="92"/>
      <c r="F38" s="92"/>
      <c r="G38" s="92"/>
      <c r="H38" s="93"/>
      <c r="I38" s="26"/>
      <c r="J38" s="10"/>
      <c r="K38" s="10"/>
      <c r="L38" s="10"/>
      <c r="M38" s="29"/>
      <c r="N38" s="43"/>
      <c r="O38" s="29"/>
      <c r="P38" s="10"/>
      <c r="Q38" s="10"/>
      <c r="R38" s="10"/>
      <c r="S38" s="29"/>
      <c r="T38" s="44"/>
      <c r="U38" s="10"/>
      <c r="V38" s="45"/>
    </row>
    <row r="39" spans="1:22" ht="14.25" customHeight="1" x14ac:dyDescent="0.45">
      <c r="A39" s="1"/>
      <c r="B39" s="34" t="s">
        <v>56</v>
      </c>
      <c r="C39" s="11"/>
      <c r="D39" s="19">
        <v>1</v>
      </c>
      <c r="E39" s="98" t="s">
        <v>34</v>
      </c>
      <c r="F39" s="92"/>
      <c r="G39" s="92"/>
      <c r="H39" s="93"/>
      <c r="I39" s="26" t="s">
        <v>35</v>
      </c>
      <c r="J39" s="14">
        <v>0.2</v>
      </c>
      <c r="K39" s="15">
        <v>0.06</v>
      </c>
      <c r="L39" s="14">
        <v>2.780577427821522E-2</v>
      </c>
      <c r="M39" s="21">
        <v>1.380890052356021E-2</v>
      </c>
      <c r="N39" s="16">
        <v>0.03</v>
      </c>
      <c r="O39" s="20"/>
      <c r="P39" s="14"/>
      <c r="Q39" s="14"/>
      <c r="R39" s="14"/>
      <c r="S39" s="21"/>
      <c r="T39" s="32"/>
      <c r="U39" s="14"/>
      <c r="V39" s="17">
        <f t="shared" ref="V39:V43" si="3">IFERROR(AVERAGE(J39:U39),"")</f>
        <v>6.6322934960355087E-2</v>
      </c>
    </row>
    <row r="40" spans="1:22" ht="14.25" customHeight="1" x14ac:dyDescent="0.45">
      <c r="A40" s="1"/>
      <c r="B40" s="34" t="s">
        <v>57</v>
      </c>
      <c r="C40" s="11"/>
      <c r="D40" s="19">
        <v>2</v>
      </c>
      <c r="E40" s="98" t="s">
        <v>37</v>
      </c>
      <c r="F40" s="92"/>
      <c r="G40" s="92"/>
      <c r="H40" s="93"/>
      <c r="I40" s="26" t="s">
        <v>35</v>
      </c>
      <c r="J40" s="22"/>
      <c r="K40" s="23"/>
      <c r="L40" s="22"/>
      <c r="M40" s="23"/>
      <c r="N40" s="24"/>
      <c r="O40" s="23"/>
      <c r="P40" s="22"/>
      <c r="Q40" s="22"/>
      <c r="R40" s="22"/>
      <c r="S40" s="23"/>
      <c r="T40" s="33"/>
      <c r="U40" s="22"/>
      <c r="V40" s="17" t="str">
        <f t="shared" si="3"/>
        <v/>
      </c>
    </row>
    <row r="41" spans="1:22" ht="14.25" customHeight="1" x14ac:dyDescent="0.45">
      <c r="A41" s="1"/>
      <c r="B41" s="34" t="s">
        <v>58</v>
      </c>
      <c r="C41" s="11"/>
      <c r="D41" s="13">
        <v>3</v>
      </c>
      <c r="E41" s="99" t="s">
        <v>39</v>
      </c>
      <c r="F41" s="92"/>
      <c r="G41" s="92"/>
      <c r="H41" s="93"/>
      <c r="I41" s="26" t="s">
        <v>35</v>
      </c>
      <c r="J41" s="22"/>
      <c r="K41" s="23"/>
      <c r="L41" s="22"/>
      <c r="M41" s="23"/>
      <c r="N41" s="24"/>
      <c r="O41" s="23"/>
      <c r="P41" s="22"/>
      <c r="Q41" s="22"/>
      <c r="R41" s="22"/>
      <c r="S41" s="23"/>
      <c r="T41" s="33"/>
      <c r="U41" s="22"/>
      <c r="V41" s="17" t="str">
        <f t="shared" si="3"/>
        <v/>
      </c>
    </row>
    <row r="42" spans="1:22" ht="14.25" customHeight="1" x14ac:dyDescent="0.45">
      <c r="A42" s="1"/>
      <c r="B42" s="34" t="s">
        <v>59</v>
      </c>
      <c r="C42" s="11"/>
      <c r="D42" s="19">
        <v>4</v>
      </c>
      <c r="E42" s="98" t="s">
        <v>41</v>
      </c>
      <c r="F42" s="92"/>
      <c r="G42" s="92"/>
      <c r="H42" s="93"/>
      <c r="I42" s="26" t="s">
        <v>35</v>
      </c>
      <c r="J42" s="14">
        <v>0.73</v>
      </c>
      <c r="K42" s="20">
        <v>0.71</v>
      </c>
      <c r="L42" s="14">
        <v>0.7015468066491688</v>
      </c>
      <c r="M42" s="21">
        <v>0.69462260034904055</v>
      </c>
      <c r="N42" s="16">
        <v>0.68</v>
      </c>
      <c r="O42" s="20"/>
      <c r="P42" s="14"/>
      <c r="Q42" s="14"/>
      <c r="R42" s="14"/>
      <c r="S42" s="21"/>
      <c r="T42" s="32"/>
      <c r="U42" s="14"/>
      <c r="V42" s="17">
        <f t="shared" si="3"/>
        <v>0.70323388139964194</v>
      </c>
    </row>
    <row r="43" spans="1:22" ht="14.25" customHeight="1" x14ac:dyDescent="0.45">
      <c r="A43" s="1"/>
      <c r="B43" s="34" t="s">
        <v>60</v>
      </c>
      <c r="C43" s="11"/>
      <c r="D43" s="19">
        <v>5</v>
      </c>
      <c r="E43" s="98" t="s">
        <v>43</v>
      </c>
      <c r="F43" s="92"/>
      <c r="G43" s="92"/>
      <c r="H43" s="93"/>
      <c r="I43" s="26" t="s">
        <v>35</v>
      </c>
      <c r="J43" s="22"/>
      <c r="K43" s="27"/>
      <c r="L43" s="47"/>
      <c r="M43" s="23"/>
      <c r="N43" s="24"/>
      <c r="O43" s="28"/>
      <c r="P43" s="22"/>
      <c r="Q43" s="27"/>
      <c r="R43" s="22"/>
      <c r="S43" s="22"/>
      <c r="T43" s="33"/>
      <c r="U43" s="48"/>
      <c r="V43" s="17" t="str">
        <f t="shared" si="3"/>
        <v/>
      </c>
    </row>
    <row r="44" spans="1:22" ht="14.25" customHeight="1" x14ac:dyDescent="0.45">
      <c r="A44" s="1"/>
      <c r="B44" s="1"/>
      <c r="C44" s="49"/>
      <c r="D44" s="49"/>
      <c r="E44" s="49"/>
      <c r="F44" s="100"/>
      <c r="G44" s="85"/>
      <c r="H44" s="85"/>
      <c r="I44" s="50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2"/>
    </row>
    <row r="45" spans="1:22" ht="14.25" customHeight="1" x14ac:dyDescent="0.55000000000000004">
      <c r="A45" s="4">
        <v>2</v>
      </c>
      <c r="B45" s="1"/>
      <c r="C45" s="53" t="s">
        <v>61</v>
      </c>
      <c r="D45" s="54"/>
      <c r="E45" s="55"/>
      <c r="F45" s="55"/>
      <c r="G45" s="55"/>
      <c r="H45" s="55"/>
      <c r="I45" s="5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5"/>
    </row>
    <row r="46" spans="1:22" ht="14.25" customHeight="1" x14ac:dyDescent="0.45">
      <c r="A46" s="1"/>
      <c r="B46" s="1"/>
      <c r="C46" s="57"/>
      <c r="D46" s="57"/>
      <c r="E46" s="57"/>
      <c r="F46" s="57"/>
      <c r="G46" s="1"/>
      <c r="H46" s="1"/>
      <c r="I46" s="5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"/>
    </row>
    <row r="47" spans="1:22" ht="14.25" customHeight="1" x14ac:dyDescent="0.45">
      <c r="A47" s="1"/>
      <c r="B47" s="1"/>
      <c r="C47" s="77" t="s">
        <v>4</v>
      </c>
      <c r="D47" s="87" t="s">
        <v>5</v>
      </c>
      <c r="E47" s="82"/>
      <c r="F47" s="82"/>
      <c r="G47" s="82"/>
      <c r="H47" s="83"/>
      <c r="I47" s="80" t="s">
        <v>6</v>
      </c>
      <c r="J47" s="81" t="e">
        <f>$H$2</f>
        <v>#REF!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3"/>
    </row>
    <row r="48" spans="1:22" ht="14.25" customHeight="1" x14ac:dyDescent="0.45">
      <c r="A48" s="1"/>
      <c r="B48" s="1"/>
      <c r="C48" s="78"/>
      <c r="D48" s="84"/>
      <c r="E48" s="85"/>
      <c r="F48" s="85"/>
      <c r="G48" s="85"/>
      <c r="H48" s="86"/>
      <c r="I48" s="78"/>
      <c r="J48" s="88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90"/>
    </row>
    <row r="49" spans="1:22" ht="14.25" customHeight="1" x14ac:dyDescent="0.45">
      <c r="A49" s="1"/>
      <c r="B49" s="1"/>
      <c r="C49" s="79"/>
      <c r="D49" s="88"/>
      <c r="E49" s="89"/>
      <c r="F49" s="89"/>
      <c r="G49" s="89"/>
      <c r="H49" s="90"/>
      <c r="I49" s="79"/>
      <c r="J49" s="40" t="s">
        <v>7</v>
      </c>
      <c r="K49" s="40" t="s">
        <v>8</v>
      </c>
      <c r="L49" s="40" t="s">
        <v>9</v>
      </c>
      <c r="M49" s="40" t="s">
        <v>10</v>
      </c>
      <c r="N49" s="40" t="s">
        <v>11</v>
      </c>
      <c r="O49" s="40" t="s">
        <v>12</v>
      </c>
      <c r="P49" s="40" t="s">
        <v>13</v>
      </c>
      <c r="Q49" s="40" t="s">
        <v>14</v>
      </c>
      <c r="R49" s="40" t="s">
        <v>15</v>
      </c>
      <c r="S49" s="40" t="s">
        <v>16</v>
      </c>
      <c r="T49" s="40" t="s">
        <v>17</v>
      </c>
      <c r="U49" s="40" t="s">
        <v>18</v>
      </c>
      <c r="V49" s="40" t="s">
        <v>19</v>
      </c>
    </row>
    <row r="50" spans="1:22" ht="14.25" customHeight="1" x14ac:dyDescent="0.45">
      <c r="A50" s="1"/>
      <c r="B50" s="1"/>
      <c r="C50" s="6">
        <v>1</v>
      </c>
      <c r="D50" s="91">
        <v>2</v>
      </c>
      <c r="E50" s="92"/>
      <c r="F50" s="92"/>
      <c r="G50" s="92"/>
      <c r="H50" s="93"/>
      <c r="I50" s="7">
        <v>3</v>
      </c>
      <c r="J50" s="97">
        <v>4</v>
      </c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3"/>
      <c r="V50" s="7">
        <v>5</v>
      </c>
    </row>
    <row r="51" spans="1:22" ht="14.25" customHeight="1" x14ac:dyDescent="0.45">
      <c r="A51" s="1"/>
      <c r="B51" s="1"/>
      <c r="C51" s="11"/>
      <c r="D51" s="13"/>
      <c r="E51" s="35"/>
      <c r="F51" s="35"/>
      <c r="G51" s="35"/>
      <c r="H51" s="36"/>
      <c r="I51" s="26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</row>
    <row r="52" spans="1:22" ht="14.25" customHeight="1" x14ac:dyDescent="0.45">
      <c r="A52" s="1"/>
      <c r="B52" s="34"/>
      <c r="C52" s="26">
        <v>1</v>
      </c>
      <c r="D52" s="94" t="s">
        <v>22</v>
      </c>
      <c r="E52" s="92"/>
      <c r="F52" s="92"/>
      <c r="G52" s="92"/>
      <c r="H52" s="93"/>
      <c r="I52" s="26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</row>
    <row r="53" spans="1:22" ht="14.25" customHeight="1" x14ac:dyDescent="0.45">
      <c r="A53" s="1"/>
      <c r="B53" s="34"/>
      <c r="C53" s="11"/>
      <c r="D53" s="11">
        <v>1</v>
      </c>
      <c r="E53" s="94" t="s">
        <v>62</v>
      </c>
      <c r="F53" s="92"/>
      <c r="G53" s="92"/>
      <c r="H53" s="93"/>
      <c r="I53" s="26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</row>
    <row r="54" spans="1:22" ht="14.25" customHeight="1" x14ac:dyDescent="0.45">
      <c r="A54" s="1"/>
      <c r="B54" s="34" t="s">
        <v>63</v>
      </c>
      <c r="C54" s="11"/>
      <c r="D54" s="11"/>
      <c r="E54" s="19">
        <v>1</v>
      </c>
      <c r="F54" s="94" t="s">
        <v>64</v>
      </c>
      <c r="G54" s="92"/>
      <c r="H54" s="93"/>
      <c r="I54" s="26" t="s">
        <v>35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17" t="str">
        <f t="shared" ref="V54:V59" si="4">IFERROR(AVERAGE(J54:U54),"")</f>
        <v/>
      </c>
    </row>
    <row r="55" spans="1:22" ht="14.25" customHeight="1" x14ac:dyDescent="0.45">
      <c r="A55" s="1"/>
      <c r="B55" s="34" t="s">
        <v>65</v>
      </c>
      <c r="C55" s="11"/>
      <c r="D55" s="11"/>
      <c r="E55" s="13">
        <v>2</v>
      </c>
      <c r="F55" s="95" t="s">
        <v>66</v>
      </c>
      <c r="G55" s="92"/>
      <c r="H55" s="93"/>
      <c r="I55" s="26" t="s">
        <v>35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17" t="str">
        <f t="shared" si="4"/>
        <v/>
      </c>
    </row>
    <row r="56" spans="1:22" ht="14.25" customHeight="1" x14ac:dyDescent="0.45">
      <c r="A56" s="1"/>
      <c r="B56" s="34" t="s">
        <v>67</v>
      </c>
      <c r="C56" s="11"/>
      <c r="D56" s="11"/>
      <c r="E56" s="19">
        <v>3</v>
      </c>
      <c r="F56" s="95" t="s">
        <v>68</v>
      </c>
      <c r="G56" s="92"/>
      <c r="H56" s="93"/>
      <c r="I56" s="26" t="s">
        <v>35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17" t="str">
        <f t="shared" si="4"/>
        <v/>
      </c>
    </row>
    <row r="57" spans="1:22" ht="14.25" customHeight="1" x14ac:dyDescent="0.45">
      <c r="A57" s="1"/>
      <c r="B57" s="34" t="s">
        <v>69</v>
      </c>
      <c r="C57" s="11"/>
      <c r="D57" s="11"/>
      <c r="E57" s="19">
        <v>4</v>
      </c>
      <c r="F57" s="95" t="s">
        <v>70</v>
      </c>
      <c r="G57" s="92"/>
      <c r="H57" s="93"/>
      <c r="I57" s="26" t="s">
        <v>35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17" t="str">
        <f t="shared" si="4"/>
        <v/>
      </c>
    </row>
    <row r="58" spans="1:22" ht="14.25" customHeight="1" x14ac:dyDescent="0.45">
      <c r="A58" s="1"/>
      <c r="B58" s="34" t="s">
        <v>71</v>
      </c>
      <c r="C58" s="11"/>
      <c r="D58" s="11"/>
      <c r="E58" s="13">
        <v>5</v>
      </c>
      <c r="F58" s="95" t="s">
        <v>72</v>
      </c>
      <c r="G58" s="92"/>
      <c r="H58" s="93"/>
      <c r="I58" s="26" t="s">
        <v>35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17" t="str">
        <f t="shared" si="4"/>
        <v/>
      </c>
    </row>
    <row r="59" spans="1:22" ht="14.25" customHeight="1" x14ac:dyDescent="0.45">
      <c r="A59" s="1"/>
      <c r="B59" s="34" t="s">
        <v>73</v>
      </c>
      <c r="C59" s="11"/>
      <c r="D59" s="11"/>
      <c r="E59" s="19">
        <v>6</v>
      </c>
      <c r="F59" s="94" t="s">
        <v>74</v>
      </c>
      <c r="G59" s="92"/>
      <c r="H59" s="93"/>
      <c r="I59" s="26" t="s">
        <v>75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17" t="str">
        <f t="shared" si="4"/>
        <v/>
      </c>
    </row>
    <row r="60" spans="1:22" ht="14.25" customHeight="1" x14ac:dyDescent="0.45">
      <c r="A60" s="1"/>
      <c r="B60" s="1"/>
      <c r="C60" s="25"/>
      <c r="D60" s="11"/>
      <c r="E60" s="13"/>
      <c r="F60" s="30"/>
      <c r="G60" s="30"/>
      <c r="H60" s="31"/>
      <c r="I60" s="26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45"/>
    </row>
    <row r="61" spans="1:22" ht="14.25" customHeight="1" x14ac:dyDescent="0.45">
      <c r="A61" s="1"/>
      <c r="B61" s="34"/>
      <c r="C61" s="11"/>
      <c r="D61" s="11">
        <v>2</v>
      </c>
      <c r="E61" s="94" t="s">
        <v>76</v>
      </c>
      <c r="F61" s="92"/>
      <c r="G61" s="92"/>
      <c r="H61" s="93"/>
      <c r="I61" s="26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</row>
    <row r="62" spans="1:22" ht="14.25" customHeight="1" x14ac:dyDescent="0.45">
      <c r="A62" s="1"/>
      <c r="B62" s="34" t="s">
        <v>77</v>
      </c>
      <c r="C62" s="11"/>
      <c r="D62" s="11"/>
      <c r="E62" s="19">
        <v>1</v>
      </c>
      <c r="F62" s="94" t="s">
        <v>64</v>
      </c>
      <c r="G62" s="92"/>
      <c r="H62" s="93"/>
      <c r="I62" s="26" t="s">
        <v>35</v>
      </c>
      <c r="J62" s="14">
        <v>133.63999999999999</v>
      </c>
      <c r="K62" s="14">
        <v>98.23</v>
      </c>
      <c r="L62" s="14">
        <v>158.91999999999999</v>
      </c>
      <c r="M62" s="14">
        <v>88.43</v>
      </c>
      <c r="N62" s="24">
        <v>92.25</v>
      </c>
      <c r="O62" s="14"/>
      <c r="P62" s="14"/>
      <c r="Q62" s="14"/>
      <c r="R62" s="14"/>
      <c r="S62" s="14"/>
      <c r="T62" s="14"/>
      <c r="U62" s="14"/>
      <c r="V62" s="61">
        <f t="shared" ref="V62:V67" si="5">IFERROR(AVERAGE(J62:U62),"")</f>
        <v>114.29400000000001</v>
      </c>
    </row>
    <row r="63" spans="1:22" ht="14.25" customHeight="1" x14ac:dyDescent="0.45">
      <c r="A63" s="1"/>
      <c r="B63" s="34" t="s">
        <v>78</v>
      </c>
      <c r="C63" s="11"/>
      <c r="D63" s="11"/>
      <c r="E63" s="13">
        <v>2</v>
      </c>
      <c r="F63" s="95" t="s">
        <v>66</v>
      </c>
      <c r="G63" s="92"/>
      <c r="H63" s="93"/>
      <c r="I63" s="26" t="s">
        <v>35</v>
      </c>
      <c r="J63" s="14">
        <v>121.19</v>
      </c>
      <c r="K63" s="14">
        <v>83.32</v>
      </c>
      <c r="L63" s="14">
        <v>151.05000000000001</v>
      </c>
      <c r="M63" s="14">
        <v>82.86</v>
      </c>
      <c r="N63" s="24">
        <v>86.37</v>
      </c>
      <c r="O63" s="14"/>
      <c r="P63" s="14"/>
      <c r="Q63" s="14"/>
      <c r="R63" s="14"/>
      <c r="S63" s="14"/>
      <c r="T63" s="14"/>
      <c r="U63" s="14"/>
      <c r="V63" s="61">
        <f t="shared" si="5"/>
        <v>104.958</v>
      </c>
    </row>
    <row r="64" spans="1:22" ht="14.25" customHeight="1" x14ac:dyDescent="0.45">
      <c r="A64" s="1"/>
      <c r="B64" s="34" t="s">
        <v>79</v>
      </c>
      <c r="C64" s="11"/>
      <c r="D64" s="11"/>
      <c r="E64" s="19">
        <v>3</v>
      </c>
      <c r="F64" s="95" t="s">
        <v>68</v>
      </c>
      <c r="G64" s="92"/>
      <c r="H64" s="93"/>
      <c r="I64" s="26" t="s">
        <v>35</v>
      </c>
      <c r="J64" s="14">
        <v>59.99</v>
      </c>
      <c r="K64" s="14">
        <v>54.13</v>
      </c>
      <c r="L64" s="14">
        <v>84.26</v>
      </c>
      <c r="M64" s="14">
        <v>62.24</v>
      </c>
      <c r="N64" s="24">
        <v>51.72</v>
      </c>
      <c r="O64" s="14"/>
      <c r="P64" s="14"/>
      <c r="Q64" s="14"/>
      <c r="R64" s="14"/>
      <c r="S64" s="14"/>
      <c r="T64" s="14"/>
      <c r="U64" s="14"/>
      <c r="V64" s="61">
        <f t="shared" si="5"/>
        <v>62.468000000000004</v>
      </c>
    </row>
    <row r="65" spans="1:22" ht="14.25" customHeight="1" x14ac:dyDescent="0.45">
      <c r="A65" s="1"/>
      <c r="B65" s="34" t="s">
        <v>80</v>
      </c>
      <c r="C65" s="11"/>
      <c r="D65" s="11"/>
      <c r="E65" s="19">
        <v>4</v>
      </c>
      <c r="F65" s="95" t="s">
        <v>70</v>
      </c>
      <c r="G65" s="92"/>
      <c r="H65" s="93"/>
      <c r="I65" s="26" t="s">
        <v>35</v>
      </c>
      <c r="J65" s="14">
        <v>27.18</v>
      </c>
      <c r="K65" s="14">
        <v>14.55</v>
      </c>
      <c r="L65" s="14">
        <v>13.53</v>
      </c>
      <c r="M65" s="14">
        <v>7.97</v>
      </c>
      <c r="N65" s="24">
        <v>12.51</v>
      </c>
      <c r="O65" s="14"/>
      <c r="P65" s="14"/>
      <c r="Q65" s="14"/>
      <c r="R65" s="14"/>
      <c r="S65" s="14"/>
      <c r="T65" s="14"/>
      <c r="U65" s="14"/>
      <c r="V65" s="61">
        <f t="shared" si="5"/>
        <v>15.148000000000001</v>
      </c>
    </row>
    <row r="66" spans="1:22" ht="14.25" customHeight="1" x14ac:dyDescent="0.45">
      <c r="A66" s="1"/>
      <c r="B66" s="34" t="s">
        <v>81</v>
      </c>
      <c r="C66" s="11"/>
      <c r="D66" s="11"/>
      <c r="E66" s="13">
        <v>5</v>
      </c>
      <c r="F66" s="95" t="s">
        <v>72</v>
      </c>
      <c r="G66" s="92"/>
      <c r="H66" s="93"/>
      <c r="I66" s="26" t="s">
        <v>35</v>
      </c>
      <c r="J66" s="14">
        <v>41.65</v>
      </c>
      <c r="K66" s="14">
        <v>36.19</v>
      </c>
      <c r="L66" s="14">
        <v>57.36</v>
      </c>
      <c r="M66" s="14">
        <v>28.62</v>
      </c>
      <c r="N66" s="24">
        <v>34.85</v>
      </c>
      <c r="O66" s="14"/>
      <c r="P66" s="14"/>
      <c r="Q66" s="14"/>
      <c r="R66" s="14"/>
      <c r="S66" s="14"/>
      <c r="T66" s="14"/>
      <c r="U66" s="14"/>
      <c r="V66" s="61">
        <f t="shared" si="5"/>
        <v>39.733999999999995</v>
      </c>
    </row>
    <row r="67" spans="1:22" ht="14.25" customHeight="1" x14ac:dyDescent="0.45">
      <c r="A67" s="1"/>
      <c r="B67" s="34" t="s">
        <v>82</v>
      </c>
      <c r="C67" s="11"/>
      <c r="D67" s="11"/>
      <c r="E67" s="19">
        <v>6</v>
      </c>
      <c r="F67" s="94" t="s">
        <v>74</v>
      </c>
      <c r="G67" s="92"/>
      <c r="H67" s="93"/>
      <c r="I67" s="26" t="s">
        <v>75</v>
      </c>
      <c r="J67" s="14">
        <v>54.01</v>
      </c>
      <c r="K67" s="14">
        <v>60.02</v>
      </c>
      <c r="L67" s="14">
        <v>52.84</v>
      </c>
      <c r="M67" s="14">
        <v>62.32</v>
      </c>
      <c r="N67" s="24">
        <v>58.48</v>
      </c>
      <c r="O67" s="14"/>
      <c r="P67" s="14"/>
      <c r="Q67" s="14"/>
      <c r="R67" s="14"/>
      <c r="S67" s="14"/>
      <c r="T67" s="14"/>
      <c r="U67" s="14"/>
      <c r="V67" s="61">
        <f t="shared" si="5"/>
        <v>57.534000000000006</v>
      </c>
    </row>
    <row r="68" spans="1:22" ht="14.25" customHeight="1" x14ac:dyDescent="0.45">
      <c r="A68" s="1"/>
      <c r="B68" s="34"/>
      <c r="C68" s="25"/>
      <c r="D68" s="11"/>
      <c r="E68" s="13"/>
      <c r="F68" s="30"/>
      <c r="G68" s="30"/>
      <c r="H68" s="31"/>
      <c r="I68" s="26"/>
      <c r="J68" s="10"/>
      <c r="K68" s="10"/>
      <c r="L68" s="10"/>
      <c r="M68" s="10"/>
      <c r="N68" s="46"/>
      <c r="O68" s="29"/>
      <c r="P68" s="10"/>
      <c r="Q68" s="10"/>
      <c r="R68" s="10"/>
      <c r="S68" s="10"/>
      <c r="T68" s="10"/>
      <c r="U68" s="10"/>
      <c r="V68" s="45"/>
    </row>
    <row r="69" spans="1:22" ht="14.25" customHeight="1" x14ac:dyDescent="0.45">
      <c r="A69" s="1"/>
      <c r="B69" s="34"/>
      <c r="C69" s="11"/>
      <c r="D69" s="11">
        <v>3</v>
      </c>
      <c r="E69" s="94" t="s">
        <v>83</v>
      </c>
      <c r="F69" s="92"/>
      <c r="G69" s="92"/>
      <c r="H69" s="93"/>
      <c r="I69" s="26"/>
      <c r="J69" s="10"/>
      <c r="K69" s="10"/>
      <c r="L69" s="10"/>
      <c r="M69" s="10"/>
      <c r="N69" s="46"/>
      <c r="O69" s="29"/>
      <c r="P69" s="10"/>
      <c r="Q69" s="10"/>
      <c r="R69" s="10"/>
      <c r="S69" s="10"/>
      <c r="T69" s="10"/>
      <c r="U69" s="10"/>
      <c r="V69" s="45"/>
    </row>
    <row r="70" spans="1:22" ht="14.25" customHeight="1" x14ac:dyDescent="0.45">
      <c r="A70" s="1"/>
      <c r="B70" s="34" t="s">
        <v>84</v>
      </c>
      <c r="C70" s="11"/>
      <c r="D70" s="11"/>
      <c r="E70" s="19">
        <v>1</v>
      </c>
      <c r="F70" s="94" t="s">
        <v>64</v>
      </c>
      <c r="G70" s="92"/>
      <c r="H70" s="93"/>
      <c r="I70" s="26" t="s">
        <v>35</v>
      </c>
      <c r="J70" s="14">
        <v>20</v>
      </c>
      <c r="K70" s="14">
        <v>16</v>
      </c>
      <c r="L70" s="14">
        <v>21</v>
      </c>
      <c r="M70" s="14">
        <v>24</v>
      </c>
      <c r="N70" s="16">
        <v>12</v>
      </c>
      <c r="O70" s="14"/>
      <c r="P70" s="14"/>
      <c r="Q70" s="14"/>
      <c r="R70" s="14"/>
      <c r="S70" s="14"/>
      <c r="T70" s="14"/>
      <c r="U70" s="14"/>
      <c r="V70" s="61">
        <f t="shared" ref="V70:V75" si="6">IFERROR(AVERAGE(J70:U70),"")</f>
        <v>18.600000000000001</v>
      </c>
    </row>
    <row r="71" spans="1:22" ht="14.25" customHeight="1" x14ac:dyDescent="0.45">
      <c r="A71" s="1"/>
      <c r="B71" s="34" t="s">
        <v>85</v>
      </c>
      <c r="C71" s="11"/>
      <c r="D71" s="11"/>
      <c r="E71" s="13">
        <v>2</v>
      </c>
      <c r="F71" s="95" t="s">
        <v>66</v>
      </c>
      <c r="G71" s="92"/>
      <c r="H71" s="93"/>
      <c r="I71" s="26" t="s">
        <v>35</v>
      </c>
      <c r="J71" s="14">
        <v>15.76</v>
      </c>
      <c r="K71" s="14">
        <v>8.9600000000000009</v>
      </c>
      <c r="L71" s="14">
        <v>15.85</v>
      </c>
      <c r="M71" s="14">
        <v>18.399999999999999</v>
      </c>
      <c r="N71" s="24">
        <v>5.97</v>
      </c>
      <c r="O71" s="14"/>
      <c r="P71" s="14"/>
      <c r="Q71" s="14"/>
      <c r="R71" s="14"/>
      <c r="S71" s="14"/>
      <c r="T71" s="14"/>
      <c r="U71" s="14"/>
      <c r="V71" s="61">
        <f t="shared" si="6"/>
        <v>12.988</v>
      </c>
    </row>
    <row r="72" spans="1:22" ht="14.25" customHeight="1" x14ac:dyDescent="0.45">
      <c r="A72" s="1"/>
      <c r="B72" s="34" t="s">
        <v>86</v>
      </c>
      <c r="C72" s="11"/>
      <c r="D72" s="11"/>
      <c r="E72" s="19">
        <v>3</v>
      </c>
      <c r="F72" s="95" t="s">
        <v>68</v>
      </c>
      <c r="G72" s="92"/>
      <c r="H72" s="93"/>
      <c r="I72" s="26" t="s">
        <v>35</v>
      </c>
      <c r="J72" s="14">
        <v>15.74</v>
      </c>
      <c r="K72" s="14">
        <v>8.9499999999999993</v>
      </c>
      <c r="L72" s="14">
        <v>15.84</v>
      </c>
      <c r="M72" s="14">
        <v>18.38</v>
      </c>
      <c r="N72" s="24">
        <v>5.97</v>
      </c>
      <c r="O72" s="14"/>
      <c r="P72" s="14"/>
      <c r="Q72" s="14"/>
      <c r="R72" s="14"/>
      <c r="S72" s="14"/>
      <c r="T72" s="14"/>
      <c r="U72" s="14"/>
      <c r="V72" s="61">
        <f t="shared" si="6"/>
        <v>12.975999999999999</v>
      </c>
    </row>
    <row r="73" spans="1:22" ht="14.25" customHeight="1" x14ac:dyDescent="0.45">
      <c r="A73" s="1"/>
      <c r="B73" s="34" t="s">
        <v>87</v>
      </c>
      <c r="C73" s="11"/>
      <c r="D73" s="11"/>
      <c r="E73" s="19">
        <v>4</v>
      </c>
      <c r="F73" s="95" t="s">
        <v>70</v>
      </c>
      <c r="G73" s="92"/>
      <c r="H73" s="93"/>
      <c r="I73" s="26" t="s">
        <v>35</v>
      </c>
      <c r="J73" s="14">
        <v>0</v>
      </c>
      <c r="K73" s="14">
        <v>0</v>
      </c>
      <c r="L73" s="14">
        <v>0</v>
      </c>
      <c r="M73" s="14">
        <v>0.16</v>
      </c>
      <c r="N73" s="24">
        <v>0</v>
      </c>
      <c r="O73" s="14"/>
      <c r="P73" s="14"/>
      <c r="Q73" s="14"/>
      <c r="R73" s="14"/>
      <c r="S73" s="14"/>
      <c r="T73" s="14"/>
      <c r="U73" s="14"/>
      <c r="V73" s="61">
        <f t="shared" si="6"/>
        <v>3.2000000000000001E-2</v>
      </c>
    </row>
    <row r="74" spans="1:22" ht="14.25" customHeight="1" x14ac:dyDescent="0.45">
      <c r="A74" s="1"/>
      <c r="B74" s="34" t="s">
        <v>88</v>
      </c>
      <c r="C74" s="11"/>
      <c r="D74" s="11"/>
      <c r="E74" s="13">
        <v>5</v>
      </c>
      <c r="F74" s="95" t="s">
        <v>72</v>
      </c>
      <c r="G74" s="92"/>
      <c r="H74" s="93"/>
      <c r="I74" s="26" t="s">
        <v>35</v>
      </c>
      <c r="J74" s="14">
        <v>4.54</v>
      </c>
      <c r="K74" s="14">
        <v>6.98</v>
      </c>
      <c r="L74" s="14">
        <v>5.31</v>
      </c>
      <c r="M74" s="14">
        <v>5.78</v>
      </c>
      <c r="N74" s="16">
        <v>5.87</v>
      </c>
      <c r="O74" s="14"/>
      <c r="P74" s="14"/>
      <c r="Q74" s="14"/>
      <c r="R74" s="14"/>
      <c r="S74" s="14"/>
      <c r="T74" s="14"/>
      <c r="U74" s="14"/>
      <c r="V74" s="61">
        <f t="shared" si="6"/>
        <v>5.6959999999999997</v>
      </c>
    </row>
    <row r="75" spans="1:22" ht="14.25" customHeight="1" x14ac:dyDescent="0.45">
      <c r="A75" s="1"/>
      <c r="B75" s="34" t="s">
        <v>89</v>
      </c>
      <c r="C75" s="11"/>
      <c r="D75" s="11"/>
      <c r="E75" s="19">
        <v>6</v>
      </c>
      <c r="F75" s="94" t="s">
        <v>74</v>
      </c>
      <c r="G75" s="92"/>
      <c r="H75" s="93"/>
      <c r="I75" s="26" t="s">
        <v>75</v>
      </c>
      <c r="J75" s="14">
        <v>69.489999999999995</v>
      </c>
      <c r="K75" s="14">
        <v>53.24</v>
      </c>
      <c r="L75" s="14">
        <v>68.5</v>
      </c>
      <c r="M75" s="14">
        <v>66.739999999999995</v>
      </c>
      <c r="N75" s="24">
        <v>48.8</v>
      </c>
      <c r="O75" s="14"/>
      <c r="P75" s="14"/>
      <c r="Q75" s="14"/>
      <c r="R75" s="14"/>
      <c r="S75" s="14"/>
      <c r="T75" s="14"/>
      <c r="U75" s="14"/>
      <c r="V75" s="61">
        <f t="shared" si="6"/>
        <v>61.353999999999999</v>
      </c>
    </row>
    <row r="76" spans="1:22" ht="14.25" customHeight="1" x14ac:dyDescent="0.45">
      <c r="A76" s="1"/>
      <c r="B76" s="34"/>
      <c r="C76" s="25"/>
      <c r="D76" s="11"/>
      <c r="E76" s="13"/>
      <c r="F76" s="30"/>
      <c r="G76" s="30"/>
      <c r="H76" s="31"/>
      <c r="I76" s="26"/>
      <c r="J76" s="10"/>
      <c r="K76" s="62"/>
      <c r="L76" s="10"/>
      <c r="M76" s="10"/>
      <c r="N76" s="41"/>
      <c r="O76" s="29"/>
      <c r="P76" s="10"/>
      <c r="Q76" s="10"/>
      <c r="R76" s="10"/>
      <c r="S76" s="10"/>
      <c r="T76" s="10"/>
      <c r="U76" s="10"/>
      <c r="V76" s="45"/>
    </row>
    <row r="77" spans="1:22" ht="14.25" customHeight="1" x14ac:dyDescent="0.45">
      <c r="A77" s="1"/>
      <c r="B77" s="34"/>
      <c r="C77" s="25"/>
      <c r="D77" s="11">
        <v>4</v>
      </c>
      <c r="E77" s="94" t="s">
        <v>90</v>
      </c>
      <c r="F77" s="92"/>
      <c r="G77" s="92"/>
      <c r="H77" s="93"/>
      <c r="I77" s="26"/>
      <c r="J77" s="10"/>
      <c r="K77" s="62"/>
      <c r="L77" s="10"/>
      <c r="M77" s="10"/>
      <c r="N77" s="41"/>
      <c r="O77" s="29"/>
      <c r="P77" s="10"/>
      <c r="Q77" s="10"/>
      <c r="R77" s="10"/>
      <c r="S77" s="10"/>
      <c r="T77" s="10"/>
      <c r="U77" s="10"/>
      <c r="V77" s="45"/>
    </row>
    <row r="78" spans="1:22" ht="14.25" customHeight="1" x14ac:dyDescent="0.45">
      <c r="A78" s="1"/>
      <c r="B78" s="34" t="s">
        <v>91</v>
      </c>
      <c r="C78" s="25"/>
      <c r="D78" s="11"/>
      <c r="E78" s="19">
        <v>1</v>
      </c>
      <c r="F78" s="94" t="s">
        <v>64</v>
      </c>
      <c r="G78" s="92"/>
      <c r="H78" s="93"/>
      <c r="I78" s="26" t="s">
        <v>35</v>
      </c>
      <c r="J78" s="14">
        <v>92.92</v>
      </c>
      <c r="K78" s="14">
        <v>115.59</v>
      </c>
      <c r="L78" s="14">
        <v>127.53</v>
      </c>
      <c r="M78" s="14">
        <v>54.96</v>
      </c>
      <c r="N78" s="24">
        <v>109.61</v>
      </c>
      <c r="O78" s="14"/>
      <c r="P78" s="14"/>
      <c r="Q78" s="14"/>
      <c r="R78" s="14"/>
      <c r="S78" s="14"/>
      <c r="T78" s="14"/>
      <c r="U78" s="14"/>
      <c r="V78" s="61">
        <f t="shared" ref="V78:V83" si="7">IFERROR(AVERAGE(J78:U78),"")</f>
        <v>100.12199999999999</v>
      </c>
    </row>
    <row r="79" spans="1:22" ht="14.25" customHeight="1" x14ac:dyDescent="0.45">
      <c r="A79" s="1"/>
      <c r="B79" s="34" t="s">
        <v>92</v>
      </c>
      <c r="C79" s="25"/>
      <c r="D79" s="11"/>
      <c r="E79" s="13">
        <v>2</v>
      </c>
      <c r="F79" s="95" t="s">
        <v>66</v>
      </c>
      <c r="G79" s="92"/>
      <c r="H79" s="93"/>
      <c r="I79" s="26" t="s">
        <v>35</v>
      </c>
      <c r="J79" s="14">
        <v>75.17</v>
      </c>
      <c r="K79" s="14">
        <v>106.1</v>
      </c>
      <c r="L79" s="14">
        <v>117.11</v>
      </c>
      <c r="M79" s="14">
        <v>49.5</v>
      </c>
      <c r="N79" s="24">
        <v>102.73</v>
      </c>
      <c r="O79" s="14"/>
      <c r="P79" s="14"/>
      <c r="Q79" s="14"/>
      <c r="R79" s="14"/>
      <c r="S79" s="14"/>
      <c r="T79" s="14"/>
      <c r="U79" s="14"/>
      <c r="V79" s="61">
        <f t="shared" si="7"/>
        <v>90.122</v>
      </c>
    </row>
    <row r="80" spans="1:22" ht="14.25" customHeight="1" x14ac:dyDescent="0.45">
      <c r="A80" s="1"/>
      <c r="B80" s="34" t="s">
        <v>93</v>
      </c>
      <c r="C80" s="25"/>
      <c r="D80" s="11"/>
      <c r="E80" s="19">
        <v>3</v>
      </c>
      <c r="F80" s="95" t="s">
        <v>68</v>
      </c>
      <c r="G80" s="92"/>
      <c r="H80" s="93"/>
      <c r="I80" s="26" t="s">
        <v>35</v>
      </c>
      <c r="J80" s="14">
        <v>57.74</v>
      </c>
      <c r="K80" s="14">
        <v>56.23</v>
      </c>
      <c r="L80" s="14">
        <v>70.17</v>
      </c>
      <c r="M80" s="14">
        <v>36.35</v>
      </c>
      <c r="N80" s="24">
        <v>71.75</v>
      </c>
      <c r="O80" s="14"/>
      <c r="P80" s="14"/>
      <c r="Q80" s="14"/>
      <c r="R80" s="14"/>
      <c r="S80" s="14"/>
      <c r="T80" s="14"/>
      <c r="U80" s="14"/>
      <c r="V80" s="61">
        <f t="shared" si="7"/>
        <v>58.448</v>
      </c>
    </row>
    <row r="81" spans="1:22" ht="14.25" customHeight="1" x14ac:dyDescent="0.45">
      <c r="A81" s="1"/>
      <c r="B81" s="34" t="s">
        <v>94</v>
      </c>
      <c r="C81" s="25"/>
      <c r="D81" s="11"/>
      <c r="E81" s="19">
        <v>4</v>
      </c>
      <c r="F81" s="95" t="s">
        <v>70</v>
      </c>
      <c r="G81" s="92"/>
      <c r="H81" s="93"/>
      <c r="I81" s="26" t="s">
        <v>35</v>
      </c>
      <c r="J81" s="14">
        <v>9.9600000000000009</v>
      </c>
      <c r="K81" s="14">
        <v>39.69</v>
      </c>
      <c r="L81" s="14">
        <v>23.76</v>
      </c>
      <c r="M81" s="14">
        <v>3.28</v>
      </c>
      <c r="N81" s="24">
        <v>13.59</v>
      </c>
      <c r="O81" s="14"/>
      <c r="P81" s="14"/>
      <c r="Q81" s="14"/>
      <c r="R81" s="14"/>
      <c r="S81" s="14"/>
      <c r="T81" s="14"/>
      <c r="U81" s="14"/>
      <c r="V81" s="61">
        <f t="shared" si="7"/>
        <v>18.056000000000001</v>
      </c>
    </row>
    <row r="82" spans="1:22" ht="14.25" customHeight="1" x14ac:dyDescent="0.45">
      <c r="A82" s="1"/>
      <c r="B82" s="34" t="s">
        <v>95</v>
      </c>
      <c r="C82" s="25"/>
      <c r="D82" s="11"/>
      <c r="E82" s="13">
        <v>5</v>
      </c>
      <c r="F82" s="95" t="s">
        <v>72</v>
      </c>
      <c r="G82" s="92"/>
      <c r="H82" s="93"/>
      <c r="I82" s="26" t="s">
        <v>35</v>
      </c>
      <c r="J82" s="14">
        <v>29.33</v>
      </c>
      <c r="K82" s="14">
        <v>28.85</v>
      </c>
      <c r="L82" s="14">
        <v>31.35</v>
      </c>
      <c r="M82" s="14">
        <v>12.68</v>
      </c>
      <c r="N82" s="24">
        <v>19.88</v>
      </c>
      <c r="O82" s="14"/>
      <c r="P82" s="14"/>
      <c r="Q82" s="14"/>
      <c r="R82" s="14"/>
      <c r="S82" s="14"/>
      <c r="T82" s="14"/>
      <c r="U82" s="14"/>
      <c r="V82" s="61">
        <f t="shared" si="7"/>
        <v>24.417999999999999</v>
      </c>
    </row>
    <row r="83" spans="1:22" ht="14.25" customHeight="1" x14ac:dyDescent="0.45">
      <c r="A83" s="1"/>
      <c r="B83" s="34" t="s">
        <v>96</v>
      </c>
      <c r="C83" s="25"/>
      <c r="D83" s="11"/>
      <c r="E83" s="19">
        <v>6</v>
      </c>
      <c r="F83" s="94" t="s">
        <v>74</v>
      </c>
      <c r="G83" s="92"/>
      <c r="H83" s="93"/>
      <c r="I83" s="26" t="s">
        <v>75</v>
      </c>
      <c r="J83" s="14">
        <v>62.14</v>
      </c>
      <c r="K83" s="14">
        <v>50.49</v>
      </c>
      <c r="L83" s="14">
        <v>54.9</v>
      </c>
      <c r="M83" s="14">
        <v>65.319999999999993</v>
      </c>
      <c r="N83" s="24">
        <v>66.040000000000006</v>
      </c>
      <c r="O83" s="14"/>
      <c r="P83" s="14"/>
      <c r="Q83" s="14"/>
      <c r="R83" s="14"/>
      <c r="S83" s="14"/>
      <c r="T83" s="14"/>
      <c r="U83" s="14"/>
      <c r="V83" s="61">
        <f t="shared" si="7"/>
        <v>59.777999999999999</v>
      </c>
    </row>
    <row r="84" spans="1:22" ht="14.25" customHeight="1" x14ac:dyDescent="0.45">
      <c r="A84" s="1"/>
      <c r="B84" s="34"/>
      <c r="C84" s="25"/>
      <c r="D84" s="11"/>
      <c r="E84" s="13"/>
      <c r="F84" s="30"/>
      <c r="G84" s="30"/>
      <c r="H84" s="31"/>
      <c r="I84" s="26"/>
      <c r="J84" s="41"/>
      <c r="K84" s="41"/>
      <c r="L84" s="10"/>
      <c r="M84" s="41"/>
      <c r="N84" s="41"/>
      <c r="O84" s="41"/>
      <c r="P84" s="41"/>
      <c r="Q84" s="10"/>
      <c r="R84" s="41"/>
      <c r="S84" s="41"/>
      <c r="T84" s="41"/>
      <c r="U84" s="29"/>
      <c r="V84" s="45"/>
    </row>
    <row r="85" spans="1:22" ht="14.25" customHeight="1" x14ac:dyDescent="0.45">
      <c r="A85" s="1"/>
      <c r="B85" s="34"/>
      <c r="C85" s="11"/>
      <c r="D85" s="11">
        <v>5</v>
      </c>
      <c r="E85" s="94" t="s">
        <v>97</v>
      </c>
      <c r="F85" s="92"/>
      <c r="G85" s="92"/>
      <c r="H85" s="93"/>
      <c r="I85" s="26"/>
      <c r="J85" s="41"/>
      <c r="K85" s="41"/>
      <c r="L85" s="10"/>
      <c r="M85" s="41"/>
      <c r="N85" s="41"/>
      <c r="O85" s="41"/>
      <c r="P85" s="41"/>
      <c r="Q85" s="10"/>
      <c r="R85" s="41"/>
      <c r="S85" s="41"/>
      <c r="T85" s="41"/>
      <c r="U85" s="29"/>
      <c r="V85" s="45"/>
    </row>
    <row r="86" spans="1:22" ht="14.25" customHeight="1" x14ac:dyDescent="0.45">
      <c r="A86" s="1"/>
      <c r="B86" s="34" t="s">
        <v>98</v>
      </c>
      <c r="C86" s="25"/>
      <c r="D86" s="11"/>
      <c r="E86" s="19">
        <v>1</v>
      </c>
      <c r="F86" s="94" t="s">
        <v>64</v>
      </c>
      <c r="G86" s="92"/>
      <c r="H86" s="93"/>
      <c r="I86" s="26" t="s">
        <v>35</v>
      </c>
      <c r="J86" s="27"/>
      <c r="K86" s="27"/>
      <c r="L86" s="22"/>
      <c r="M86" s="27"/>
      <c r="N86" s="27"/>
      <c r="O86" s="27"/>
      <c r="P86" s="27"/>
      <c r="Q86" s="22"/>
      <c r="R86" s="27"/>
      <c r="S86" s="27"/>
      <c r="T86" s="27"/>
      <c r="U86" s="23"/>
      <c r="V86" s="61" t="str">
        <f t="shared" ref="V86:V91" si="8">IFERROR(AVERAGE(J86:U86),"")</f>
        <v/>
      </c>
    </row>
    <row r="87" spans="1:22" ht="14.25" customHeight="1" x14ac:dyDescent="0.45">
      <c r="A87" s="1"/>
      <c r="B87" s="34" t="s">
        <v>99</v>
      </c>
      <c r="C87" s="25"/>
      <c r="D87" s="11"/>
      <c r="E87" s="13">
        <v>2</v>
      </c>
      <c r="F87" s="95" t="s">
        <v>66</v>
      </c>
      <c r="G87" s="92"/>
      <c r="H87" s="93"/>
      <c r="I87" s="26" t="s">
        <v>35</v>
      </c>
      <c r="J87" s="27"/>
      <c r="K87" s="27"/>
      <c r="L87" s="22"/>
      <c r="M87" s="27"/>
      <c r="N87" s="27"/>
      <c r="O87" s="27"/>
      <c r="P87" s="27"/>
      <c r="Q87" s="22"/>
      <c r="R87" s="27"/>
      <c r="S87" s="27"/>
      <c r="T87" s="27"/>
      <c r="U87" s="23"/>
      <c r="V87" s="61" t="str">
        <f t="shared" si="8"/>
        <v/>
      </c>
    </row>
    <row r="88" spans="1:22" ht="14.25" customHeight="1" x14ac:dyDescent="0.45">
      <c r="A88" s="1"/>
      <c r="B88" s="34" t="s">
        <v>100</v>
      </c>
      <c r="C88" s="25"/>
      <c r="D88" s="11"/>
      <c r="E88" s="19">
        <v>3</v>
      </c>
      <c r="F88" s="95" t="s">
        <v>68</v>
      </c>
      <c r="G88" s="92"/>
      <c r="H88" s="93"/>
      <c r="I88" s="26" t="s">
        <v>35</v>
      </c>
      <c r="J88" s="27"/>
      <c r="K88" s="27"/>
      <c r="L88" s="22"/>
      <c r="M88" s="27"/>
      <c r="N88" s="27"/>
      <c r="O88" s="27"/>
      <c r="P88" s="27"/>
      <c r="Q88" s="22"/>
      <c r="R88" s="27"/>
      <c r="S88" s="27"/>
      <c r="T88" s="27"/>
      <c r="U88" s="23"/>
      <c r="V88" s="61" t="str">
        <f t="shared" si="8"/>
        <v/>
      </c>
    </row>
    <row r="89" spans="1:22" ht="14.25" customHeight="1" x14ac:dyDescent="0.45">
      <c r="A89" s="1"/>
      <c r="B89" s="34" t="s">
        <v>101</v>
      </c>
      <c r="C89" s="25"/>
      <c r="D89" s="11"/>
      <c r="E89" s="19">
        <v>4</v>
      </c>
      <c r="F89" s="95" t="s">
        <v>70</v>
      </c>
      <c r="G89" s="92"/>
      <c r="H89" s="93"/>
      <c r="I89" s="26" t="s">
        <v>35</v>
      </c>
      <c r="J89" s="27"/>
      <c r="K89" s="27"/>
      <c r="L89" s="22"/>
      <c r="M89" s="27"/>
      <c r="N89" s="27"/>
      <c r="O89" s="27"/>
      <c r="P89" s="27"/>
      <c r="Q89" s="22"/>
      <c r="R89" s="27"/>
      <c r="S89" s="27"/>
      <c r="T89" s="27"/>
      <c r="U89" s="23"/>
      <c r="V89" s="61" t="str">
        <f t="shared" si="8"/>
        <v/>
      </c>
    </row>
    <row r="90" spans="1:22" ht="14.25" customHeight="1" x14ac:dyDescent="0.45">
      <c r="A90" s="1"/>
      <c r="B90" s="34" t="s">
        <v>102</v>
      </c>
      <c r="C90" s="25"/>
      <c r="D90" s="11"/>
      <c r="E90" s="13">
        <v>5</v>
      </c>
      <c r="F90" s="95" t="s">
        <v>72</v>
      </c>
      <c r="G90" s="92"/>
      <c r="H90" s="93"/>
      <c r="I90" s="26" t="s">
        <v>35</v>
      </c>
      <c r="J90" s="27"/>
      <c r="K90" s="27"/>
      <c r="L90" s="22"/>
      <c r="M90" s="27"/>
      <c r="N90" s="27"/>
      <c r="O90" s="27"/>
      <c r="P90" s="27"/>
      <c r="Q90" s="22"/>
      <c r="R90" s="27"/>
      <c r="S90" s="27"/>
      <c r="T90" s="27"/>
      <c r="U90" s="23"/>
      <c r="V90" s="61" t="str">
        <f t="shared" si="8"/>
        <v/>
      </c>
    </row>
    <row r="91" spans="1:22" ht="14.25" customHeight="1" x14ac:dyDescent="0.45">
      <c r="A91" s="1"/>
      <c r="B91" s="34" t="s">
        <v>103</v>
      </c>
      <c r="C91" s="25"/>
      <c r="D91" s="11"/>
      <c r="E91" s="19">
        <v>6</v>
      </c>
      <c r="F91" s="94" t="s">
        <v>74</v>
      </c>
      <c r="G91" s="92"/>
      <c r="H91" s="93"/>
      <c r="I91" s="26" t="s">
        <v>75</v>
      </c>
      <c r="J91" s="27"/>
      <c r="K91" s="27"/>
      <c r="L91" s="22"/>
      <c r="M91" s="27"/>
      <c r="N91" s="27"/>
      <c r="O91" s="27"/>
      <c r="P91" s="27"/>
      <c r="Q91" s="22"/>
      <c r="R91" s="27"/>
      <c r="S91" s="27"/>
      <c r="T91" s="27"/>
      <c r="U91" s="23"/>
      <c r="V91" s="61" t="str">
        <f t="shared" si="8"/>
        <v/>
      </c>
    </row>
    <row r="92" spans="1:22" ht="14.25" customHeight="1" x14ac:dyDescent="0.45">
      <c r="A92" s="1"/>
      <c r="B92" s="34"/>
      <c r="C92" s="25"/>
      <c r="D92" s="19"/>
      <c r="E92" s="38"/>
      <c r="F92" s="30"/>
      <c r="G92" s="8"/>
      <c r="H92" s="9"/>
      <c r="I92" s="26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5"/>
    </row>
    <row r="93" spans="1:22" ht="14.25" customHeight="1" x14ac:dyDescent="0.45">
      <c r="A93" s="1"/>
      <c r="B93" s="34"/>
      <c r="C93" s="26">
        <v>2</v>
      </c>
      <c r="D93" s="94" t="s">
        <v>27</v>
      </c>
      <c r="E93" s="92"/>
      <c r="F93" s="92"/>
      <c r="G93" s="92"/>
      <c r="H93" s="93"/>
      <c r="I93" s="26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 spans="1:22" ht="14.25" customHeight="1" x14ac:dyDescent="0.45">
      <c r="A94" s="1"/>
      <c r="B94" s="34"/>
      <c r="C94" s="11"/>
      <c r="D94" s="11">
        <v>1</v>
      </c>
      <c r="E94" s="94" t="s">
        <v>62</v>
      </c>
      <c r="F94" s="92"/>
      <c r="G94" s="92"/>
      <c r="H94" s="93"/>
      <c r="I94" s="26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5"/>
    </row>
    <row r="95" spans="1:22" ht="14.25" customHeight="1" x14ac:dyDescent="0.45">
      <c r="A95" s="1"/>
      <c r="B95" s="34" t="s">
        <v>104</v>
      </c>
      <c r="C95" s="11"/>
      <c r="D95" s="11"/>
      <c r="E95" s="19">
        <v>1</v>
      </c>
      <c r="F95" s="94" t="s">
        <v>64</v>
      </c>
      <c r="G95" s="92"/>
      <c r="H95" s="93"/>
      <c r="I95" s="26" t="s">
        <v>35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61" t="str">
        <f t="shared" ref="V95:V100" si="9">IFERROR(AVERAGE(J95:U95),"")</f>
        <v/>
      </c>
    </row>
    <row r="96" spans="1:22" ht="14.25" customHeight="1" x14ac:dyDescent="0.45">
      <c r="A96" s="1"/>
      <c r="B96" s="34" t="s">
        <v>105</v>
      </c>
      <c r="C96" s="11"/>
      <c r="D96" s="11"/>
      <c r="E96" s="13">
        <v>2</v>
      </c>
      <c r="F96" s="95" t="s">
        <v>66</v>
      </c>
      <c r="G96" s="92"/>
      <c r="H96" s="93"/>
      <c r="I96" s="26" t="s">
        <v>35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61" t="str">
        <f t="shared" si="9"/>
        <v/>
      </c>
    </row>
    <row r="97" spans="1:23" ht="14.25" customHeight="1" x14ac:dyDescent="0.45">
      <c r="A97" s="1"/>
      <c r="B97" s="34" t="s">
        <v>106</v>
      </c>
      <c r="C97" s="11"/>
      <c r="D97" s="11"/>
      <c r="E97" s="19">
        <v>3</v>
      </c>
      <c r="F97" s="95" t="s">
        <v>68</v>
      </c>
      <c r="G97" s="92"/>
      <c r="H97" s="93"/>
      <c r="I97" s="26" t="s">
        <v>35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61" t="str">
        <f t="shared" si="9"/>
        <v/>
      </c>
    </row>
    <row r="98" spans="1:23" ht="14.25" customHeight="1" x14ac:dyDescent="0.45">
      <c r="A98" s="1"/>
      <c r="B98" s="34" t="s">
        <v>107</v>
      </c>
      <c r="C98" s="11"/>
      <c r="D98" s="11"/>
      <c r="E98" s="19">
        <v>4</v>
      </c>
      <c r="F98" s="95" t="s">
        <v>70</v>
      </c>
      <c r="G98" s="92"/>
      <c r="H98" s="93"/>
      <c r="I98" s="26" t="s">
        <v>35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61" t="str">
        <f t="shared" si="9"/>
        <v/>
      </c>
    </row>
    <row r="99" spans="1:23" ht="14.25" customHeight="1" x14ac:dyDescent="0.45">
      <c r="A99" s="1"/>
      <c r="B99" s="34" t="s">
        <v>108</v>
      </c>
      <c r="C99" s="11"/>
      <c r="D99" s="11"/>
      <c r="E99" s="13">
        <v>5</v>
      </c>
      <c r="F99" s="95" t="s">
        <v>72</v>
      </c>
      <c r="G99" s="92"/>
      <c r="H99" s="93"/>
      <c r="I99" s="26" t="s">
        <v>35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61" t="str">
        <f t="shared" si="9"/>
        <v/>
      </c>
    </row>
    <row r="100" spans="1:23" ht="14.25" customHeight="1" x14ac:dyDescent="0.45">
      <c r="A100" s="1"/>
      <c r="B100" s="34" t="s">
        <v>109</v>
      </c>
      <c r="C100" s="11"/>
      <c r="D100" s="11"/>
      <c r="E100" s="19">
        <v>6</v>
      </c>
      <c r="F100" s="94" t="s">
        <v>74</v>
      </c>
      <c r="G100" s="92"/>
      <c r="H100" s="93"/>
      <c r="I100" s="26" t="s">
        <v>75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61" t="str">
        <f t="shared" si="9"/>
        <v/>
      </c>
    </row>
    <row r="101" spans="1:23" ht="14.25" customHeight="1" x14ac:dyDescent="0.45">
      <c r="A101" s="1"/>
      <c r="B101" s="1"/>
      <c r="C101" s="25"/>
      <c r="D101" s="11"/>
      <c r="E101" s="13"/>
      <c r="F101" s="30"/>
      <c r="G101" s="30"/>
      <c r="H101" s="31"/>
      <c r="I101" s="26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5"/>
    </row>
    <row r="102" spans="1:23" ht="14.25" customHeight="1" x14ac:dyDescent="0.45">
      <c r="A102" s="1"/>
      <c r="B102" s="34"/>
      <c r="C102" s="11"/>
      <c r="D102" s="11">
        <v>2</v>
      </c>
      <c r="E102" s="94" t="s">
        <v>76</v>
      </c>
      <c r="F102" s="92"/>
      <c r="G102" s="92"/>
      <c r="H102" s="93"/>
      <c r="I102" s="26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5"/>
    </row>
    <row r="103" spans="1:23" ht="14.25" customHeight="1" x14ac:dyDescent="0.45">
      <c r="A103" s="1"/>
      <c r="B103" s="34" t="s">
        <v>110</v>
      </c>
      <c r="C103" s="11"/>
      <c r="D103" s="11"/>
      <c r="E103" s="19">
        <v>1</v>
      </c>
      <c r="F103" s="94" t="s">
        <v>64</v>
      </c>
      <c r="G103" s="92"/>
      <c r="H103" s="93"/>
      <c r="I103" s="26" t="s">
        <v>35</v>
      </c>
      <c r="J103" s="14">
        <v>59.35</v>
      </c>
      <c r="K103" s="14">
        <v>66.959999999999994</v>
      </c>
      <c r="L103" s="14">
        <v>76.28</v>
      </c>
      <c r="M103" s="14">
        <v>68.36</v>
      </c>
      <c r="N103" s="24">
        <v>61.39</v>
      </c>
      <c r="O103" s="14"/>
      <c r="P103" s="14"/>
      <c r="Q103" s="14"/>
      <c r="R103" s="14"/>
      <c r="S103" s="14"/>
      <c r="T103" s="14"/>
      <c r="U103" s="14"/>
      <c r="V103" s="61">
        <f t="shared" ref="V103:V108" si="10">IFERROR(AVERAGE(J103:U103),"")</f>
        <v>66.467999999999989</v>
      </c>
    </row>
    <row r="104" spans="1:23" ht="14.25" customHeight="1" x14ac:dyDescent="0.45">
      <c r="A104" s="1"/>
      <c r="B104" s="34" t="s">
        <v>111</v>
      </c>
      <c r="C104" s="11"/>
      <c r="D104" s="11"/>
      <c r="E104" s="13">
        <v>2</v>
      </c>
      <c r="F104" s="95" t="s">
        <v>66</v>
      </c>
      <c r="G104" s="92"/>
      <c r="H104" s="93"/>
      <c r="I104" s="26" t="s">
        <v>35</v>
      </c>
      <c r="J104" s="14">
        <v>49.07</v>
      </c>
      <c r="K104" s="14">
        <v>53.66</v>
      </c>
      <c r="L104" s="14">
        <v>64.94</v>
      </c>
      <c r="M104" s="14">
        <v>86.46</v>
      </c>
      <c r="N104" s="24">
        <v>50.9</v>
      </c>
      <c r="O104" s="14"/>
      <c r="P104" s="14"/>
      <c r="Q104" s="14"/>
      <c r="R104" s="14"/>
      <c r="S104" s="14"/>
      <c r="T104" s="14"/>
      <c r="U104" s="14"/>
      <c r="V104" s="61">
        <f t="shared" si="10"/>
        <v>61.005999999999993</v>
      </c>
    </row>
    <row r="105" spans="1:23" ht="14.25" customHeight="1" x14ac:dyDescent="0.45">
      <c r="A105" s="1"/>
      <c r="B105" s="34" t="s">
        <v>112</v>
      </c>
      <c r="C105" s="11"/>
      <c r="D105" s="11"/>
      <c r="E105" s="19">
        <v>3</v>
      </c>
      <c r="F105" s="95" t="s">
        <v>68</v>
      </c>
      <c r="G105" s="92"/>
      <c r="H105" s="93"/>
      <c r="I105" s="26" t="s">
        <v>35</v>
      </c>
      <c r="J105" s="14">
        <v>28.47</v>
      </c>
      <c r="K105" s="14">
        <v>32.65</v>
      </c>
      <c r="L105" s="14">
        <v>42.03</v>
      </c>
      <c r="M105" s="14">
        <v>31.97</v>
      </c>
      <c r="N105" s="24">
        <v>35.07</v>
      </c>
      <c r="O105" s="14"/>
      <c r="P105" s="14"/>
      <c r="Q105" s="14"/>
      <c r="R105" s="14"/>
      <c r="S105" s="14"/>
      <c r="T105" s="14"/>
      <c r="U105" s="14"/>
      <c r="V105" s="61">
        <f t="shared" si="10"/>
        <v>34.037999999999997</v>
      </c>
    </row>
    <row r="106" spans="1:23" ht="14.25" customHeight="1" x14ac:dyDescent="0.45">
      <c r="A106" s="1"/>
      <c r="B106" s="34" t="s">
        <v>113</v>
      </c>
      <c r="C106" s="11"/>
      <c r="D106" s="11"/>
      <c r="E106" s="19">
        <v>4</v>
      </c>
      <c r="F106" s="95" t="s">
        <v>70</v>
      </c>
      <c r="G106" s="92"/>
      <c r="H106" s="93"/>
      <c r="I106" s="26" t="s">
        <v>35</v>
      </c>
      <c r="J106" s="14">
        <v>7.23</v>
      </c>
      <c r="K106" s="14">
        <v>9.52</v>
      </c>
      <c r="L106" s="14">
        <v>6.67</v>
      </c>
      <c r="M106" s="14">
        <v>9.19</v>
      </c>
      <c r="N106" s="24">
        <v>5.0199999999999996</v>
      </c>
      <c r="O106" s="14"/>
      <c r="P106" s="14"/>
      <c r="Q106" s="14"/>
      <c r="R106" s="14"/>
      <c r="S106" s="14"/>
      <c r="T106" s="14"/>
      <c r="U106" s="14"/>
      <c r="V106" s="61">
        <f t="shared" si="10"/>
        <v>7.5259999999999989</v>
      </c>
    </row>
    <row r="107" spans="1:23" ht="14.25" customHeight="1" x14ac:dyDescent="0.45">
      <c r="A107" s="1"/>
      <c r="B107" s="34" t="s">
        <v>114</v>
      </c>
      <c r="C107" s="11"/>
      <c r="D107" s="11"/>
      <c r="E107" s="13">
        <v>5</v>
      </c>
      <c r="F107" s="95" t="s">
        <v>72</v>
      </c>
      <c r="G107" s="92"/>
      <c r="H107" s="93"/>
      <c r="I107" s="26" t="s">
        <v>35</v>
      </c>
      <c r="J107" s="14">
        <v>23.6</v>
      </c>
      <c r="K107" s="14">
        <v>25.68</v>
      </c>
      <c r="L107" s="14">
        <v>27.53</v>
      </c>
      <c r="M107" s="14">
        <v>24.44</v>
      </c>
      <c r="N107" s="24">
        <v>27.07</v>
      </c>
      <c r="O107" s="14"/>
      <c r="P107" s="14"/>
      <c r="Q107" s="14"/>
      <c r="R107" s="14"/>
      <c r="S107" s="14"/>
      <c r="T107" s="14"/>
      <c r="U107" s="14"/>
      <c r="V107" s="61">
        <f t="shared" si="10"/>
        <v>25.663999999999998</v>
      </c>
    </row>
    <row r="108" spans="1:23" ht="14.25" customHeight="1" x14ac:dyDescent="0.45">
      <c r="A108" s="1"/>
      <c r="B108" s="34" t="s">
        <v>115</v>
      </c>
      <c r="C108" s="11"/>
      <c r="D108" s="11"/>
      <c r="E108" s="19">
        <v>6</v>
      </c>
      <c r="F108" s="94" t="s">
        <v>74</v>
      </c>
      <c r="G108" s="92"/>
      <c r="H108" s="93"/>
      <c r="I108" s="26" t="s">
        <v>75</v>
      </c>
      <c r="J108" s="14">
        <v>50.87</v>
      </c>
      <c r="K108" s="14">
        <v>49.7</v>
      </c>
      <c r="L108" s="14">
        <v>52.96</v>
      </c>
      <c r="M108" s="14">
        <v>50.24</v>
      </c>
      <c r="N108" s="24">
        <v>55.77</v>
      </c>
      <c r="O108" s="14"/>
      <c r="P108" s="14"/>
      <c r="Q108" s="14"/>
      <c r="R108" s="14"/>
      <c r="S108" s="14"/>
      <c r="T108" s="14"/>
      <c r="U108" s="14"/>
      <c r="V108" s="61">
        <f t="shared" si="10"/>
        <v>51.908000000000001</v>
      </c>
      <c r="W108" s="63">
        <f>(V108+V116+V124)/3</f>
        <v>58.647999999999996</v>
      </c>
    </row>
    <row r="109" spans="1:23" ht="14.25" customHeight="1" x14ac:dyDescent="0.45">
      <c r="A109" s="1"/>
      <c r="B109" s="34"/>
      <c r="C109" s="25"/>
      <c r="D109" s="11"/>
      <c r="E109" s="13"/>
      <c r="F109" s="30"/>
      <c r="G109" s="30"/>
      <c r="H109" s="31"/>
      <c r="I109" s="26"/>
      <c r="J109" s="10"/>
      <c r="K109" s="10"/>
      <c r="L109" s="10"/>
      <c r="M109" s="10"/>
      <c r="N109" s="46"/>
      <c r="O109" s="10"/>
      <c r="P109" s="10"/>
      <c r="Q109" s="10"/>
      <c r="R109" s="10"/>
      <c r="S109" s="10"/>
      <c r="T109" s="10"/>
      <c r="U109" s="10"/>
      <c r="V109" s="45"/>
    </row>
    <row r="110" spans="1:23" ht="14.25" customHeight="1" x14ac:dyDescent="0.45">
      <c r="A110" s="1"/>
      <c r="B110" s="34"/>
      <c r="C110" s="11"/>
      <c r="D110" s="11">
        <v>3</v>
      </c>
      <c r="E110" s="94" t="s">
        <v>83</v>
      </c>
      <c r="F110" s="92"/>
      <c r="G110" s="92"/>
      <c r="H110" s="93"/>
      <c r="I110" s="26"/>
      <c r="J110" s="10"/>
      <c r="K110" s="10"/>
      <c r="L110" s="10"/>
      <c r="M110" s="10"/>
      <c r="N110" s="46"/>
      <c r="O110" s="10"/>
      <c r="P110" s="10"/>
      <c r="Q110" s="10"/>
      <c r="R110" s="10"/>
      <c r="S110" s="10"/>
      <c r="T110" s="10"/>
      <c r="U110" s="10"/>
      <c r="V110" s="45"/>
    </row>
    <row r="111" spans="1:23" ht="14.25" customHeight="1" x14ac:dyDescent="0.45">
      <c r="A111" s="1"/>
      <c r="B111" s="34" t="s">
        <v>116</v>
      </c>
      <c r="C111" s="11"/>
      <c r="D111" s="11"/>
      <c r="E111" s="19">
        <v>1</v>
      </c>
      <c r="F111" s="94" t="s">
        <v>64</v>
      </c>
      <c r="G111" s="92"/>
      <c r="H111" s="93"/>
      <c r="I111" s="26" t="s">
        <v>35</v>
      </c>
      <c r="J111" s="14">
        <v>33</v>
      </c>
      <c r="K111" s="14">
        <v>35</v>
      </c>
      <c r="L111" s="14">
        <v>33</v>
      </c>
      <c r="M111" s="14">
        <v>34</v>
      </c>
      <c r="N111" s="16">
        <v>41</v>
      </c>
      <c r="O111" s="14"/>
      <c r="P111" s="14"/>
      <c r="Q111" s="14"/>
      <c r="R111" s="14"/>
      <c r="S111" s="14"/>
      <c r="T111" s="14"/>
      <c r="U111" s="14"/>
      <c r="V111" s="61">
        <f t="shared" ref="V111:V116" si="11">IFERROR(AVERAGE(J111:U111),"")</f>
        <v>35.200000000000003</v>
      </c>
    </row>
    <row r="112" spans="1:23" ht="14.25" customHeight="1" x14ac:dyDescent="0.45">
      <c r="A112" s="1"/>
      <c r="B112" s="34" t="s">
        <v>117</v>
      </c>
      <c r="C112" s="11"/>
      <c r="D112" s="11"/>
      <c r="E112" s="13">
        <v>2</v>
      </c>
      <c r="F112" s="95" t="s">
        <v>66</v>
      </c>
      <c r="G112" s="92"/>
      <c r="H112" s="93"/>
      <c r="I112" s="26" t="s">
        <v>35</v>
      </c>
      <c r="J112" s="14">
        <v>25.05</v>
      </c>
      <c r="K112" s="14">
        <v>26.46</v>
      </c>
      <c r="L112" s="14">
        <v>27.5</v>
      </c>
      <c r="M112" s="14">
        <v>27.67</v>
      </c>
      <c r="N112" s="24">
        <v>33.520000000000003</v>
      </c>
      <c r="O112" s="14"/>
      <c r="P112" s="14"/>
      <c r="Q112" s="14"/>
      <c r="R112" s="14"/>
      <c r="S112" s="14"/>
      <c r="T112" s="14"/>
      <c r="U112" s="14"/>
      <c r="V112" s="61">
        <f t="shared" si="11"/>
        <v>28.040000000000003</v>
      </c>
    </row>
    <row r="113" spans="1:22" ht="14.25" customHeight="1" x14ac:dyDescent="0.45">
      <c r="A113" s="1"/>
      <c r="B113" s="34" t="s">
        <v>118</v>
      </c>
      <c r="C113" s="11"/>
      <c r="D113" s="11"/>
      <c r="E113" s="19">
        <v>3</v>
      </c>
      <c r="F113" s="95" t="s">
        <v>68</v>
      </c>
      <c r="G113" s="92"/>
      <c r="H113" s="93"/>
      <c r="I113" s="26" t="s">
        <v>35</v>
      </c>
      <c r="J113" s="14">
        <v>25.03</v>
      </c>
      <c r="K113" s="14">
        <v>25.65</v>
      </c>
      <c r="L113" s="14">
        <v>27.48</v>
      </c>
      <c r="M113" s="14">
        <v>27.65</v>
      </c>
      <c r="N113" s="24">
        <v>33.5</v>
      </c>
      <c r="O113" s="14"/>
      <c r="P113" s="14"/>
      <c r="Q113" s="14"/>
      <c r="R113" s="14"/>
      <c r="S113" s="14"/>
      <c r="T113" s="14"/>
      <c r="U113" s="14"/>
      <c r="V113" s="61">
        <f t="shared" si="11"/>
        <v>27.862000000000002</v>
      </c>
    </row>
    <row r="114" spans="1:22" ht="14.25" customHeight="1" x14ac:dyDescent="0.45">
      <c r="A114" s="1"/>
      <c r="B114" s="34" t="s">
        <v>119</v>
      </c>
      <c r="C114" s="11"/>
      <c r="D114" s="11"/>
      <c r="E114" s="19">
        <v>4</v>
      </c>
      <c r="F114" s="95" t="s">
        <v>70</v>
      </c>
      <c r="G114" s="92"/>
      <c r="H114" s="93"/>
      <c r="I114" s="26" t="s">
        <v>35</v>
      </c>
      <c r="J114" s="14">
        <v>0</v>
      </c>
      <c r="K114" s="14">
        <v>0.78</v>
      </c>
      <c r="L114" s="14">
        <v>0</v>
      </c>
      <c r="M114" s="14">
        <v>0</v>
      </c>
      <c r="N114" s="24">
        <v>0</v>
      </c>
      <c r="O114" s="14"/>
      <c r="P114" s="14"/>
      <c r="Q114" s="14"/>
      <c r="R114" s="14"/>
      <c r="S114" s="14"/>
      <c r="T114" s="14"/>
      <c r="U114" s="14"/>
      <c r="V114" s="61">
        <f t="shared" si="11"/>
        <v>0.156</v>
      </c>
    </row>
    <row r="115" spans="1:22" ht="14.25" customHeight="1" x14ac:dyDescent="0.45">
      <c r="A115" s="1"/>
      <c r="B115" s="34" t="s">
        <v>120</v>
      </c>
      <c r="C115" s="11"/>
      <c r="D115" s="11"/>
      <c r="E115" s="13">
        <v>5</v>
      </c>
      <c r="F115" s="95" t="s">
        <v>72</v>
      </c>
      <c r="G115" s="92"/>
      <c r="H115" s="93"/>
      <c r="I115" s="26" t="s">
        <v>35</v>
      </c>
      <c r="J115" s="14">
        <v>7.92</v>
      </c>
      <c r="K115" s="14">
        <v>8.52</v>
      </c>
      <c r="L115" s="14">
        <v>5.77</v>
      </c>
      <c r="M115" s="14">
        <v>6.45</v>
      </c>
      <c r="N115" s="24">
        <v>7.04</v>
      </c>
      <c r="O115" s="14"/>
      <c r="P115" s="14"/>
      <c r="Q115" s="14"/>
      <c r="R115" s="14"/>
      <c r="S115" s="14"/>
      <c r="T115" s="14"/>
      <c r="U115" s="14"/>
      <c r="V115" s="61">
        <f t="shared" si="11"/>
        <v>7.1399999999999988</v>
      </c>
    </row>
    <row r="116" spans="1:22" ht="14.25" customHeight="1" x14ac:dyDescent="0.45">
      <c r="A116" s="1"/>
      <c r="B116" s="34" t="s">
        <v>121</v>
      </c>
      <c r="C116" s="11"/>
      <c r="D116" s="11"/>
      <c r="E116" s="19">
        <v>6</v>
      </c>
      <c r="F116" s="94" t="s">
        <v>74</v>
      </c>
      <c r="G116" s="92"/>
      <c r="H116" s="93"/>
      <c r="I116" s="26" t="s">
        <v>75</v>
      </c>
      <c r="J116" s="14">
        <v>71.180000000000007</v>
      </c>
      <c r="K116" s="14">
        <v>71.930000000000007</v>
      </c>
      <c r="L116" s="14">
        <v>79.989999999999995</v>
      </c>
      <c r="M116" s="14">
        <v>78.59</v>
      </c>
      <c r="N116" s="24">
        <v>80.66</v>
      </c>
      <c r="O116" s="14"/>
      <c r="P116" s="14"/>
      <c r="Q116" s="14"/>
      <c r="R116" s="14"/>
      <c r="S116" s="14"/>
      <c r="T116" s="14"/>
      <c r="U116" s="14"/>
      <c r="V116" s="61">
        <f t="shared" si="11"/>
        <v>76.47</v>
      </c>
    </row>
    <row r="117" spans="1:22" ht="14.25" customHeight="1" x14ac:dyDescent="0.45">
      <c r="A117" s="1"/>
      <c r="B117" s="34"/>
      <c r="C117" s="25"/>
      <c r="D117" s="11"/>
      <c r="E117" s="13"/>
      <c r="F117" s="30"/>
      <c r="G117" s="30"/>
      <c r="H117" s="31"/>
      <c r="I117" s="26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45"/>
    </row>
    <row r="118" spans="1:22" ht="14.25" customHeight="1" x14ac:dyDescent="0.45">
      <c r="A118" s="1"/>
      <c r="B118" s="34"/>
      <c r="C118" s="25"/>
      <c r="D118" s="11">
        <v>4</v>
      </c>
      <c r="E118" s="94" t="s">
        <v>90</v>
      </c>
      <c r="F118" s="92"/>
      <c r="G118" s="92"/>
      <c r="H118" s="93"/>
      <c r="I118" s="26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45"/>
    </row>
    <row r="119" spans="1:22" ht="14.25" customHeight="1" x14ac:dyDescent="0.45">
      <c r="A119" s="1"/>
      <c r="B119" s="34" t="s">
        <v>122</v>
      </c>
      <c r="C119" s="25"/>
      <c r="D119" s="11"/>
      <c r="E119" s="19">
        <v>1</v>
      </c>
      <c r="F119" s="94" t="s">
        <v>64</v>
      </c>
      <c r="G119" s="92"/>
      <c r="H119" s="93"/>
      <c r="I119" s="26" t="s">
        <v>35</v>
      </c>
      <c r="J119" s="14">
        <v>45.67</v>
      </c>
      <c r="K119" s="14">
        <v>30.97</v>
      </c>
      <c r="L119" s="14">
        <v>63.33</v>
      </c>
      <c r="M119" s="14">
        <v>51.8</v>
      </c>
      <c r="N119" s="24">
        <v>60.68</v>
      </c>
      <c r="O119" s="14"/>
      <c r="P119" s="14"/>
      <c r="Q119" s="14"/>
      <c r="R119" s="14"/>
      <c r="S119" s="14"/>
      <c r="T119" s="14"/>
      <c r="U119" s="14"/>
      <c r="V119" s="61">
        <f t="shared" ref="V119:V124" si="12">IFERROR(AVERAGE(J119:U119),"")</f>
        <v>50.489999999999995</v>
      </c>
    </row>
    <row r="120" spans="1:22" ht="14.25" customHeight="1" x14ac:dyDescent="0.45">
      <c r="A120" s="1"/>
      <c r="B120" s="34" t="s">
        <v>123</v>
      </c>
      <c r="C120" s="25"/>
      <c r="D120" s="11"/>
      <c r="E120" s="13">
        <v>2</v>
      </c>
      <c r="F120" s="95" t="s">
        <v>66</v>
      </c>
      <c r="G120" s="92"/>
      <c r="H120" s="93"/>
      <c r="I120" s="26" t="s">
        <v>35</v>
      </c>
      <c r="J120" s="14">
        <v>32.96</v>
      </c>
      <c r="K120" s="14">
        <v>23.11</v>
      </c>
      <c r="L120" s="14">
        <v>57.92</v>
      </c>
      <c r="M120" s="14">
        <v>39.43</v>
      </c>
      <c r="N120" s="24">
        <v>53.33</v>
      </c>
      <c r="O120" s="14"/>
      <c r="P120" s="14"/>
      <c r="Q120" s="14"/>
      <c r="R120" s="14"/>
      <c r="S120" s="14"/>
      <c r="T120" s="14"/>
      <c r="U120" s="14"/>
      <c r="V120" s="61">
        <f t="shared" si="12"/>
        <v>41.35</v>
      </c>
    </row>
    <row r="121" spans="1:22" ht="14.25" customHeight="1" x14ac:dyDescent="0.45">
      <c r="A121" s="1"/>
      <c r="B121" s="34" t="s">
        <v>124</v>
      </c>
      <c r="C121" s="25"/>
      <c r="D121" s="11"/>
      <c r="E121" s="19">
        <v>3</v>
      </c>
      <c r="F121" s="95" t="s">
        <v>68</v>
      </c>
      <c r="G121" s="92"/>
      <c r="H121" s="93"/>
      <c r="I121" s="26" t="s">
        <v>35</v>
      </c>
      <c r="J121" s="14">
        <v>18.940000000000001</v>
      </c>
      <c r="K121" s="14">
        <v>13.68</v>
      </c>
      <c r="L121" s="14">
        <v>17.010000000000002</v>
      </c>
      <c r="M121" s="14">
        <v>31.47</v>
      </c>
      <c r="N121" s="24">
        <v>28.25</v>
      </c>
      <c r="O121" s="14"/>
      <c r="P121" s="14"/>
      <c r="Q121" s="14"/>
      <c r="R121" s="14"/>
      <c r="S121" s="14"/>
      <c r="T121" s="14"/>
      <c r="U121" s="14"/>
      <c r="V121" s="61">
        <f t="shared" si="12"/>
        <v>21.87</v>
      </c>
    </row>
    <row r="122" spans="1:22" ht="14.25" customHeight="1" x14ac:dyDescent="0.45">
      <c r="A122" s="1"/>
      <c r="B122" s="34" t="s">
        <v>125</v>
      </c>
      <c r="C122" s="25"/>
      <c r="D122" s="11"/>
      <c r="E122" s="19">
        <v>4</v>
      </c>
      <c r="F122" s="95" t="s">
        <v>70</v>
      </c>
      <c r="G122" s="92"/>
      <c r="H122" s="93"/>
      <c r="I122" s="26" t="s">
        <v>35</v>
      </c>
      <c r="J122" s="14">
        <v>10.95</v>
      </c>
      <c r="K122" s="14">
        <v>7.33</v>
      </c>
      <c r="L122" s="14">
        <v>32.119999999999997</v>
      </c>
      <c r="M122" s="14">
        <v>3</v>
      </c>
      <c r="N122" s="24">
        <v>10.97</v>
      </c>
      <c r="O122" s="14"/>
      <c r="P122" s="14"/>
      <c r="Q122" s="14"/>
      <c r="R122" s="14"/>
      <c r="S122" s="14"/>
      <c r="T122" s="14"/>
      <c r="U122" s="14"/>
      <c r="V122" s="61">
        <f t="shared" si="12"/>
        <v>12.874000000000001</v>
      </c>
    </row>
    <row r="123" spans="1:22" ht="14.25" customHeight="1" x14ac:dyDescent="0.45">
      <c r="A123" s="1"/>
      <c r="B123" s="34" t="s">
        <v>126</v>
      </c>
      <c r="C123" s="25"/>
      <c r="D123" s="11"/>
      <c r="E123" s="13">
        <v>5</v>
      </c>
      <c r="F123" s="95" t="s">
        <v>72</v>
      </c>
      <c r="G123" s="92"/>
      <c r="H123" s="93"/>
      <c r="I123" s="26" t="s">
        <v>35</v>
      </c>
      <c r="J123" s="14">
        <v>17.36</v>
      </c>
      <c r="K123" s="14">
        <v>17.62</v>
      </c>
      <c r="L123" s="14">
        <v>14.17</v>
      </c>
      <c r="M123" s="14">
        <v>17.5</v>
      </c>
      <c r="N123" s="24">
        <v>16.27</v>
      </c>
      <c r="O123" s="14"/>
      <c r="P123" s="14"/>
      <c r="Q123" s="14"/>
      <c r="R123" s="14"/>
      <c r="S123" s="14"/>
      <c r="T123" s="14"/>
      <c r="U123" s="14"/>
      <c r="V123" s="61">
        <f t="shared" si="12"/>
        <v>16.584</v>
      </c>
    </row>
    <row r="124" spans="1:22" ht="14.25" customHeight="1" x14ac:dyDescent="0.45">
      <c r="A124" s="1"/>
      <c r="B124" s="34" t="s">
        <v>127</v>
      </c>
      <c r="C124" s="25"/>
      <c r="D124" s="11"/>
      <c r="E124" s="19">
        <v>6</v>
      </c>
      <c r="F124" s="94" t="s">
        <v>74</v>
      </c>
      <c r="G124" s="92"/>
      <c r="H124" s="93"/>
      <c r="I124" s="26" t="s">
        <v>75</v>
      </c>
      <c r="J124" s="14">
        <v>48.75</v>
      </c>
      <c r="K124" s="14">
        <v>47.96</v>
      </c>
      <c r="L124" s="14">
        <v>26.86</v>
      </c>
      <c r="M124" s="14">
        <v>64.62</v>
      </c>
      <c r="N124" s="24">
        <v>49.64</v>
      </c>
      <c r="O124" s="14"/>
      <c r="P124" s="14"/>
      <c r="Q124" s="14"/>
      <c r="R124" s="14"/>
      <c r="S124" s="14"/>
      <c r="T124" s="14"/>
      <c r="U124" s="14"/>
      <c r="V124" s="61">
        <f t="shared" si="12"/>
        <v>47.565999999999995</v>
      </c>
    </row>
    <row r="125" spans="1:22" ht="14.25" customHeight="1" x14ac:dyDescent="0.45">
      <c r="A125" s="1"/>
      <c r="B125" s="34"/>
      <c r="C125" s="25"/>
      <c r="D125" s="11"/>
      <c r="E125" s="13"/>
      <c r="F125" s="30"/>
      <c r="G125" s="30"/>
      <c r="H125" s="31"/>
      <c r="I125" s="26"/>
      <c r="J125" s="10"/>
      <c r="K125" s="41"/>
      <c r="L125" s="41"/>
      <c r="M125" s="41"/>
      <c r="N125" s="41"/>
      <c r="O125" s="41"/>
      <c r="P125" s="41"/>
      <c r="Q125" s="10"/>
      <c r="R125" s="41"/>
      <c r="S125" s="41"/>
      <c r="T125" s="41"/>
      <c r="U125" s="29"/>
      <c r="V125" s="45"/>
    </row>
    <row r="126" spans="1:22" ht="14.25" customHeight="1" x14ac:dyDescent="0.45">
      <c r="A126" s="1"/>
      <c r="B126" s="34"/>
      <c r="C126" s="11"/>
      <c r="D126" s="11">
        <v>5</v>
      </c>
      <c r="E126" s="94" t="s">
        <v>97</v>
      </c>
      <c r="F126" s="92"/>
      <c r="G126" s="92"/>
      <c r="H126" s="93"/>
      <c r="I126" s="26"/>
      <c r="J126" s="10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29"/>
      <c r="V126" s="45"/>
    </row>
    <row r="127" spans="1:22" ht="14.25" customHeight="1" x14ac:dyDescent="0.45">
      <c r="A127" s="1"/>
      <c r="B127" s="34" t="s">
        <v>128</v>
      </c>
      <c r="C127" s="25"/>
      <c r="D127" s="11"/>
      <c r="E127" s="19">
        <v>1</v>
      </c>
      <c r="F127" s="94" t="s">
        <v>64</v>
      </c>
      <c r="G127" s="92"/>
      <c r="H127" s="93"/>
      <c r="I127" s="26" t="s">
        <v>35</v>
      </c>
      <c r="J127" s="22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3"/>
      <c r="V127" s="61" t="str">
        <f t="shared" ref="V127:V132" si="13">IFERROR(AVERAGE(J127:U127),"")</f>
        <v/>
      </c>
    </row>
    <row r="128" spans="1:22" ht="14.25" customHeight="1" x14ac:dyDescent="0.45">
      <c r="A128" s="1"/>
      <c r="B128" s="34" t="s">
        <v>129</v>
      </c>
      <c r="C128" s="25"/>
      <c r="D128" s="11"/>
      <c r="E128" s="13">
        <v>2</v>
      </c>
      <c r="F128" s="95" t="s">
        <v>66</v>
      </c>
      <c r="G128" s="92"/>
      <c r="H128" s="93"/>
      <c r="I128" s="26" t="s">
        <v>35</v>
      </c>
      <c r="J128" s="22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3"/>
      <c r="V128" s="61" t="str">
        <f t="shared" si="13"/>
        <v/>
      </c>
    </row>
    <row r="129" spans="1:22" ht="14.25" customHeight="1" x14ac:dyDescent="0.45">
      <c r="A129" s="1"/>
      <c r="B129" s="34" t="s">
        <v>130</v>
      </c>
      <c r="C129" s="25"/>
      <c r="D129" s="11"/>
      <c r="E129" s="19">
        <v>3</v>
      </c>
      <c r="F129" s="95" t="s">
        <v>68</v>
      </c>
      <c r="G129" s="92"/>
      <c r="H129" s="93"/>
      <c r="I129" s="26" t="s">
        <v>35</v>
      </c>
      <c r="J129" s="22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3"/>
      <c r="V129" s="61" t="str">
        <f t="shared" si="13"/>
        <v/>
      </c>
    </row>
    <row r="130" spans="1:22" ht="14.25" customHeight="1" x14ac:dyDescent="0.45">
      <c r="A130" s="1"/>
      <c r="B130" s="34" t="s">
        <v>131</v>
      </c>
      <c r="C130" s="25"/>
      <c r="D130" s="11"/>
      <c r="E130" s="19">
        <v>4</v>
      </c>
      <c r="F130" s="95" t="s">
        <v>70</v>
      </c>
      <c r="G130" s="92"/>
      <c r="H130" s="93"/>
      <c r="I130" s="26" t="s">
        <v>35</v>
      </c>
      <c r="J130" s="22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3"/>
      <c r="V130" s="61" t="str">
        <f t="shared" si="13"/>
        <v/>
      </c>
    </row>
    <row r="131" spans="1:22" ht="14.25" customHeight="1" x14ac:dyDescent="0.45">
      <c r="A131" s="1"/>
      <c r="B131" s="34" t="s">
        <v>132</v>
      </c>
      <c r="C131" s="25"/>
      <c r="D131" s="11"/>
      <c r="E131" s="13">
        <v>5</v>
      </c>
      <c r="F131" s="95" t="s">
        <v>72</v>
      </c>
      <c r="G131" s="92"/>
      <c r="H131" s="93"/>
      <c r="I131" s="26" t="s">
        <v>35</v>
      </c>
      <c r="J131" s="22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3"/>
      <c r="V131" s="61" t="str">
        <f t="shared" si="13"/>
        <v/>
      </c>
    </row>
    <row r="132" spans="1:22" ht="14.25" customHeight="1" x14ac:dyDescent="0.45">
      <c r="A132" s="1"/>
      <c r="B132" s="34" t="s">
        <v>133</v>
      </c>
      <c r="C132" s="25"/>
      <c r="D132" s="11"/>
      <c r="E132" s="19">
        <v>6</v>
      </c>
      <c r="F132" s="94" t="s">
        <v>74</v>
      </c>
      <c r="G132" s="92"/>
      <c r="H132" s="93"/>
      <c r="I132" s="26" t="s">
        <v>75</v>
      </c>
      <c r="J132" s="22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3"/>
      <c r="V132" s="61" t="str">
        <f t="shared" si="13"/>
        <v/>
      </c>
    </row>
    <row r="133" spans="1:22" ht="14.25" customHeight="1" x14ac:dyDescent="0.45">
      <c r="A133" s="1"/>
      <c r="B133" s="34"/>
      <c r="C133" s="25"/>
      <c r="D133" s="19"/>
      <c r="E133" s="38"/>
      <c r="F133" s="30"/>
      <c r="G133" s="8"/>
      <c r="H133" s="9"/>
      <c r="I133" s="26"/>
      <c r="J133" s="1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5"/>
    </row>
    <row r="134" spans="1:22" ht="14.25" customHeight="1" x14ac:dyDescent="0.45">
      <c r="A134" s="1"/>
      <c r="B134" s="34"/>
      <c r="C134" s="26">
        <v>3</v>
      </c>
      <c r="D134" s="94" t="s">
        <v>49</v>
      </c>
      <c r="E134" s="92"/>
      <c r="F134" s="92"/>
      <c r="G134" s="92"/>
      <c r="H134" s="93"/>
      <c r="I134" s="26"/>
      <c r="J134" s="1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10"/>
    </row>
    <row r="135" spans="1:22" ht="14.25" customHeight="1" x14ac:dyDescent="0.45">
      <c r="A135" s="1"/>
      <c r="B135" s="34"/>
      <c r="C135" s="11"/>
      <c r="D135" s="11">
        <v>1</v>
      </c>
      <c r="E135" s="94" t="s">
        <v>62</v>
      </c>
      <c r="F135" s="92"/>
      <c r="G135" s="92"/>
      <c r="H135" s="93"/>
      <c r="I135" s="26"/>
      <c r="J135" s="10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5"/>
    </row>
    <row r="136" spans="1:22" ht="14.25" customHeight="1" x14ac:dyDescent="0.45">
      <c r="A136" s="1"/>
      <c r="B136" s="34" t="s">
        <v>134</v>
      </c>
      <c r="C136" s="11"/>
      <c r="D136" s="11"/>
      <c r="E136" s="19">
        <v>1</v>
      </c>
      <c r="F136" s="94" t="s">
        <v>64</v>
      </c>
      <c r="G136" s="92"/>
      <c r="H136" s="93"/>
      <c r="I136" s="26" t="s">
        <v>35</v>
      </c>
      <c r="J136" s="22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61" t="str">
        <f t="shared" ref="V136:V141" si="14">IFERROR(AVERAGE(J136:U136),"")</f>
        <v/>
      </c>
    </row>
    <row r="137" spans="1:22" ht="14.25" customHeight="1" x14ac:dyDescent="0.45">
      <c r="A137" s="1"/>
      <c r="B137" s="34" t="s">
        <v>135</v>
      </c>
      <c r="C137" s="11"/>
      <c r="D137" s="11"/>
      <c r="E137" s="13">
        <v>2</v>
      </c>
      <c r="F137" s="95" t="s">
        <v>66</v>
      </c>
      <c r="G137" s="92"/>
      <c r="H137" s="93"/>
      <c r="I137" s="26" t="s">
        <v>35</v>
      </c>
      <c r="J137" s="22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61" t="str">
        <f t="shared" si="14"/>
        <v/>
      </c>
    </row>
    <row r="138" spans="1:22" ht="14.25" customHeight="1" x14ac:dyDescent="0.45">
      <c r="A138" s="1"/>
      <c r="B138" s="34" t="s">
        <v>136</v>
      </c>
      <c r="C138" s="11"/>
      <c r="D138" s="11"/>
      <c r="E138" s="19">
        <v>3</v>
      </c>
      <c r="F138" s="95" t="s">
        <v>68</v>
      </c>
      <c r="G138" s="92"/>
      <c r="H138" s="93"/>
      <c r="I138" s="26" t="s">
        <v>35</v>
      </c>
      <c r="J138" s="22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61" t="str">
        <f t="shared" si="14"/>
        <v/>
      </c>
    </row>
    <row r="139" spans="1:22" ht="14.25" customHeight="1" x14ac:dyDescent="0.45">
      <c r="A139" s="1"/>
      <c r="B139" s="34" t="s">
        <v>137</v>
      </c>
      <c r="C139" s="11"/>
      <c r="D139" s="11"/>
      <c r="E139" s="19">
        <v>4</v>
      </c>
      <c r="F139" s="95" t="s">
        <v>70</v>
      </c>
      <c r="G139" s="92"/>
      <c r="H139" s="93"/>
      <c r="I139" s="26" t="s">
        <v>35</v>
      </c>
      <c r="J139" s="22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61" t="str">
        <f t="shared" si="14"/>
        <v/>
      </c>
    </row>
    <row r="140" spans="1:22" ht="14.25" customHeight="1" x14ac:dyDescent="0.45">
      <c r="A140" s="1"/>
      <c r="B140" s="34" t="s">
        <v>138</v>
      </c>
      <c r="C140" s="11"/>
      <c r="D140" s="11"/>
      <c r="E140" s="13">
        <v>5</v>
      </c>
      <c r="F140" s="95" t="s">
        <v>72</v>
      </c>
      <c r="G140" s="92"/>
      <c r="H140" s="93"/>
      <c r="I140" s="26" t="s">
        <v>35</v>
      </c>
      <c r="J140" s="22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61" t="str">
        <f t="shared" si="14"/>
        <v/>
      </c>
    </row>
    <row r="141" spans="1:22" ht="14.25" customHeight="1" x14ac:dyDescent="0.45">
      <c r="A141" s="1"/>
      <c r="B141" s="34" t="s">
        <v>139</v>
      </c>
      <c r="C141" s="11"/>
      <c r="D141" s="11"/>
      <c r="E141" s="19">
        <v>6</v>
      </c>
      <c r="F141" s="94" t="s">
        <v>74</v>
      </c>
      <c r="G141" s="92"/>
      <c r="H141" s="93"/>
      <c r="I141" s="26" t="s">
        <v>75</v>
      </c>
      <c r="J141" s="22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61" t="str">
        <f t="shared" si="14"/>
        <v/>
      </c>
    </row>
    <row r="142" spans="1:22" ht="14.25" customHeight="1" x14ac:dyDescent="0.45">
      <c r="A142" s="1"/>
      <c r="B142" s="1"/>
      <c r="C142" s="25"/>
      <c r="D142" s="11"/>
      <c r="E142" s="13"/>
      <c r="F142" s="30"/>
      <c r="G142" s="30"/>
      <c r="H142" s="31"/>
      <c r="I142" s="26"/>
      <c r="J142" s="1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5"/>
    </row>
    <row r="143" spans="1:22" ht="14.25" customHeight="1" x14ac:dyDescent="0.45">
      <c r="A143" s="1"/>
      <c r="B143" s="34"/>
      <c r="C143" s="11"/>
      <c r="D143" s="11">
        <v>2</v>
      </c>
      <c r="E143" s="94" t="s">
        <v>76</v>
      </c>
      <c r="F143" s="92"/>
      <c r="G143" s="92"/>
      <c r="H143" s="93"/>
      <c r="I143" s="26"/>
      <c r="J143" s="10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5"/>
    </row>
    <row r="144" spans="1:22" ht="14.25" customHeight="1" x14ac:dyDescent="0.45">
      <c r="A144" s="1"/>
      <c r="B144" s="34" t="s">
        <v>140</v>
      </c>
      <c r="C144" s="11"/>
      <c r="D144" s="11"/>
      <c r="E144" s="19">
        <v>1</v>
      </c>
      <c r="F144" s="94" t="s">
        <v>64</v>
      </c>
      <c r="G144" s="92"/>
      <c r="H144" s="93"/>
      <c r="I144" s="26" t="s">
        <v>35</v>
      </c>
      <c r="J144" s="14">
        <v>73.28</v>
      </c>
      <c r="K144" s="14">
        <v>79.12</v>
      </c>
      <c r="L144" s="14">
        <v>108.06</v>
      </c>
      <c r="M144" s="14">
        <v>73.37</v>
      </c>
      <c r="N144" s="24">
        <v>70.39</v>
      </c>
      <c r="O144" s="14"/>
      <c r="P144" s="14"/>
      <c r="Q144" s="14"/>
      <c r="R144" s="14"/>
      <c r="S144" s="14"/>
      <c r="T144" s="14"/>
      <c r="U144" s="14"/>
      <c r="V144" s="61">
        <f t="shared" ref="V144:V149" si="15">IFERROR(AVERAGE(J144:U144),"")</f>
        <v>80.844000000000008</v>
      </c>
    </row>
    <row r="145" spans="1:22" ht="14.25" customHeight="1" x14ac:dyDescent="0.45">
      <c r="A145" s="1"/>
      <c r="B145" s="34" t="s">
        <v>141</v>
      </c>
      <c r="C145" s="11"/>
      <c r="D145" s="11"/>
      <c r="E145" s="13">
        <v>2</v>
      </c>
      <c r="F145" s="95" t="s">
        <v>66</v>
      </c>
      <c r="G145" s="92"/>
      <c r="H145" s="93"/>
      <c r="I145" s="26" t="s">
        <v>35</v>
      </c>
      <c r="J145" s="14">
        <v>62.59</v>
      </c>
      <c r="K145" s="14">
        <v>65.19</v>
      </c>
      <c r="L145" s="14">
        <v>98.06</v>
      </c>
      <c r="M145" s="14">
        <v>85.56</v>
      </c>
      <c r="N145" s="24">
        <v>61.24</v>
      </c>
      <c r="O145" s="14"/>
      <c r="P145" s="14"/>
      <c r="Q145" s="14"/>
      <c r="R145" s="14"/>
      <c r="S145" s="14"/>
      <c r="T145" s="14"/>
      <c r="U145" s="14"/>
      <c r="V145" s="61">
        <f t="shared" si="15"/>
        <v>74.527999999999992</v>
      </c>
    </row>
    <row r="146" spans="1:22" ht="14.25" customHeight="1" x14ac:dyDescent="0.45">
      <c r="A146" s="1"/>
      <c r="B146" s="34" t="s">
        <v>142</v>
      </c>
      <c r="C146" s="11"/>
      <c r="D146" s="11"/>
      <c r="E146" s="19">
        <v>3</v>
      </c>
      <c r="F146" s="95" t="s">
        <v>68</v>
      </c>
      <c r="G146" s="92"/>
      <c r="H146" s="93"/>
      <c r="I146" s="26" t="s">
        <v>35</v>
      </c>
      <c r="J146" s="14">
        <v>34.380000000000003</v>
      </c>
      <c r="K146" s="14">
        <v>41</v>
      </c>
      <c r="L146" s="14">
        <v>58.27</v>
      </c>
      <c r="M146" s="14">
        <v>39.53</v>
      </c>
      <c r="N146" s="24">
        <v>39.93</v>
      </c>
      <c r="O146" s="14"/>
      <c r="P146" s="14"/>
      <c r="Q146" s="14"/>
      <c r="R146" s="14"/>
      <c r="S146" s="14"/>
      <c r="T146" s="14"/>
      <c r="U146" s="14"/>
      <c r="V146" s="61">
        <f t="shared" si="15"/>
        <v>42.622</v>
      </c>
    </row>
    <row r="147" spans="1:22" ht="14.25" customHeight="1" x14ac:dyDescent="0.45">
      <c r="A147" s="1"/>
      <c r="B147" s="34" t="s">
        <v>143</v>
      </c>
      <c r="C147" s="11"/>
      <c r="D147" s="11"/>
      <c r="E147" s="19">
        <v>4</v>
      </c>
      <c r="F147" s="95" t="s">
        <v>70</v>
      </c>
      <c r="G147" s="92"/>
      <c r="H147" s="93"/>
      <c r="I147" s="26" t="s">
        <v>35</v>
      </c>
      <c r="J147" s="14">
        <v>10.97</v>
      </c>
      <c r="K147" s="14">
        <v>11.47</v>
      </c>
      <c r="L147" s="14">
        <v>9.3000000000000007</v>
      </c>
      <c r="M147" s="14">
        <v>8.89</v>
      </c>
      <c r="N147" s="24">
        <v>7.2</v>
      </c>
      <c r="O147" s="14"/>
      <c r="P147" s="14"/>
      <c r="Q147" s="14"/>
      <c r="R147" s="14"/>
      <c r="S147" s="14"/>
      <c r="T147" s="14"/>
      <c r="U147" s="14"/>
      <c r="V147" s="61">
        <f t="shared" si="15"/>
        <v>9.5660000000000007</v>
      </c>
    </row>
    <row r="148" spans="1:22" ht="14.25" customHeight="1" x14ac:dyDescent="0.45">
      <c r="A148" s="1"/>
      <c r="B148" s="34" t="s">
        <v>144</v>
      </c>
      <c r="C148" s="11"/>
      <c r="D148" s="11"/>
      <c r="E148" s="13">
        <v>5</v>
      </c>
      <c r="F148" s="95" t="s">
        <v>72</v>
      </c>
      <c r="G148" s="92"/>
      <c r="H148" s="93"/>
      <c r="I148" s="26" t="s">
        <v>35</v>
      </c>
      <c r="J148" s="14">
        <v>26.98</v>
      </c>
      <c r="K148" s="14">
        <v>29.77</v>
      </c>
      <c r="L148" s="14">
        <v>39.01</v>
      </c>
      <c r="M148" s="14">
        <v>25.48</v>
      </c>
      <c r="N148" s="24">
        <v>29.34</v>
      </c>
      <c r="O148" s="14"/>
      <c r="P148" s="14"/>
      <c r="Q148" s="14"/>
      <c r="R148" s="14"/>
      <c r="S148" s="14"/>
      <c r="T148" s="14"/>
      <c r="U148" s="14"/>
      <c r="V148" s="61">
        <f t="shared" si="15"/>
        <v>30.115999999999996</v>
      </c>
    </row>
    <row r="149" spans="1:22" ht="14.25" customHeight="1" x14ac:dyDescent="0.45">
      <c r="A149" s="1"/>
      <c r="B149" s="34" t="s">
        <v>145</v>
      </c>
      <c r="C149" s="11"/>
      <c r="D149" s="11"/>
      <c r="E149" s="19">
        <v>6</v>
      </c>
      <c r="F149" s="94" t="s">
        <v>74</v>
      </c>
      <c r="G149" s="92"/>
      <c r="H149" s="93"/>
      <c r="I149" s="26" t="s">
        <v>75</v>
      </c>
      <c r="J149" s="14">
        <v>51.46</v>
      </c>
      <c r="K149" s="14">
        <v>53.71</v>
      </c>
      <c r="L149" s="14">
        <v>52.92</v>
      </c>
      <c r="M149" s="14">
        <v>53.26</v>
      </c>
      <c r="N149" s="24">
        <v>56.56</v>
      </c>
      <c r="O149" s="14"/>
      <c r="P149" s="14"/>
      <c r="Q149" s="14"/>
      <c r="R149" s="14"/>
      <c r="S149" s="14"/>
      <c r="T149" s="14"/>
      <c r="U149" s="14"/>
      <c r="V149" s="61">
        <f t="shared" si="15"/>
        <v>53.581999999999994</v>
      </c>
    </row>
    <row r="150" spans="1:22" ht="14.25" customHeight="1" x14ac:dyDescent="0.45">
      <c r="A150" s="1"/>
      <c r="B150" s="34"/>
      <c r="C150" s="25"/>
      <c r="D150" s="11"/>
      <c r="E150" s="13"/>
      <c r="F150" s="30"/>
      <c r="G150" s="30"/>
      <c r="H150" s="31"/>
      <c r="I150" s="26"/>
      <c r="J150" s="10"/>
      <c r="K150" s="10"/>
      <c r="L150" s="10"/>
      <c r="M150" s="10"/>
      <c r="N150" s="46"/>
      <c r="O150" s="10"/>
      <c r="P150" s="10"/>
      <c r="Q150" s="10"/>
      <c r="R150" s="10"/>
      <c r="S150" s="10"/>
      <c r="T150" s="10"/>
      <c r="U150" s="10"/>
      <c r="V150" s="45"/>
    </row>
    <row r="151" spans="1:22" ht="14.25" customHeight="1" x14ac:dyDescent="0.45">
      <c r="A151" s="1"/>
      <c r="B151" s="34"/>
      <c r="C151" s="11"/>
      <c r="D151" s="11">
        <v>3</v>
      </c>
      <c r="E151" s="94" t="s">
        <v>83</v>
      </c>
      <c r="F151" s="92"/>
      <c r="G151" s="92"/>
      <c r="H151" s="93"/>
      <c r="I151" s="26"/>
      <c r="J151" s="10"/>
      <c r="K151" s="10"/>
      <c r="L151" s="10"/>
      <c r="M151" s="10"/>
      <c r="N151" s="46"/>
      <c r="O151" s="10"/>
      <c r="P151" s="10"/>
      <c r="Q151" s="10"/>
      <c r="R151" s="10"/>
      <c r="S151" s="10"/>
      <c r="T151" s="10"/>
      <c r="U151" s="10"/>
      <c r="V151" s="45"/>
    </row>
    <row r="152" spans="1:22" ht="14.25" customHeight="1" x14ac:dyDescent="0.45">
      <c r="A152" s="1"/>
      <c r="B152" s="34" t="s">
        <v>146</v>
      </c>
      <c r="C152" s="11"/>
      <c r="D152" s="11"/>
      <c r="E152" s="19">
        <v>1</v>
      </c>
      <c r="F152" s="94" t="s">
        <v>64</v>
      </c>
      <c r="G152" s="92"/>
      <c r="H152" s="93"/>
      <c r="I152" s="26" t="s">
        <v>35</v>
      </c>
      <c r="J152" s="14">
        <v>28.75</v>
      </c>
      <c r="K152" s="14">
        <v>26.52</v>
      </c>
      <c r="L152" s="14">
        <v>29.24</v>
      </c>
      <c r="M152" s="14">
        <v>29.7</v>
      </c>
      <c r="N152" s="24">
        <v>22.61</v>
      </c>
      <c r="O152" s="14"/>
      <c r="P152" s="14"/>
      <c r="Q152" s="14"/>
      <c r="R152" s="14"/>
      <c r="S152" s="14"/>
      <c r="T152" s="14"/>
      <c r="U152" s="14"/>
      <c r="V152" s="61">
        <f t="shared" ref="V152:V157" si="16">IFERROR(AVERAGE(J152:U152),"")</f>
        <v>27.363999999999997</v>
      </c>
    </row>
    <row r="153" spans="1:22" ht="14.25" customHeight="1" x14ac:dyDescent="0.45">
      <c r="A153" s="1"/>
      <c r="B153" s="34" t="s">
        <v>147</v>
      </c>
      <c r="C153" s="11"/>
      <c r="D153" s="11"/>
      <c r="E153" s="13">
        <v>2</v>
      </c>
      <c r="F153" s="95" t="s">
        <v>66</v>
      </c>
      <c r="G153" s="92"/>
      <c r="H153" s="93"/>
      <c r="I153" s="26" t="s">
        <v>35</v>
      </c>
      <c r="J153" s="14">
        <v>21.95</v>
      </c>
      <c r="K153" s="14">
        <v>18.68</v>
      </c>
      <c r="L153" s="14">
        <v>23.62</v>
      </c>
      <c r="M153" s="14">
        <v>23.55</v>
      </c>
      <c r="N153" s="24">
        <v>16.3</v>
      </c>
      <c r="O153" s="14"/>
      <c r="P153" s="14"/>
      <c r="Q153" s="14"/>
      <c r="R153" s="14"/>
      <c r="S153" s="14"/>
      <c r="T153" s="14"/>
      <c r="U153" s="14"/>
      <c r="V153" s="61">
        <f t="shared" si="16"/>
        <v>20.82</v>
      </c>
    </row>
    <row r="154" spans="1:22" ht="14.25" customHeight="1" x14ac:dyDescent="0.45">
      <c r="A154" s="1"/>
      <c r="B154" s="34" t="s">
        <v>148</v>
      </c>
      <c r="C154" s="11"/>
      <c r="D154" s="11"/>
      <c r="E154" s="19">
        <v>3</v>
      </c>
      <c r="F154" s="95" t="s">
        <v>68</v>
      </c>
      <c r="G154" s="92"/>
      <c r="H154" s="93"/>
      <c r="I154" s="26" t="s">
        <v>35</v>
      </c>
      <c r="J154" s="14">
        <v>21.94</v>
      </c>
      <c r="K154" s="14">
        <v>18.23</v>
      </c>
      <c r="L154" s="14">
        <v>23.6</v>
      </c>
      <c r="M154" s="14">
        <v>23.53</v>
      </c>
      <c r="N154" s="24">
        <v>16.29</v>
      </c>
      <c r="O154" s="14"/>
      <c r="P154" s="14"/>
      <c r="Q154" s="14"/>
      <c r="R154" s="14"/>
      <c r="S154" s="14"/>
      <c r="T154" s="14"/>
      <c r="U154" s="14"/>
      <c r="V154" s="61">
        <f t="shared" si="16"/>
        <v>20.718</v>
      </c>
    </row>
    <row r="155" spans="1:22" ht="14.25" customHeight="1" x14ac:dyDescent="0.45">
      <c r="A155" s="1"/>
      <c r="B155" s="34" t="s">
        <v>149</v>
      </c>
      <c r="C155" s="11"/>
      <c r="D155" s="11"/>
      <c r="E155" s="19">
        <v>4</v>
      </c>
      <c r="F155" s="95" t="s">
        <v>70</v>
      </c>
      <c r="G155" s="92"/>
      <c r="H155" s="93"/>
      <c r="I155" s="26" t="s">
        <v>35</v>
      </c>
      <c r="J155" s="14">
        <v>0</v>
      </c>
      <c r="K155" s="14">
        <v>0.43</v>
      </c>
      <c r="L155" s="14">
        <v>0</v>
      </c>
      <c r="M155" s="14">
        <v>7.0000000000000007E-2</v>
      </c>
      <c r="N155" s="24">
        <v>0</v>
      </c>
      <c r="O155" s="14"/>
      <c r="P155" s="14"/>
      <c r="Q155" s="14"/>
      <c r="R155" s="14"/>
      <c r="S155" s="14"/>
      <c r="T155" s="14"/>
      <c r="U155" s="14"/>
      <c r="V155" s="61">
        <f t="shared" si="16"/>
        <v>0.1</v>
      </c>
    </row>
    <row r="156" spans="1:22" ht="14.25" customHeight="1" x14ac:dyDescent="0.45">
      <c r="A156" s="1"/>
      <c r="B156" s="34" t="s">
        <v>150</v>
      </c>
      <c r="C156" s="11"/>
      <c r="D156" s="11"/>
      <c r="E156" s="13">
        <v>5</v>
      </c>
      <c r="F156" s="95" t="s">
        <v>72</v>
      </c>
      <c r="G156" s="92"/>
      <c r="H156" s="93"/>
      <c r="I156" s="26" t="s">
        <v>35</v>
      </c>
      <c r="J156" s="14">
        <v>6.8</v>
      </c>
      <c r="K156" s="14">
        <v>7.84</v>
      </c>
      <c r="L156" s="14">
        <v>5.62</v>
      </c>
      <c r="M156" s="14">
        <v>6.15</v>
      </c>
      <c r="N156" s="24">
        <v>6.31</v>
      </c>
      <c r="O156" s="14"/>
      <c r="P156" s="14"/>
      <c r="Q156" s="14"/>
      <c r="R156" s="14"/>
      <c r="S156" s="14"/>
      <c r="T156" s="14"/>
      <c r="U156" s="14"/>
      <c r="V156" s="61">
        <f t="shared" si="16"/>
        <v>6.5440000000000014</v>
      </c>
    </row>
    <row r="157" spans="1:22" ht="14.25" customHeight="1" x14ac:dyDescent="0.45">
      <c r="A157" s="1"/>
      <c r="B157" s="34" t="s">
        <v>151</v>
      </c>
      <c r="C157" s="11"/>
      <c r="D157" s="11"/>
      <c r="E157" s="19">
        <v>6</v>
      </c>
      <c r="F157" s="94" t="s">
        <v>74</v>
      </c>
      <c r="G157" s="92"/>
      <c r="H157" s="93"/>
      <c r="I157" s="26" t="s">
        <v>75</v>
      </c>
      <c r="J157" s="14">
        <v>70.62</v>
      </c>
      <c r="K157" s="14">
        <v>63.62</v>
      </c>
      <c r="L157" s="14">
        <v>76.16</v>
      </c>
      <c r="M157" s="14">
        <v>73.319999999999993</v>
      </c>
      <c r="N157" s="24">
        <v>60.74</v>
      </c>
      <c r="O157" s="14"/>
      <c r="P157" s="14"/>
      <c r="Q157" s="14"/>
      <c r="R157" s="14"/>
      <c r="S157" s="14"/>
      <c r="T157" s="14"/>
      <c r="U157" s="14"/>
      <c r="V157" s="61">
        <f t="shared" si="16"/>
        <v>68.89200000000001</v>
      </c>
    </row>
    <row r="158" spans="1:22" ht="14.25" customHeight="1" x14ac:dyDescent="0.45">
      <c r="A158" s="1"/>
      <c r="B158" s="34"/>
      <c r="C158" s="25"/>
      <c r="D158" s="11"/>
      <c r="E158" s="13"/>
      <c r="F158" s="30"/>
      <c r="G158" s="30"/>
      <c r="H158" s="31"/>
      <c r="I158" s="26"/>
      <c r="J158" s="10"/>
      <c r="K158" s="10"/>
      <c r="L158" s="10"/>
      <c r="M158" s="10"/>
      <c r="N158" s="46"/>
      <c r="O158" s="10"/>
      <c r="P158" s="10"/>
      <c r="Q158" s="10"/>
      <c r="R158" s="10"/>
      <c r="S158" s="10"/>
      <c r="T158" s="10"/>
      <c r="U158" s="10"/>
      <c r="V158" s="45"/>
    </row>
    <row r="159" spans="1:22" ht="14.25" customHeight="1" x14ac:dyDescent="0.45">
      <c r="A159" s="1"/>
      <c r="B159" s="34"/>
      <c r="C159" s="25"/>
      <c r="D159" s="11">
        <v>4</v>
      </c>
      <c r="E159" s="94" t="s">
        <v>90</v>
      </c>
      <c r="F159" s="92"/>
      <c r="G159" s="92"/>
      <c r="H159" s="93"/>
      <c r="I159" s="26"/>
      <c r="J159" s="10"/>
      <c r="K159" s="10"/>
      <c r="L159" s="10"/>
      <c r="M159" s="10"/>
      <c r="N159" s="46"/>
      <c r="O159" s="10"/>
      <c r="P159" s="10"/>
      <c r="Q159" s="10"/>
      <c r="R159" s="10"/>
      <c r="S159" s="10"/>
      <c r="T159" s="10"/>
      <c r="U159" s="10"/>
      <c r="V159" s="45"/>
    </row>
    <row r="160" spans="1:22" ht="14.25" customHeight="1" x14ac:dyDescent="0.45">
      <c r="A160" s="1"/>
      <c r="B160" s="34" t="s">
        <v>152</v>
      </c>
      <c r="C160" s="25"/>
      <c r="D160" s="11"/>
      <c r="E160" s="19">
        <v>1</v>
      </c>
      <c r="F160" s="94" t="s">
        <v>64</v>
      </c>
      <c r="G160" s="92"/>
      <c r="H160" s="93"/>
      <c r="I160" s="26" t="s">
        <v>35</v>
      </c>
      <c r="J160" s="14">
        <v>61.42</v>
      </c>
      <c r="K160" s="14">
        <v>90.21</v>
      </c>
      <c r="L160" s="14">
        <v>111.48</v>
      </c>
      <c r="M160" s="14">
        <v>53.2</v>
      </c>
      <c r="N160" s="24">
        <v>75.73</v>
      </c>
      <c r="O160" s="14"/>
      <c r="P160" s="14"/>
      <c r="Q160" s="14"/>
      <c r="R160" s="14"/>
      <c r="S160" s="14"/>
      <c r="T160" s="14"/>
      <c r="U160" s="14"/>
      <c r="V160" s="61">
        <f t="shared" ref="V160:V165" si="17">IFERROR(AVERAGE(J160:U160),"")</f>
        <v>78.408000000000001</v>
      </c>
    </row>
    <row r="161" spans="1:22" ht="14.25" customHeight="1" x14ac:dyDescent="0.45">
      <c r="A161" s="1"/>
      <c r="B161" s="34" t="s">
        <v>153</v>
      </c>
      <c r="C161" s="25"/>
      <c r="D161" s="11"/>
      <c r="E161" s="13">
        <v>2</v>
      </c>
      <c r="F161" s="95" t="s">
        <v>66</v>
      </c>
      <c r="G161" s="92"/>
      <c r="H161" s="93"/>
      <c r="I161" s="26" t="s">
        <v>35</v>
      </c>
      <c r="J161" s="14">
        <v>47.03</v>
      </c>
      <c r="K161" s="14">
        <v>81.2</v>
      </c>
      <c r="L161" s="14">
        <v>102.31</v>
      </c>
      <c r="M161" s="14">
        <v>43.9</v>
      </c>
      <c r="N161" s="24">
        <v>68.53</v>
      </c>
      <c r="O161" s="14"/>
      <c r="P161" s="14"/>
      <c r="Q161" s="14"/>
      <c r="R161" s="14"/>
      <c r="S161" s="14"/>
      <c r="T161" s="14"/>
      <c r="U161" s="14"/>
      <c r="V161" s="61">
        <f t="shared" si="17"/>
        <v>68.594000000000008</v>
      </c>
    </row>
    <row r="162" spans="1:22" ht="14.25" customHeight="1" x14ac:dyDescent="0.45">
      <c r="A162" s="1"/>
      <c r="B162" s="34" t="s">
        <v>154</v>
      </c>
      <c r="C162" s="25"/>
      <c r="D162" s="11"/>
      <c r="E162" s="19">
        <v>3</v>
      </c>
      <c r="F162" s="95" t="s">
        <v>68</v>
      </c>
      <c r="G162" s="92"/>
      <c r="H162" s="93"/>
      <c r="I162" s="26" t="s">
        <v>35</v>
      </c>
      <c r="J162" s="14">
        <v>31.87</v>
      </c>
      <c r="K162" s="14">
        <v>43.47</v>
      </c>
      <c r="L162" s="14">
        <v>56.88</v>
      </c>
      <c r="M162" s="14">
        <v>33.64</v>
      </c>
      <c r="N162" s="24">
        <v>41.63</v>
      </c>
      <c r="O162" s="14"/>
      <c r="P162" s="14"/>
      <c r="Q162" s="14"/>
      <c r="R162" s="14"/>
      <c r="S162" s="14"/>
      <c r="T162" s="14"/>
      <c r="U162" s="14"/>
      <c r="V162" s="61">
        <f t="shared" si="17"/>
        <v>41.498000000000005</v>
      </c>
    </row>
    <row r="163" spans="1:22" ht="14.25" customHeight="1" x14ac:dyDescent="0.45">
      <c r="A163" s="1"/>
      <c r="B163" s="34" t="s">
        <v>155</v>
      </c>
      <c r="C163" s="25"/>
      <c r="D163" s="11"/>
      <c r="E163" s="19">
        <v>4</v>
      </c>
      <c r="F163" s="95" t="s">
        <v>70</v>
      </c>
      <c r="G163" s="92"/>
      <c r="H163" s="93"/>
      <c r="I163" s="26" t="s">
        <v>35</v>
      </c>
      <c r="J163" s="14">
        <v>10.62</v>
      </c>
      <c r="K163" s="14">
        <v>29.98</v>
      </c>
      <c r="L163" s="14">
        <v>25.85</v>
      </c>
      <c r="M163" s="14">
        <v>3.12</v>
      </c>
      <c r="N163" s="24">
        <v>11.77</v>
      </c>
      <c r="O163" s="14"/>
      <c r="P163" s="14"/>
      <c r="Q163" s="14"/>
      <c r="R163" s="14"/>
      <c r="S163" s="14"/>
      <c r="T163" s="14"/>
      <c r="U163" s="14"/>
      <c r="V163" s="61">
        <f t="shared" si="17"/>
        <v>16.268000000000001</v>
      </c>
    </row>
    <row r="164" spans="1:22" ht="14.25" customHeight="1" x14ac:dyDescent="0.45">
      <c r="A164" s="1"/>
      <c r="B164" s="34" t="s">
        <v>156</v>
      </c>
      <c r="C164" s="25"/>
      <c r="D164" s="11"/>
      <c r="E164" s="13">
        <v>5</v>
      </c>
      <c r="F164" s="95" t="s">
        <v>72</v>
      </c>
      <c r="G164" s="92"/>
      <c r="H164" s="93"/>
      <c r="I164" s="26" t="s">
        <v>35</v>
      </c>
      <c r="J164" s="14">
        <v>21.35</v>
      </c>
      <c r="K164" s="14">
        <v>25.48</v>
      </c>
      <c r="L164" s="14">
        <v>27.05</v>
      </c>
      <c r="M164" s="14">
        <v>15.36</v>
      </c>
      <c r="N164" s="24">
        <v>17.38</v>
      </c>
      <c r="O164" s="14"/>
      <c r="P164" s="14"/>
      <c r="Q164" s="14"/>
      <c r="R164" s="14"/>
      <c r="S164" s="14"/>
      <c r="T164" s="14"/>
      <c r="U164" s="14"/>
      <c r="V164" s="61">
        <f t="shared" si="17"/>
        <v>21.323999999999998</v>
      </c>
    </row>
    <row r="165" spans="1:22" ht="14.25" customHeight="1" x14ac:dyDescent="0.45">
      <c r="A165" s="1"/>
      <c r="B165" s="34" t="s">
        <v>157</v>
      </c>
      <c r="C165" s="25"/>
      <c r="D165" s="11"/>
      <c r="E165" s="19">
        <v>6</v>
      </c>
      <c r="F165" s="94" t="s">
        <v>74</v>
      </c>
      <c r="G165" s="92"/>
      <c r="H165" s="93"/>
      <c r="I165" s="26" t="s">
        <v>75</v>
      </c>
      <c r="J165" s="14">
        <v>53.21</v>
      </c>
      <c r="K165" s="14">
        <v>49.73</v>
      </c>
      <c r="L165" s="14">
        <v>47.89</v>
      </c>
      <c r="M165" s="14">
        <v>64.930000000000007</v>
      </c>
      <c r="N165" s="24">
        <v>54.69</v>
      </c>
      <c r="O165" s="14"/>
      <c r="P165" s="14"/>
      <c r="Q165" s="14"/>
      <c r="R165" s="14"/>
      <c r="S165" s="14"/>
      <c r="T165" s="14"/>
      <c r="U165" s="14"/>
      <c r="V165" s="61">
        <f t="shared" si="17"/>
        <v>54.089999999999996</v>
      </c>
    </row>
    <row r="166" spans="1:22" ht="14.25" customHeight="1" x14ac:dyDescent="0.45">
      <c r="A166" s="1"/>
      <c r="B166" s="34"/>
      <c r="C166" s="25"/>
      <c r="D166" s="11"/>
      <c r="E166" s="13"/>
      <c r="F166" s="30"/>
      <c r="G166" s="30"/>
      <c r="H166" s="31"/>
      <c r="I166" s="26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29"/>
      <c r="V166" s="45"/>
    </row>
    <row r="167" spans="1:22" ht="14.25" customHeight="1" x14ac:dyDescent="0.45">
      <c r="A167" s="1"/>
      <c r="B167" s="34"/>
      <c r="C167" s="11"/>
      <c r="D167" s="11">
        <v>5</v>
      </c>
      <c r="E167" s="94" t="s">
        <v>97</v>
      </c>
      <c r="F167" s="92"/>
      <c r="G167" s="92"/>
      <c r="H167" s="93"/>
      <c r="I167" s="26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29"/>
      <c r="V167" s="45"/>
    </row>
    <row r="168" spans="1:22" ht="14.25" customHeight="1" x14ac:dyDescent="0.45">
      <c r="A168" s="1"/>
      <c r="B168" s="34" t="s">
        <v>158</v>
      </c>
      <c r="C168" s="25"/>
      <c r="D168" s="11"/>
      <c r="E168" s="19">
        <v>1</v>
      </c>
      <c r="F168" s="94" t="s">
        <v>64</v>
      </c>
      <c r="G168" s="92"/>
      <c r="H168" s="93"/>
      <c r="I168" s="26" t="s">
        <v>35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3"/>
      <c r="V168" s="61" t="str">
        <f t="shared" ref="V168:V173" si="18">IFERROR(AVERAGE(J168:U168),"")</f>
        <v/>
      </c>
    </row>
    <row r="169" spans="1:22" ht="14.25" customHeight="1" x14ac:dyDescent="0.45">
      <c r="A169" s="1"/>
      <c r="B169" s="34" t="s">
        <v>159</v>
      </c>
      <c r="C169" s="25"/>
      <c r="D169" s="11"/>
      <c r="E169" s="13">
        <v>2</v>
      </c>
      <c r="F169" s="95" t="s">
        <v>66</v>
      </c>
      <c r="G169" s="92"/>
      <c r="H169" s="93"/>
      <c r="I169" s="26" t="s">
        <v>35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3"/>
      <c r="V169" s="61" t="str">
        <f t="shared" si="18"/>
        <v/>
      </c>
    </row>
    <row r="170" spans="1:22" ht="14.25" customHeight="1" x14ac:dyDescent="0.45">
      <c r="A170" s="1"/>
      <c r="B170" s="34" t="s">
        <v>160</v>
      </c>
      <c r="C170" s="25"/>
      <c r="D170" s="11"/>
      <c r="E170" s="19">
        <v>3</v>
      </c>
      <c r="F170" s="95" t="s">
        <v>68</v>
      </c>
      <c r="G170" s="92"/>
      <c r="H170" s="93"/>
      <c r="I170" s="26" t="s">
        <v>35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3"/>
      <c r="V170" s="61" t="str">
        <f t="shared" si="18"/>
        <v/>
      </c>
    </row>
    <row r="171" spans="1:22" ht="14.25" customHeight="1" x14ac:dyDescent="0.45">
      <c r="A171" s="1"/>
      <c r="B171" s="34" t="s">
        <v>161</v>
      </c>
      <c r="C171" s="25"/>
      <c r="D171" s="11"/>
      <c r="E171" s="19">
        <v>4</v>
      </c>
      <c r="F171" s="95" t="s">
        <v>70</v>
      </c>
      <c r="G171" s="92"/>
      <c r="H171" s="93"/>
      <c r="I171" s="26" t="s">
        <v>35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3"/>
      <c r="V171" s="61" t="str">
        <f t="shared" si="18"/>
        <v/>
      </c>
    </row>
    <row r="172" spans="1:22" ht="14.25" customHeight="1" x14ac:dyDescent="0.45">
      <c r="A172" s="1"/>
      <c r="B172" s="34" t="s">
        <v>162</v>
      </c>
      <c r="C172" s="25"/>
      <c r="D172" s="11"/>
      <c r="E172" s="13">
        <v>5</v>
      </c>
      <c r="F172" s="95" t="s">
        <v>72</v>
      </c>
      <c r="G172" s="92"/>
      <c r="H172" s="93"/>
      <c r="I172" s="26" t="s">
        <v>35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3"/>
      <c r="V172" s="61" t="str">
        <f t="shared" si="18"/>
        <v/>
      </c>
    </row>
    <row r="173" spans="1:22" ht="14.25" customHeight="1" x14ac:dyDescent="0.45">
      <c r="A173" s="1"/>
      <c r="B173" s="34" t="s">
        <v>163</v>
      </c>
      <c r="C173" s="25"/>
      <c r="D173" s="11"/>
      <c r="E173" s="19">
        <v>6</v>
      </c>
      <c r="F173" s="94" t="s">
        <v>74</v>
      </c>
      <c r="G173" s="92"/>
      <c r="H173" s="93"/>
      <c r="I173" s="26" t="s">
        <v>75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3"/>
      <c r="V173" s="61" t="str">
        <f t="shared" si="18"/>
        <v/>
      </c>
    </row>
    <row r="174" spans="1:22" ht="14.25" customHeight="1" x14ac:dyDescent="0.45">
      <c r="A174" s="1"/>
      <c r="B174" s="1"/>
      <c r="C174" s="64"/>
      <c r="D174" s="49"/>
      <c r="E174" s="49"/>
      <c r="F174" s="50"/>
      <c r="G174" s="65"/>
      <c r="H174" s="65"/>
      <c r="I174" s="66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2"/>
    </row>
    <row r="175" spans="1:22" ht="14.25" customHeight="1" x14ac:dyDescent="0.55000000000000004">
      <c r="A175" s="4">
        <v>3</v>
      </c>
      <c r="B175" s="1"/>
      <c r="C175" s="53" t="s">
        <v>164</v>
      </c>
      <c r="D175" s="54"/>
      <c r="E175" s="55"/>
      <c r="F175" s="55"/>
      <c r="G175" s="55"/>
      <c r="H175" s="55"/>
      <c r="I175" s="55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5"/>
    </row>
    <row r="176" spans="1:22" ht="14.25" customHeight="1" x14ac:dyDescent="0.45">
      <c r="A176" s="1"/>
      <c r="B176" s="1"/>
      <c r="C176" s="57"/>
      <c r="D176" s="57"/>
      <c r="E176" s="57"/>
      <c r="F176" s="57"/>
      <c r="G176" s="57"/>
      <c r="H176" s="57"/>
      <c r="I176" s="5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57"/>
    </row>
    <row r="177" spans="1:22" ht="14.25" customHeight="1" x14ac:dyDescent="0.45">
      <c r="A177" s="1"/>
      <c r="B177" s="1"/>
      <c r="C177" s="77" t="s">
        <v>4</v>
      </c>
      <c r="D177" s="87" t="s">
        <v>5</v>
      </c>
      <c r="E177" s="82"/>
      <c r="F177" s="82"/>
      <c r="G177" s="82"/>
      <c r="H177" s="83"/>
      <c r="I177" s="80" t="s">
        <v>6</v>
      </c>
      <c r="J177" s="81" t="e">
        <f>$H$2</f>
        <v>#REF!</v>
      </c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3"/>
    </row>
    <row r="178" spans="1:22" ht="14.25" customHeight="1" x14ac:dyDescent="0.45">
      <c r="A178" s="1"/>
      <c r="B178" s="1"/>
      <c r="C178" s="78"/>
      <c r="D178" s="84"/>
      <c r="E178" s="85"/>
      <c r="F178" s="85"/>
      <c r="G178" s="85"/>
      <c r="H178" s="86"/>
      <c r="I178" s="78"/>
      <c r="J178" s="88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90"/>
    </row>
    <row r="179" spans="1:22" ht="14.25" customHeight="1" x14ac:dyDescent="0.45">
      <c r="A179" s="1"/>
      <c r="B179" s="1"/>
      <c r="C179" s="79"/>
      <c r="D179" s="88"/>
      <c r="E179" s="89"/>
      <c r="F179" s="89"/>
      <c r="G179" s="89"/>
      <c r="H179" s="90"/>
      <c r="I179" s="79"/>
      <c r="J179" s="40" t="s">
        <v>7</v>
      </c>
      <c r="K179" s="40" t="s">
        <v>8</v>
      </c>
      <c r="L179" s="40" t="s">
        <v>9</v>
      </c>
      <c r="M179" s="40" t="s">
        <v>10</v>
      </c>
      <c r="N179" s="40" t="s">
        <v>11</v>
      </c>
      <c r="O179" s="40" t="s">
        <v>12</v>
      </c>
      <c r="P179" s="40" t="s">
        <v>13</v>
      </c>
      <c r="Q179" s="40" t="s">
        <v>14</v>
      </c>
      <c r="R179" s="40" t="s">
        <v>15</v>
      </c>
      <c r="S179" s="40" t="s">
        <v>16</v>
      </c>
      <c r="T179" s="40" t="s">
        <v>17</v>
      </c>
      <c r="U179" s="40" t="s">
        <v>18</v>
      </c>
      <c r="V179" s="40" t="s">
        <v>19</v>
      </c>
    </row>
    <row r="180" spans="1:22" ht="14.25" customHeight="1" x14ac:dyDescent="0.45">
      <c r="A180" s="1"/>
      <c r="B180" s="1"/>
      <c r="C180" s="6">
        <v>1</v>
      </c>
      <c r="D180" s="91">
        <v>2</v>
      </c>
      <c r="E180" s="92"/>
      <c r="F180" s="92"/>
      <c r="G180" s="92"/>
      <c r="H180" s="93"/>
      <c r="I180" s="7">
        <v>3</v>
      </c>
      <c r="J180" s="97">
        <v>4</v>
      </c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3"/>
      <c r="V180" s="7">
        <v>5</v>
      </c>
    </row>
    <row r="181" spans="1:22" ht="14.25" customHeight="1" x14ac:dyDescent="0.45">
      <c r="A181" s="1"/>
      <c r="B181" s="1"/>
      <c r="C181" s="11"/>
      <c r="D181" s="96"/>
      <c r="E181" s="92"/>
      <c r="F181" s="92"/>
      <c r="G181" s="92"/>
      <c r="H181" s="93"/>
      <c r="I181" s="26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</row>
    <row r="182" spans="1:22" ht="14.25" customHeight="1" x14ac:dyDescent="0.45">
      <c r="A182" s="1"/>
      <c r="B182" s="1"/>
      <c r="C182" s="11">
        <v>1</v>
      </c>
      <c r="D182" s="94" t="s">
        <v>165</v>
      </c>
      <c r="E182" s="92"/>
      <c r="F182" s="92"/>
      <c r="G182" s="92"/>
      <c r="H182" s="93"/>
      <c r="I182" s="26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</row>
    <row r="183" spans="1:22" ht="14.25" customHeight="1" x14ac:dyDescent="0.45">
      <c r="A183" s="1"/>
      <c r="B183" s="1"/>
      <c r="C183" s="11"/>
      <c r="D183" s="11">
        <v>1</v>
      </c>
      <c r="E183" s="94" t="s">
        <v>166</v>
      </c>
      <c r="F183" s="92"/>
      <c r="G183" s="92"/>
      <c r="H183" s="93"/>
      <c r="I183" s="26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</row>
    <row r="184" spans="1:22" ht="14.25" customHeight="1" x14ac:dyDescent="0.45">
      <c r="A184" s="1"/>
      <c r="B184" s="1"/>
      <c r="C184" s="11"/>
      <c r="D184" s="19"/>
      <c r="E184" s="26">
        <v>1</v>
      </c>
      <c r="F184" s="94" t="s">
        <v>167</v>
      </c>
      <c r="G184" s="92"/>
      <c r="H184" s="93"/>
      <c r="I184" s="36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45"/>
    </row>
    <row r="185" spans="1:22" ht="14.25" customHeight="1" x14ac:dyDescent="0.45">
      <c r="A185" s="1"/>
      <c r="B185" s="1" t="s">
        <v>168</v>
      </c>
      <c r="C185" s="11"/>
      <c r="D185" s="11"/>
      <c r="E185" s="68"/>
      <c r="F185" s="69">
        <v>1</v>
      </c>
      <c r="G185" s="94" t="s">
        <v>169</v>
      </c>
      <c r="H185" s="93"/>
      <c r="I185" s="26" t="s">
        <v>170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61" t="str">
        <f t="shared" ref="V185:V187" si="19">IFERROR(AVERAGE(J185:U185),"")</f>
        <v/>
      </c>
    </row>
    <row r="186" spans="1:22" ht="14.25" customHeight="1" x14ac:dyDescent="0.45">
      <c r="A186" s="1"/>
      <c r="B186" s="1" t="s">
        <v>171</v>
      </c>
      <c r="C186" s="11"/>
      <c r="D186" s="11"/>
      <c r="E186" s="13"/>
      <c r="F186" s="26">
        <v>2</v>
      </c>
      <c r="G186" s="94" t="s">
        <v>172</v>
      </c>
      <c r="H186" s="93"/>
      <c r="I186" s="26" t="s">
        <v>170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61" t="str">
        <f t="shared" si="19"/>
        <v/>
      </c>
    </row>
    <row r="187" spans="1:22" ht="14.25" customHeight="1" x14ac:dyDescent="0.45">
      <c r="A187" s="1"/>
      <c r="B187" s="1" t="s">
        <v>173</v>
      </c>
      <c r="C187" s="11"/>
      <c r="D187" s="11"/>
      <c r="E187" s="13"/>
      <c r="F187" s="26">
        <v>3</v>
      </c>
      <c r="G187" s="94" t="s">
        <v>174</v>
      </c>
      <c r="H187" s="93"/>
      <c r="I187" s="26" t="s">
        <v>170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61" t="str">
        <f t="shared" si="19"/>
        <v/>
      </c>
    </row>
    <row r="188" spans="1:22" ht="14.25" customHeight="1" x14ac:dyDescent="0.45">
      <c r="A188" s="1"/>
      <c r="B188" s="1"/>
      <c r="C188" s="11"/>
      <c r="D188" s="11"/>
      <c r="E188" s="13">
        <v>2</v>
      </c>
      <c r="F188" s="94" t="s">
        <v>175</v>
      </c>
      <c r="G188" s="92"/>
      <c r="H188" s="93"/>
      <c r="I188" s="26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45"/>
    </row>
    <row r="189" spans="1:22" ht="14.25" customHeight="1" x14ac:dyDescent="0.45">
      <c r="A189" s="1"/>
      <c r="B189" s="1" t="s">
        <v>176</v>
      </c>
      <c r="C189" s="11"/>
      <c r="D189" s="11"/>
      <c r="E189" s="13"/>
      <c r="F189" s="26">
        <v>1</v>
      </c>
      <c r="G189" s="94" t="s">
        <v>177</v>
      </c>
      <c r="H189" s="93"/>
      <c r="I189" s="26" t="s">
        <v>170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61" t="str">
        <f t="shared" ref="V189:V191" si="20">IFERROR(AVERAGE(J189:U189),"")</f>
        <v/>
      </c>
    </row>
    <row r="190" spans="1:22" ht="14.25" customHeight="1" x14ac:dyDescent="0.45">
      <c r="A190" s="1"/>
      <c r="B190" s="1" t="s">
        <v>178</v>
      </c>
      <c r="C190" s="11"/>
      <c r="D190" s="11"/>
      <c r="E190" s="13"/>
      <c r="F190" s="26">
        <v>2</v>
      </c>
      <c r="G190" s="94" t="s">
        <v>179</v>
      </c>
      <c r="H190" s="93"/>
      <c r="I190" s="26" t="s">
        <v>170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61" t="str">
        <f t="shared" si="20"/>
        <v/>
      </c>
    </row>
    <row r="191" spans="1:22" ht="14.25" customHeight="1" x14ac:dyDescent="0.45">
      <c r="A191" s="1"/>
      <c r="B191" s="1" t="s">
        <v>180</v>
      </c>
      <c r="C191" s="11"/>
      <c r="D191" s="11"/>
      <c r="E191" s="13"/>
      <c r="F191" s="26">
        <v>3</v>
      </c>
      <c r="G191" s="94" t="s">
        <v>181</v>
      </c>
      <c r="H191" s="93"/>
      <c r="I191" s="26" t="s">
        <v>170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61" t="str">
        <f t="shared" si="20"/>
        <v/>
      </c>
    </row>
    <row r="192" spans="1:22" ht="14.25" customHeight="1" x14ac:dyDescent="0.45">
      <c r="A192" s="1"/>
      <c r="B192" s="1"/>
      <c r="C192" s="11"/>
      <c r="D192" s="96"/>
      <c r="E192" s="92"/>
      <c r="F192" s="92"/>
      <c r="G192" s="92"/>
      <c r="H192" s="93"/>
      <c r="I192" s="26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45"/>
    </row>
    <row r="193" spans="1:22" ht="14.25" customHeight="1" x14ac:dyDescent="0.45">
      <c r="A193" s="1"/>
      <c r="B193" s="1"/>
      <c r="C193" s="11"/>
      <c r="D193" s="11">
        <v>2</v>
      </c>
      <c r="E193" s="94" t="s">
        <v>182</v>
      </c>
      <c r="F193" s="92"/>
      <c r="G193" s="92"/>
      <c r="H193" s="93"/>
      <c r="I193" s="26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45"/>
    </row>
    <row r="194" spans="1:22" ht="14.25" customHeight="1" x14ac:dyDescent="0.45">
      <c r="A194" s="1"/>
      <c r="B194" s="1"/>
      <c r="C194" s="11"/>
      <c r="D194" s="11"/>
      <c r="E194" s="68">
        <v>1</v>
      </c>
      <c r="F194" s="94" t="s">
        <v>167</v>
      </c>
      <c r="G194" s="92"/>
      <c r="H194" s="93"/>
      <c r="I194" s="26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45"/>
    </row>
    <row r="195" spans="1:22" ht="14.25" customHeight="1" x14ac:dyDescent="0.45">
      <c r="A195" s="1"/>
      <c r="B195" s="1" t="s">
        <v>183</v>
      </c>
      <c r="C195" s="11"/>
      <c r="D195" s="11"/>
      <c r="E195" s="13"/>
      <c r="F195" s="26">
        <v>1</v>
      </c>
      <c r="G195" s="94" t="s">
        <v>169</v>
      </c>
      <c r="H195" s="93"/>
      <c r="I195" s="26" t="s">
        <v>170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61" t="str">
        <f t="shared" ref="V195:V197" si="21">IFERROR(AVERAGE(J195:U195),"")</f>
        <v/>
      </c>
    </row>
    <row r="196" spans="1:22" ht="14.25" customHeight="1" x14ac:dyDescent="0.45">
      <c r="A196" s="1"/>
      <c r="B196" s="1" t="s">
        <v>184</v>
      </c>
      <c r="C196" s="11"/>
      <c r="D196" s="11"/>
      <c r="E196" s="13"/>
      <c r="F196" s="26">
        <v>2</v>
      </c>
      <c r="G196" s="94" t="s">
        <v>172</v>
      </c>
      <c r="H196" s="93"/>
      <c r="I196" s="26" t="s">
        <v>170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61" t="str">
        <f t="shared" si="21"/>
        <v/>
      </c>
    </row>
    <row r="197" spans="1:22" ht="14.25" customHeight="1" x14ac:dyDescent="0.45">
      <c r="A197" s="1"/>
      <c r="B197" s="1" t="s">
        <v>185</v>
      </c>
      <c r="C197" s="11"/>
      <c r="D197" s="11"/>
      <c r="E197" s="13"/>
      <c r="F197" s="26">
        <v>3</v>
      </c>
      <c r="G197" s="94" t="s">
        <v>174</v>
      </c>
      <c r="H197" s="93"/>
      <c r="I197" s="26" t="s">
        <v>170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61" t="str">
        <f t="shared" si="21"/>
        <v/>
      </c>
    </row>
    <row r="198" spans="1:22" ht="14.25" customHeight="1" x14ac:dyDescent="0.45">
      <c r="A198" s="1"/>
      <c r="B198" s="1"/>
      <c r="C198" s="11"/>
      <c r="D198" s="11"/>
      <c r="E198" s="13">
        <v>2</v>
      </c>
      <c r="F198" s="94" t="s">
        <v>175</v>
      </c>
      <c r="G198" s="92"/>
      <c r="H198" s="93"/>
      <c r="I198" s="26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45"/>
    </row>
    <row r="199" spans="1:22" ht="14.25" customHeight="1" x14ac:dyDescent="0.45">
      <c r="A199" s="1"/>
      <c r="B199" s="1" t="s">
        <v>186</v>
      </c>
      <c r="C199" s="11"/>
      <c r="D199" s="11"/>
      <c r="E199" s="13"/>
      <c r="F199" s="26">
        <v>1</v>
      </c>
      <c r="G199" s="94" t="s">
        <v>177</v>
      </c>
      <c r="H199" s="93"/>
      <c r="I199" s="26" t="s">
        <v>170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61" t="str">
        <f t="shared" ref="V199:V201" si="22">IFERROR(AVERAGE(J199:U199),"")</f>
        <v/>
      </c>
    </row>
    <row r="200" spans="1:22" ht="14.25" customHeight="1" x14ac:dyDescent="0.45">
      <c r="A200" s="1"/>
      <c r="B200" s="1" t="s">
        <v>187</v>
      </c>
      <c r="C200" s="11"/>
      <c r="D200" s="11"/>
      <c r="E200" s="13"/>
      <c r="F200" s="26">
        <v>2</v>
      </c>
      <c r="G200" s="94" t="s">
        <v>179</v>
      </c>
      <c r="H200" s="93"/>
      <c r="I200" s="26" t="s">
        <v>170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61" t="str">
        <f t="shared" si="22"/>
        <v/>
      </c>
    </row>
    <row r="201" spans="1:22" ht="14.25" customHeight="1" x14ac:dyDescent="0.45">
      <c r="A201" s="1"/>
      <c r="B201" s="1" t="s">
        <v>188</v>
      </c>
      <c r="C201" s="11"/>
      <c r="D201" s="11"/>
      <c r="E201" s="13"/>
      <c r="F201" s="26">
        <v>3</v>
      </c>
      <c r="G201" s="94" t="s">
        <v>181</v>
      </c>
      <c r="H201" s="93"/>
      <c r="I201" s="26" t="s">
        <v>170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61" t="str">
        <f t="shared" si="22"/>
        <v/>
      </c>
    </row>
    <row r="202" spans="1:22" ht="14.25" customHeight="1" x14ac:dyDescent="0.45">
      <c r="A202" s="1"/>
      <c r="B202" s="1"/>
      <c r="C202" s="11"/>
      <c r="D202" s="96"/>
      <c r="E202" s="92"/>
      <c r="F202" s="92"/>
      <c r="G202" s="92"/>
      <c r="H202" s="93"/>
      <c r="I202" s="26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45"/>
    </row>
    <row r="203" spans="1:22" ht="14.25" customHeight="1" x14ac:dyDescent="0.45">
      <c r="A203" s="1"/>
      <c r="B203" s="34"/>
      <c r="C203" s="11"/>
      <c r="D203" s="11">
        <v>3</v>
      </c>
      <c r="E203" s="94" t="s">
        <v>189</v>
      </c>
      <c r="F203" s="92"/>
      <c r="G203" s="92"/>
      <c r="H203" s="93"/>
      <c r="I203" s="26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45"/>
    </row>
    <row r="204" spans="1:22" ht="14.25" customHeight="1" x14ac:dyDescent="0.45">
      <c r="A204" s="1"/>
      <c r="B204" s="34"/>
      <c r="C204" s="11"/>
      <c r="D204" s="11"/>
      <c r="E204" s="13">
        <v>1</v>
      </c>
      <c r="F204" s="94" t="s">
        <v>167</v>
      </c>
      <c r="G204" s="92"/>
      <c r="H204" s="93"/>
      <c r="I204" s="26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45"/>
    </row>
    <row r="205" spans="1:22" ht="14.25" customHeight="1" x14ac:dyDescent="0.45">
      <c r="A205" s="1"/>
      <c r="B205" s="34" t="s">
        <v>190</v>
      </c>
      <c r="C205" s="11"/>
      <c r="D205" s="11"/>
      <c r="E205" s="13"/>
      <c r="F205" s="26">
        <v>1</v>
      </c>
      <c r="G205" s="94" t="s">
        <v>169</v>
      </c>
      <c r="H205" s="93"/>
      <c r="I205" s="26" t="s">
        <v>170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61" t="str">
        <f t="shared" ref="V205:V207" si="23">IFERROR(AVERAGE(J205:U205),"")</f>
        <v/>
      </c>
    </row>
    <row r="206" spans="1:22" ht="14.25" customHeight="1" x14ac:dyDescent="0.45">
      <c r="A206" s="1"/>
      <c r="B206" s="34" t="s">
        <v>191</v>
      </c>
      <c r="C206" s="11"/>
      <c r="D206" s="11"/>
      <c r="E206" s="13"/>
      <c r="F206" s="26">
        <v>2</v>
      </c>
      <c r="G206" s="94" t="s">
        <v>172</v>
      </c>
      <c r="H206" s="93"/>
      <c r="I206" s="26" t="s">
        <v>170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61" t="str">
        <f t="shared" si="23"/>
        <v/>
      </c>
    </row>
    <row r="207" spans="1:22" ht="14.25" customHeight="1" x14ac:dyDescent="0.45">
      <c r="A207" s="1"/>
      <c r="B207" s="34" t="s">
        <v>192</v>
      </c>
      <c r="C207" s="11"/>
      <c r="D207" s="11"/>
      <c r="E207" s="13"/>
      <c r="F207" s="26">
        <v>3</v>
      </c>
      <c r="G207" s="94" t="s">
        <v>174</v>
      </c>
      <c r="H207" s="93"/>
      <c r="I207" s="26" t="s">
        <v>170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61" t="str">
        <f t="shared" si="23"/>
        <v/>
      </c>
    </row>
    <row r="208" spans="1:22" ht="14.25" customHeight="1" x14ac:dyDescent="0.45">
      <c r="A208" s="1"/>
      <c r="B208" s="34"/>
      <c r="C208" s="11"/>
      <c r="D208" s="11"/>
      <c r="E208" s="13">
        <v>2</v>
      </c>
      <c r="F208" s="94" t="s">
        <v>175</v>
      </c>
      <c r="G208" s="92"/>
      <c r="H208" s="93"/>
      <c r="I208" s="26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45"/>
    </row>
    <row r="209" spans="1:22" ht="14.25" customHeight="1" x14ac:dyDescent="0.45">
      <c r="A209" s="1"/>
      <c r="B209" s="34" t="s">
        <v>193</v>
      </c>
      <c r="C209" s="11"/>
      <c r="D209" s="11"/>
      <c r="E209" s="13"/>
      <c r="F209" s="26">
        <v>1</v>
      </c>
      <c r="G209" s="94" t="s">
        <v>177</v>
      </c>
      <c r="H209" s="93"/>
      <c r="I209" s="26" t="s">
        <v>170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61" t="str">
        <f t="shared" ref="V209:V211" si="24">IFERROR(AVERAGE(J209:U209),"")</f>
        <v/>
      </c>
    </row>
    <row r="210" spans="1:22" ht="14.25" customHeight="1" x14ac:dyDescent="0.45">
      <c r="A210" s="1"/>
      <c r="B210" s="34" t="s">
        <v>194</v>
      </c>
      <c r="C210" s="11"/>
      <c r="D210" s="11"/>
      <c r="E210" s="13"/>
      <c r="F210" s="26">
        <v>2</v>
      </c>
      <c r="G210" s="94" t="s">
        <v>179</v>
      </c>
      <c r="H210" s="93"/>
      <c r="I210" s="26" t="s">
        <v>170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61" t="str">
        <f t="shared" si="24"/>
        <v/>
      </c>
    </row>
    <row r="211" spans="1:22" ht="14.25" customHeight="1" x14ac:dyDescent="0.45">
      <c r="A211" s="1"/>
      <c r="B211" s="34" t="s">
        <v>195</v>
      </c>
      <c r="C211" s="11"/>
      <c r="D211" s="11"/>
      <c r="E211" s="13"/>
      <c r="F211" s="26">
        <v>3</v>
      </c>
      <c r="G211" s="94" t="s">
        <v>181</v>
      </c>
      <c r="H211" s="93"/>
      <c r="I211" s="26" t="s">
        <v>170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61" t="str">
        <f t="shared" si="24"/>
        <v/>
      </c>
    </row>
    <row r="212" spans="1:22" ht="14.25" customHeight="1" x14ac:dyDescent="0.45">
      <c r="A212" s="1"/>
      <c r="B212" s="1"/>
      <c r="C212" s="11"/>
      <c r="D212" s="96"/>
      <c r="E212" s="92"/>
      <c r="F212" s="92"/>
      <c r="G212" s="92"/>
      <c r="H212" s="93"/>
      <c r="I212" s="36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45"/>
    </row>
    <row r="213" spans="1:22" ht="14.25" customHeight="1" x14ac:dyDescent="0.45">
      <c r="A213" s="1"/>
      <c r="B213" s="1"/>
      <c r="C213" s="11">
        <v>2</v>
      </c>
      <c r="D213" s="94" t="s">
        <v>196</v>
      </c>
      <c r="E213" s="92"/>
      <c r="F213" s="92"/>
      <c r="G213" s="92"/>
      <c r="H213" s="93"/>
      <c r="I213" s="26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5"/>
    </row>
    <row r="214" spans="1:22" ht="14.25" customHeight="1" x14ac:dyDescent="0.45">
      <c r="A214" s="1"/>
      <c r="B214" s="1"/>
      <c r="C214" s="11"/>
      <c r="D214" s="11">
        <v>1</v>
      </c>
      <c r="E214" s="94" t="s">
        <v>197</v>
      </c>
      <c r="F214" s="92"/>
      <c r="G214" s="92"/>
      <c r="H214" s="93"/>
      <c r="I214" s="26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5"/>
    </row>
    <row r="215" spans="1:22" ht="14.25" customHeight="1" x14ac:dyDescent="0.45">
      <c r="A215" s="1"/>
      <c r="B215" s="1"/>
      <c r="C215" s="11"/>
      <c r="D215" s="11"/>
      <c r="E215" s="13">
        <v>1</v>
      </c>
      <c r="F215" s="94" t="s">
        <v>23</v>
      </c>
      <c r="G215" s="92"/>
      <c r="H215" s="93"/>
      <c r="I215" s="26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5"/>
    </row>
    <row r="216" spans="1:22" ht="14.25" customHeight="1" x14ac:dyDescent="0.45">
      <c r="A216" s="1"/>
      <c r="B216" s="1" t="s">
        <v>198</v>
      </c>
      <c r="C216" s="11"/>
      <c r="D216" s="11"/>
      <c r="E216" s="13"/>
      <c r="F216" s="26">
        <v>1</v>
      </c>
      <c r="G216" s="94" t="s">
        <v>199</v>
      </c>
      <c r="H216" s="93"/>
      <c r="I216" s="26" t="s">
        <v>200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61" t="str">
        <f t="shared" ref="V216:V221" si="25">IFERROR(AVERAGE(J216:U216),"")</f>
        <v/>
      </c>
    </row>
    <row r="217" spans="1:22" ht="14.25" customHeight="1" x14ac:dyDescent="0.45">
      <c r="A217" s="1"/>
      <c r="B217" s="1" t="s">
        <v>201</v>
      </c>
      <c r="C217" s="11"/>
      <c r="D217" s="11"/>
      <c r="E217" s="13"/>
      <c r="F217" s="26"/>
      <c r="G217" s="26">
        <v>1</v>
      </c>
      <c r="H217" s="31" t="s">
        <v>24</v>
      </c>
      <c r="I217" s="26" t="s">
        <v>200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61" t="str">
        <f t="shared" si="25"/>
        <v/>
      </c>
    </row>
    <row r="218" spans="1:22" ht="14.25" customHeight="1" x14ac:dyDescent="0.45">
      <c r="A218" s="1"/>
      <c r="B218" s="1" t="s">
        <v>202</v>
      </c>
      <c r="C218" s="11"/>
      <c r="D218" s="11"/>
      <c r="E218" s="13"/>
      <c r="F218" s="13"/>
      <c r="G218" s="26">
        <v>2</v>
      </c>
      <c r="H218" s="31" t="s">
        <v>25</v>
      </c>
      <c r="I218" s="26" t="s">
        <v>200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61" t="str">
        <f t="shared" si="25"/>
        <v/>
      </c>
    </row>
    <row r="219" spans="1:22" ht="14.25" customHeight="1" x14ac:dyDescent="0.45">
      <c r="A219" s="1"/>
      <c r="B219" s="1" t="s">
        <v>203</v>
      </c>
      <c r="C219" s="11"/>
      <c r="D219" s="11"/>
      <c r="E219" s="13"/>
      <c r="F219" s="13">
        <v>2</v>
      </c>
      <c r="G219" s="94" t="s">
        <v>204</v>
      </c>
      <c r="H219" s="93"/>
      <c r="I219" s="26" t="s">
        <v>205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61" t="str">
        <f t="shared" si="25"/>
        <v/>
      </c>
    </row>
    <row r="220" spans="1:22" ht="14.25" customHeight="1" x14ac:dyDescent="0.45">
      <c r="A220" s="1"/>
      <c r="B220" s="1" t="s">
        <v>206</v>
      </c>
      <c r="C220" s="11"/>
      <c r="D220" s="11"/>
      <c r="E220" s="13"/>
      <c r="F220" s="26"/>
      <c r="G220" s="26">
        <v>1</v>
      </c>
      <c r="H220" s="31" t="s">
        <v>207</v>
      </c>
      <c r="I220" s="26" t="s">
        <v>205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61" t="str">
        <f t="shared" si="25"/>
        <v/>
      </c>
    </row>
    <row r="221" spans="1:22" ht="14.25" customHeight="1" x14ac:dyDescent="0.45">
      <c r="A221" s="1"/>
      <c r="B221" s="1" t="s">
        <v>208</v>
      </c>
      <c r="C221" s="11"/>
      <c r="D221" s="11"/>
      <c r="E221" s="13"/>
      <c r="F221" s="13"/>
      <c r="G221" s="26">
        <v>2</v>
      </c>
      <c r="H221" s="31" t="s">
        <v>209</v>
      </c>
      <c r="I221" s="26" t="s">
        <v>205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61" t="str">
        <f t="shared" si="25"/>
        <v/>
      </c>
    </row>
    <row r="222" spans="1:22" ht="14.25" customHeight="1" x14ac:dyDescent="0.45">
      <c r="A222" s="1"/>
      <c r="B222" s="1"/>
      <c r="C222" s="11"/>
      <c r="D222" s="11"/>
      <c r="E222" s="13">
        <v>2</v>
      </c>
      <c r="F222" s="94" t="s">
        <v>26</v>
      </c>
      <c r="G222" s="92"/>
      <c r="H222" s="93"/>
      <c r="I222" s="26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5"/>
    </row>
    <row r="223" spans="1:22" ht="14.25" customHeight="1" x14ac:dyDescent="0.45">
      <c r="A223" s="1"/>
      <c r="B223" s="1" t="s">
        <v>210</v>
      </c>
      <c r="C223" s="11"/>
      <c r="D223" s="11"/>
      <c r="E223" s="13"/>
      <c r="F223" s="26">
        <v>1</v>
      </c>
      <c r="G223" s="94" t="s">
        <v>199</v>
      </c>
      <c r="H223" s="93"/>
      <c r="I223" s="26" t="s">
        <v>200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61" t="str">
        <f t="shared" ref="V223:V228" si="26">IFERROR(AVERAGE(J223:U223),"")</f>
        <v/>
      </c>
    </row>
    <row r="224" spans="1:22" ht="14.25" customHeight="1" x14ac:dyDescent="0.45">
      <c r="A224" s="1"/>
      <c r="B224" s="1" t="s">
        <v>211</v>
      </c>
      <c r="C224" s="11"/>
      <c r="D224" s="11"/>
      <c r="E224" s="13"/>
      <c r="F224" s="26"/>
      <c r="G224" s="26">
        <v>1</v>
      </c>
      <c r="H224" s="31" t="s">
        <v>24</v>
      </c>
      <c r="I224" s="26" t="s">
        <v>200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61" t="str">
        <f t="shared" si="26"/>
        <v/>
      </c>
    </row>
    <row r="225" spans="1:22" ht="14.25" customHeight="1" x14ac:dyDescent="0.45">
      <c r="A225" s="1"/>
      <c r="B225" s="1" t="s">
        <v>212</v>
      </c>
      <c r="C225" s="11"/>
      <c r="D225" s="11"/>
      <c r="E225" s="13"/>
      <c r="F225" s="13"/>
      <c r="G225" s="26">
        <v>2</v>
      </c>
      <c r="H225" s="31" t="s">
        <v>25</v>
      </c>
      <c r="I225" s="26" t="s">
        <v>200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61" t="str">
        <f t="shared" si="26"/>
        <v/>
      </c>
    </row>
    <row r="226" spans="1:22" ht="14.25" customHeight="1" x14ac:dyDescent="0.45">
      <c r="A226" s="1"/>
      <c r="B226" s="1" t="s">
        <v>213</v>
      </c>
      <c r="C226" s="11"/>
      <c r="D226" s="11"/>
      <c r="E226" s="13"/>
      <c r="F226" s="13">
        <v>2</v>
      </c>
      <c r="G226" s="94" t="s">
        <v>204</v>
      </c>
      <c r="H226" s="93"/>
      <c r="I226" s="26" t="s">
        <v>205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61" t="str">
        <f t="shared" si="26"/>
        <v/>
      </c>
    </row>
    <row r="227" spans="1:22" ht="14.25" customHeight="1" x14ac:dyDescent="0.45">
      <c r="A227" s="1"/>
      <c r="B227" s="1" t="s">
        <v>214</v>
      </c>
      <c r="C227" s="11"/>
      <c r="D227" s="11"/>
      <c r="E227" s="13"/>
      <c r="F227" s="26"/>
      <c r="G227" s="26">
        <v>1</v>
      </c>
      <c r="H227" s="31" t="s">
        <v>215</v>
      </c>
      <c r="I227" s="26" t="s">
        <v>205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61" t="str">
        <f t="shared" si="26"/>
        <v/>
      </c>
    </row>
    <row r="228" spans="1:22" ht="14.25" customHeight="1" x14ac:dyDescent="0.45">
      <c r="A228" s="1"/>
      <c r="B228" s="1" t="s">
        <v>216</v>
      </c>
      <c r="C228" s="11"/>
      <c r="D228" s="11"/>
      <c r="E228" s="13"/>
      <c r="F228" s="13"/>
      <c r="G228" s="26">
        <v>2</v>
      </c>
      <c r="H228" s="31" t="s">
        <v>217</v>
      </c>
      <c r="I228" s="26" t="s">
        <v>205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61" t="str">
        <f t="shared" si="26"/>
        <v/>
      </c>
    </row>
    <row r="229" spans="1:22" ht="14.25" customHeight="1" x14ac:dyDescent="0.45">
      <c r="A229" s="1"/>
      <c r="B229" s="1"/>
      <c r="C229" s="11"/>
      <c r="D229" s="11"/>
      <c r="E229" s="13"/>
      <c r="F229" s="35"/>
      <c r="G229" s="35"/>
      <c r="H229" s="70"/>
      <c r="I229" s="26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5"/>
    </row>
    <row r="230" spans="1:22" ht="14.25" customHeight="1" x14ac:dyDescent="0.45">
      <c r="A230" s="1"/>
      <c r="B230" s="1" t="s">
        <v>218</v>
      </c>
      <c r="C230" s="11"/>
      <c r="D230" s="11"/>
      <c r="E230" s="94" t="s">
        <v>219</v>
      </c>
      <c r="F230" s="92"/>
      <c r="G230" s="92"/>
      <c r="H230" s="93"/>
      <c r="I230" s="26" t="s">
        <v>200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61" t="str">
        <f t="shared" ref="V230:V231" si="27">IFERROR(AVERAGE(J230:U230),"")</f>
        <v/>
      </c>
    </row>
    <row r="231" spans="1:22" ht="14.25" customHeight="1" x14ac:dyDescent="0.45">
      <c r="A231" s="1"/>
      <c r="B231" s="1" t="s">
        <v>220</v>
      </c>
      <c r="C231" s="11"/>
      <c r="D231" s="11"/>
      <c r="E231" s="94" t="s">
        <v>221</v>
      </c>
      <c r="F231" s="92"/>
      <c r="G231" s="92"/>
      <c r="H231" s="93"/>
      <c r="I231" s="26" t="s">
        <v>205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61" t="str">
        <f t="shared" si="27"/>
        <v/>
      </c>
    </row>
    <row r="232" spans="1:22" ht="14.25" customHeight="1" x14ac:dyDescent="0.45">
      <c r="A232" s="1"/>
      <c r="B232" s="1"/>
      <c r="C232" s="11"/>
      <c r="D232" s="11"/>
      <c r="E232" s="13"/>
      <c r="F232" s="35"/>
      <c r="G232" s="35"/>
      <c r="H232" s="70"/>
      <c r="I232" s="26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5"/>
    </row>
    <row r="233" spans="1:22" ht="14.25" customHeight="1" x14ac:dyDescent="0.45">
      <c r="A233" s="1"/>
      <c r="B233" s="1"/>
      <c r="C233" s="11"/>
      <c r="D233" s="11">
        <v>2</v>
      </c>
      <c r="E233" s="94" t="s">
        <v>222</v>
      </c>
      <c r="F233" s="92"/>
      <c r="G233" s="92"/>
      <c r="H233" s="93"/>
      <c r="I233" s="26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5"/>
    </row>
    <row r="234" spans="1:22" ht="14.25" customHeight="1" x14ac:dyDescent="0.45">
      <c r="A234" s="1"/>
      <c r="B234" s="1"/>
      <c r="C234" s="11"/>
      <c r="D234" s="11"/>
      <c r="E234" s="13">
        <v>1</v>
      </c>
      <c r="F234" s="94" t="s">
        <v>28</v>
      </c>
      <c r="G234" s="92"/>
      <c r="H234" s="93"/>
      <c r="I234" s="26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5"/>
    </row>
    <row r="235" spans="1:22" ht="14.25" customHeight="1" x14ac:dyDescent="0.45">
      <c r="A235" s="1"/>
      <c r="B235" s="1" t="s">
        <v>223</v>
      </c>
      <c r="C235" s="11"/>
      <c r="D235" s="11"/>
      <c r="E235" s="13"/>
      <c r="F235" s="26">
        <v>1</v>
      </c>
      <c r="G235" s="94" t="s">
        <v>199</v>
      </c>
      <c r="H235" s="93"/>
      <c r="I235" s="26" t="s">
        <v>200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61" t="str">
        <f t="shared" ref="V235:V240" si="28">IFERROR(AVERAGE(J235:U235),"")</f>
        <v/>
      </c>
    </row>
    <row r="236" spans="1:22" ht="14.25" customHeight="1" x14ac:dyDescent="0.45">
      <c r="A236" s="1"/>
      <c r="B236" s="1" t="s">
        <v>224</v>
      </c>
      <c r="C236" s="11"/>
      <c r="D236" s="11"/>
      <c r="E236" s="13"/>
      <c r="F236" s="26"/>
      <c r="G236" s="26">
        <v>1</v>
      </c>
      <c r="H236" s="31" t="s">
        <v>24</v>
      </c>
      <c r="I236" s="26" t="s">
        <v>200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61" t="str">
        <f t="shared" si="28"/>
        <v/>
      </c>
    </row>
    <row r="237" spans="1:22" ht="14.25" customHeight="1" x14ac:dyDescent="0.45">
      <c r="A237" s="1"/>
      <c r="B237" s="1" t="s">
        <v>225</v>
      </c>
      <c r="C237" s="11"/>
      <c r="D237" s="11"/>
      <c r="E237" s="13"/>
      <c r="F237" s="13"/>
      <c r="G237" s="26">
        <v>2</v>
      </c>
      <c r="H237" s="31" t="s">
        <v>25</v>
      </c>
      <c r="I237" s="26" t="s">
        <v>200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61" t="str">
        <f t="shared" si="28"/>
        <v/>
      </c>
    </row>
    <row r="238" spans="1:22" ht="14.25" customHeight="1" x14ac:dyDescent="0.45">
      <c r="A238" s="1"/>
      <c r="B238" s="1" t="s">
        <v>226</v>
      </c>
      <c r="C238" s="11"/>
      <c r="D238" s="11"/>
      <c r="E238" s="13"/>
      <c r="F238" s="13">
        <v>2</v>
      </c>
      <c r="G238" s="94" t="s">
        <v>204</v>
      </c>
      <c r="H238" s="93"/>
      <c r="I238" s="26" t="s">
        <v>205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61" t="str">
        <f t="shared" si="28"/>
        <v/>
      </c>
    </row>
    <row r="239" spans="1:22" ht="14.25" customHeight="1" x14ac:dyDescent="0.45">
      <c r="A239" s="1"/>
      <c r="B239" s="1" t="s">
        <v>227</v>
      </c>
      <c r="C239" s="11"/>
      <c r="D239" s="11"/>
      <c r="E239" s="13"/>
      <c r="F239" s="26"/>
      <c r="G239" s="26">
        <v>1</v>
      </c>
      <c r="H239" s="31" t="s">
        <v>207</v>
      </c>
      <c r="I239" s="26" t="s">
        <v>205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61" t="str">
        <f t="shared" si="28"/>
        <v/>
      </c>
    </row>
    <row r="240" spans="1:22" ht="14.25" customHeight="1" x14ac:dyDescent="0.45">
      <c r="A240" s="1"/>
      <c r="B240" s="1" t="s">
        <v>228</v>
      </c>
      <c r="C240" s="25"/>
      <c r="D240" s="11"/>
      <c r="E240" s="13"/>
      <c r="F240" s="13"/>
      <c r="G240" s="26">
        <v>2</v>
      </c>
      <c r="H240" s="31" t="s">
        <v>209</v>
      </c>
      <c r="I240" s="26" t="s">
        <v>205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61" t="str">
        <f t="shared" si="28"/>
        <v/>
      </c>
    </row>
    <row r="241" spans="1:22" ht="14.25" customHeight="1" x14ac:dyDescent="0.45">
      <c r="A241" s="1"/>
      <c r="B241" s="1"/>
      <c r="C241" s="11"/>
      <c r="D241" s="11"/>
      <c r="E241" s="13">
        <v>2</v>
      </c>
      <c r="F241" s="94" t="s">
        <v>29</v>
      </c>
      <c r="G241" s="92"/>
      <c r="H241" s="93"/>
      <c r="I241" s="26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5"/>
    </row>
    <row r="242" spans="1:22" ht="14.25" customHeight="1" x14ac:dyDescent="0.45">
      <c r="A242" s="1"/>
      <c r="B242" s="1" t="s">
        <v>229</v>
      </c>
      <c r="C242" s="11"/>
      <c r="D242" s="11"/>
      <c r="E242" s="13"/>
      <c r="F242" s="26">
        <v>1</v>
      </c>
      <c r="G242" s="94" t="s">
        <v>199</v>
      </c>
      <c r="H242" s="93"/>
      <c r="I242" s="26" t="s">
        <v>200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61" t="str">
        <f t="shared" ref="V242:V247" si="29">IFERROR(AVERAGE(J242:U242),"")</f>
        <v/>
      </c>
    </row>
    <row r="243" spans="1:22" ht="14.25" customHeight="1" x14ac:dyDescent="0.45">
      <c r="A243" s="1"/>
      <c r="B243" s="1" t="s">
        <v>230</v>
      </c>
      <c r="C243" s="11"/>
      <c r="D243" s="11"/>
      <c r="E243" s="13"/>
      <c r="F243" s="26"/>
      <c r="G243" s="26">
        <v>1</v>
      </c>
      <c r="H243" s="31" t="s">
        <v>24</v>
      </c>
      <c r="I243" s="26" t="s">
        <v>200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61" t="str">
        <f t="shared" si="29"/>
        <v/>
      </c>
    </row>
    <row r="244" spans="1:22" ht="14.25" customHeight="1" x14ac:dyDescent="0.45">
      <c r="A244" s="1"/>
      <c r="B244" s="1" t="s">
        <v>231</v>
      </c>
      <c r="C244" s="11"/>
      <c r="D244" s="11"/>
      <c r="E244" s="13"/>
      <c r="F244" s="13"/>
      <c r="G244" s="26">
        <v>2</v>
      </c>
      <c r="H244" s="31" t="s">
        <v>25</v>
      </c>
      <c r="I244" s="26" t="s">
        <v>200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61" t="str">
        <f t="shared" si="29"/>
        <v/>
      </c>
    </row>
    <row r="245" spans="1:22" ht="14.25" customHeight="1" x14ac:dyDescent="0.45">
      <c r="A245" s="1"/>
      <c r="B245" s="1" t="s">
        <v>232</v>
      </c>
      <c r="C245" s="11"/>
      <c r="D245" s="11"/>
      <c r="E245" s="13"/>
      <c r="F245" s="13">
        <v>2</v>
      </c>
      <c r="G245" s="94" t="s">
        <v>204</v>
      </c>
      <c r="H245" s="93"/>
      <c r="I245" s="26" t="s">
        <v>205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61" t="str">
        <f t="shared" si="29"/>
        <v/>
      </c>
    </row>
    <row r="246" spans="1:22" ht="14.25" customHeight="1" x14ac:dyDescent="0.45">
      <c r="A246" s="1"/>
      <c r="B246" s="1" t="s">
        <v>233</v>
      </c>
      <c r="C246" s="11"/>
      <c r="D246" s="11"/>
      <c r="E246" s="13"/>
      <c r="F246" s="26"/>
      <c r="G246" s="26">
        <v>1</v>
      </c>
      <c r="H246" s="31" t="s">
        <v>215</v>
      </c>
      <c r="I246" s="26" t="s">
        <v>205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61" t="str">
        <f t="shared" si="29"/>
        <v/>
      </c>
    </row>
    <row r="247" spans="1:22" ht="14.25" customHeight="1" x14ac:dyDescent="0.45">
      <c r="A247" s="1"/>
      <c r="B247" s="1" t="s">
        <v>234</v>
      </c>
      <c r="C247" s="11"/>
      <c r="D247" s="11"/>
      <c r="E247" s="13"/>
      <c r="F247" s="13"/>
      <c r="G247" s="26">
        <v>2</v>
      </c>
      <c r="H247" s="31" t="s">
        <v>217</v>
      </c>
      <c r="I247" s="26" t="s">
        <v>205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61" t="str">
        <f t="shared" si="29"/>
        <v/>
      </c>
    </row>
    <row r="248" spans="1:22" ht="14.25" customHeight="1" x14ac:dyDescent="0.45">
      <c r="A248" s="1"/>
      <c r="B248" s="1"/>
      <c r="C248" s="11"/>
      <c r="D248" s="11"/>
      <c r="E248" s="13"/>
      <c r="F248" s="35"/>
      <c r="G248" s="35"/>
      <c r="H248" s="70"/>
      <c r="I248" s="26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5"/>
    </row>
    <row r="249" spans="1:22" ht="14.25" customHeight="1" x14ac:dyDescent="0.45">
      <c r="A249" s="1"/>
      <c r="B249" s="1" t="s">
        <v>235</v>
      </c>
      <c r="C249" s="11"/>
      <c r="D249" s="11"/>
      <c r="E249" s="94" t="s">
        <v>236</v>
      </c>
      <c r="F249" s="92"/>
      <c r="G249" s="92"/>
      <c r="H249" s="93"/>
      <c r="I249" s="26" t="s">
        <v>200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61" t="str">
        <f t="shared" ref="V249:V250" si="30">IFERROR(AVERAGE(J249:U249),"")</f>
        <v/>
      </c>
    </row>
    <row r="250" spans="1:22" ht="14.25" customHeight="1" x14ac:dyDescent="0.45">
      <c r="A250" s="1"/>
      <c r="B250" s="1" t="s">
        <v>237</v>
      </c>
      <c r="C250" s="11"/>
      <c r="D250" s="11"/>
      <c r="E250" s="94" t="s">
        <v>238</v>
      </c>
      <c r="F250" s="92"/>
      <c r="G250" s="92"/>
      <c r="H250" s="93"/>
      <c r="I250" s="26" t="s">
        <v>205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61" t="str">
        <f t="shared" si="30"/>
        <v/>
      </c>
    </row>
    <row r="251" spans="1:22" ht="14.25" customHeight="1" x14ac:dyDescent="0.45">
      <c r="A251" s="1"/>
      <c r="B251" s="1"/>
      <c r="C251" s="11"/>
      <c r="D251" s="11"/>
      <c r="E251" s="13"/>
      <c r="F251" s="35"/>
      <c r="G251" s="35"/>
      <c r="H251" s="70"/>
      <c r="I251" s="26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5"/>
    </row>
    <row r="252" spans="1:22" ht="14.25" customHeight="1" x14ac:dyDescent="0.45">
      <c r="A252" s="1"/>
      <c r="B252" s="1" t="s">
        <v>239</v>
      </c>
      <c r="C252" s="11"/>
      <c r="D252" s="94" t="s">
        <v>240</v>
      </c>
      <c r="E252" s="92"/>
      <c r="F252" s="92"/>
      <c r="G252" s="92"/>
      <c r="H252" s="93"/>
      <c r="I252" s="26" t="s">
        <v>200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61" t="str">
        <f t="shared" ref="V252:V253" si="31">IFERROR(AVERAGE(J252:U252),"")</f>
        <v/>
      </c>
    </row>
    <row r="253" spans="1:22" ht="14.25" customHeight="1" x14ac:dyDescent="0.45">
      <c r="A253" s="1"/>
      <c r="B253" s="1" t="s">
        <v>241</v>
      </c>
      <c r="C253" s="11"/>
      <c r="D253" s="94" t="s">
        <v>242</v>
      </c>
      <c r="E253" s="92"/>
      <c r="F253" s="92"/>
      <c r="G253" s="92"/>
      <c r="H253" s="93"/>
      <c r="I253" s="26" t="s">
        <v>205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61" t="str">
        <f t="shared" si="31"/>
        <v/>
      </c>
    </row>
    <row r="254" spans="1:22" ht="14.25" customHeight="1" x14ac:dyDescent="0.45">
      <c r="A254" s="1"/>
      <c r="B254" s="1"/>
      <c r="C254" s="49"/>
      <c r="D254" s="49"/>
      <c r="E254" s="66"/>
      <c r="F254" s="66"/>
      <c r="G254" s="101"/>
      <c r="H254" s="82"/>
      <c r="I254" s="66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57"/>
    </row>
    <row r="255" spans="1:22" ht="14.25" customHeight="1" x14ac:dyDescent="0.55000000000000004">
      <c r="A255" s="4">
        <v>4</v>
      </c>
      <c r="B255" s="1"/>
      <c r="C255" s="53" t="s">
        <v>243</v>
      </c>
      <c r="D255" s="54"/>
      <c r="E255" s="55"/>
      <c r="F255" s="55"/>
      <c r="G255" s="55"/>
      <c r="H255" s="55"/>
      <c r="I255" s="55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5"/>
    </row>
    <row r="256" spans="1:22" ht="14.25" customHeight="1" x14ac:dyDescent="0.45">
      <c r="A256" s="1"/>
      <c r="B256" s="1"/>
      <c r="C256" s="57"/>
      <c r="D256" s="57"/>
      <c r="E256" s="57"/>
      <c r="F256" s="57"/>
      <c r="G256" s="1"/>
      <c r="H256" s="1"/>
      <c r="I256" s="5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"/>
    </row>
    <row r="257" spans="1:22" ht="14.25" customHeight="1" x14ac:dyDescent="0.45">
      <c r="A257" s="1"/>
      <c r="B257" s="1"/>
      <c r="C257" s="77" t="s">
        <v>4</v>
      </c>
      <c r="D257" s="87" t="s">
        <v>5</v>
      </c>
      <c r="E257" s="82"/>
      <c r="F257" s="82"/>
      <c r="G257" s="82"/>
      <c r="H257" s="83"/>
      <c r="I257" s="80" t="s">
        <v>6</v>
      </c>
      <c r="J257" s="81" t="e">
        <f>$H$2</f>
        <v>#REF!</v>
      </c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3"/>
    </row>
    <row r="258" spans="1:22" ht="14.25" customHeight="1" x14ac:dyDescent="0.45">
      <c r="A258" s="1"/>
      <c r="B258" s="1"/>
      <c r="C258" s="78"/>
      <c r="D258" s="84"/>
      <c r="E258" s="85"/>
      <c r="F258" s="85"/>
      <c r="G258" s="85"/>
      <c r="H258" s="86"/>
      <c r="I258" s="78"/>
      <c r="J258" s="88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90"/>
    </row>
    <row r="259" spans="1:22" ht="14.25" customHeight="1" x14ac:dyDescent="0.45">
      <c r="A259" s="1"/>
      <c r="B259" s="1"/>
      <c r="C259" s="79"/>
      <c r="D259" s="88"/>
      <c r="E259" s="89"/>
      <c r="F259" s="89"/>
      <c r="G259" s="89"/>
      <c r="H259" s="90"/>
      <c r="I259" s="79"/>
      <c r="J259" s="40" t="s">
        <v>7</v>
      </c>
      <c r="K259" s="40" t="s">
        <v>8</v>
      </c>
      <c r="L259" s="40" t="s">
        <v>9</v>
      </c>
      <c r="M259" s="40" t="s">
        <v>10</v>
      </c>
      <c r="N259" s="40" t="s">
        <v>11</v>
      </c>
      <c r="O259" s="40" t="s">
        <v>12</v>
      </c>
      <c r="P259" s="40" t="s">
        <v>13</v>
      </c>
      <c r="Q259" s="40" t="s">
        <v>14</v>
      </c>
      <c r="R259" s="40" t="s">
        <v>15</v>
      </c>
      <c r="S259" s="40" t="s">
        <v>16</v>
      </c>
      <c r="T259" s="40" t="s">
        <v>17</v>
      </c>
      <c r="U259" s="40" t="s">
        <v>18</v>
      </c>
      <c r="V259" s="40" t="s">
        <v>19</v>
      </c>
    </row>
    <row r="260" spans="1:22" ht="14.25" customHeight="1" x14ac:dyDescent="0.45">
      <c r="A260" s="1"/>
      <c r="B260" s="1"/>
      <c r="C260" s="6">
        <v>1</v>
      </c>
      <c r="D260" s="91">
        <v>2</v>
      </c>
      <c r="E260" s="92"/>
      <c r="F260" s="92"/>
      <c r="G260" s="92"/>
      <c r="H260" s="93"/>
      <c r="I260" s="7">
        <v>3</v>
      </c>
      <c r="J260" s="97">
        <v>4</v>
      </c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3"/>
      <c r="V260" s="7">
        <v>5</v>
      </c>
    </row>
    <row r="261" spans="1:22" ht="14.25" customHeight="1" x14ac:dyDescent="0.45">
      <c r="A261" s="1"/>
      <c r="B261" s="1"/>
      <c r="C261" s="11"/>
      <c r="D261" s="13"/>
      <c r="E261" s="35"/>
      <c r="F261" s="35"/>
      <c r="G261" s="35"/>
      <c r="H261" s="36"/>
      <c r="I261" s="26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</row>
    <row r="262" spans="1:22" ht="14.25" customHeight="1" x14ac:dyDescent="0.45">
      <c r="A262" s="1"/>
      <c r="B262" s="1"/>
      <c r="C262" s="26">
        <v>1</v>
      </c>
      <c r="D262" s="94" t="s">
        <v>22</v>
      </c>
      <c r="E262" s="92"/>
      <c r="F262" s="92"/>
      <c r="G262" s="92"/>
      <c r="H262" s="93"/>
      <c r="I262" s="26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</row>
    <row r="263" spans="1:22" ht="14.25" customHeight="1" x14ac:dyDescent="0.45">
      <c r="A263" s="1"/>
      <c r="B263" s="1"/>
      <c r="C263" s="11"/>
      <c r="D263" s="11">
        <v>1</v>
      </c>
      <c r="E263" s="94" t="s">
        <v>76</v>
      </c>
      <c r="F263" s="92"/>
      <c r="G263" s="92"/>
      <c r="H263" s="93"/>
      <c r="I263" s="26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59"/>
    </row>
    <row r="264" spans="1:22" ht="14.25" customHeight="1" x14ac:dyDescent="0.45">
      <c r="A264" s="1"/>
      <c r="B264" s="1" t="s">
        <v>244</v>
      </c>
      <c r="C264" s="11"/>
      <c r="D264" s="11"/>
      <c r="E264" s="11">
        <v>1</v>
      </c>
      <c r="F264" s="94" t="s">
        <v>20</v>
      </c>
      <c r="G264" s="92"/>
      <c r="H264" s="93"/>
      <c r="I264" s="26" t="s">
        <v>245</v>
      </c>
      <c r="J264" s="15">
        <v>391.55</v>
      </c>
      <c r="K264" s="15">
        <v>184.26</v>
      </c>
      <c r="L264" s="15">
        <v>373.58</v>
      </c>
      <c r="M264" s="15">
        <v>122.69</v>
      </c>
      <c r="N264" s="24">
        <v>145.78</v>
      </c>
      <c r="O264" s="15"/>
      <c r="P264" s="15"/>
      <c r="Q264" s="15"/>
      <c r="R264" s="15"/>
      <c r="S264" s="15"/>
      <c r="T264" s="15"/>
      <c r="U264" s="15"/>
      <c r="V264" s="61">
        <f t="shared" ref="V264:V297" si="32">IFERROR(AVERAGE(J264:U264),"")</f>
        <v>243.57199999999997</v>
      </c>
    </row>
    <row r="265" spans="1:22" ht="14.25" customHeight="1" x14ac:dyDescent="0.45">
      <c r="A265" s="1"/>
      <c r="B265" s="1" t="s">
        <v>244</v>
      </c>
      <c r="C265" s="11"/>
      <c r="D265" s="11"/>
      <c r="E265" s="11"/>
      <c r="F265" s="12"/>
      <c r="G265" s="8"/>
      <c r="H265" s="9"/>
      <c r="I265" s="26" t="s">
        <v>246</v>
      </c>
      <c r="J265" s="15">
        <v>5872.92</v>
      </c>
      <c r="K265" s="15">
        <v>3612.68</v>
      </c>
      <c r="L265" s="15">
        <v>3516.82</v>
      </c>
      <c r="M265" s="15">
        <v>3429.28</v>
      </c>
      <c r="N265" s="24">
        <v>4033.64</v>
      </c>
      <c r="O265" s="15"/>
      <c r="P265" s="15"/>
      <c r="Q265" s="15"/>
      <c r="R265" s="15"/>
      <c r="S265" s="15"/>
      <c r="T265" s="15"/>
      <c r="U265" s="15"/>
      <c r="V265" s="61">
        <f t="shared" si="32"/>
        <v>4093.0680000000002</v>
      </c>
    </row>
    <row r="266" spans="1:22" ht="14.25" customHeight="1" x14ac:dyDescent="0.45">
      <c r="A266" s="1"/>
      <c r="B266" s="1" t="s">
        <v>247</v>
      </c>
      <c r="C266" s="11"/>
      <c r="D266" s="11"/>
      <c r="E266" s="11">
        <v>2</v>
      </c>
      <c r="F266" s="94" t="s">
        <v>30</v>
      </c>
      <c r="G266" s="92"/>
      <c r="H266" s="93"/>
      <c r="I266" s="26" t="s">
        <v>245</v>
      </c>
      <c r="J266" s="22"/>
      <c r="K266" s="22"/>
      <c r="L266" s="22"/>
      <c r="M266" s="22"/>
      <c r="N266" s="24"/>
      <c r="O266" s="22"/>
      <c r="P266" s="22"/>
      <c r="Q266" s="22"/>
      <c r="R266" s="22"/>
      <c r="S266" s="22"/>
      <c r="T266" s="15"/>
      <c r="U266" s="22"/>
      <c r="V266" s="61" t="str">
        <f t="shared" si="32"/>
        <v/>
      </c>
    </row>
    <row r="267" spans="1:22" ht="14.25" customHeight="1" x14ac:dyDescent="0.45">
      <c r="A267" s="1"/>
      <c r="B267" s="1" t="s">
        <v>247</v>
      </c>
      <c r="C267" s="11"/>
      <c r="D267" s="11"/>
      <c r="E267" s="11"/>
      <c r="F267" s="12"/>
      <c r="G267" s="8"/>
      <c r="H267" s="9"/>
      <c r="I267" s="26" t="s">
        <v>246</v>
      </c>
      <c r="J267" s="22"/>
      <c r="K267" s="22"/>
      <c r="L267" s="22"/>
      <c r="M267" s="22"/>
      <c r="N267" s="24"/>
      <c r="O267" s="22"/>
      <c r="P267" s="22"/>
      <c r="Q267" s="22"/>
      <c r="R267" s="22"/>
      <c r="S267" s="22"/>
      <c r="T267" s="15"/>
      <c r="U267" s="39"/>
      <c r="V267" s="61" t="str">
        <f t="shared" si="32"/>
        <v/>
      </c>
    </row>
    <row r="268" spans="1:22" ht="14.25" customHeight="1" x14ac:dyDescent="0.45">
      <c r="A268" s="1"/>
      <c r="B268" s="1" t="s">
        <v>248</v>
      </c>
      <c r="C268" s="11"/>
      <c r="D268" s="11"/>
      <c r="E268" s="11">
        <v>3</v>
      </c>
      <c r="F268" s="94" t="s">
        <v>31</v>
      </c>
      <c r="G268" s="92"/>
      <c r="H268" s="93"/>
      <c r="I268" s="26" t="s">
        <v>245</v>
      </c>
      <c r="J268" s="15">
        <v>178.04</v>
      </c>
      <c r="K268" s="22"/>
      <c r="L268" s="22"/>
      <c r="M268" s="15">
        <v>286.45999999999998</v>
      </c>
      <c r="N268" s="24">
        <v>435.31</v>
      </c>
      <c r="O268" s="22"/>
      <c r="P268" s="22"/>
      <c r="Q268" s="22"/>
      <c r="R268" s="22"/>
      <c r="S268" s="22"/>
      <c r="T268" s="22"/>
      <c r="U268" s="39"/>
      <c r="V268" s="61">
        <f t="shared" si="32"/>
        <v>299.93666666666667</v>
      </c>
    </row>
    <row r="269" spans="1:22" ht="14.25" customHeight="1" x14ac:dyDescent="0.45">
      <c r="A269" s="1"/>
      <c r="B269" s="1" t="s">
        <v>248</v>
      </c>
      <c r="C269" s="11"/>
      <c r="D269" s="11"/>
      <c r="E269" s="11"/>
      <c r="F269" s="12"/>
      <c r="G269" s="8"/>
      <c r="H269" s="9"/>
      <c r="I269" s="26" t="s">
        <v>246</v>
      </c>
      <c r="J269" s="15">
        <v>1608</v>
      </c>
      <c r="K269" s="22"/>
      <c r="L269" s="22"/>
      <c r="M269" s="15">
        <v>5580.72</v>
      </c>
      <c r="N269" s="24">
        <v>8875.68</v>
      </c>
      <c r="O269" s="22"/>
      <c r="P269" s="22"/>
      <c r="Q269" s="22"/>
      <c r="R269" s="22"/>
      <c r="S269" s="22"/>
      <c r="T269" s="22"/>
      <c r="U269" s="39"/>
      <c r="V269" s="61">
        <f t="shared" si="32"/>
        <v>5354.8</v>
      </c>
    </row>
    <row r="270" spans="1:22" ht="14.25" customHeight="1" x14ac:dyDescent="0.45">
      <c r="A270" s="1"/>
      <c r="B270" s="1" t="s">
        <v>249</v>
      </c>
      <c r="C270" s="11"/>
      <c r="D270" s="11"/>
      <c r="E270" s="11"/>
      <c r="F270" s="13">
        <v>1</v>
      </c>
      <c r="G270" s="94" t="s">
        <v>250</v>
      </c>
      <c r="H270" s="93"/>
      <c r="I270" s="26" t="s">
        <v>245</v>
      </c>
      <c r="J270" s="22"/>
      <c r="K270" s="22"/>
      <c r="L270" s="22"/>
      <c r="M270" s="22"/>
      <c r="N270" s="72"/>
      <c r="O270" s="37"/>
      <c r="P270" s="22"/>
      <c r="Q270" s="22"/>
      <c r="R270" s="22"/>
      <c r="S270" s="22"/>
      <c r="T270" s="22"/>
      <c r="U270" s="39"/>
      <c r="V270" s="61" t="str">
        <f t="shared" si="32"/>
        <v/>
      </c>
    </row>
    <row r="271" spans="1:22" ht="14.25" customHeight="1" x14ac:dyDescent="0.45">
      <c r="A271" s="1"/>
      <c r="B271" s="1" t="s">
        <v>249</v>
      </c>
      <c r="C271" s="11"/>
      <c r="D271" s="11"/>
      <c r="E271" s="11"/>
      <c r="F271" s="13"/>
      <c r="G271" s="12"/>
      <c r="H271" s="9"/>
      <c r="I271" s="26" t="s">
        <v>246</v>
      </c>
      <c r="J271" s="22"/>
      <c r="K271" s="22"/>
      <c r="L271" s="22"/>
      <c r="M271" s="22"/>
      <c r="N271" s="72"/>
      <c r="O271" s="37"/>
      <c r="P271" s="22"/>
      <c r="Q271" s="22"/>
      <c r="R271" s="22"/>
      <c r="S271" s="22"/>
      <c r="T271" s="22"/>
      <c r="U271" s="39"/>
      <c r="V271" s="61" t="str">
        <f t="shared" si="32"/>
        <v/>
      </c>
    </row>
    <row r="272" spans="1:22" ht="14.25" customHeight="1" x14ac:dyDescent="0.45">
      <c r="A272" s="1"/>
      <c r="B272" s="1" t="s">
        <v>251</v>
      </c>
      <c r="C272" s="11"/>
      <c r="D272" s="11"/>
      <c r="E272" s="11"/>
      <c r="F272" s="13">
        <v>2</v>
      </c>
      <c r="G272" s="94" t="s">
        <v>252</v>
      </c>
      <c r="H272" s="93"/>
      <c r="I272" s="26" t="s">
        <v>245</v>
      </c>
      <c r="J272" s="22"/>
      <c r="K272" s="22"/>
      <c r="L272" s="22"/>
      <c r="M272" s="22"/>
      <c r="N272" s="72"/>
      <c r="O272" s="37"/>
      <c r="P272" s="22"/>
      <c r="Q272" s="22"/>
      <c r="R272" s="22"/>
      <c r="S272" s="22"/>
      <c r="T272" s="22"/>
      <c r="U272" s="39"/>
      <c r="V272" s="61" t="str">
        <f t="shared" si="32"/>
        <v/>
      </c>
    </row>
    <row r="273" spans="1:22" ht="14.25" customHeight="1" x14ac:dyDescent="0.45">
      <c r="A273" s="1"/>
      <c r="B273" s="1" t="s">
        <v>251</v>
      </c>
      <c r="C273" s="11"/>
      <c r="D273" s="11"/>
      <c r="E273" s="11"/>
      <c r="F273" s="13"/>
      <c r="G273" s="30"/>
      <c r="H273" s="9"/>
      <c r="I273" s="26" t="s">
        <v>246</v>
      </c>
      <c r="J273" s="22"/>
      <c r="K273" s="22"/>
      <c r="L273" s="22"/>
      <c r="M273" s="22"/>
      <c r="N273" s="72"/>
      <c r="O273" s="37"/>
      <c r="P273" s="22"/>
      <c r="Q273" s="22"/>
      <c r="R273" s="22"/>
      <c r="S273" s="22"/>
      <c r="T273" s="22"/>
      <c r="U273" s="39"/>
      <c r="V273" s="61" t="str">
        <f t="shared" si="32"/>
        <v/>
      </c>
    </row>
    <row r="274" spans="1:22" ht="14.25" customHeight="1" x14ac:dyDescent="0.45">
      <c r="A274" s="1"/>
      <c r="B274" s="1" t="s">
        <v>253</v>
      </c>
      <c r="C274" s="11"/>
      <c r="D274" s="11"/>
      <c r="E274" s="11">
        <v>4</v>
      </c>
      <c r="F274" s="94" t="s">
        <v>21</v>
      </c>
      <c r="G274" s="92"/>
      <c r="H274" s="93"/>
      <c r="I274" s="26" t="s">
        <v>245</v>
      </c>
      <c r="J274" s="15">
        <v>350.87</v>
      </c>
      <c r="K274" s="22"/>
      <c r="L274" s="22"/>
      <c r="M274" s="22"/>
      <c r="N274" s="72"/>
      <c r="O274" s="37"/>
      <c r="P274" s="15"/>
      <c r="Q274" s="22"/>
      <c r="R274" s="22"/>
      <c r="S274" s="22"/>
      <c r="T274" s="22"/>
      <c r="U274" s="39"/>
      <c r="V274" s="61">
        <f t="shared" si="32"/>
        <v>350.87</v>
      </c>
    </row>
    <row r="275" spans="1:22" ht="14.25" customHeight="1" x14ac:dyDescent="0.45">
      <c r="A275" s="1"/>
      <c r="B275" s="1" t="s">
        <v>253</v>
      </c>
      <c r="C275" s="11"/>
      <c r="D275" s="11"/>
      <c r="E275" s="11"/>
      <c r="F275" s="12"/>
      <c r="G275" s="8"/>
      <c r="H275" s="9"/>
      <c r="I275" s="26" t="s">
        <v>246</v>
      </c>
      <c r="J275" s="15">
        <v>6957.36</v>
      </c>
      <c r="K275" s="22"/>
      <c r="L275" s="22"/>
      <c r="M275" s="22"/>
      <c r="N275" s="72"/>
      <c r="O275" s="37"/>
      <c r="P275" s="15"/>
      <c r="Q275" s="22"/>
      <c r="R275" s="22"/>
      <c r="S275" s="22"/>
      <c r="T275" s="22"/>
      <c r="U275" s="39"/>
      <c r="V275" s="61">
        <f t="shared" si="32"/>
        <v>6957.36</v>
      </c>
    </row>
    <row r="276" spans="1:22" ht="14.25" customHeight="1" x14ac:dyDescent="0.45">
      <c r="A276" s="1"/>
      <c r="B276" s="1" t="s">
        <v>254</v>
      </c>
      <c r="C276" s="11"/>
      <c r="D276" s="11"/>
      <c r="E276" s="11"/>
      <c r="F276" s="13">
        <v>1</v>
      </c>
      <c r="G276" s="94" t="s">
        <v>250</v>
      </c>
      <c r="H276" s="93"/>
      <c r="I276" s="26" t="s">
        <v>245</v>
      </c>
      <c r="J276" s="22"/>
      <c r="K276" s="22"/>
      <c r="L276" s="22"/>
      <c r="M276" s="22"/>
      <c r="N276" s="72"/>
      <c r="O276" s="37"/>
      <c r="P276" s="22"/>
      <c r="Q276" s="22"/>
      <c r="R276" s="22"/>
      <c r="S276" s="22"/>
      <c r="T276" s="22"/>
      <c r="U276" s="39"/>
      <c r="V276" s="61" t="str">
        <f t="shared" si="32"/>
        <v/>
      </c>
    </row>
    <row r="277" spans="1:22" ht="14.25" customHeight="1" x14ac:dyDescent="0.45">
      <c r="A277" s="1"/>
      <c r="B277" s="1" t="s">
        <v>254</v>
      </c>
      <c r="C277" s="11"/>
      <c r="D277" s="11"/>
      <c r="E277" s="11"/>
      <c r="F277" s="13"/>
      <c r="G277" s="12"/>
      <c r="H277" s="9"/>
      <c r="I277" s="26" t="s">
        <v>246</v>
      </c>
      <c r="J277" s="22"/>
      <c r="K277" s="22"/>
      <c r="L277" s="22"/>
      <c r="M277" s="22"/>
      <c r="N277" s="72"/>
      <c r="O277" s="37"/>
      <c r="P277" s="22"/>
      <c r="Q277" s="22"/>
      <c r="R277" s="22"/>
      <c r="S277" s="22"/>
      <c r="T277" s="22"/>
      <c r="U277" s="39"/>
      <c r="V277" s="61" t="str">
        <f t="shared" si="32"/>
        <v/>
      </c>
    </row>
    <row r="278" spans="1:22" ht="14.25" customHeight="1" x14ac:dyDescent="0.45">
      <c r="A278" s="1"/>
      <c r="B278" s="1" t="s">
        <v>255</v>
      </c>
      <c r="C278" s="11"/>
      <c r="D278" s="11"/>
      <c r="E278" s="11"/>
      <c r="F278" s="13">
        <v>2</v>
      </c>
      <c r="G278" s="94" t="s">
        <v>252</v>
      </c>
      <c r="H278" s="93"/>
      <c r="I278" s="26" t="s">
        <v>245</v>
      </c>
      <c r="J278" s="22"/>
      <c r="K278" s="22"/>
      <c r="L278" s="22"/>
      <c r="M278" s="22"/>
      <c r="N278" s="72"/>
      <c r="O278" s="37"/>
      <c r="P278" s="22"/>
      <c r="Q278" s="22"/>
      <c r="R278" s="22"/>
      <c r="S278" s="22"/>
      <c r="T278" s="22"/>
      <c r="U278" s="39"/>
      <c r="V278" s="61" t="str">
        <f t="shared" si="32"/>
        <v/>
      </c>
    </row>
    <row r="279" spans="1:22" ht="14.25" customHeight="1" x14ac:dyDescent="0.45">
      <c r="A279" s="1"/>
      <c r="B279" s="1" t="s">
        <v>255</v>
      </c>
      <c r="C279" s="11"/>
      <c r="D279" s="11"/>
      <c r="E279" s="11"/>
      <c r="F279" s="13"/>
      <c r="G279" s="12"/>
      <c r="H279" s="9"/>
      <c r="I279" s="26" t="s">
        <v>246</v>
      </c>
      <c r="J279" s="22"/>
      <c r="K279" s="22"/>
      <c r="L279" s="22"/>
      <c r="M279" s="22"/>
      <c r="N279" s="72"/>
      <c r="O279" s="37"/>
      <c r="P279" s="22"/>
      <c r="Q279" s="22"/>
      <c r="R279" s="22"/>
      <c r="S279" s="22"/>
      <c r="T279" s="22"/>
      <c r="U279" s="39"/>
      <c r="V279" s="61" t="str">
        <f t="shared" si="32"/>
        <v/>
      </c>
    </row>
    <row r="280" spans="1:22" ht="14.25" customHeight="1" x14ac:dyDescent="0.45">
      <c r="A280" s="1"/>
      <c r="B280" s="1" t="s">
        <v>256</v>
      </c>
      <c r="C280" s="11"/>
      <c r="D280" s="11"/>
      <c r="E280" s="11"/>
      <c r="F280" s="13">
        <v>3</v>
      </c>
      <c r="G280" s="94" t="s">
        <v>257</v>
      </c>
      <c r="H280" s="93"/>
      <c r="I280" s="26" t="s">
        <v>245</v>
      </c>
      <c r="J280" s="22"/>
      <c r="K280" s="22"/>
      <c r="L280" s="22"/>
      <c r="M280" s="22"/>
      <c r="N280" s="72"/>
      <c r="O280" s="37"/>
      <c r="P280" s="22"/>
      <c r="Q280" s="22"/>
      <c r="R280" s="22"/>
      <c r="S280" s="22"/>
      <c r="T280" s="22"/>
      <c r="U280" s="39"/>
      <c r="V280" s="61" t="str">
        <f t="shared" si="32"/>
        <v/>
      </c>
    </row>
    <row r="281" spans="1:22" ht="14.25" customHeight="1" x14ac:dyDescent="0.45">
      <c r="A281" s="1"/>
      <c r="B281" s="1" t="s">
        <v>256</v>
      </c>
      <c r="C281" s="11"/>
      <c r="D281" s="11"/>
      <c r="E281" s="19"/>
      <c r="F281" s="35"/>
      <c r="G281" s="30"/>
      <c r="H281" s="9"/>
      <c r="I281" s="26" t="s">
        <v>246</v>
      </c>
      <c r="J281" s="22"/>
      <c r="K281" s="22"/>
      <c r="L281" s="22"/>
      <c r="M281" s="22"/>
      <c r="N281" s="72"/>
      <c r="O281" s="37"/>
      <c r="P281" s="22"/>
      <c r="Q281" s="22"/>
      <c r="R281" s="22"/>
      <c r="S281" s="22"/>
      <c r="T281" s="22"/>
      <c r="U281" s="39"/>
      <c r="V281" s="61" t="str">
        <f t="shared" si="32"/>
        <v/>
      </c>
    </row>
    <row r="282" spans="1:22" ht="14.25" customHeight="1" x14ac:dyDescent="0.45">
      <c r="A282" s="1"/>
      <c r="B282" s="1" t="s">
        <v>258</v>
      </c>
      <c r="C282" s="11"/>
      <c r="D282" s="11">
        <v>2</v>
      </c>
      <c r="E282" s="94" t="s">
        <v>83</v>
      </c>
      <c r="F282" s="92"/>
      <c r="G282" s="92"/>
      <c r="H282" s="93"/>
      <c r="I282" s="26" t="s">
        <v>245</v>
      </c>
      <c r="J282" s="15">
        <v>175.27</v>
      </c>
      <c r="K282" s="15">
        <v>167.77</v>
      </c>
      <c r="L282" s="15">
        <v>329.95</v>
      </c>
      <c r="M282" s="15">
        <v>284.92</v>
      </c>
      <c r="N282" s="24">
        <v>227.23</v>
      </c>
      <c r="O282" s="15"/>
      <c r="P282" s="15"/>
      <c r="Q282" s="15"/>
      <c r="R282" s="15"/>
      <c r="S282" s="15"/>
      <c r="T282" s="15"/>
      <c r="U282" s="15"/>
      <c r="V282" s="61">
        <f t="shared" si="32"/>
        <v>237.02800000000002</v>
      </c>
    </row>
    <row r="283" spans="1:22" ht="14.25" customHeight="1" x14ac:dyDescent="0.45">
      <c r="A283" s="1"/>
      <c r="B283" s="1" t="s">
        <v>258</v>
      </c>
      <c r="C283" s="11"/>
      <c r="D283" s="11"/>
      <c r="E283" s="12"/>
      <c r="F283" s="8"/>
      <c r="G283" s="8"/>
      <c r="H283" s="9"/>
      <c r="I283" s="26" t="s">
        <v>246</v>
      </c>
      <c r="J283" s="15">
        <v>2991.5</v>
      </c>
      <c r="K283" s="15">
        <v>2349.9</v>
      </c>
      <c r="L283" s="15">
        <v>3737.28</v>
      </c>
      <c r="M283" s="15">
        <v>3157.23</v>
      </c>
      <c r="N283" s="24">
        <v>2511.89</v>
      </c>
      <c r="O283" s="15"/>
      <c r="P283" s="15"/>
      <c r="Q283" s="15"/>
      <c r="R283" s="15"/>
      <c r="S283" s="15"/>
      <c r="T283" s="15"/>
      <c r="U283" s="15"/>
      <c r="V283" s="61">
        <f t="shared" si="32"/>
        <v>2949.56</v>
      </c>
    </row>
    <row r="284" spans="1:22" ht="14.25" customHeight="1" x14ac:dyDescent="0.45">
      <c r="A284" s="1"/>
      <c r="B284" s="1" t="s">
        <v>259</v>
      </c>
      <c r="C284" s="11"/>
      <c r="D284" s="11"/>
      <c r="E284" s="12"/>
      <c r="F284" s="13">
        <v>1</v>
      </c>
      <c r="G284" s="94" t="s">
        <v>250</v>
      </c>
      <c r="H284" s="93"/>
      <c r="I284" s="26" t="s">
        <v>245</v>
      </c>
      <c r="J284" s="22"/>
      <c r="K284" s="22"/>
      <c r="L284" s="22"/>
      <c r="M284" s="22"/>
      <c r="N284" s="24"/>
      <c r="O284" s="22"/>
      <c r="P284" s="22"/>
      <c r="Q284" s="22"/>
      <c r="R284" s="22"/>
      <c r="S284" s="22"/>
      <c r="T284" s="22"/>
      <c r="U284" s="22"/>
      <c r="V284" s="61" t="str">
        <f t="shared" si="32"/>
        <v/>
      </c>
    </row>
    <row r="285" spans="1:22" ht="14.25" customHeight="1" x14ac:dyDescent="0.45">
      <c r="A285" s="1"/>
      <c r="B285" s="1" t="s">
        <v>259</v>
      </c>
      <c r="C285" s="11"/>
      <c r="D285" s="11"/>
      <c r="E285" s="12"/>
      <c r="F285" s="13"/>
      <c r="G285" s="12"/>
      <c r="H285" s="9"/>
      <c r="I285" s="26" t="s">
        <v>246</v>
      </c>
      <c r="J285" s="22"/>
      <c r="K285" s="22"/>
      <c r="L285" s="22"/>
      <c r="M285" s="22"/>
      <c r="N285" s="24"/>
      <c r="O285" s="22"/>
      <c r="P285" s="22"/>
      <c r="Q285" s="22"/>
      <c r="R285" s="22"/>
      <c r="S285" s="22"/>
      <c r="T285" s="22"/>
      <c r="U285" s="22"/>
      <c r="V285" s="61" t="str">
        <f t="shared" si="32"/>
        <v/>
      </c>
    </row>
    <row r="286" spans="1:22" ht="14.25" customHeight="1" x14ac:dyDescent="0.45">
      <c r="A286" s="1"/>
      <c r="B286" s="1" t="s">
        <v>260</v>
      </c>
      <c r="C286" s="11"/>
      <c r="D286" s="11"/>
      <c r="E286" s="12"/>
      <c r="F286" s="13">
        <v>2</v>
      </c>
      <c r="G286" s="94" t="s">
        <v>252</v>
      </c>
      <c r="H286" s="93"/>
      <c r="I286" s="26" t="s">
        <v>245</v>
      </c>
      <c r="J286" s="22"/>
      <c r="K286" s="22"/>
      <c r="L286" s="22"/>
      <c r="M286" s="22"/>
      <c r="N286" s="24"/>
      <c r="O286" s="22"/>
      <c r="P286" s="22"/>
      <c r="Q286" s="22"/>
      <c r="R286" s="22"/>
      <c r="S286" s="22"/>
      <c r="T286" s="22"/>
      <c r="U286" s="22"/>
      <c r="V286" s="61" t="str">
        <f t="shared" si="32"/>
        <v/>
      </c>
    </row>
    <row r="287" spans="1:22" ht="14.25" customHeight="1" x14ac:dyDescent="0.45">
      <c r="A287" s="1"/>
      <c r="B287" s="1" t="s">
        <v>260</v>
      </c>
      <c r="C287" s="11"/>
      <c r="D287" s="11"/>
      <c r="E287" s="12"/>
      <c r="F287" s="35"/>
      <c r="G287" s="30"/>
      <c r="H287" s="9"/>
      <c r="I287" s="26" t="s">
        <v>246</v>
      </c>
      <c r="J287" s="22"/>
      <c r="K287" s="22"/>
      <c r="L287" s="22"/>
      <c r="M287" s="22"/>
      <c r="N287" s="24"/>
      <c r="O287" s="22"/>
      <c r="P287" s="22"/>
      <c r="Q287" s="22"/>
      <c r="R287" s="22"/>
      <c r="S287" s="22"/>
      <c r="T287" s="22"/>
      <c r="U287" s="22"/>
      <c r="V287" s="61" t="str">
        <f t="shared" si="32"/>
        <v/>
      </c>
    </row>
    <row r="288" spans="1:22" ht="14.25" customHeight="1" x14ac:dyDescent="0.45">
      <c r="A288" s="1"/>
      <c r="B288" s="1" t="s">
        <v>261</v>
      </c>
      <c r="C288" s="11"/>
      <c r="D288" s="11">
        <v>3</v>
      </c>
      <c r="E288" s="94" t="s">
        <v>90</v>
      </c>
      <c r="F288" s="92"/>
      <c r="G288" s="92"/>
      <c r="H288" s="93"/>
      <c r="I288" s="26" t="s">
        <v>245</v>
      </c>
      <c r="J288" s="15">
        <v>328.72</v>
      </c>
      <c r="K288" s="15">
        <v>196.21</v>
      </c>
      <c r="L288" s="15">
        <v>301.14</v>
      </c>
      <c r="M288" s="15">
        <v>136.78</v>
      </c>
      <c r="N288" s="24">
        <v>245.61</v>
      </c>
      <c r="O288" s="15"/>
      <c r="P288" s="15"/>
      <c r="Q288" s="15"/>
      <c r="R288" s="15"/>
      <c r="S288" s="15"/>
      <c r="T288" s="15"/>
      <c r="U288" s="15"/>
      <c r="V288" s="61">
        <f t="shared" si="32"/>
        <v>241.69200000000001</v>
      </c>
    </row>
    <row r="289" spans="1:22" ht="14.25" x14ac:dyDescent="0.45">
      <c r="A289" s="1"/>
      <c r="B289" s="1" t="s">
        <v>261</v>
      </c>
      <c r="C289" s="11"/>
      <c r="D289" s="38"/>
      <c r="E289" s="30"/>
      <c r="F289" s="8"/>
      <c r="G289" s="8"/>
      <c r="H289" s="9"/>
      <c r="I289" s="26" t="s">
        <v>246</v>
      </c>
      <c r="J289" s="15">
        <v>7054.2</v>
      </c>
      <c r="K289" s="15">
        <v>6640.15</v>
      </c>
      <c r="L289" s="15">
        <v>8254.48</v>
      </c>
      <c r="M289" s="15">
        <v>6884.88</v>
      </c>
      <c r="N289" s="24">
        <v>8921.82</v>
      </c>
      <c r="O289" s="15"/>
      <c r="P289" s="15"/>
      <c r="Q289" s="15"/>
      <c r="R289" s="15"/>
      <c r="S289" s="15"/>
      <c r="T289" s="15"/>
      <c r="U289" s="15"/>
      <c r="V289" s="61">
        <f t="shared" si="32"/>
        <v>7551.1059999999998</v>
      </c>
    </row>
    <row r="290" spans="1:22" ht="14.25" customHeight="1" x14ac:dyDescent="0.45">
      <c r="A290" s="1"/>
      <c r="B290" s="1" t="s">
        <v>262</v>
      </c>
      <c r="C290" s="11"/>
      <c r="D290" s="38"/>
      <c r="E290" s="30"/>
      <c r="F290" s="13">
        <v>1</v>
      </c>
      <c r="G290" s="94" t="s">
        <v>250</v>
      </c>
      <c r="H290" s="93"/>
      <c r="I290" s="26" t="s">
        <v>245</v>
      </c>
      <c r="J290" s="22"/>
      <c r="K290" s="22"/>
      <c r="L290" s="22"/>
      <c r="M290" s="15"/>
      <c r="N290" s="24"/>
      <c r="O290" s="28"/>
      <c r="P290" s="22"/>
      <c r="Q290" s="22"/>
      <c r="R290" s="22"/>
      <c r="S290" s="22"/>
      <c r="T290" s="20"/>
      <c r="U290" s="20"/>
      <c r="V290" s="61" t="str">
        <f t="shared" si="32"/>
        <v/>
      </c>
    </row>
    <row r="291" spans="1:22" ht="14.25" customHeight="1" x14ac:dyDescent="0.45">
      <c r="A291" s="1"/>
      <c r="B291" s="1" t="s">
        <v>262</v>
      </c>
      <c r="C291" s="11"/>
      <c r="D291" s="38"/>
      <c r="E291" s="30"/>
      <c r="F291" s="13"/>
      <c r="G291" s="12"/>
      <c r="H291" s="9"/>
      <c r="I291" s="26" t="s">
        <v>246</v>
      </c>
      <c r="J291" s="22"/>
      <c r="K291" s="22"/>
      <c r="L291" s="22"/>
      <c r="M291" s="15"/>
      <c r="N291" s="24"/>
      <c r="O291" s="28"/>
      <c r="P291" s="22"/>
      <c r="Q291" s="22"/>
      <c r="R291" s="22"/>
      <c r="S291" s="22"/>
      <c r="T291" s="20"/>
      <c r="U291" s="20"/>
      <c r="V291" s="61" t="str">
        <f t="shared" si="32"/>
        <v/>
      </c>
    </row>
    <row r="292" spans="1:22" ht="14.25" customHeight="1" x14ac:dyDescent="0.45">
      <c r="A292" s="1"/>
      <c r="B292" s="1" t="s">
        <v>263</v>
      </c>
      <c r="C292" s="11"/>
      <c r="D292" s="38"/>
      <c r="E292" s="30"/>
      <c r="F292" s="13">
        <v>2</v>
      </c>
      <c r="G292" s="94" t="s">
        <v>252</v>
      </c>
      <c r="H292" s="93"/>
      <c r="I292" s="26" t="s">
        <v>245</v>
      </c>
      <c r="J292" s="22"/>
      <c r="K292" s="22"/>
      <c r="L292" s="22"/>
      <c r="M292" s="22"/>
      <c r="N292" s="72"/>
      <c r="O292" s="28"/>
      <c r="P292" s="22"/>
      <c r="Q292" s="22"/>
      <c r="R292" s="22"/>
      <c r="S292" s="22"/>
      <c r="T292" s="22"/>
      <c r="U292" s="39"/>
      <c r="V292" s="61" t="str">
        <f t="shared" si="32"/>
        <v/>
      </c>
    </row>
    <row r="293" spans="1:22" ht="14.25" customHeight="1" x14ac:dyDescent="0.45">
      <c r="A293" s="1"/>
      <c r="B293" s="1" t="s">
        <v>263</v>
      </c>
      <c r="C293" s="11"/>
      <c r="D293" s="38"/>
      <c r="E293" s="30"/>
      <c r="F293" s="13"/>
      <c r="G293" s="12"/>
      <c r="H293" s="9"/>
      <c r="I293" s="26" t="s">
        <v>246</v>
      </c>
      <c r="J293" s="22"/>
      <c r="K293" s="22"/>
      <c r="L293" s="22"/>
      <c r="M293" s="22"/>
      <c r="N293" s="72"/>
      <c r="O293" s="28"/>
      <c r="P293" s="22"/>
      <c r="Q293" s="22"/>
      <c r="R293" s="22"/>
      <c r="S293" s="22"/>
      <c r="T293" s="22"/>
      <c r="U293" s="39"/>
      <c r="V293" s="61" t="str">
        <f t="shared" si="32"/>
        <v/>
      </c>
    </row>
    <row r="294" spans="1:22" ht="14.25" customHeight="1" x14ac:dyDescent="0.45">
      <c r="A294" s="1"/>
      <c r="B294" s="1" t="s">
        <v>264</v>
      </c>
      <c r="C294" s="11"/>
      <c r="D294" s="38"/>
      <c r="E294" s="30"/>
      <c r="F294" s="13">
        <v>3</v>
      </c>
      <c r="G294" s="94" t="s">
        <v>257</v>
      </c>
      <c r="H294" s="93"/>
      <c r="I294" s="26" t="s">
        <v>245</v>
      </c>
      <c r="J294" s="22"/>
      <c r="K294" s="22"/>
      <c r="L294" s="22"/>
      <c r="M294" s="22"/>
      <c r="N294" s="72"/>
      <c r="O294" s="28"/>
      <c r="P294" s="22"/>
      <c r="Q294" s="22"/>
      <c r="R294" s="22"/>
      <c r="S294" s="22"/>
      <c r="T294" s="22"/>
      <c r="U294" s="39"/>
      <c r="V294" s="61" t="str">
        <f t="shared" si="32"/>
        <v/>
      </c>
    </row>
    <row r="295" spans="1:22" ht="14.25" customHeight="1" x14ac:dyDescent="0.45">
      <c r="A295" s="1"/>
      <c r="B295" s="1" t="s">
        <v>264</v>
      </c>
      <c r="C295" s="11"/>
      <c r="D295" s="38"/>
      <c r="E295" s="30"/>
      <c r="F295" s="35"/>
      <c r="G295" s="30"/>
      <c r="H295" s="9"/>
      <c r="I295" s="26" t="s">
        <v>246</v>
      </c>
      <c r="J295" s="22"/>
      <c r="K295" s="22"/>
      <c r="L295" s="22"/>
      <c r="M295" s="22"/>
      <c r="N295" s="72"/>
      <c r="O295" s="28"/>
      <c r="P295" s="22"/>
      <c r="Q295" s="22"/>
      <c r="R295" s="22"/>
      <c r="S295" s="22"/>
      <c r="T295" s="22"/>
      <c r="U295" s="39"/>
      <c r="V295" s="61" t="str">
        <f t="shared" si="32"/>
        <v/>
      </c>
    </row>
    <row r="296" spans="1:22" ht="14.25" customHeight="1" x14ac:dyDescent="0.45">
      <c r="A296" s="1"/>
      <c r="B296" s="1" t="s">
        <v>265</v>
      </c>
      <c r="C296" s="11"/>
      <c r="D296" s="38">
        <v>4</v>
      </c>
      <c r="E296" s="94" t="s">
        <v>266</v>
      </c>
      <c r="F296" s="92"/>
      <c r="G296" s="92"/>
      <c r="H296" s="93"/>
      <c r="I296" s="26" t="s">
        <v>267</v>
      </c>
      <c r="J296" s="22"/>
      <c r="K296" s="22"/>
      <c r="L296" s="22"/>
      <c r="M296" s="22"/>
      <c r="N296" s="72"/>
      <c r="O296" s="28"/>
      <c r="P296" s="22"/>
      <c r="Q296" s="22"/>
      <c r="R296" s="22"/>
      <c r="S296" s="22"/>
      <c r="T296" s="22"/>
      <c r="U296" s="39"/>
      <c r="V296" s="61" t="str">
        <f t="shared" si="32"/>
        <v/>
      </c>
    </row>
    <row r="297" spans="1:22" ht="14.25" customHeight="1" x14ac:dyDescent="0.45">
      <c r="A297" s="1"/>
      <c r="B297" s="1" t="s">
        <v>265</v>
      </c>
      <c r="C297" s="11"/>
      <c r="D297" s="38"/>
      <c r="E297" s="30"/>
      <c r="F297" s="8"/>
      <c r="G297" s="8"/>
      <c r="H297" s="9"/>
      <c r="I297" s="26" t="s">
        <v>268</v>
      </c>
      <c r="J297" s="22"/>
      <c r="K297" s="22"/>
      <c r="L297" s="22"/>
      <c r="M297" s="22"/>
      <c r="N297" s="72"/>
      <c r="O297" s="28"/>
      <c r="P297" s="22"/>
      <c r="Q297" s="22"/>
      <c r="R297" s="22"/>
      <c r="S297" s="22"/>
      <c r="T297" s="22"/>
      <c r="U297" s="39"/>
      <c r="V297" s="61" t="str">
        <f t="shared" si="32"/>
        <v/>
      </c>
    </row>
    <row r="298" spans="1:22" ht="14.25" customHeight="1" x14ac:dyDescent="0.45">
      <c r="A298" s="1"/>
      <c r="B298" s="1"/>
      <c r="C298" s="11"/>
      <c r="D298" s="38"/>
      <c r="E298" s="30"/>
      <c r="F298" s="35"/>
      <c r="G298" s="30"/>
      <c r="H298" s="31"/>
      <c r="I298" s="26"/>
      <c r="J298" s="60"/>
      <c r="K298" s="60"/>
      <c r="L298" s="60"/>
      <c r="M298" s="60"/>
      <c r="N298" s="60"/>
      <c r="O298" s="29"/>
      <c r="P298" s="60"/>
      <c r="Q298" s="10"/>
      <c r="R298" s="10"/>
      <c r="S298" s="10"/>
      <c r="T298" s="60"/>
      <c r="U298" s="29"/>
      <c r="V298" s="59"/>
    </row>
    <row r="299" spans="1:22" ht="14.25" customHeight="1" x14ac:dyDescent="0.45">
      <c r="A299" s="1"/>
      <c r="B299" s="1"/>
      <c r="C299" s="26">
        <v>2</v>
      </c>
      <c r="D299" s="94" t="s">
        <v>27</v>
      </c>
      <c r="E299" s="92"/>
      <c r="F299" s="92"/>
      <c r="G299" s="92"/>
      <c r="H299" s="93"/>
      <c r="I299" s="26"/>
      <c r="J299" s="60"/>
      <c r="K299" s="60"/>
      <c r="L299" s="60"/>
      <c r="M299" s="60"/>
      <c r="N299" s="60"/>
      <c r="O299" s="29"/>
      <c r="P299" s="60"/>
      <c r="Q299" s="10"/>
      <c r="R299" s="10"/>
      <c r="S299" s="10"/>
      <c r="T299" s="60"/>
      <c r="U299" s="29"/>
      <c r="V299" s="59"/>
    </row>
    <row r="300" spans="1:22" ht="14.25" customHeight="1" x14ac:dyDescent="0.45">
      <c r="A300" s="1"/>
      <c r="B300" s="1"/>
      <c r="C300" s="11"/>
      <c r="D300" s="11">
        <v>1</v>
      </c>
      <c r="E300" s="94" t="s">
        <v>76</v>
      </c>
      <c r="F300" s="92"/>
      <c r="G300" s="92"/>
      <c r="H300" s="93"/>
      <c r="I300" s="26"/>
      <c r="J300" s="60"/>
      <c r="K300" s="60"/>
      <c r="L300" s="60"/>
      <c r="M300" s="60"/>
      <c r="O300" s="29"/>
      <c r="P300" s="60"/>
      <c r="Q300" s="10"/>
      <c r="R300" s="10"/>
      <c r="S300" s="10"/>
      <c r="T300" s="60"/>
      <c r="U300" s="29"/>
      <c r="V300" s="59"/>
    </row>
    <row r="301" spans="1:22" ht="14.25" customHeight="1" x14ac:dyDescent="0.45">
      <c r="A301" s="1"/>
      <c r="B301" s="1" t="s">
        <v>269</v>
      </c>
      <c r="C301" s="11"/>
      <c r="D301" s="11"/>
      <c r="E301" s="11">
        <v>1</v>
      </c>
      <c r="F301" s="94" t="s">
        <v>20</v>
      </c>
      <c r="G301" s="92"/>
      <c r="H301" s="93"/>
      <c r="I301" s="26" t="s">
        <v>245</v>
      </c>
      <c r="J301" s="15">
        <v>133.81</v>
      </c>
      <c r="K301" s="15">
        <v>96.45</v>
      </c>
      <c r="L301" s="15">
        <v>38.54</v>
      </c>
      <c r="M301" s="15">
        <v>39.64</v>
      </c>
      <c r="N301" s="24">
        <v>311.82</v>
      </c>
      <c r="O301" s="15"/>
      <c r="P301" s="15"/>
      <c r="Q301" s="15"/>
      <c r="R301" s="15"/>
      <c r="S301" s="15"/>
      <c r="T301" s="15"/>
      <c r="U301" s="15"/>
      <c r="V301" s="61">
        <f t="shared" ref="V301:V334" si="33">IFERROR(AVERAGE(J301:U301),"")</f>
        <v>124.05199999999999</v>
      </c>
    </row>
    <row r="302" spans="1:22" ht="14.25" customHeight="1" x14ac:dyDescent="0.45">
      <c r="A302" s="1"/>
      <c r="B302" s="1" t="s">
        <v>269</v>
      </c>
      <c r="C302" s="11"/>
      <c r="D302" s="11"/>
      <c r="E302" s="11"/>
      <c r="F302" s="12"/>
      <c r="G302" s="8"/>
      <c r="H302" s="9"/>
      <c r="I302" s="26" t="s">
        <v>246</v>
      </c>
      <c r="J302" s="15">
        <v>368.64</v>
      </c>
      <c r="K302" s="15">
        <v>836.28</v>
      </c>
      <c r="L302" s="15">
        <v>260.64</v>
      </c>
      <c r="M302" s="15">
        <v>555.6</v>
      </c>
      <c r="N302" s="24">
        <v>1415.95</v>
      </c>
      <c r="O302" s="15"/>
      <c r="P302" s="15"/>
      <c r="Q302" s="15"/>
      <c r="R302" s="15"/>
      <c r="S302" s="15"/>
      <c r="T302" s="15"/>
      <c r="U302" s="15"/>
      <c r="V302" s="61">
        <f t="shared" si="33"/>
        <v>687.42199999999991</v>
      </c>
    </row>
    <row r="303" spans="1:22" ht="14.25" customHeight="1" x14ac:dyDescent="0.45">
      <c r="A303" s="1"/>
      <c r="B303" s="1" t="s">
        <v>270</v>
      </c>
      <c r="C303" s="11"/>
      <c r="D303" s="11"/>
      <c r="E303" s="11">
        <v>2</v>
      </c>
      <c r="F303" s="94" t="s">
        <v>30</v>
      </c>
      <c r="G303" s="92"/>
      <c r="H303" s="93"/>
      <c r="I303" s="26" t="s">
        <v>245</v>
      </c>
      <c r="J303" s="15">
        <v>97.9</v>
      </c>
      <c r="K303" s="15">
        <v>40.56</v>
      </c>
      <c r="L303" s="15">
        <v>46.5</v>
      </c>
      <c r="M303" s="15">
        <v>23.62</v>
      </c>
      <c r="N303" s="24">
        <v>25.29</v>
      </c>
      <c r="O303" s="15"/>
      <c r="P303" s="15"/>
      <c r="Q303" s="15"/>
      <c r="R303" s="15"/>
      <c r="S303" s="22"/>
      <c r="T303" s="15"/>
      <c r="U303" s="22"/>
      <c r="V303" s="61">
        <f t="shared" si="33"/>
        <v>46.774000000000001</v>
      </c>
    </row>
    <row r="304" spans="1:22" ht="14.25" customHeight="1" x14ac:dyDescent="0.45">
      <c r="A304" s="1"/>
      <c r="B304" s="1" t="s">
        <v>270</v>
      </c>
      <c r="C304" s="11"/>
      <c r="D304" s="11"/>
      <c r="E304" s="11"/>
      <c r="F304" s="12"/>
      <c r="G304" s="8"/>
      <c r="H304" s="9"/>
      <c r="I304" s="26" t="s">
        <v>246</v>
      </c>
      <c r="J304" s="15">
        <v>908.4</v>
      </c>
      <c r="K304" s="15">
        <v>571.32000000000005</v>
      </c>
      <c r="L304" s="15">
        <v>714</v>
      </c>
      <c r="M304" s="15">
        <v>233.28</v>
      </c>
      <c r="N304" s="24">
        <v>400.32</v>
      </c>
      <c r="O304" s="15"/>
      <c r="P304" s="15"/>
      <c r="Q304" s="15"/>
      <c r="R304" s="15"/>
      <c r="S304" s="22"/>
      <c r="T304" s="15"/>
      <c r="U304" s="22"/>
      <c r="V304" s="61">
        <f t="shared" si="33"/>
        <v>565.46400000000017</v>
      </c>
    </row>
    <row r="305" spans="1:22" ht="14.25" customHeight="1" x14ac:dyDescent="0.45">
      <c r="A305" s="1"/>
      <c r="B305" s="1" t="s">
        <v>271</v>
      </c>
      <c r="C305" s="11"/>
      <c r="D305" s="11"/>
      <c r="E305" s="11">
        <v>3</v>
      </c>
      <c r="F305" s="94" t="s">
        <v>31</v>
      </c>
      <c r="G305" s="92"/>
      <c r="H305" s="93"/>
      <c r="I305" s="26" t="s">
        <v>245</v>
      </c>
      <c r="J305" s="22"/>
      <c r="K305" s="22"/>
      <c r="L305" s="22"/>
      <c r="M305" s="15">
        <v>141.37</v>
      </c>
      <c r="N305" s="24">
        <v>149.16999999999999</v>
      </c>
      <c r="O305" s="15"/>
      <c r="P305" s="15"/>
      <c r="Q305" s="22"/>
      <c r="R305" s="22"/>
      <c r="S305" s="22"/>
      <c r="T305" s="22"/>
      <c r="U305" s="22"/>
      <c r="V305" s="61">
        <f t="shared" si="33"/>
        <v>145.26999999999998</v>
      </c>
    </row>
    <row r="306" spans="1:22" ht="14.25" customHeight="1" x14ac:dyDescent="0.45">
      <c r="A306" s="1"/>
      <c r="B306" s="1" t="s">
        <v>271</v>
      </c>
      <c r="C306" s="11"/>
      <c r="D306" s="11"/>
      <c r="E306" s="11"/>
      <c r="F306" s="12"/>
      <c r="G306" s="8"/>
      <c r="H306" s="9"/>
      <c r="I306" s="26" t="s">
        <v>246</v>
      </c>
      <c r="J306" s="22"/>
      <c r="K306" s="22"/>
      <c r="L306" s="22"/>
      <c r="M306" s="15">
        <v>1726.32</v>
      </c>
      <c r="N306" s="24">
        <v>2511.7600000000002</v>
      </c>
      <c r="O306" s="15"/>
      <c r="P306" s="15"/>
      <c r="Q306" s="22"/>
      <c r="R306" s="22"/>
      <c r="S306" s="22"/>
      <c r="T306" s="22"/>
      <c r="U306" s="22"/>
      <c r="V306" s="61">
        <f t="shared" si="33"/>
        <v>2119.04</v>
      </c>
    </row>
    <row r="307" spans="1:22" ht="14.25" customHeight="1" x14ac:dyDescent="0.45">
      <c r="A307" s="1"/>
      <c r="B307" s="1" t="s">
        <v>272</v>
      </c>
      <c r="C307" s="11"/>
      <c r="D307" s="11"/>
      <c r="E307" s="11"/>
      <c r="F307" s="13">
        <v>1</v>
      </c>
      <c r="G307" s="94" t="s">
        <v>250</v>
      </c>
      <c r="H307" s="93"/>
      <c r="I307" s="26" t="s">
        <v>245</v>
      </c>
      <c r="J307" s="22"/>
      <c r="K307" s="22"/>
      <c r="L307" s="22"/>
      <c r="M307" s="22"/>
      <c r="N307" s="24"/>
      <c r="O307" s="22"/>
      <c r="P307" s="22"/>
      <c r="Q307" s="22"/>
      <c r="R307" s="22"/>
      <c r="S307" s="22"/>
      <c r="T307" s="22"/>
      <c r="U307" s="22"/>
      <c r="V307" s="61" t="str">
        <f t="shared" si="33"/>
        <v/>
      </c>
    </row>
    <row r="308" spans="1:22" ht="14.25" customHeight="1" x14ac:dyDescent="0.45">
      <c r="A308" s="1"/>
      <c r="B308" s="1" t="s">
        <v>272</v>
      </c>
      <c r="C308" s="11"/>
      <c r="D308" s="11"/>
      <c r="E308" s="11"/>
      <c r="F308" s="13"/>
      <c r="G308" s="12"/>
      <c r="H308" s="9"/>
      <c r="I308" s="26" t="s">
        <v>246</v>
      </c>
      <c r="J308" s="22"/>
      <c r="K308" s="22"/>
      <c r="L308" s="22"/>
      <c r="M308" s="22"/>
      <c r="N308" s="24"/>
      <c r="O308" s="22"/>
      <c r="P308" s="22"/>
      <c r="Q308" s="22"/>
      <c r="R308" s="22"/>
      <c r="S308" s="22"/>
      <c r="T308" s="22"/>
      <c r="U308" s="22"/>
      <c r="V308" s="61" t="str">
        <f t="shared" si="33"/>
        <v/>
      </c>
    </row>
    <row r="309" spans="1:22" ht="14.25" customHeight="1" x14ac:dyDescent="0.45">
      <c r="A309" s="1"/>
      <c r="B309" s="1" t="s">
        <v>273</v>
      </c>
      <c r="C309" s="11"/>
      <c r="D309" s="11"/>
      <c r="E309" s="11"/>
      <c r="F309" s="13">
        <v>2</v>
      </c>
      <c r="G309" s="94" t="s">
        <v>252</v>
      </c>
      <c r="H309" s="93"/>
      <c r="I309" s="26" t="s">
        <v>245</v>
      </c>
      <c r="J309" s="22"/>
      <c r="K309" s="22"/>
      <c r="L309" s="22"/>
      <c r="M309" s="22"/>
      <c r="N309" s="24"/>
      <c r="O309" s="22"/>
      <c r="P309" s="22"/>
      <c r="Q309" s="22"/>
      <c r="R309" s="22"/>
      <c r="S309" s="22"/>
      <c r="T309" s="22"/>
      <c r="U309" s="22"/>
      <c r="V309" s="61" t="str">
        <f t="shared" si="33"/>
        <v/>
      </c>
    </row>
    <row r="310" spans="1:22" ht="14.25" customHeight="1" x14ac:dyDescent="0.45">
      <c r="A310" s="1"/>
      <c r="B310" s="1" t="s">
        <v>273</v>
      </c>
      <c r="C310" s="11"/>
      <c r="D310" s="11"/>
      <c r="E310" s="11"/>
      <c r="F310" s="13"/>
      <c r="G310" s="30"/>
      <c r="H310" s="9"/>
      <c r="I310" s="26" t="s">
        <v>246</v>
      </c>
      <c r="J310" s="22"/>
      <c r="K310" s="22"/>
      <c r="L310" s="22"/>
      <c r="M310" s="22"/>
      <c r="N310" s="24"/>
      <c r="O310" s="22"/>
      <c r="P310" s="22"/>
      <c r="Q310" s="22"/>
      <c r="R310" s="22"/>
      <c r="S310" s="22"/>
      <c r="T310" s="22"/>
      <c r="U310" s="22"/>
      <c r="V310" s="61" t="str">
        <f t="shared" si="33"/>
        <v/>
      </c>
    </row>
    <row r="311" spans="1:22" ht="14.25" customHeight="1" x14ac:dyDescent="0.45">
      <c r="A311" s="1"/>
      <c r="B311" s="1" t="s">
        <v>274</v>
      </c>
      <c r="C311" s="11"/>
      <c r="D311" s="11"/>
      <c r="E311" s="11">
        <v>4</v>
      </c>
      <c r="F311" s="94" t="s">
        <v>21</v>
      </c>
      <c r="G311" s="92"/>
      <c r="H311" s="93"/>
      <c r="I311" s="26" t="s">
        <v>245</v>
      </c>
      <c r="J311" s="15">
        <v>368.47</v>
      </c>
      <c r="K311" s="15">
        <v>248.89</v>
      </c>
      <c r="L311" s="15">
        <v>162.38999999999999</v>
      </c>
      <c r="M311" s="15">
        <v>214.21</v>
      </c>
      <c r="N311" s="24">
        <v>198.91</v>
      </c>
      <c r="O311" s="15"/>
      <c r="P311" s="15"/>
      <c r="Q311" s="15"/>
      <c r="R311" s="15"/>
      <c r="S311" s="15"/>
      <c r="T311" s="15"/>
      <c r="U311" s="15"/>
      <c r="V311" s="61">
        <f t="shared" si="33"/>
        <v>238.57400000000001</v>
      </c>
    </row>
    <row r="312" spans="1:22" ht="14.25" customHeight="1" x14ac:dyDescent="0.45">
      <c r="A312" s="1"/>
      <c r="B312" s="1" t="s">
        <v>274</v>
      </c>
      <c r="C312" s="11"/>
      <c r="D312" s="11"/>
      <c r="E312" s="11"/>
      <c r="F312" s="12"/>
      <c r="G312" s="8"/>
      <c r="H312" s="9"/>
      <c r="I312" s="26" t="s">
        <v>246</v>
      </c>
      <c r="J312" s="15">
        <v>3856.89</v>
      </c>
      <c r="K312" s="15">
        <v>3438.44</v>
      </c>
      <c r="L312" s="15">
        <v>2526.12</v>
      </c>
      <c r="M312" s="15">
        <v>2848.29</v>
      </c>
      <c r="N312" s="24">
        <v>2694.48</v>
      </c>
      <c r="O312" s="15"/>
      <c r="P312" s="15"/>
      <c r="Q312" s="15"/>
      <c r="R312" s="15"/>
      <c r="S312" s="15"/>
      <c r="T312" s="15"/>
      <c r="U312" s="15"/>
      <c r="V312" s="61">
        <f t="shared" si="33"/>
        <v>3072.8440000000001</v>
      </c>
    </row>
    <row r="313" spans="1:22" ht="14.25" customHeight="1" x14ac:dyDescent="0.45">
      <c r="A313" s="1"/>
      <c r="B313" s="1" t="s">
        <v>275</v>
      </c>
      <c r="C313" s="11"/>
      <c r="D313" s="11"/>
      <c r="E313" s="11"/>
      <c r="F313" s="13">
        <v>1</v>
      </c>
      <c r="G313" s="94" t="s">
        <v>250</v>
      </c>
      <c r="H313" s="93"/>
      <c r="I313" s="26" t="s">
        <v>245</v>
      </c>
      <c r="J313" s="22"/>
      <c r="K313" s="22"/>
      <c r="L313" s="22"/>
      <c r="M313" s="22"/>
      <c r="N313" s="24"/>
      <c r="O313" s="22"/>
      <c r="P313" s="22"/>
      <c r="Q313" s="22"/>
      <c r="R313" s="22"/>
      <c r="S313" s="22"/>
      <c r="T313" s="22"/>
      <c r="U313" s="20"/>
      <c r="V313" s="61" t="str">
        <f t="shared" si="33"/>
        <v/>
      </c>
    </row>
    <row r="314" spans="1:22" ht="14.25" customHeight="1" x14ac:dyDescent="0.45">
      <c r="A314" s="1"/>
      <c r="B314" s="1" t="s">
        <v>275</v>
      </c>
      <c r="C314" s="11"/>
      <c r="D314" s="11"/>
      <c r="E314" s="11"/>
      <c r="F314" s="13"/>
      <c r="G314" s="12"/>
      <c r="H314" s="9"/>
      <c r="I314" s="26" t="s">
        <v>246</v>
      </c>
      <c r="J314" s="22"/>
      <c r="K314" s="22"/>
      <c r="L314" s="22"/>
      <c r="M314" s="22"/>
      <c r="N314" s="24"/>
      <c r="O314" s="22"/>
      <c r="P314" s="22"/>
      <c r="Q314" s="22"/>
      <c r="R314" s="22"/>
      <c r="S314" s="22"/>
      <c r="T314" s="22"/>
      <c r="U314" s="20"/>
      <c r="V314" s="61" t="str">
        <f t="shared" si="33"/>
        <v/>
      </c>
    </row>
    <row r="315" spans="1:22" ht="14.25" customHeight="1" x14ac:dyDescent="0.45">
      <c r="A315" s="1"/>
      <c r="B315" s="1" t="s">
        <v>276</v>
      </c>
      <c r="C315" s="11"/>
      <c r="D315" s="11"/>
      <c r="E315" s="11"/>
      <c r="F315" s="13">
        <v>2</v>
      </c>
      <c r="G315" s="94" t="s">
        <v>252</v>
      </c>
      <c r="H315" s="93"/>
      <c r="I315" s="26" t="s">
        <v>245</v>
      </c>
      <c r="J315" s="22"/>
      <c r="K315" s="22"/>
      <c r="L315" s="22"/>
      <c r="M315" s="22"/>
      <c r="N315" s="24"/>
      <c r="O315" s="22"/>
      <c r="P315" s="22"/>
      <c r="Q315" s="22"/>
      <c r="R315" s="22"/>
      <c r="S315" s="22"/>
      <c r="T315" s="22"/>
      <c r="U315" s="39"/>
      <c r="V315" s="61" t="str">
        <f t="shared" si="33"/>
        <v/>
      </c>
    </row>
    <row r="316" spans="1:22" ht="14.25" customHeight="1" x14ac:dyDescent="0.45">
      <c r="A316" s="1"/>
      <c r="B316" s="1" t="s">
        <v>276</v>
      </c>
      <c r="C316" s="11"/>
      <c r="D316" s="11"/>
      <c r="E316" s="11"/>
      <c r="F316" s="13"/>
      <c r="G316" s="12"/>
      <c r="H316" s="9"/>
      <c r="I316" s="26" t="s">
        <v>246</v>
      </c>
      <c r="J316" s="22"/>
      <c r="K316" s="22"/>
      <c r="L316" s="22"/>
      <c r="M316" s="22"/>
      <c r="N316" s="24"/>
      <c r="O316" s="22"/>
      <c r="P316" s="22"/>
      <c r="Q316" s="22"/>
      <c r="R316" s="22"/>
      <c r="S316" s="22"/>
      <c r="T316" s="22"/>
      <c r="U316" s="39"/>
      <c r="V316" s="61" t="str">
        <f t="shared" si="33"/>
        <v/>
      </c>
    </row>
    <row r="317" spans="1:22" ht="14.25" customHeight="1" x14ac:dyDescent="0.45">
      <c r="A317" s="1"/>
      <c r="B317" s="1" t="s">
        <v>277</v>
      </c>
      <c r="C317" s="11"/>
      <c r="D317" s="11"/>
      <c r="E317" s="11"/>
      <c r="F317" s="13">
        <v>3</v>
      </c>
      <c r="G317" s="94" t="s">
        <v>257</v>
      </c>
      <c r="H317" s="93"/>
      <c r="I317" s="26" t="s">
        <v>245</v>
      </c>
      <c r="J317" s="22"/>
      <c r="K317" s="22"/>
      <c r="L317" s="22"/>
      <c r="M317" s="22"/>
      <c r="N317" s="24"/>
      <c r="O317" s="22"/>
      <c r="P317" s="22"/>
      <c r="Q317" s="22"/>
      <c r="R317" s="22"/>
      <c r="S317" s="22"/>
      <c r="T317" s="22"/>
      <c r="U317" s="39"/>
      <c r="V317" s="61" t="str">
        <f t="shared" si="33"/>
        <v/>
      </c>
    </row>
    <row r="318" spans="1:22" ht="14.25" customHeight="1" x14ac:dyDescent="0.45">
      <c r="A318" s="1"/>
      <c r="B318" s="1" t="s">
        <v>277</v>
      </c>
      <c r="C318" s="11"/>
      <c r="D318" s="11"/>
      <c r="E318" s="19"/>
      <c r="F318" s="35"/>
      <c r="G318" s="30"/>
      <c r="H318" s="9"/>
      <c r="I318" s="26" t="s">
        <v>246</v>
      </c>
      <c r="J318" s="22"/>
      <c r="K318" s="22"/>
      <c r="L318" s="22"/>
      <c r="M318" s="22"/>
      <c r="N318" s="24"/>
      <c r="O318" s="22"/>
      <c r="P318" s="22"/>
      <c r="Q318" s="22"/>
      <c r="R318" s="22"/>
      <c r="S318" s="22"/>
      <c r="T318" s="22"/>
      <c r="U318" s="39"/>
      <c r="V318" s="61" t="str">
        <f t="shared" si="33"/>
        <v/>
      </c>
    </row>
    <row r="319" spans="1:22" ht="14.25" customHeight="1" x14ac:dyDescent="0.45">
      <c r="A319" s="1"/>
      <c r="B319" s="1" t="s">
        <v>278</v>
      </c>
      <c r="C319" s="11"/>
      <c r="D319" s="11">
        <v>2</v>
      </c>
      <c r="E319" s="94" t="s">
        <v>83</v>
      </c>
      <c r="F319" s="92"/>
      <c r="G319" s="92"/>
      <c r="H319" s="93"/>
      <c r="I319" s="26" t="s">
        <v>245</v>
      </c>
      <c r="J319" s="15">
        <v>172.63</v>
      </c>
      <c r="K319" s="15">
        <v>163.95</v>
      </c>
      <c r="L319" s="15">
        <v>162.71</v>
      </c>
      <c r="M319" s="15">
        <v>163.65</v>
      </c>
      <c r="N319" s="24">
        <v>142</v>
      </c>
      <c r="O319" s="15"/>
      <c r="P319" s="15"/>
      <c r="Q319" s="15"/>
      <c r="R319" s="15"/>
      <c r="S319" s="15"/>
      <c r="T319" s="15"/>
      <c r="U319" s="15"/>
      <c r="V319" s="61">
        <f t="shared" si="33"/>
        <v>160.988</v>
      </c>
    </row>
    <row r="320" spans="1:22" ht="14.25" customHeight="1" x14ac:dyDescent="0.45">
      <c r="A320" s="1"/>
      <c r="B320" s="1" t="s">
        <v>278</v>
      </c>
      <c r="C320" s="11"/>
      <c r="D320" s="11"/>
      <c r="E320" s="12"/>
      <c r="F320" s="8"/>
      <c r="G320" s="8"/>
      <c r="H320" s="9"/>
      <c r="I320" s="26" t="s">
        <v>246</v>
      </c>
      <c r="J320" s="15">
        <v>2872.14</v>
      </c>
      <c r="K320" s="15">
        <v>2660.5</v>
      </c>
      <c r="L320" s="15">
        <v>2925.84</v>
      </c>
      <c r="M320" s="15">
        <v>2911.78</v>
      </c>
      <c r="N320" s="24">
        <v>2703.28</v>
      </c>
      <c r="O320" s="15"/>
      <c r="P320" s="15"/>
      <c r="Q320" s="15"/>
      <c r="R320" s="15"/>
      <c r="S320" s="15"/>
      <c r="T320" s="15"/>
      <c r="U320" s="15"/>
      <c r="V320" s="61">
        <f t="shared" si="33"/>
        <v>2814.7080000000001</v>
      </c>
    </row>
    <row r="321" spans="1:22" ht="14.25" customHeight="1" x14ac:dyDescent="0.45">
      <c r="A321" s="1"/>
      <c r="B321" s="1" t="s">
        <v>279</v>
      </c>
      <c r="C321" s="11"/>
      <c r="D321" s="11"/>
      <c r="E321" s="12"/>
      <c r="F321" s="13">
        <v>1</v>
      </c>
      <c r="G321" s="94" t="s">
        <v>250</v>
      </c>
      <c r="H321" s="93"/>
      <c r="I321" s="26" t="s">
        <v>245</v>
      </c>
      <c r="J321" s="22"/>
      <c r="K321" s="22"/>
      <c r="L321" s="22"/>
      <c r="M321" s="22"/>
      <c r="N321" s="24"/>
      <c r="O321" s="22"/>
      <c r="P321" s="22"/>
      <c r="Q321" s="22"/>
      <c r="R321" s="22"/>
      <c r="S321" s="22"/>
      <c r="T321" s="22"/>
      <c r="U321" s="22"/>
      <c r="V321" s="61" t="str">
        <f t="shared" si="33"/>
        <v/>
      </c>
    </row>
    <row r="322" spans="1:22" ht="14.25" customHeight="1" x14ac:dyDescent="0.45">
      <c r="A322" s="1"/>
      <c r="B322" s="1" t="s">
        <v>279</v>
      </c>
      <c r="C322" s="11"/>
      <c r="D322" s="11"/>
      <c r="E322" s="12"/>
      <c r="F322" s="13"/>
      <c r="G322" s="12"/>
      <c r="H322" s="9"/>
      <c r="I322" s="26" t="s">
        <v>246</v>
      </c>
      <c r="J322" s="22"/>
      <c r="K322" s="22"/>
      <c r="L322" s="22"/>
      <c r="M322" s="22"/>
      <c r="N322" s="24"/>
      <c r="O322" s="22"/>
      <c r="P322" s="22"/>
      <c r="Q322" s="22"/>
      <c r="R322" s="22"/>
      <c r="S322" s="22"/>
      <c r="T322" s="22"/>
      <c r="U322" s="22"/>
      <c r="V322" s="61" t="str">
        <f t="shared" si="33"/>
        <v/>
      </c>
    </row>
    <row r="323" spans="1:22" ht="14.25" customHeight="1" x14ac:dyDescent="0.45">
      <c r="A323" s="1"/>
      <c r="B323" s="1" t="s">
        <v>280</v>
      </c>
      <c r="C323" s="11"/>
      <c r="D323" s="11"/>
      <c r="E323" s="12"/>
      <c r="F323" s="13">
        <v>2</v>
      </c>
      <c r="G323" s="94" t="s">
        <v>252</v>
      </c>
      <c r="H323" s="93"/>
      <c r="I323" s="26" t="s">
        <v>245</v>
      </c>
      <c r="J323" s="22"/>
      <c r="K323" s="22"/>
      <c r="L323" s="22"/>
      <c r="M323" s="22"/>
      <c r="N323" s="24"/>
      <c r="O323" s="22"/>
      <c r="P323" s="22"/>
      <c r="Q323" s="22"/>
      <c r="R323" s="22"/>
      <c r="S323" s="22"/>
      <c r="T323" s="22"/>
      <c r="U323" s="22"/>
      <c r="V323" s="61" t="str">
        <f t="shared" si="33"/>
        <v/>
      </c>
    </row>
    <row r="324" spans="1:22" ht="14.25" customHeight="1" x14ac:dyDescent="0.45">
      <c r="A324" s="1"/>
      <c r="B324" s="1" t="s">
        <v>280</v>
      </c>
      <c r="C324" s="11"/>
      <c r="D324" s="11"/>
      <c r="E324" s="12"/>
      <c r="F324" s="35"/>
      <c r="G324" s="30"/>
      <c r="H324" s="9"/>
      <c r="I324" s="26" t="s">
        <v>246</v>
      </c>
      <c r="J324" s="22"/>
      <c r="K324" s="22"/>
      <c r="L324" s="22"/>
      <c r="M324" s="22"/>
      <c r="N324" s="24"/>
      <c r="O324" s="22"/>
      <c r="P324" s="22"/>
      <c r="Q324" s="22"/>
      <c r="R324" s="22"/>
      <c r="S324" s="22"/>
      <c r="T324" s="22"/>
      <c r="U324" s="22"/>
      <c r="V324" s="61" t="str">
        <f t="shared" si="33"/>
        <v/>
      </c>
    </row>
    <row r="325" spans="1:22" ht="14.25" customHeight="1" x14ac:dyDescent="0.45">
      <c r="A325" s="1"/>
      <c r="B325" s="1" t="s">
        <v>281</v>
      </c>
      <c r="C325" s="11"/>
      <c r="D325" s="11">
        <v>3</v>
      </c>
      <c r="E325" s="94" t="s">
        <v>90</v>
      </c>
      <c r="F325" s="92"/>
      <c r="G325" s="92"/>
      <c r="H325" s="93"/>
      <c r="I325" s="26" t="s">
        <v>245</v>
      </c>
      <c r="J325" s="15">
        <v>166.9</v>
      </c>
      <c r="K325" s="15">
        <v>221.59</v>
      </c>
      <c r="L325" s="15">
        <v>49.13</v>
      </c>
      <c r="M325" s="15">
        <v>242.48</v>
      </c>
      <c r="N325" s="24">
        <v>139.24</v>
      </c>
      <c r="O325" s="15"/>
      <c r="P325" s="15"/>
      <c r="Q325" s="15"/>
      <c r="R325" s="15"/>
      <c r="S325" s="22"/>
      <c r="T325" s="15"/>
      <c r="U325" s="15"/>
      <c r="V325" s="61">
        <f t="shared" si="33"/>
        <v>163.86799999999999</v>
      </c>
    </row>
    <row r="326" spans="1:22" ht="14.25" customHeight="1" x14ac:dyDescent="0.45">
      <c r="A326" s="1"/>
      <c r="B326" s="1" t="s">
        <v>281</v>
      </c>
      <c r="C326" s="11"/>
      <c r="D326" s="38"/>
      <c r="E326" s="30"/>
      <c r="F326" s="8"/>
      <c r="G326" s="8"/>
      <c r="H326" s="9"/>
      <c r="I326" s="26" t="s">
        <v>246</v>
      </c>
      <c r="J326" s="15">
        <v>915.72</v>
      </c>
      <c r="K326" s="15">
        <v>2978.56</v>
      </c>
      <c r="L326" s="15">
        <v>566.4</v>
      </c>
      <c r="M326" s="15">
        <v>2867.76</v>
      </c>
      <c r="N326" s="24">
        <v>2096.77</v>
      </c>
      <c r="O326" s="15"/>
      <c r="P326" s="15"/>
      <c r="Q326" s="15"/>
      <c r="R326" s="15"/>
      <c r="S326" s="22"/>
      <c r="T326" s="15"/>
      <c r="U326" s="15"/>
      <c r="V326" s="61">
        <f t="shared" si="33"/>
        <v>1885.0419999999999</v>
      </c>
    </row>
    <row r="327" spans="1:22" ht="14.25" customHeight="1" x14ac:dyDescent="0.45">
      <c r="A327" s="1"/>
      <c r="B327" s="1" t="s">
        <v>282</v>
      </c>
      <c r="C327" s="11"/>
      <c r="D327" s="38"/>
      <c r="E327" s="30"/>
      <c r="F327" s="13">
        <v>1</v>
      </c>
      <c r="G327" s="94" t="s">
        <v>250</v>
      </c>
      <c r="H327" s="93"/>
      <c r="I327" s="26" t="s">
        <v>245</v>
      </c>
      <c r="J327" s="22"/>
      <c r="K327" s="22"/>
      <c r="L327" s="22"/>
      <c r="M327" s="20"/>
      <c r="N327" s="24"/>
      <c r="O327" s="28"/>
      <c r="P327" s="22"/>
      <c r="Q327" s="22"/>
      <c r="R327" s="22"/>
      <c r="S327" s="22"/>
      <c r="T327" s="20"/>
      <c r="U327" s="20"/>
      <c r="V327" s="61" t="str">
        <f t="shared" si="33"/>
        <v/>
      </c>
    </row>
    <row r="328" spans="1:22" ht="14.25" customHeight="1" x14ac:dyDescent="0.45">
      <c r="A328" s="1"/>
      <c r="B328" s="1" t="s">
        <v>282</v>
      </c>
      <c r="C328" s="11"/>
      <c r="D328" s="38"/>
      <c r="E328" s="30"/>
      <c r="F328" s="13"/>
      <c r="G328" s="12"/>
      <c r="H328" s="9"/>
      <c r="I328" s="26" t="s">
        <v>246</v>
      </c>
      <c r="J328" s="22"/>
      <c r="K328" s="22"/>
      <c r="L328" s="22"/>
      <c r="M328" s="20"/>
      <c r="N328" s="24"/>
      <c r="O328" s="28"/>
      <c r="P328" s="22"/>
      <c r="Q328" s="22"/>
      <c r="R328" s="22"/>
      <c r="S328" s="22"/>
      <c r="T328" s="20"/>
      <c r="U328" s="20"/>
      <c r="V328" s="61" t="str">
        <f t="shared" si="33"/>
        <v/>
      </c>
    </row>
    <row r="329" spans="1:22" ht="14.25" customHeight="1" x14ac:dyDescent="0.45">
      <c r="A329" s="1"/>
      <c r="B329" s="1" t="s">
        <v>283</v>
      </c>
      <c r="C329" s="11"/>
      <c r="D329" s="38"/>
      <c r="E329" s="30"/>
      <c r="F329" s="13">
        <v>2</v>
      </c>
      <c r="G329" s="94" t="s">
        <v>252</v>
      </c>
      <c r="H329" s="93"/>
      <c r="I329" s="26" t="s">
        <v>245</v>
      </c>
      <c r="J329" s="22"/>
      <c r="K329" s="22"/>
      <c r="L329" s="22"/>
      <c r="M329" s="22"/>
      <c r="N329" s="24"/>
      <c r="O329" s="28"/>
      <c r="P329" s="22"/>
      <c r="Q329" s="22"/>
      <c r="R329" s="22"/>
      <c r="S329" s="22"/>
      <c r="T329" s="20"/>
      <c r="U329" s="39"/>
      <c r="V329" s="61" t="str">
        <f t="shared" si="33"/>
        <v/>
      </c>
    </row>
    <row r="330" spans="1:22" ht="14.25" customHeight="1" x14ac:dyDescent="0.45">
      <c r="A330" s="1"/>
      <c r="B330" s="1" t="s">
        <v>283</v>
      </c>
      <c r="C330" s="11"/>
      <c r="D330" s="38"/>
      <c r="E330" s="30"/>
      <c r="F330" s="13"/>
      <c r="G330" s="12"/>
      <c r="H330" s="9"/>
      <c r="I330" s="26" t="s">
        <v>246</v>
      </c>
      <c r="J330" s="22"/>
      <c r="K330" s="22"/>
      <c r="L330" s="22"/>
      <c r="M330" s="22"/>
      <c r="N330" s="24"/>
      <c r="O330" s="28"/>
      <c r="P330" s="22"/>
      <c r="Q330" s="22"/>
      <c r="R330" s="22"/>
      <c r="S330" s="22"/>
      <c r="T330" s="20"/>
      <c r="U330" s="39"/>
      <c r="V330" s="61" t="str">
        <f t="shared" si="33"/>
        <v/>
      </c>
    </row>
    <row r="331" spans="1:22" ht="14.25" customHeight="1" x14ac:dyDescent="0.45">
      <c r="A331" s="1"/>
      <c r="B331" s="1" t="s">
        <v>284</v>
      </c>
      <c r="C331" s="11"/>
      <c r="D331" s="38"/>
      <c r="E331" s="30"/>
      <c r="F331" s="13">
        <v>3</v>
      </c>
      <c r="G331" s="94" t="s">
        <v>257</v>
      </c>
      <c r="H331" s="93"/>
      <c r="I331" s="26" t="s">
        <v>245</v>
      </c>
      <c r="J331" s="22"/>
      <c r="K331" s="22"/>
      <c r="L331" s="22"/>
      <c r="M331" s="22"/>
      <c r="N331" s="24"/>
      <c r="O331" s="28"/>
      <c r="P331" s="22"/>
      <c r="Q331" s="22"/>
      <c r="R331" s="22"/>
      <c r="S331" s="22"/>
      <c r="T331" s="22"/>
      <c r="U331" s="39"/>
      <c r="V331" s="61" t="str">
        <f t="shared" si="33"/>
        <v/>
      </c>
    </row>
    <row r="332" spans="1:22" ht="14.25" customHeight="1" x14ac:dyDescent="0.45">
      <c r="A332" s="1"/>
      <c r="B332" s="1" t="s">
        <v>284</v>
      </c>
      <c r="C332" s="11"/>
      <c r="D332" s="38"/>
      <c r="E332" s="30"/>
      <c r="F332" s="35"/>
      <c r="G332" s="30"/>
      <c r="H332" s="9"/>
      <c r="I332" s="26" t="s">
        <v>246</v>
      </c>
      <c r="J332" s="22"/>
      <c r="K332" s="22"/>
      <c r="L332" s="22"/>
      <c r="M332" s="22"/>
      <c r="N332" s="24"/>
      <c r="O332" s="28"/>
      <c r="P332" s="22"/>
      <c r="Q332" s="22"/>
      <c r="R332" s="22"/>
      <c r="S332" s="22"/>
      <c r="T332" s="22"/>
      <c r="U332" s="39"/>
      <c r="V332" s="61" t="str">
        <f t="shared" si="33"/>
        <v/>
      </c>
    </row>
    <row r="333" spans="1:22" ht="14.25" customHeight="1" x14ac:dyDescent="0.45">
      <c r="A333" s="1"/>
      <c r="B333" s="1" t="s">
        <v>285</v>
      </c>
      <c r="C333" s="11"/>
      <c r="D333" s="38">
        <v>4</v>
      </c>
      <c r="E333" s="94" t="s">
        <v>266</v>
      </c>
      <c r="F333" s="92"/>
      <c r="G333" s="92"/>
      <c r="H333" s="93"/>
      <c r="I333" s="26" t="s">
        <v>267</v>
      </c>
      <c r="J333" s="22"/>
      <c r="K333" s="22"/>
      <c r="L333" s="22"/>
      <c r="M333" s="22"/>
      <c r="N333" s="24"/>
      <c r="O333" s="28"/>
      <c r="P333" s="22"/>
      <c r="Q333" s="22"/>
      <c r="R333" s="22"/>
      <c r="S333" s="22"/>
      <c r="T333" s="22"/>
      <c r="U333" s="39"/>
      <c r="V333" s="61" t="str">
        <f t="shared" si="33"/>
        <v/>
      </c>
    </row>
    <row r="334" spans="1:22" ht="14.25" customHeight="1" x14ac:dyDescent="0.45">
      <c r="A334" s="1"/>
      <c r="B334" s="1" t="s">
        <v>285</v>
      </c>
      <c r="C334" s="11"/>
      <c r="D334" s="38"/>
      <c r="E334" s="30"/>
      <c r="F334" s="8"/>
      <c r="G334" s="8"/>
      <c r="H334" s="9"/>
      <c r="I334" s="26" t="s">
        <v>268</v>
      </c>
      <c r="J334" s="22"/>
      <c r="K334" s="22"/>
      <c r="L334" s="22"/>
      <c r="M334" s="22"/>
      <c r="N334" s="24"/>
      <c r="O334" s="28"/>
      <c r="P334" s="22"/>
      <c r="Q334" s="22"/>
      <c r="R334" s="22"/>
      <c r="S334" s="22"/>
      <c r="T334" s="22"/>
      <c r="U334" s="39"/>
      <c r="V334" s="61" t="str">
        <f t="shared" si="33"/>
        <v/>
      </c>
    </row>
    <row r="335" spans="1:22" ht="14.25" customHeight="1" x14ac:dyDescent="0.45">
      <c r="A335" s="1"/>
      <c r="B335" s="1"/>
      <c r="C335" s="11"/>
      <c r="D335" s="96"/>
      <c r="E335" s="92"/>
      <c r="F335" s="92"/>
      <c r="G335" s="92"/>
      <c r="H335" s="93"/>
      <c r="I335" s="26"/>
      <c r="J335" s="60"/>
      <c r="K335" s="60"/>
      <c r="L335" s="60"/>
      <c r="M335" s="60"/>
      <c r="N335" s="60"/>
      <c r="O335" s="60"/>
      <c r="P335" s="60"/>
      <c r="Q335" s="60"/>
      <c r="R335" s="60"/>
      <c r="S335" s="10"/>
      <c r="T335" s="60"/>
      <c r="U335" s="60"/>
      <c r="V335" s="59"/>
    </row>
    <row r="336" spans="1:22" ht="14.25" customHeight="1" x14ac:dyDescent="0.45">
      <c r="A336" s="1"/>
      <c r="B336" s="1"/>
      <c r="C336" s="11">
        <v>3</v>
      </c>
      <c r="D336" s="94" t="s">
        <v>286</v>
      </c>
      <c r="E336" s="92"/>
      <c r="F336" s="92"/>
      <c r="G336" s="92"/>
      <c r="H336" s="93"/>
      <c r="I336" s="26"/>
      <c r="J336" s="60"/>
      <c r="K336" s="60"/>
      <c r="L336" s="60"/>
      <c r="M336" s="60"/>
      <c r="N336" s="60"/>
      <c r="O336" s="60"/>
      <c r="P336" s="60"/>
      <c r="Q336" s="60"/>
      <c r="R336" s="60"/>
      <c r="S336" s="10"/>
      <c r="T336" s="60"/>
      <c r="U336" s="60"/>
      <c r="V336" s="59"/>
    </row>
    <row r="337" spans="1:22" ht="14.25" customHeight="1" x14ac:dyDescent="0.45">
      <c r="A337" s="1"/>
      <c r="B337" s="1"/>
      <c r="C337" s="11"/>
      <c r="D337" s="11">
        <v>1</v>
      </c>
      <c r="E337" s="94" t="s">
        <v>76</v>
      </c>
      <c r="F337" s="92"/>
      <c r="G337" s="92"/>
      <c r="H337" s="93"/>
      <c r="I337" s="26"/>
      <c r="J337" s="60"/>
      <c r="K337" s="60"/>
      <c r="L337" s="60"/>
      <c r="M337" s="60"/>
      <c r="N337" s="60"/>
      <c r="O337" s="60"/>
      <c r="P337" s="60"/>
      <c r="Q337" s="60"/>
      <c r="R337" s="60"/>
      <c r="S337" s="10"/>
      <c r="T337" s="60"/>
      <c r="U337" s="60"/>
      <c r="V337" s="59"/>
    </row>
    <row r="338" spans="1:22" ht="14.25" customHeight="1" x14ac:dyDescent="0.45">
      <c r="A338" s="1"/>
      <c r="B338" s="1" t="s">
        <v>287</v>
      </c>
      <c r="C338" s="11"/>
      <c r="D338" s="11"/>
      <c r="E338" s="11">
        <v>1</v>
      </c>
      <c r="F338" s="94" t="s">
        <v>20</v>
      </c>
      <c r="G338" s="92"/>
      <c r="H338" s="93"/>
      <c r="I338" s="26" t="s">
        <v>245</v>
      </c>
      <c r="J338" s="15">
        <f t="shared" ref="J338:J341" si="34">AVERAGE(J264,J301)</f>
        <v>262.68</v>
      </c>
      <c r="K338" s="15">
        <v>140.36000000000001</v>
      </c>
      <c r="L338" s="15">
        <v>809.95</v>
      </c>
      <c r="M338" s="15">
        <v>81.16</v>
      </c>
      <c r="N338" s="24">
        <v>221.25</v>
      </c>
      <c r="O338" s="15"/>
      <c r="P338" s="15"/>
      <c r="Q338" s="15"/>
      <c r="R338" s="15"/>
      <c r="S338" s="15"/>
      <c r="T338" s="15"/>
      <c r="U338" s="15"/>
      <c r="V338" s="61">
        <f t="shared" ref="V338:V371" si="35">IFERROR(AVERAGE(J338:U338),"")</f>
        <v>303.08000000000004</v>
      </c>
    </row>
    <row r="339" spans="1:22" ht="14.25" customHeight="1" x14ac:dyDescent="0.45">
      <c r="A339" s="1"/>
      <c r="B339" s="1" t="s">
        <v>287</v>
      </c>
      <c r="C339" s="11"/>
      <c r="D339" s="11"/>
      <c r="E339" s="11"/>
      <c r="F339" s="12"/>
      <c r="G339" s="8"/>
      <c r="H339" s="9"/>
      <c r="I339" s="26" t="s">
        <v>246</v>
      </c>
      <c r="J339" s="15">
        <f t="shared" si="34"/>
        <v>3120.78</v>
      </c>
      <c r="K339" s="15">
        <v>2224.48</v>
      </c>
      <c r="L339" s="15">
        <v>1888.73</v>
      </c>
      <c r="M339" s="15">
        <v>1992.44</v>
      </c>
      <c r="N339" s="24">
        <v>2843.78</v>
      </c>
      <c r="O339" s="15"/>
      <c r="P339" s="15"/>
      <c r="Q339" s="15"/>
      <c r="R339" s="15"/>
      <c r="S339" s="15"/>
      <c r="T339" s="15"/>
      <c r="U339" s="15"/>
      <c r="V339" s="61">
        <f t="shared" si="35"/>
        <v>2414.0420000000004</v>
      </c>
    </row>
    <row r="340" spans="1:22" ht="14.25" customHeight="1" x14ac:dyDescent="0.45">
      <c r="A340" s="1"/>
      <c r="B340" s="1" t="s">
        <v>288</v>
      </c>
      <c r="C340" s="11"/>
      <c r="D340" s="11"/>
      <c r="E340" s="11">
        <v>2</v>
      </c>
      <c r="F340" s="94" t="s">
        <v>30</v>
      </c>
      <c r="G340" s="92"/>
      <c r="H340" s="93"/>
      <c r="I340" s="26" t="s">
        <v>245</v>
      </c>
      <c r="J340" s="15">
        <f t="shared" si="34"/>
        <v>97.9</v>
      </c>
      <c r="K340" s="15">
        <v>40.56</v>
      </c>
      <c r="L340" s="15">
        <v>46.5</v>
      </c>
      <c r="M340" s="15">
        <v>23.62</v>
      </c>
      <c r="N340" s="24">
        <v>25.29</v>
      </c>
      <c r="O340" s="15"/>
      <c r="P340" s="15"/>
      <c r="Q340" s="15"/>
      <c r="R340" s="15"/>
      <c r="S340" s="22"/>
      <c r="T340" s="15"/>
      <c r="U340" s="22"/>
      <c r="V340" s="61">
        <f t="shared" si="35"/>
        <v>46.774000000000001</v>
      </c>
    </row>
    <row r="341" spans="1:22" ht="14.25" customHeight="1" x14ac:dyDescent="0.45">
      <c r="A341" s="1"/>
      <c r="B341" s="1" t="s">
        <v>288</v>
      </c>
      <c r="C341" s="11"/>
      <c r="D341" s="11"/>
      <c r="E341" s="11"/>
      <c r="F341" s="12"/>
      <c r="G341" s="8"/>
      <c r="H341" s="9"/>
      <c r="I341" s="26" t="s">
        <v>246</v>
      </c>
      <c r="J341" s="15">
        <f t="shared" si="34"/>
        <v>908.4</v>
      </c>
      <c r="K341" s="15">
        <v>571.32000000000005</v>
      </c>
      <c r="L341" s="15">
        <v>714</v>
      </c>
      <c r="M341" s="15">
        <v>233.28</v>
      </c>
      <c r="N341" s="24">
        <v>400.32</v>
      </c>
      <c r="O341" s="15"/>
      <c r="P341" s="15"/>
      <c r="Q341" s="15"/>
      <c r="R341" s="15"/>
      <c r="S341" s="22"/>
      <c r="T341" s="15"/>
      <c r="U341" s="22"/>
      <c r="V341" s="61">
        <f t="shared" si="35"/>
        <v>565.46400000000017</v>
      </c>
    </row>
    <row r="342" spans="1:22" ht="14.25" customHeight="1" x14ac:dyDescent="0.45">
      <c r="A342" s="1"/>
      <c r="B342" s="1" t="s">
        <v>289</v>
      </c>
      <c r="C342" s="11"/>
      <c r="D342" s="11"/>
      <c r="E342" s="11">
        <v>3</v>
      </c>
      <c r="F342" s="94" t="s">
        <v>31</v>
      </c>
      <c r="G342" s="92"/>
      <c r="H342" s="93"/>
      <c r="I342" s="26" t="s">
        <v>245</v>
      </c>
      <c r="J342" s="22"/>
      <c r="K342" s="22"/>
      <c r="L342" s="22"/>
      <c r="M342" s="15">
        <v>213.92</v>
      </c>
      <c r="N342" s="24">
        <v>220.71</v>
      </c>
      <c r="O342" s="15"/>
      <c r="P342" s="15"/>
      <c r="Q342" s="22"/>
      <c r="R342" s="22"/>
      <c r="S342" s="22"/>
      <c r="T342" s="22"/>
      <c r="U342" s="22"/>
      <c r="V342" s="61">
        <f t="shared" si="35"/>
        <v>217.315</v>
      </c>
    </row>
    <row r="343" spans="1:22" ht="14.25" customHeight="1" x14ac:dyDescent="0.45">
      <c r="A343" s="1"/>
      <c r="B343" s="1" t="s">
        <v>289</v>
      </c>
      <c r="C343" s="11"/>
      <c r="D343" s="11"/>
      <c r="E343" s="11"/>
      <c r="F343" s="12"/>
      <c r="G343" s="8"/>
      <c r="H343" s="9"/>
      <c r="I343" s="26" t="s">
        <v>246</v>
      </c>
      <c r="J343" s="22"/>
      <c r="K343" s="22"/>
      <c r="L343" s="22"/>
      <c r="M343" s="15">
        <v>3653.52</v>
      </c>
      <c r="N343" s="24">
        <v>4102.74</v>
      </c>
      <c r="O343" s="15"/>
      <c r="P343" s="15"/>
      <c r="Q343" s="22"/>
      <c r="R343" s="22"/>
      <c r="S343" s="22"/>
      <c r="T343" s="22"/>
      <c r="U343" s="22"/>
      <c r="V343" s="61">
        <f t="shared" si="35"/>
        <v>3878.13</v>
      </c>
    </row>
    <row r="344" spans="1:22" ht="14.25" customHeight="1" x14ac:dyDescent="0.45">
      <c r="A344" s="1"/>
      <c r="B344" s="1" t="s">
        <v>290</v>
      </c>
      <c r="C344" s="11"/>
      <c r="D344" s="11"/>
      <c r="E344" s="11"/>
      <c r="F344" s="13">
        <v>1</v>
      </c>
      <c r="G344" s="94" t="s">
        <v>250</v>
      </c>
      <c r="H344" s="93"/>
      <c r="I344" s="26" t="s">
        <v>245</v>
      </c>
      <c r="J344" s="22"/>
      <c r="K344" s="22"/>
      <c r="L344" s="22"/>
      <c r="M344" s="22"/>
      <c r="N344" s="24"/>
      <c r="O344" s="22"/>
      <c r="P344" s="22"/>
      <c r="Q344" s="22"/>
      <c r="R344" s="22"/>
      <c r="S344" s="22"/>
      <c r="T344" s="22"/>
      <c r="U344" s="22"/>
      <c r="V344" s="61" t="str">
        <f t="shared" si="35"/>
        <v/>
      </c>
    </row>
    <row r="345" spans="1:22" ht="14.25" customHeight="1" x14ac:dyDescent="0.45">
      <c r="A345" s="1"/>
      <c r="B345" s="1" t="s">
        <v>290</v>
      </c>
      <c r="C345" s="11"/>
      <c r="D345" s="11"/>
      <c r="E345" s="11"/>
      <c r="F345" s="13"/>
      <c r="G345" s="12"/>
      <c r="H345" s="9"/>
      <c r="I345" s="26" t="s">
        <v>246</v>
      </c>
      <c r="J345" s="22"/>
      <c r="K345" s="22"/>
      <c r="L345" s="22"/>
      <c r="M345" s="22"/>
      <c r="N345" s="24"/>
      <c r="O345" s="22"/>
      <c r="P345" s="22"/>
      <c r="Q345" s="22"/>
      <c r="R345" s="22"/>
      <c r="S345" s="22"/>
      <c r="T345" s="22"/>
      <c r="U345" s="22"/>
      <c r="V345" s="61" t="str">
        <f t="shared" si="35"/>
        <v/>
      </c>
    </row>
    <row r="346" spans="1:22" ht="14.25" customHeight="1" x14ac:dyDescent="0.45">
      <c r="A346" s="1"/>
      <c r="B346" s="1" t="s">
        <v>291</v>
      </c>
      <c r="C346" s="11"/>
      <c r="D346" s="11"/>
      <c r="E346" s="11"/>
      <c r="F346" s="13">
        <v>2</v>
      </c>
      <c r="G346" s="94" t="s">
        <v>252</v>
      </c>
      <c r="H346" s="93"/>
      <c r="I346" s="26" t="s">
        <v>245</v>
      </c>
      <c r="J346" s="22"/>
      <c r="K346" s="22"/>
      <c r="L346" s="22"/>
      <c r="M346" s="22"/>
      <c r="N346" s="24"/>
      <c r="O346" s="22"/>
      <c r="P346" s="22"/>
      <c r="Q346" s="22"/>
      <c r="R346" s="22"/>
      <c r="S346" s="22"/>
      <c r="T346" s="22"/>
      <c r="U346" s="22"/>
      <c r="V346" s="61" t="str">
        <f t="shared" si="35"/>
        <v/>
      </c>
    </row>
    <row r="347" spans="1:22" ht="14.25" customHeight="1" x14ac:dyDescent="0.45">
      <c r="A347" s="1"/>
      <c r="B347" s="1" t="s">
        <v>291</v>
      </c>
      <c r="C347" s="11"/>
      <c r="D347" s="11"/>
      <c r="E347" s="11"/>
      <c r="F347" s="13"/>
      <c r="G347" s="30"/>
      <c r="H347" s="9"/>
      <c r="I347" s="26" t="s">
        <v>246</v>
      </c>
      <c r="J347" s="22"/>
      <c r="K347" s="22"/>
      <c r="L347" s="22"/>
      <c r="M347" s="22"/>
      <c r="N347" s="24"/>
      <c r="O347" s="22"/>
      <c r="P347" s="22"/>
      <c r="Q347" s="22"/>
      <c r="R347" s="22"/>
      <c r="S347" s="22"/>
      <c r="T347" s="22"/>
      <c r="U347" s="22"/>
      <c r="V347" s="61" t="str">
        <f t="shared" si="35"/>
        <v/>
      </c>
    </row>
    <row r="348" spans="1:22" ht="14.25" customHeight="1" x14ac:dyDescent="0.45">
      <c r="A348" s="1"/>
      <c r="B348" s="1" t="s">
        <v>292</v>
      </c>
      <c r="C348" s="11"/>
      <c r="D348" s="11"/>
      <c r="E348" s="11">
        <v>4</v>
      </c>
      <c r="F348" s="94" t="s">
        <v>21</v>
      </c>
      <c r="G348" s="92"/>
      <c r="H348" s="93"/>
      <c r="I348" s="26" t="s">
        <v>245</v>
      </c>
      <c r="J348" s="15">
        <f t="shared" ref="J348:J349" si="36">AVERAGE(J274,J311)</f>
        <v>359.67</v>
      </c>
      <c r="K348" s="15">
        <v>248.89</v>
      </c>
      <c r="L348" s="15">
        <v>162.38999999999999</v>
      </c>
      <c r="M348" s="15">
        <v>214.21</v>
      </c>
      <c r="N348" s="24">
        <v>198.91</v>
      </c>
      <c r="O348" s="15"/>
      <c r="P348" s="15"/>
      <c r="Q348" s="15"/>
      <c r="R348" s="15"/>
      <c r="S348" s="15"/>
      <c r="T348" s="15"/>
      <c r="U348" s="15"/>
      <c r="V348" s="61">
        <f t="shared" si="35"/>
        <v>236.81399999999999</v>
      </c>
    </row>
    <row r="349" spans="1:22" ht="14.25" customHeight="1" x14ac:dyDescent="0.45">
      <c r="A349" s="1"/>
      <c r="B349" s="1" t="s">
        <v>292</v>
      </c>
      <c r="C349" s="11"/>
      <c r="D349" s="11"/>
      <c r="E349" s="11"/>
      <c r="F349" s="12"/>
      <c r="G349" s="8"/>
      <c r="H349" s="9"/>
      <c r="I349" s="26" t="s">
        <v>246</v>
      </c>
      <c r="J349" s="15">
        <f t="shared" si="36"/>
        <v>5407.125</v>
      </c>
      <c r="K349" s="15">
        <v>3438.44</v>
      </c>
      <c r="L349" s="15">
        <v>2526.12</v>
      </c>
      <c r="M349" s="15">
        <v>2848.29</v>
      </c>
      <c r="N349" s="24">
        <v>2694.48</v>
      </c>
      <c r="O349" s="15"/>
      <c r="P349" s="15"/>
      <c r="Q349" s="15"/>
      <c r="R349" s="15"/>
      <c r="S349" s="15"/>
      <c r="T349" s="15"/>
      <c r="U349" s="15"/>
      <c r="V349" s="61">
        <f t="shared" si="35"/>
        <v>3382.8910000000005</v>
      </c>
    </row>
    <row r="350" spans="1:22" ht="14.25" customHeight="1" x14ac:dyDescent="0.45">
      <c r="A350" s="1"/>
      <c r="B350" s="1" t="s">
        <v>293</v>
      </c>
      <c r="C350" s="11"/>
      <c r="D350" s="11"/>
      <c r="E350" s="11"/>
      <c r="F350" s="13">
        <v>1</v>
      </c>
      <c r="G350" s="94" t="s">
        <v>250</v>
      </c>
      <c r="H350" s="93"/>
      <c r="I350" s="26" t="s">
        <v>245</v>
      </c>
      <c r="J350" s="22"/>
      <c r="K350" s="22"/>
      <c r="L350" s="22"/>
      <c r="M350" s="22"/>
      <c r="N350" s="24"/>
      <c r="O350" s="22"/>
      <c r="P350" s="22"/>
      <c r="Q350" s="22"/>
      <c r="R350" s="22"/>
      <c r="S350" s="22"/>
      <c r="T350" s="22"/>
      <c r="U350" s="73"/>
      <c r="V350" s="61" t="str">
        <f t="shared" si="35"/>
        <v/>
      </c>
    </row>
    <row r="351" spans="1:22" ht="14.25" customHeight="1" x14ac:dyDescent="0.45">
      <c r="A351" s="1"/>
      <c r="B351" s="1" t="s">
        <v>293</v>
      </c>
      <c r="C351" s="11"/>
      <c r="D351" s="11"/>
      <c r="E351" s="11"/>
      <c r="F351" s="13"/>
      <c r="G351" s="12"/>
      <c r="H351" s="9"/>
      <c r="I351" s="26" t="s">
        <v>246</v>
      </c>
      <c r="J351" s="22"/>
      <c r="K351" s="22"/>
      <c r="L351" s="22"/>
      <c r="M351" s="22"/>
      <c r="N351" s="24"/>
      <c r="O351" s="22"/>
      <c r="P351" s="22"/>
      <c r="Q351" s="22"/>
      <c r="R351" s="22"/>
      <c r="S351" s="22"/>
      <c r="T351" s="22"/>
      <c r="U351" s="73"/>
      <c r="V351" s="61" t="str">
        <f t="shared" si="35"/>
        <v/>
      </c>
    </row>
    <row r="352" spans="1:22" ht="14.25" customHeight="1" x14ac:dyDescent="0.45">
      <c r="A352" s="1"/>
      <c r="B352" s="1" t="s">
        <v>294</v>
      </c>
      <c r="C352" s="11"/>
      <c r="D352" s="11"/>
      <c r="E352" s="11"/>
      <c r="F352" s="13">
        <v>2</v>
      </c>
      <c r="G352" s="94" t="s">
        <v>252</v>
      </c>
      <c r="H352" s="93"/>
      <c r="I352" s="26" t="s">
        <v>245</v>
      </c>
      <c r="J352" s="22"/>
      <c r="K352" s="22"/>
      <c r="L352" s="22"/>
      <c r="M352" s="22"/>
      <c r="N352" s="24"/>
      <c r="O352" s="22"/>
      <c r="P352" s="22"/>
      <c r="Q352" s="22"/>
      <c r="R352" s="22"/>
      <c r="S352" s="22"/>
      <c r="T352" s="22"/>
      <c r="U352" s="39"/>
      <c r="V352" s="61" t="str">
        <f t="shared" si="35"/>
        <v/>
      </c>
    </row>
    <row r="353" spans="1:22" ht="14.25" customHeight="1" x14ac:dyDescent="0.45">
      <c r="A353" s="1"/>
      <c r="B353" s="1" t="s">
        <v>294</v>
      </c>
      <c r="C353" s="11"/>
      <c r="D353" s="11"/>
      <c r="E353" s="11"/>
      <c r="F353" s="13"/>
      <c r="G353" s="12"/>
      <c r="H353" s="9"/>
      <c r="I353" s="26" t="s">
        <v>246</v>
      </c>
      <c r="J353" s="22"/>
      <c r="K353" s="22"/>
      <c r="L353" s="22"/>
      <c r="M353" s="22"/>
      <c r="N353" s="24"/>
      <c r="O353" s="22"/>
      <c r="P353" s="22"/>
      <c r="Q353" s="22"/>
      <c r="R353" s="22"/>
      <c r="S353" s="22"/>
      <c r="T353" s="22"/>
      <c r="U353" s="39"/>
      <c r="V353" s="61" t="str">
        <f t="shared" si="35"/>
        <v/>
      </c>
    </row>
    <row r="354" spans="1:22" ht="14.25" customHeight="1" x14ac:dyDescent="0.45">
      <c r="A354" s="1"/>
      <c r="B354" s="1" t="s">
        <v>295</v>
      </c>
      <c r="C354" s="11"/>
      <c r="D354" s="11"/>
      <c r="E354" s="11"/>
      <c r="F354" s="13">
        <v>3</v>
      </c>
      <c r="G354" s="94" t="s">
        <v>257</v>
      </c>
      <c r="H354" s="93"/>
      <c r="I354" s="26" t="s">
        <v>245</v>
      </c>
      <c r="J354" s="22"/>
      <c r="K354" s="22"/>
      <c r="L354" s="22"/>
      <c r="M354" s="22"/>
      <c r="N354" s="24"/>
      <c r="O354" s="22"/>
      <c r="P354" s="22"/>
      <c r="Q354" s="22"/>
      <c r="R354" s="22"/>
      <c r="S354" s="22"/>
      <c r="T354" s="22"/>
      <c r="U354" s="39"/>
      <c r="V354" s="61" t="str">
        <f t="shared" si="35"/>
        <v/>
      </c>
    </row>
    <row r="355" spans="1:22" ht="14.25" customHeight="1" x14ac:dyDescent="0.45">
      <c r="A355" s="1"/>
      <c r="B355" s="1" t="s">
        <v>295</v>
      </c>
      <c r="C355" s="11"/>
      <c r="D355" s="11"/>
      <c r="E355" s="19"/>
      <c r="F355" s="35"/>
      <c r="G355" s="30"/>
      <c r="H355" s="9"/>
      <c r="I355" s="26" t="s">
        <v>246</v>
      </c>
      <c r="J355" s="22"/>
      <c r="K355" s="22"/>
      <c r="L355" s="22"/>
      <c r="M355" s="22"/>
      <c r="N355" s="24"/>
      <c r="O355" s="22"/>
      <c r="P355" s="22"/>
      <c r="Q355" s="22"/>
      <c r="R355" s="22"/>
      <c r="S355" s="22"/>
      <c r="T355" s="22"/>
      <c r="U355" s="39"/>
      <c r="V355" s="61" t="str">
        <f t="shared" si="35"/>
        <v/>
      </c>
    </row>
    <row r="356" spans="1:22" ht="14.25" customHeight="1" x14ac:dyDescent="0.45">
      <c r="A356" s="1"/>
      <c r="B356" s="1" t="s">
        <v>296</v>
      </c>
      <c r="C356" s="11"/>
      <c r="D356" s="11">
        <v>2</v>
      </c>
      <c r="E356" s="94" t="s">
        <v>83</v>
      </c>
      <c r="F356" s="92"/>
      <c r="G356" s="92"/>
      <c r="H356" s="93"/>
      <c r="I356" s="26" t="s">
        <v>245</v>
      </c>
      <c r="J356" s="15">
        <f t="shared" ref="J356:J357" si="37">AVERAGE(J282,J319)</f>
        <v>173.95</v>
      </c>
      <c r="K356" s="15">
        <v>165.86</v>
      </c>
      <c r="L356" s="15">
        <v>246.33</v>
      </c>
      <c r="M356" s="15">
        <v>224.29</v>
      </c>
      <c r="N356" s="16">
        <v>195265</v>
      </c>
      <c r="O356" s="15"/>
      <c r="P356" s="15"/>
      <c r="Q356" s="15"/>
      <c r="R356" s="15"/>
      <c r="S356" s="15"/>
      <c r="T356" s="15"/>
      <c r="U356" s="15"/>
      <c r="V356" s="61">
        <f t="shared" si="35"/>
        <v>39215.085999999996</v>
      </c>
    </row>
    <row r="357" spans="1:22" ht="14.25" customHeight="1" x14ac:dyDescent="0.45">
      <c r="A357" s="1"/>
      <c r="B357" s="1" t="s">
        <v>296</v>
      </c>
      <c r="C357" s="11"/>
      <c r="D357" s="11"/>
      <c r="E357" s="12"/>
      <c r="F357" s="8"/>
      <c r="G357" s="8"/>
      <c r="H357" s="9"/>
      <c r="I357" s="26" t="s">
        <v>246</v>
      </c>
      <c r="J357" s="15">
        <f t="shared" si="37"/>
        <v>2931.8199999999997</v>
      </c>
      <c r="K357" s="15">
        <v>2505.1999999999998</v>
      </c>
      <c r="L357" s="15">
        <v>3331.56</v>
      </c>
      <c r="M357" s="15">
        <v>3034.5</v>
      </c>
      <c r="N357" s="24">
        <v>2583.66</v>
      </c>
      <c r="O357" s="15"/>
      <c r="P357" s="15"/>
      <c r="Q357" s="15"/>
      <c r="R357" s="15"/>
      <c r="S357" s="15"/>
      <c r="T357" s="15"/>
      <c r="U357" s="15"/>
      <c r="V357" s="61">
        <f t="shared" si="35"/>
        <v>2877.348</v>
      </c>
    </row>
    <row r="358" spans="1:22" ht="14.25" customHeight="1" x14ac:dyDescent="0.45">
      <c r="A358" s="1"/>
      <c r="B358" s="1" t="s">
        <v>297</v>
      </c>
      <c r="C358" s="11"/>
      <c r="D358" s="11"/>
      <c r="E358" s="12"/>
      <c r="F358" s="13">
        <v>1</v>
      </c>
      <c r="G358" s="94" t="s">
        <v>250</v>
      </c>
      <c r="H358" s="93"/>
      <c r="I358" s="26" t="s">
        <v>245</v>
      </c>
      <c r="J358" s="22"/>
      <c r="K358" s="22"/>
      <c r="L358" s="22"/>
      <c r="M358" s="22"/>
      <c r="N358" s="24"/>
      <c r="O358" s="22"/>
      <c r="P358" s="22"/>
      <c r="Q358" s="22"/>
      <c r="R358" s="22"/>
      <c r="S358" s="22"/>
      <c r="T358" s="22"/>
      <c r="U358" s="22"/>
      <c r="V358" s="61" t="str">
        <f t="shared" si="35"/>
        <v/>
      </c>
    </row>
    <row r="359" spans="1:22" ht="14.25" customHeight="1" x14ac:dyDescent="0.45">
      <c r="A359" s="1"/>
      <c r="B359" s="1" t="s">
        <v>297</v>
      </c>
      <c r="C359" s="11"/>
      <c r="D359" s="11"/>
      <c r="E359" s="12"/>
      <c r="F359" s="13"/>
      <c r="G359" s="12"/>
      <c r="H359" s="9"/>
      <c r="I359" s="26" t="s">
        <v>246</v>
      </c>
      <c r="J359" s="22"/>
      <c r="K359" s="22"/>
      <c r="L359" s="22"/>
      <c r="M359" s="22"/>
      <c r="N359" s="24"/>
      <c r="O359" s="22"/>
      <c r="P359" s="22"/>
      <c r="Q359" s="22"/>
      <c r="R359" s="22"/>
      <c r="S359" s="22"/>
      <c r="T359" s="22"/>
      <c r="U359" s="22"/>
      <c r="V359" s="61" t="str">
        <f t="shared" si="35"/>
        <v/>
      </c>
    </row>
    <row r="360" spans="1:22" ht="14.25" customHeight="1" x14ac:dyDescent="0.45">
      <c r="A360" s="1"/>
      <c r="B360" s="1" t="s">
        <v>298</v>
      </c>
      <c r="C360" s="11"/>
      <c r="D360" s="11"/>
      <c r="E360" s="12"/>
      <c r="F360" s="13">
        <v>2</v>
      </c>
      <c r="G360" s="94" t="s">
        <v>252</v>
      </c>
      <c r="H360" s="93"/>
      <c r="I360" s="26" t="s">
        <v>245</v>
      </c>
      <c r="J360" s="22"/>
      <c r="K360" s="22"/>
      <c r="L360" s="22"/>
      <c r="M360" s="22"/>
      <c r="N360" s="24"/>
      <c r="O360" s="22"/>
      <c r="P360" s="22"/>
      <c r="Q360" s="22"/>
      <c r="R360" s="22"/>
      <c r="S360" s="22"/>
      <c r="T360" s="22"/>
      <c r="U360" s="22"/>
      <c r="V360" s="61" t="str">
        <f t="shared" si="35"/>
        <v/>
      </c>
    </row>
    <row r="361" spans="1:22" ht="14.25" customHeight="1" x14ac:dyDescent="0.45">
      <c r="A361" s="1"/>
      <c r="B361" s="1" t="s">
        <v>298</v>
      </c>
      <c r="C361" s="11"/>
      <c r="D361" s="11"/>
      <c r="E361" s="12"/>
      <c r="F361" s="35"/>
      <c r="G361" s="30"/>
      <c r="H361" s="9"/>
      <c r="I361" s="26" t="s">
        <v>246</v>
      </c>
      <c r="J361" s="22"/>
      <c r="K361" s="22"/>
      <c r="L361" s="22"/>
      <c r="M361" s="22"/>
      <c r="N361" s="24"/>
      <c r="O361" s="22"/>
      <c r="P361" s="22"/>
      <c r="Q361" s="22"/>
      <c r="R361" s="22"/>
      <c r="S361" s="22"/>
      <c r="T361" s="22"/>
      <c r="U361" s="22"/>
      <c r="V361" s="61" t="str">
        <f t="shared" si="35"/>
        <v/>
      </c>
    </row>
    <row r="362" spans="1:22" ht="14.25" customHeight="1" x14ac:dyDescent="0.45">
      <c r="A362" s="1"/>
      <c r="B362" s="1" t="s">
        <v>299</v>
      </c>
      <c r="C362" s="11"/>
      <c r="D362" s="11">
        <v>3</v>
      </c>
      <c r="E362" s="94" t="s">
        <v>90</v>
      </c>
      <c r="F362" s="92"/>
      <c r="G362" s="92"/>
      <c r="H362" s="93"/>
      <c r="I362" s="26" t="s">
        <v>245</v>
      </c>
      <c r="J362" s="15">
        <f t="shared" ref="J362:J363" si="38">AVERAGE(J288,J325)</f>
        <v>247.81</v>
      </c>
      <c r="K362" s="15">
        <v>208.9</v>
      </c>
      <c r="L362" s="15">
        <v>175.13</v>
      </c>
      <c r="M362" s="15">
        <v>189.63</v>
      </c>
      <c r="N362" s="24">
        <v>171.97</v>
      </c>
      <c r="O362" s="15"/>
      <c r="P362" s="15"/>
      <c r="Q362" s="15"/>
      <c r="R362" s="15"/>
      <c r="S362" s="15"/>
      <c r="T362" s="15"/>
      <c r="U362" s="15"/>
      <c r="V362" s="61">
        <f t="shared" si="35"/>
        <v>198.68800000000002</v>
      </c>
    </row>
    <row r="363" spans="1:22" ht="14.25" customHeight="1" x14ac:dyDescent="0.45">
      <c r="A363" s="1"/>
      <c r="B363" s="1" t="s">
        <v>299</v>
      </c>
      <c r="C363" s="11"/>
      <c r="D363" s="38"/>
      <c r="E363" s="30"/>
      <c r="F363" s="8"/>
      <c r="G363" s="8"/>
      <c r="H363" s="9"/>
      <c r="I363" s="26" t="s">
        <v>246</v>
      </c>
      <c r="J363" s="15">
        <f t="shared" si="38"/>
        <v>3984.96</v>
      </c>
      <c r="K363" s="15">
        <v>4809.3500000000004</v>
      </c>
      <c r="L363" s="15">
        <v>4410.4399999999996</v>
      </c>
      <c r="M363" s="15">
        <v>4876.32</v>
      </c>
      <c r="N363" s="24">
        <v>4196.79</v>
      </c>
      <c r="O363" s="15"/>
      <c r="P363" s="15"/>
      <c r="Q363" s="15"/>
      <c r="R363" s="15"/>
      <c r="S363" s="15"/>
      <c r="T363" s="15"/>
      <c r="U363" s="15"/>
      <c r="V363" s="61">
        <f t="shared" si="35"/>
        <v>4455.5720000000001</v>
      </c>
    </row>
    <row r="364" spans="1:22" ht="14.25" customHeight="1" x14ac:dyDescent="0.45">
      <c r="A364" s="1"/>
      <c r="B364" s="1" t="s">
        <v>300</v>
      </c>
      <c r="C364" s="11"/>
      <c r="D364" s="38"/>
      <c r="E364" s="30"/>
      <c r="F364" s="13">
        <v>1</v>
      </c>
      <c r="G364" s="94" t="s">
        <v>250</v>
      </c>
      <c r="H364" s="93"/>
      <c r="I364" s="26" t="s">
        <v>245</v>
      </c>
      <c r="J364" s="22"/>
      <c r="K364" s="22"/>
      <c r="L364" s="22"/>
      <c r="M364" s="22"/>
      <c r="N364" s="24"/>
      <c r="O364" s="22"/>
      <c r="P364" s="22"/>
      <c r="Q364" s="22"/>
      <c r="R364" s="22"/>
      <c r="S364" s="22"/>
      <c r="T364" s="22"/>
      <c r="U364" s="73"/>
      <c r="V364" s="61" t="str">
        <f t="shared" si="35"/>
        <v/>
      </c>
    </row>
    <row r="365" spans="1:22" ht="14.25" customHeight="1" x14ac:dyDescent="0.45">
      <c r="A365" s="1"/>
      <c r="B365" s="1" t="s">
        <v>300</v>
      </c>
      <c r="C365" s="11"/>
      <c r="D365" s="38"/>
      <c r="E365" s="30"/>
      <c r="F365" s="13"/>
      <c r="G365" s="12"/>
      <c r="H365" s="9"/>
      <c r="I365" s="26" t="s">
        <v>246</v>
      </c>
      <c r="J365" s="22"/>
      <c r="K365" s="22"/>
      <c r="L365" s="22"/>
      <c r="M365" s="22"/>
      <c r="N365" s="24"/>
      <c r="O365" s="22"/>
      <c r="P365" s="22"/>
      <c r="Q365" s="22"/>
      <c r="R365" s="22"/>
      <c r="S365" s="22"/>
      <c r="T365" s="22"/>
      <c r="U365" s="73"/>
      <c r="V365" s="61" t="str">
        <f t="shared" si="35"/>
        <v/>
      </c>
    </row>
    <row r="366" spans="1:22" ht="14.25" customHeight="1" x14ac:dyDescent="0.45">
      <c r="A366" s="1"/>
      <c r="B366" s="1" t="s">
        <v>301</v>
      </c>
      <c r="C366" s="11"/>
      <c r="D366" s="38"/>
      <c r="E366" s="30"/>
      <c r="F366" s="13">
        <v>2</v>
      </c>
      <c r="G366" s="94" t="s">
        <v>252</v>
      </c>
      <c r="H366" s="93"/>
      <c r="I366" s="26" t="s">
        <v>245</v>
      </c>
      <c r="J366" s="22"/>
      <c r="K366" s="22"/>
      <c r="L366" s="22"/>
      <c r="M366" s="22"/>
      <c r="N366" s="24"/>
      <c r="O366" s="22"/>
      <c r="P366" s="22"/>
      <c r="Q366" s="22"/>
      <c r="R366" s="22"/>
      <c r="S366" s="22"/>
      <c r="T366" s="22"/>
      <c r="U366" s="39"/>
      <c r="V366" s="74" t="str">
        <f t="shared" si="35"/>
        <v/>
      </c>
    </row>
    <row r="367" spans="1:22" ht="14.25" customHeight="1" x14ac:dyDescent="0.45">
      <c r="A367" s="1"/>
      <c r="B367" s="1" t="s">
        <v>301</v>
      </c>
      <c r="C367" s="11"/>
      <c r="D367" s="38"/>
      <c r="E367" s="30"/>
      <c r="F367" s="13"/>
      <c r="G367" s="12"/>
      <c r="H367" s="9"/>
      <c r="I367" s="26" t="s">
        <v>246</v>
      </c>
      <c r="J367" s="22"/>
      <c r="K367" s="22"/>
      <c r="L367" s="22"/>
      <c r="M367" s="22"/>
      <c r="N367" s="24"/>
      <c r="O367" s="22"/>
      <c r="P367" s="22"/>
      <c r="Q367" s="22"/>
      <c r="R367" s="22"/>
      <c r="S367" s="22"/>
      <c r="T367" s="22"/>
      <c r="U367" s="39"/>
      <c r="V367" s="74" t="str">
        <f t="shared" si="35"/>
        <v/>
      </c>
    </row>
    <row r="368" spans="1:22" ht="14.25" customHeight="1" x14ac:dyDescent="0.45">
      <c r="A368" s="1"/>
      <c r="B368" s="1" t="s">
        <v>302</v>
      </c>
      <c r="C368" s="11"/>
      <c r="D368" s="38"/>
      <c r="E368" s="30"/>
      <c r="F368" s="13">
        <v>3</v>
      </c>
      <c r="G368" s="94" t="s">
        <v>257</v>
      </c>
      <c r="H368" s="93"/>
      <c r="I368" s="26" t="s">
        <v>245</v>
      </c>
      <c r="J368" s="22"/>
      <c r="K368" s="22"/>
      <c r="L368" s="22"/>
      <c r="M368" s="22"/>
      <c r="N368" s="24"/>
      <c r="O368" s="22"/>
      <c r="P368" s="22"/>
      <c r="Q368" s="22"/>
      <c r="R368" s="22"/>
      <c r="S368" s="22"/>
      <c r="T368" s="22"/>
      <c r="U368" s="39"/>
      <c r="V368" s="61" t="str">
        <f t="shared" si="35"/>
        <v/>
      </c>
    </row>
    <row r="369" spans="1:22" ht="14.25" customHeight="1" x14ac:dyDescent="0.45">
      <c r="A369" s="1"/>
      <c r="B369" s="1" t="s">
        <v>302</v>
      </c>
      <c r="C369" s="11"/>
      <c r="D369" s="38"/>
      <c r="E369" s="30"/>
      <c r="F369" s="35"/>
      <c r="G369" s="30"/>
      <c r="H369" s="9"/>
      <c r="I369" s="26" t="s">
        <v>246</v>
      </c>
      <c r="J369" s="22"/>
      <c r="K369" s="22"/>
      <c r="L369" s="22"/>
      <c r="M369" s="22"/>
      <c r="N369" s="24"/>
      <c r="O369" s="22"/>
      <c r="P369" s="22"/>
      <c r="Q369" s="22"/>
      <c r="R369" s="22"/>
      <c r="S369" s="22"/>
      <c r="T369" s="22"/>
      <c r="U369" s="39"/>
      <c r="V369" s="61" t="str">
        <f t="shared" si="35"/>
        <v/>
      </c>
    </row>
    <row r="370" spans="1:22" ht="14.25" customHeight="1" x14ac:dyDescent="0.45">
      <c r="A370" s="1"/>
      <c r="B370" s="1" t="s">
        <v>303</v>
      </c>
      <c r="C370" s="11"/>
      <c r="D370" s="38">
        <v>4</v>
      </c>
      <c r="E370" s="94" t="s">
        <v>266</v>
      </c>
      <c r="F370" s="92"/>
      <c r="G370" s="92"/>
      <c r="H370" s="93"/>
      <c r="I370" s="26" t="s">
        <v>267</v>
      </c>
      <c r="J370" s="22"/>
      <c r="K370" s="22"/>
      <c r="L370" s="22"/>
      <c r="M370" s="22"/>
      <c r="N370" s="24"/>
      <c r="O370" s="22"/>
      <c r="P370" s="22"/>
      <c r="Q370" s="22"/>
      <c r="R370" s="22"/>
      <c r="S370" s="22"/>
      <c r="T370" s="22"/>
      <c r="U370" s="39"/>
      <c r="V370" s="61" t="str">
        <f t="shared" si="35"/>
        <v/>
      </c>
    </row>
    <row r="371" spans="1:22" ht="14.25" customHeight="1" x14ac:dyDescent="0.45">
      <c r="A371" s="1"/>
      <c r="B371" s="1" t="s">
        <v>303</v>
      </c>
      <c r="C371" s="11"/>
      <c r="D371" s="38"/>
      <c r="E371" s="30"/>
      <c r="F371" s="8"/>
      <c r="G371" s="8"/>
      <c r="H371" s="9"/>
      <c r="I371" s="26" t="s">
        <v>268</v>
      </c>
      <c r="J371" s="22"/>
      <c r="K371" s="22"/>
      <c r="L371" s="22"/>
      <c r="M371" s="22"/>
      <c r="N371" s="24"/>
      <c r="O371" s="22"/>
      <c r="P371" s="22"/>
      <c r="Q371" s="22"/>
      <c r="R371" s="22"/>
      <c r="S371" s="22"/>
      <c r="T371" s="22"/>
      <c r="U371" s="39"/>
      <c r="V371" s="61" t="str">
        <f t="shared" si="35"/>
        <v/>
      </c>
    </row>
    <row r="372" spans="1:22" ht="14.25" customHeight="1" x14ac:dyDescent="0.45"/>
    <row r="373" spans="1:22" ht="14.25" customHeight="1" x14ac:dyDescent="0.45"/>
    <row r="374" spans="1:22" ht="14.25" customHeight="1" x14ac:dyDescent="0.45"/>
    <row r="375" spans="1:22" ht="14.25" customHeight="1" x14ac:dyDescent="0.45"/>
    <row r="376" spans="1:22" ht="14.25" customHeight="1" x14ac:dyDescent="0.45"/>
    <row r="377" spans="1:22" ht="14.25" customHeight="1" x14ac:dyDescent="0.45"/>
    <row r="378" spans="1:22" ht="14.25" customHeight="1" x14ac:dyDescent="0.45"/>
    <row r="379" spans="1:22" ht="14.25" customHeight="1" x14ac:dyDescent="0.45"/>
    <row r="380" spans="1:22" ht="14.25" customHeight="1" x14ac:dyDescent="0.45"/>
    <row r="381" spans="1:22" ht="14.25" customHeight="1" x14ac:dyDescent="0.45"/>
    <row r="382" spans="1:22" ht="14.25" customHeight="1" x14ac:dyDescent="0.45"/>
    <row r="383" spans="1:22" ht="14.25" customHeight="1" x14ac:dyDescent="0.45"/>
    <row r="384" spans="1:22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mergeCells count="276">
    <mergeCell ref="E319:H319"/>
    <mergeCell ref="G321:H321"/>
    <mergeCell ref="G323:H323"/>
    <mergeCell ref="E325:H325"/>
    <mergeCell ref="F301:H301"/>
    <mergeCell ref="F303:H303"/>
    <mergeCell ref="F305:H305"/>
    <mergeCell ref="G307:H307"/>
    <mergeCell ref="G309:H309"/>
    <mergeCell ref="F311:H311"/>
    <mergeCell ref="G313:H313"/>
    <mergeCell ref="G315:H315"/>
    <mergeCell ref="G317:H317"/>
    <mergeCell ref="C257:C259"/>
    <mergeCell ref="D260:H260"/>
    <mergeCell ref="D262:H262"/>
    <mergeCell ref="E263:H263"/>
    <mergeCell ref="F264:H264"/>
    <mergeCell ref="F266:H266"/>
    <mergeCell ref="F268:H268"/>
    <mergeCell ref="G270:H270"/>
    <mergeCell ref="G272:H272"/>
    <mergeCell ref="I257:I259"/>
    <mergeCell ref="J257:V258"/>
    <mergeCell ref="J260:U260"/>
    <mergeCell ref="G245:H245"/>
    <mergeCell ref="E249:H249"/>
    <mergeCell ref="E250:H250"/>
    <mergeCell ref="D252:H252"/>
    <mergeCell ref="D253:H253"/>
    <mergeCell ref="G254:H254"/>
    <mergeCell ref="F348:H348"/>
    <mergeCell ref="G350:H350"/>
    <mergeCell ref="G366:H366"/>
    <mergeCell ref="G368:H368"/>
    <mergeCell ref="E370:H370"/>
    <mergeCell ref="G352:H352"/>
    <mergeCell ref="G354:H354"/>
    <mergeCell ref="E356:H356"/>
    <mergeCell ref="G358:H358"/>
    <mergeCell ref="G360:H360"/>
    <mergeCell ref="E362:H362"/>
    <mergeCell ref="G364:H364"/>
    <mergeCell ref="E333:H333"/>
    <mergeCell ref="D335:H335"/>
    <mergeCell ref="D336:H336"/>
    <mergeCell ref="E337:H337"/>
    <mergeCell ref="F338:H338"/>
    <mergeCell ref="F340:H340"/>
    <mergeCell ref="F342:H342"/>
    <mergeCell ref="G344:H344"/>
    <mergeCell ref="G346:H346"/>
    <mergeCell ref="E233:H233"/>
    <mergeCell ref="F234:H234"/>
    <mergeCell ref="G235:H235"/>
    <mergeCell ref="G238:H238"/>
    <mergeCell ref="F241:H241"/>
    <mergeCell ref="G242:H242"/>
    <mergeCell ref="G327:H327"/>
    <mergeCell ref="G329:H329"/>
    <mergeCell ref="G331:H331"/>
    <mergeCell ref="D257:H259"/>
    <mergeCell ref="F274:H274"/>
    <mergeCell ref="G276:H276"/>
    <mergeCell ref="G278:H278"/>
    <mergeCell ref="G280:H280"/>
    <mergeCell ref="E282:H282"/>
    <mergeCell ref="G284:H284"/>
    <mergeCell ref="G286:H286"/>
    <mergeCell ref="E288:H288"/>
    <mergeCell ref="G290:H290"/>
    <mergeCell ref="G292:H292"/>
    <mergeCell ref="G294:H294"/>
    <mergeCell ref="E296:H296"/>
    <mergeCell ref="D299:H299"/>
    <mergeCell ref="E300:H300"/>
    <mergeCell ref="E214:H214"/>
    <mergeCell ref="F215:H215"/>
    <mergeCell ref="G216:H216"/>
    <mergeCell ref="G219:H219"/>
    <mergeCell ref="F222:H222"/>
    <mergeCell ref="G223:H223"/>
    <mergeCell ref="G226:H226"/>
    <mergeCell ref="E230:H230"/>
    <mergeCell ref="E231:H231"/>
    <mergeCell ref="G205:H205"/>
    <mergeCell ref="G206:H206"/>
    <mergeCell ref="G207:H207"/>
    <mergeCell ref="F208:H208"/>
    <mergeCell ref="G209:H209"/>
    <mergeCell ref="G210:H210"/>
    <mergeCell ref="G211:H211"/>
    <mergeCell ref="D212:H212"/>
    <mergeCell ref="D213:H213"/>
    <mergeCell ref="G196:H196"/>
    <mergeCell ref="G197:H197"/>
    <mergeCell ref="F198:H198"/>
    <mergeCell ref="G199:H199"/>
    <mergeCell ref="G200:H200"/>
    <mergeCell ref="G201:H201"/>
    <mergeCell ref="D202:H202"/>
    <mergeCell ref="E203:H203"/>
    <mergeCell ref="F204:H204"/>
    <mergeCell ref="G187:H187"/>
    <mergeCell ref="F188:H188"/>
    <mergeCell ref="G189:H189"/>
    <mergeCell ref="G190:H190"/>
    <mergeCell ref="G191:H191"/>
    <mergeCell ref="D192:H192"/>
    <mergeCell ref="E193:H193"/>
    <mergeCell ref="F194:H194"/>
    <mergeCell ref="G195:H195"/>
    <mergeCell ref="C177:C179"/>
    <mergeCell ref="D177:H179"/>
    <mergeCell ref="D180:H180"/>
    <mergeCell ref="D181:H181"/>
    <mergeCell ref="D182:H182"/>
    <mergeCell ref="E183:H183"/>
    <mergeCell ref="F184:H184"/>
    <mergeCell ref="G185:H185"/>
    <mergeCell ref="G186:H186"/>
    <mergeCell ref="F162:H162"/>
    <mergeCell ref="F163:H163"/>
    <mergeCell ref="F164:H164"/>
    <mergeCell ref="F165:H165"/>
    <mergeCell ref="E167:H167"/>
    <mergeCell ref="F168:H168"/>
    <mergeCell ref="I177:I179"/>
    <mergeCell ref="J177:V178"/>
    <mergeCell ref="J180:U180"/>
    <mergeCell ref="F169:H169"/>
    <mergeCell ref="F170:H170"/>
    <mergeCell ref="F171:H171"/>
    <mergeCell ref="F172:H172"/>
    <mergeCell ref="F173:H173"/>
    <mergeCell ref="F152:H152"/>
    <mergeCell ref="F153:H153"/>
    <mergeCell ref="F154:H154"/>
    <mergeCell ref="F155:H155"/>
    <mergeCell ref="F156:H156"/>
    <mergeCell ref="F157:H157"/>
    <mergeCell ref="E159:H159"/>
    <mergeCell ref="F160:H160"/>
    <mergeCell ref="F161:H161"/>
    <mergeCell ref="F141:H141"/>
    <mergeCell ref="E143:H143"/>
    <mergeCell ref="F144:H144"/>
    <mergeCell ref="F145:H145"/>
    <mergeCell ref="F146:H146"/>
    <mergeCell ref="F147:H147"/>
    <mergeCell ref="F148:H148"/>
    <mergeCell ref="F149:H149"/>
    <mergeCell ref="E151:H151"/>
    <mergeCell ref="F131:H131"/>
    <mergeCell ref="F132:H132"/>
    <mergeCell ref="D134:H134"/>
    <mergeCell ref="E135:H135"/>
    <mergeCell ref="F136:H136"/>
    <mergeCell ref="F137:H137"/>
    <mergeCell ref="F138:H138"/>
    <mergeCell ref="F139:H139"/>
    <mergeCell ref="F140:H140"/>
    <mergeCell ref="F121:H121"/>
    <mergeCell ref="F122:H122"/>
    <mergeCell ref="F123:H123"/>
    <mergeCell ref="F124:H124"/>
    <mergeCell ref="E126:H126"/>
    <mergeCell ref="F127:H127"/>
    <mergeCell ref="F128:H128"/>
    <mergeCell ref="F129:H129"/>
    <mergeCell ref="F130:H130"/>
    <mergeCell ref="F95:H95"/>
    <mergeCell ref="F96:H96"/>
    <mergeCell ref="F97:H97"/>
    <mergeCell ref="F98:H98"/>
    <mergeCell ref="F99:H99"/>
    <mergeCell ref="F100:H100"/>
    <mergeCell ref="E102:H102"/>
    <mergeCell ref="F103:H103"/>
    <mergeCell ref="F104:H104"/>
    <mergeCell ref="E85:H85"/>
    <mergeCell ref="F86:H86"/>
    <mergeCell ref="F87:H87"/>
    <mergeCell ref="F88:H88"/>
    <mergeCell ref="F89:H89"/>
    <mergeCell ref="F90:H90"/>
    <mergeCell ref="F91:H91"/>
    <mergeCell ref="D93:H93"/>
    <mergeCell ref="E94:H94"/>
    <mergeCell ref="F74:H74"/>
    <mergeCell ref="F75:H75"/>
    <mergeCell ref="E77:H77"/>
    <mergeCell ref="F78:H78"/>
    <mergeCell ref="F79:H79"/>
    <mergeCell ref="F80:H80"/>
    <mergeCell ref="F81:H81"/>
    <mergeCell ref="F82:H82"/>
    <mergeCell ref="F83:H83"/>
    <mergeCell ref="F111:H111"/>
    <mergeCell ref="F112:H112"/>
    <mergeCell ref="F113:H113"/>
    <mergeCell ref="F114:H114"/>
    <mergeCell ref="F115:H115"/>
    <mergeCell ref="F116:H116"/>
    <mergeCell ref="E118:H118"/>
    <mergeCell ref="F119:H119"/>
    <mergeCell ref="F120:H120"/>
    <mergeCell ref="E53:H53"/>
    <mergeCell ref="F54:H54"/>
    <mergeCell ref="F55:H55"/>
    <mergeCell ref="F56:H56"/>
    <mergeCell ref="F105:H105"/>
    <mergeCell ref="F106:H106"/>
    <mergeCell ref="F107:H107"/>
    <mergeCell ref="F108:H108"/>
    <mergeCell ref="E110:H110"/>
    <mergeCell ref="F57:H57"/>
    <mergeCell ref="F58:H58"/>
    <mergeCell ref="F59:H59"/>
    <mergeCell ref="E61:H61"/>
    <mergeCell ref="F62:H62"/>
    <mergeCell ref="F63:H63"/>
    <mergeCell ref="F64:H64"/>
    <mergeCell ref="F65:H65"/>
    <mergeCell ref="F66:H66"/>
    <mergeCell ref="F67:H67"/>
    <mergeCell ref="E69:H69"/>
    <mergeCell ref="F70:H70"/>
    <mergeCell ref="F71:H71"/>
    <mergeCell ref="F72:H72"/>
    <mergeCell ref="F73:H73"/>
    <mergeCell ref="E43:H43"/>
    <mergeCell ref="F44:H44"/>
    <mergeCell ref="C47:C49"/>
    <mergeCell ref="D47:H49"/>
    <mergeCell ref="I47:I49"/>
    <mergeCell ref="J47:V48"/>
    <mergeCell ref="D50:H50"/>
    <mergeCell ref="J50:U50"/>
    <mergeCell ref="D52:H52"/>
    <mergeCell ref="E34:H34"/>
    <mergeCell ref="E35:H35"/>
    <mergeCell ref="E36:H36"/>
    <mergeCell ref="D37:H37"/>
    <mergeCell ref="D38:H38"/>
    <mergeCell ref="E39:H39"/>
    <mergeCell ref="E40:H40"/>
    <mergeCell ref="E41:H41"/>
    <mergeCell ref="E42:H42"/>
    <mergeCell ref="E25:H25"/>
    <mergeCell ref="E26:H26"/>
    <mergeCell ref="E27:H27"/>
    <mergeCell ref="E28:H28"/>
    <mergeCell ref="E29:H29"/>
    <mergeCell ref="D30:H30"/>
    <mergeCell ref="D31:H31"/>
    <mergeCell ref="E32:H32"/>
    <mergeCell ref="E33:H33"/>
    <mergeCell ref="D16:H16"/>
    <mergeCell ref="D17:H17"/>
    <mergeCell ref="E18:H18"/>
    <mergeCell ref="E19:H19"/>
    <mergeCell ref="E20:H20"/>
    <mergeCell ref="E21:H21"/>
    <mergeCell ref="E22:H22"/>
    <mergeCell ref="D23:H23"/>
    <mergeCell ref="D24:H24"/>
    <mergeCell ref="C2:G2"/>
    <mergeCell ref="C4:G4"/>
    <mergeCell ref="C6:G6"/>
    <mergeCell ref="C12:C14"/>
    <mergeCell ref="D12:H14"/>
    <mergeCell ref="I12:I14"/>
    <mergeCell ref="J12:V13"/>
    <mergeCell ref="D15:H15"/>
    <mergeCell ref="J15:U15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Fadilah</dc:creator>
  <cp:lastModifiedBy>Bradley Ganap</cp:lastModifiedBy>
  <dcterms:created xsi:type="dcterms:W3CDTF">2021-08-22T08:56:02Z</dcterms:created>
  <dcterms:modified xsi:type="dcterms:W3CDTF">2026-07-12T06:20:21Z</dcterms:modified>
</cp:coreProperties>
</file>