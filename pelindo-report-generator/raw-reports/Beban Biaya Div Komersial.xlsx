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 GREEI GANAP\Documents\RKM 2027\"/>
    </mc:Choice>
  </mc:AlternateContent>
  <xr:revisionPtr revIDLastSave="0" documentId="13_ncr:1_{935FB4F1-9408-418E-836A-C0D518041AF3}" xr6:coauthVersionLast="45" xr6:coauthVersionMax="45" xr10:uidLastSave="{00000000-0000-0000-0000-000000000000}"/>
  <bookViews>
    <workbookView xWindow="-108" yWindow="-108" windowWidth="23256" windowHeight="12456" xr2:uid="{74217136-995E-453A-AE2C-1A0FDF9AD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8" i="1" l="1"/>
  <c r="J17" i="1"/>
  <c r="J16" i="1"/>
  <c r="J38" i="1" s="1"/>
  <c r="K38" i="1" s="1"/>
  <c r="K17" i="1"/>
  <c r="K11" i="1"/>
  <c r="E38" i="1"/>
  <c r="K37" i="1"/>
  <c r="K36" i="1"/>
  <c r="J37" i="1"/>
  <c r="J36" i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5" i="1"/>
  <c r="K15" i="1" s="1"/>
  <c r="J14" i="1"/>
  <c r="K14" i="1" s="1"/>
  <c r="J13" i="1"/>
  <c r="K13" i="1" s="1"/>
  <c r="J12" i="1"/>
  <c r="K12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K16" i="1" l="1"/>
</calcChain>
</file>

<file path=xl/sharedStrings.xml><?xml version="1.0" encoding="utf-8"?>
<sst xmlns="http://schemas.openxmlformats.org/spreadsheetml/2006/main" count="112" uniqueCount="72">
  <si>
    <t>Nama Akun</t>
  </si>
  <si>
    <t>Klasifikasi</t>
  </si>
  <si>
    <t>Detail</t>
  </si>
  <si>
    <t>RKAP 2026</t>
  </si>
  <si>
    <t>Prognosa 2026</t>
  </si>
  <si>
    <t>Harga Satuan</t>
  </si>
  <si>
    <t>Frekuensi</t>
  </si>
  <si>
    <t>Quantity</t>
  </si>
  <si>
    <t>Beban Langganan Air</t>
  </si>
  <si>
    <t>Bahan_Air Kapal</t>
  </si>
  <si>
    <t xml:space="preserve"> Air Kapal</t>
  </si>
  <si>
    <t>Bahan_Air PDAM</t>
  </si>
  <si>
    <t xml:space="preserve"> Air Umum</t>
  </si>
  <si>
    <t>Beban Langganan Listrik</t>
  </si>
  <si>
    <t>Bahan_Listrik</t>
  </si>
  <si>
    <t xml:space="preserve"> Langganan listrik Kantor Jan s.d Des 2025</t>
  </si>
  <si>
    <t>Beban Bahan Pas Pelabuhan</t>
  </si>
  <si>
    <t>Bahan_Pas Pelabuhan</t>
  </si>
  <si>
    <t xml:space="preserve"> Pembuatan E-Money Gate Pass</t>
  </si>
  <si>
    <t xml:space="preserve"> Tinta Cetak Kartu ID Card</t>
  </si>
  <si>
    <t xml:space="preserve"> ATK ID Card dan TID</t>
  </si>
  <si>
    <t>Beban KSMU Managemen Fee</t>
  </si>
  <si>
    <t>Pandu Tunda Cabang</t>
  </si>
  <si>
    <t>Beban Publikasi Media Massa</t>
  </si>
  <si>
    <t xml:space="preserve"> Iklan &amp; Kerjasama Media Partner</t>
  </si>
  <si>
    <t>Beban Perjalanan Dinas/Pindah-Transportasi</t>
  </si>
  <si>
    <t>Umum_SPPD</t>
  </si>
  <si>
    <t xml:space="preserve"> KOMERSIAL</t>
  </si>
  <si>
    <t>Beban Perjalanan Dinas/Pindah-Akomodasi</t>
  </si>
  <si>
    <t xml:space="preserve">  KOMERSIAL</t>
  </si>
  <si>
    <t>Beban Perjalanan Dinas/Pindah-Uang Saku</t>
  </si>
  <si>
    <t xml:space="preserve">   KOMERSIAL</t>
  </si>
  <si>
    <t>Beban PNBP</t>
  </si>
  <si>
    <t>Umum_PNBP</t>
  </si>
  <si>
    <t xml:space="preserve"> PNBP Pandu Tunda</t>
  </si>
  <si>
    <t>Beban Konsesi</t>
  </si>
  <si>
    <t>Umum_Konsesi</t>
  </si>
  <si>
    <t>Konsesi Cabang</t>
  </si>
  <si>
    <t>Beban Promosi</t>
  </si>
  <si>
    <t xml:space="preserve"> Survey Kepuasan Pelanggan</t>
  </si>
  <si>
    <t xml:space="preserve"> Coffee Morning</t>
  </si>
  <si>
    <t xml:space="preserve"> Temu Pelanggan</t>
  </si>
  <si>
    <t xml:space="preserve"> Customer Awards / Apresiasi</t>
  </si>
  <si>
    <t xml:space="preserve"> Booklet / Leaflet</t>
  </si>
  <si>
    <t xml:space="preserve"> Media Visit/Media Office Visit</t>
  </si>
  <si>
    <t xml:space="preserve"> Entertainment Kehumasan/Pelanggan</t>
  </si>
  <si>
    <t xml:space="preserve"> Customer Thanks Giving</t>
  </si>
  <si>
    <t xml:space="preserve"> Customer Gathering</t>
  </si>
  <si>
    <t xml:space="preserve"> Customer Hearing</t>
  </si>
  <si>
    <t xml:space="preserve"> Media Gathering</t>
  </si>
  <si>
    <t xml:space="preserve"> Customer Service Officer/Customer Care</t>
  </si>
  <si>
    <t xml:space="preserve"> Customer Visit/Kunjungan Pelanggan</t>
  </si>
  <si>
    <t xml:space="preserve"> Souvenir Pemasaran</t>
  </si>
  <si>
    <t xml:space="preserve"> Pameran</t>
  </si>
  <si>
    <t xml:space="preserve"> Sponsorship</t>
  </si>
  <si>
    <t>Beban Jasa Konsultan</t>
  </si>
  <si>
    <t xml:space="preserve"> Kajian Pemasaran dan Pengembangan (KJPP)/RIP/Project Integrasi KBS</t>
  </si>
  <si>
    <t>Beban Bantuan Sosial</t>
  </si>
  <si>
    <t xml:space="preserve"> Bantuan Sosial Lainnya</t>
  </si>
  <si>
    <t xml:space="preserve"> Bantuan Forum Budaya Masyarakat</t>
  </si>
  <si>
    <t>Beban Imbalan Jasa</t>
  </si>
  <si>
    <t xml:space="preserve"> Biaya Angkutan Lebaran (Penugasan Lebaran &amp; Nataru)/Evaluasi Berkala Standar Kinerja/Kajian Bisnis &amp; Tarif</t>
  </si>
  <si>
    <t>RKAP 2027</t>
  </si>
  <si>
    <t>Jumlah</t>
  </si>
  <si>
    <t>%</t>
  </si>
  <si>
    <t>BEBAN BIAYA DIVISI KOMERSIAL</t>
  </si>
  <si>
    <t>Umum Promosi</t>
  </si>
  <si>
    <t>Umum SPPD</t>
  </si>
  <si>
    <t>Umum Bantuan Sosial</t>
  </si>
  <si>
    <t>Beban kSMU</t>
  </si>
  <si>
    <t>Beban Publikasi</t>
  </si>
  <si>
    <t>Beban Jasa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</si>
</sst>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Pragmatica Book"/>
      <family val="2"/>
    </font>
    <font>
      <sz val="11"/>
      <name val="Calibri"/>
      <family val="2"/>
    </font>
    <font>
      <sz val="11"/>
      <color theme="1"/>
      <name val="Pragmatica Light"/>
      <family val="2"/>
    </font>
    <font>
      <b/>
      <sz val="11"/>
      <color theme="1"/>
      <name val="Pragmatica Book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9">
    <xf numFmtId="0" fontId="0" fillId="0" borderId="0" xfId="0"/>
    <xf numFmtId="41" fontId="5" fillId="0" borderId="1" xfId="3" applyNumberFormat="1" applyFont="1" applyFill="1" applyBorder="1" applyAlignment="1" applyProtection="1">
      <alignment vertical="center"/>
    </xf>
    <xf numFmtId="41" fontId="5" fillId="3" borderId="1" xfId="3" applyNumberFormat="1" applyFont="1" applyFill="1" applyBorder="1" applyAlignment="1" applyProtection="1">
      <alignment vertical="center"/>
    </xf>
    <xf numFmtId="41" fontId="5" fillId="4" borderId="1" xfId="3" applyNumberFormat="1" applyFont="1" applyFill="1" applyBorder="1" applyAlignment="1" applyProtection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43" fontId="0" fillId="0" borderId="1" xfId="1" applyFont="1" applyBorder="1"/>
    <xf numFmtId="9" fontId="2" fillId="7" borderId="1" xfId="2" applyFont="1" applyFill="1" applyBorder="1" applyAlignment="1">
      <alignment horizontal="center" vertical="center"/>
    </xf>
    <xf numFmtId="41" fontId="5" fillId="8" borderId="1" xfId="3" applyNumberFormat="1" applyFont="1" applyFill="1" applyBorder="1" applyAlignment="1" applyProtection="1">
      <alignment vertical="center"/>
    </xf>
  </cellXfs>
  <cellStyles count="4">
    <cellStyle name="Comma" xfId="1" builtinId="3"/>
    <cellStyle name="Comma 2 2" xfId="3" xr:uid="{57ED797C-933C-4D5B-AA31-089B1C46848E}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F574-E194-4287-A754-297846B11E73}">
  <dimension ref="B1:K38"/>
  <sheetViews>
    <sheetView tabSelected="1" topLeftCell="B1" zoomScale="71" workbookViewId="0">
      <selection activeCell="I18" sqref="I18"/>
    </sheetView>
  </sheetViews>
  <sheetFormatPr defaultRowHeight="14.4"/>
  <cols>
    <col min="2" max="2" width="52.33203125" customWidth="1"/>
    <col min="3" max="3" width="26.5546875" customWidth="1"/>
    <col min="4" max="4" width="68" customWidth="1"/>
    <col min="5" max="5" width="22.109375" bestFit="1" customWidth="1"/>
    <col min="6" max="6" width="22.88671875" bestFit="1" customWidth="1"/>
    <col min="7" max="7" width="21.6640625" customWidth="1"/>
    <col min="8" max="8" width="16.5546875" customWidth="1"/>
    <col min="9" max="9" width="16.109375" customWidth="1"/>
    <col min="10" max="10" width="22.88671875" bestFit="1" customWidth="1"/>
  </cols>
  <sheetData>
    <row r="1" spans="2:11" ht="18">
      <c r="B1" s="15" t="s">
        <v>65</v>
      </c>
      <c r="C1" s="15"/>
      <c r="D1" s="15"/>
      <c r="E1" s="15"/>
      <c r="F1" s="15"/>
      <c r="G1" s="15"/>
      <c r="H1" s="15"/>
      <c r="I1" s="15"/>
      <c r="J1" s="15"/>
    </row>
    <row r="3" spans="2:11" ht="17.399999999999999">
      <c r="B3" s="4" t="s">
        <v>0</v>
      </c>
      <c r="C3" s="4" t="s">
        <v>1</v>
      </c>
      <c r="D3" s="4" t="s">
        <v>2</v>
      </c>
      <c r="E3" s="6" t="s">
        <v>3</v>
      </c>
      <c r="F3" s="4" t="s">
        <v>4</v>
      </c>
      <c r="G3" s="8" t="s">
        <v>62</v>
      </c>
      <c r="H3" s="8"/>
      <c r="I3" s="8"/>
      <c r="J3" s="8"/>
      <c r="K3" s="17" t="s">
        <v>64</v>
      </c>
    </row>
    <row r="4" spans="2:11" ht="17.399999999999999">
      <c r="B4" s="5"/>
      <c r="C4" s="5"/>
      <c r="D4" s="5"/>
      <c r="E4" s="7"/>
      <c r="F4" s="5"/>
      <c r="G4" s="9" t="s">
        <v>5</v>
      </c>
      <c r="H4" s="9" t="s">
        <v>6</v>
      </c>
      <c r="I4" s="9" t="s">
        <v>7</v>
      </c>
      <c r="J4" s="9" t="s">
        <v>63</v>
      </c>
      <c r="K4" s="17"/>
    </row>
    <row r="5" spans="2:11">
      <c r="B5" s="1" t="s">
        <v>8</v>
      </c>
      <c r="C5" s="1" t="s">
        <v>9</v>
      </c>
      <c r="D5" s="1" t="s">
        <v>10</v>
      </c>
      <c r="E5" s="1">
        <v>499754463.04475051</v>
      </c>
      <c r="F5" s="2">
        <v>-499754463.04475051</v>
      </c>
      <c r="G5" s="2">
        <v>-45810826</v>
      </c>
      <c r="H5" s="2">
        <v>12</v>
      </c>
      <c r="I5" s="2">
        <v>1</v>
      </c>
      <c r="J5" s="1">
        <f t="shared" ref="J5:J6" si="0">G5*H5*I5</f>
        <v>-549729912</v>
      </c>
      <c r="K5" s="16">
        <f t="shared" ref="K5:K38" si="1">J5/F5</f>
        <v>1.1000000053041536</v>
      </c>
    </row>
    <row r="6" spans="2:11">
      <c r="B6" s="1" t="s">
        <v>8</v>
      </c>
      <c r="C6" s="1" t="s">
        <v>11</v>
      </c>
      <c r="D6" s="1" t="s">
        <v>12</v>
      </c>
      <c r="E6" s="1">
        <v>254624924.29213709</v>
      </c>
      <c r="F6" s="2">
        <v>-254624924.29213709</v>
      </c>
      <c r="G6" s="2">
        <v>-23340618</v>
      </c>
      <c r="H6" s="2">
        <v>12</v>
      </c>
      <c r="I6" s="2">
        <v>1</v>
      </c>
      <c r="J6" s="1">
        <f t="shared" si="0"/>
        <v>-280087416</v>
      </c>
      <c r="K6" s="16">
        <f t="shared" si="1"/>
        <v>1.0999999971670062</v>
      </c>
    </row>
    <row r="7" spans="2:11">
      <c r="B7" s="1" t="s">
        <v>13</v>
      </c>
      <c r="C7" s="1" t="s">
        <v>14</v>
      </c>
      <c r="D7" s="1" t="s">
        <v>15</v>
      </c>
      <c r="E7" s="1">
        <v>4001675648</v>
      </c>
      <c r="F7" s="2">
        <v>-4001675648</v>
      </c>
      <c r="G7" s="2">
        <v>-375000000</v>
      </c>
      <c r="H7" s="2">
        <v>12</v>
      </c>
      <c r="I7" s="2">
        <v>1</v>
      </c>
      <c r="J7" s="1">
        <f>G7*H7*I7</f>
        <v>-4500000000</v>
      </c>
      <c r="K7" s="16">
        <f t="shared" si="1"/>
        <v>1.1245289213405034</v>
      </c>
    </row>
    <row r="8" spans="2:11">
      <c r="B8" s="3" t="s">
        <v>16</v>
      </c>
      <c r="C8" s="3" t="s">
        <v>17</v>
      </c>
      <c r="D8" s="3" t="s">
        <v>18</v>
      </c>
      <c r="E8" s="3">
        <v>240000000</v>
      </c>
      <c r="F8" s="3">
        <v>-115000000</v>
      </c>
      <c r="G8" s="3">
        <v>-49000000</v>
      </c>
      <c r="H8" s="3">
        <v>5</v>
      </c>
      <c r="I8" s="3">
        <v>1</v>
      </c>
      <c r="J8" s="3">
        <f t="shared" ref="J8:J10" si="2">G8*H8*I8</f>
        <v>-245000000</v>
      </c>
      <c r="K8" s="16">
        <f t="shared" si="1"/>
        <v>2.1304347826086958</v>
      </c>
    </row>
    <row r="9" spans="2:11">
      <c r="B9" s="1" t="s">
        <v>16</v>
      </c>
      <c r="C9" s="18" t="s">
        <v>17</v>
      </c>
      <c r="D9" s="1" t="s">
        <v>19</v>
      </c>
      <c r="E9" s="1">
        <v>45000000</v>
      </c>
      <c r="F9" s="2">
        <v>-45000000</v>
      </c>
      <c r="G9" s="2">
        <v>-18000000</v>
      </c>
      <c r="H9" s="2">
        <v>3</v>
      </c>
      <c r="I9" s="2">
        <v>1</v>
      </c>
      <c r="J9" s="1">
        <f t="shared" si="2"/>
        <v>-54000000</v>
      </c>
      <c r="K9" s="16">
        <f t="shared" si="1"/>
        <v>1.2</v>
      </c>
    </row>
    <row r="10" spans="2:11">
      <c r="B10" s="3" t="s">
        <v>16</v>
      </c>
      <c r="C10" s="3" t="s">
        <v>17</v>
      </c>
      <c r="D10" s="3" t="s">
        <v>20</v>
      </c>
      <c r="E10" s="3">
        <v>140000000</v>
      </c>
      <c r="F10" s="3">
        <v>-40000000</v>
      </c>
      <c r="G10" s="3">
        <v>0</v>
      </c>
      <c r="H10" s="3">
        <v>0</v>
      </c>
      <c r="I10" s="3">
        <v>1</v>
      </c>
      <c r="J10" s="3">
        <f t="shared" si="2"/>
        <v>0</v>
      </c>
      <c r="K10" s="16">
        <f t="shared" si="1"/>
        <v>0</v>
      </c>
    </row>
    <row r="11" spans="2:11">
      <c r="B11" s="1" t="s">
        <v>21</v>
      </c>
      <c r="C11" s="1" t="s">
        <v>69</v>
      </c>
      <c r="D11" s="1" t="s">
        <v>22</v>
      </c>
      <c r="E11" s="1">
        <v>207887593559</v>
      </c>
      <c r="F11" s="1">
        <v>-207887593559</v>
      </c>
      <c r="G11" s="1">
        <v>0</v>
      </c>
      <c r="H11" s="1"/>
      <c r="I11" s="1"/>
      <c r="J11" s="1">
        <v>-213969460456</v>
      </c>
      <c r="K11" s="16">
        <f>J11/F11</f>
        <v>1.029255554854811</v>
      </c>
    </row>
    <row r="12" spans="2:11">
      <c r="B12" s="1" t="s">
        <v>23</v>
      </c>
      <c r="C12" s="1" t="s">
        <v>70</v>
      </c>
      <c r="D12" s="1" t="s">
        <v>24</v>
      </c>
      <c r="E12" s="1">
        <v>70000000</v>
      </c>
      <c r="F12" s="1">
        <v>-70000000</v>
      </c>
      <c r="G12" s="2">
        <v>-18000000</v>
      </c>
      <c r="H12" s="2">
        <v>12</v>
      </c>
      <c r="I12" s="2">
        <v>1</v>
      </c>
      <c r="J12" s="1">
        <f t="shared" ref="J12:J15" si="3">G12*H12*I12</f>
        <v>-216000000</v>
      </c>
      <c r="K12" s="16">
        <f t="shared" si="1"/>
        <v>3.0857142857142859</v>
      </c>
    </row>
    <row r="13" spans="2:11">
      <c r="B13" s="1" t="s">
        <v>25</v>
      </c>
      <c r="C13" s="1" t="s">
        <v>26</v>
      </c>
      <c r="D13" s="1" t="s">
        <v>27</v>
      </c>
      <c r="E13" s="1">
        <v>86530871.282199576</v>
      </c>
      <c r="F13" s="2">
        <v>-85951114.444608837</v>
      </c>
      <c r="G13" s="2">
        <v>-2944444</v>
      </c>
      <c r="H13" s="2">
        <v>12</v>
      </c>
      <c r="I13" s="2">
        <v>6</v>
      </c>
      <c r="J13" s="1">
        <f t="shared" si="3"/>
        <v>-211999968</v>
      </c>
      <c r="K13" s="16">
        <f t="shared" si="1"/>
        <v>2.4665179662867933</v>
      </c>
    </row>
    <row r="14" spans="2:11">
      <c r="B14" s="1" t="s">
        <v>28</v>
      </c>
      <c r="C14" s="1" t="s">
        <v>26</v>
      </c>
      <c r="D14" s="1" t="s">
        <v>29</v>
      </c>
      <c r="E14" s="1">
        <v>185123442.33333358</v>
      </c>
      <c r="F14" s="2">
        <v>-183883115.26970023</v>
      </c>
      <c r="G14" s="2">
        <v>-1048572.8166666667</v>
      </c>
      <c r="H14" s="2">
        <v>12</v>
      </c>
      <c r="I14" s="2">
        <v>5</v>
      </c>
      <c r="J14" s="1">
        <f t="shared" si="3"/>
        <v>-62914369</v>
      </c>
      <c r="K14" s="16">
        <f t="shared" si="1"/>
        <v>0.34214326262486844</v>
      </c>
    </row>
    <row r="15" spans="2:11">
      <c r="B15" s="1" t="s">
        <v>30</v>
      </c>
      <c r="C15" s="1" t="s">
        <v>26</v>
      </c>
      <c r="D15" s="1" t="s">
        <v>31</v>
      </c>
      <c r="E15" s="1">
        <v>118691508</v>
      </c>
      <c r="F15" s="2">
        <v>-117896274.89639999</v>
      </c>
      <c r="G15" s="2">
        <v>-4479167</v>
      </c>
      <c r="H15" s="2">
        <v>12</v>
      </c>
      <c r="I15" s="2">
        <v>5</v>
      </c>
      <c r="J15" s="1">
        <f t="shared" si="3"/>
        <v>-268750020</v>
      </c>
      <c r="K15" s="16">
        <f t="shared" si="1"/>
        <v>2.2795463235472115</v>
      </c>
    </row>
    <row r="16" spans="2:11">
      <c r="B16" s="1" t="s">
        <v>32</v>
      </c>
      <c r="C16" s="1" t="s">
        <v>33</v>
      </c>
      <c r="D16" s="1" t="s">
        <v>34</v>
      </c>
      <c r="E16" s="1">
        <v>14907970176.97739</v>
      </c>
      <c r="F16" s="2">
        <v>-11338292531</v>
      </c>
      <c r="G16" s="2">
        <v>-972500048</v>
      </c>
      <c r="H16" s="2">
        <v>12</v>
      </c>
      <c r="I16" s="2">
        <v>1</v>
      </c>
      <c r="J16" s="1">
        <f>G16*H16</f>
        <v>-11670000576</v>
      </c>
      <c r="K16" s="16">
        <f>J16/F16</f>
        <v>1.0292555553751217</v>
      </c>
    </row>
    <row r="17" spans="2:11">
      <c r="B17" s="1" t="s">
        <v>35</v>
      </c>
      <c r="C17" s="1" t="s">
        <v>36</v>
      </c>
      <c r="D17" s="1" t="s">
        <v>37</v>
      </c>
      <c r="E17" s="1">
        <v>2275134763.1649122</v>
      </c>
      <c r="F17" s="2">
        <v>-1537726842</v>
      </c>
      <c r="G17" s="2">
        <v>-33791777</v>
      </c>
      <c r="H17" s="2">
        <v>12</v>
      </c>
      <c r="I17" s="2">
        <v>1</v>
      </c>
      <c r="J17" s="1">
        <f>G17*H17</f>
        <v>-405501324</v>
      </c>
      <c r="K17" s="16">
        <f>J17/F17</f>
        <v>0.26370179210281353</v>
      </c>
    </row>
    <row r="18" spans="2:11">
      <c r="B18" s="1" t="s">
        <v>38</v>
      </c>
      <c r="C18" s="1" t="s">
        <v>66</v>
      </c>
      <c r="D18" s="1" t="s">
        <v>39</v>
      </c>
      <c r="E18" s="1">
        <v>150000000</v>
      </c>
      <c r="F18" s="2">
        <v>-75000000</v>
      </c>
      <c r="G18" s="2">
        <v>-75000000</v>
      </c>
      <c r="H18" s="2">
        <v>1</v>
      </c>
      <c r="I18" s="2">
        <v>1</v>
      </c>
      <c r="J18" s="1">
        <f t="shared" ref="J18:J37" si="4">G18*H18*I18</f>
        <v>-75000000</v>
      </c>
      <c r="K18" s="16">
        <f t="shared" si="1"/>
        <v>1</v>
      </c>
    </row>
    <row r="19" spans="2:11">
      <c r="B19" s="1" t="s">
        <v>38</v>
      </c>
      <c r="C19" s="1" t="s">
        <v>66</v>
      </c>
      <c r="D19" s="1" t="s">
        <v>40</v>
      </c>
      <c r="E19" s="1">
        <v>150000000</v>
      </c>
      <c r="F19" s="2">
        <v>-100000000</v>
      </c>
      <c r="G19" s="2">
        <v>-25000000</v>
      </c>
      <c r="H19" s="2">
        <v>4</v>
      </c>
      <c r="I19" s="2">
        <v>1</v>
      </c>
      <c r="J19" s="1">
        <f t="shared" si="4"/>
        <v>-100000000</v>
      </c>
      <c r="K19" s="16">
        <f t="shared" si="1"/>
        <v>1</v>
      </c>
    </row>
    <row r="20" spans="2:11">
      <c r="B20" s="1" t="s">
        <v>38</v>
      </c>
      <c r="C20" s="1" t="s">
        <v>66</v>
      </c>
      <c r="D20" s="1" t="s">
        <v>41</v>
      </c>
      <c r="E20" s="1">
        <v>150000000</v>
      </c>
      <c r="F20" s="2">
        <v>-100000000</v>
      </c>
      <c r="G20" s="2">
        <v>-10000000</v>
      </c>
      <c r="H20" s="2">
        <v>10</v>
      </c>
      <c r="I20" s="2">
        <v>1</v>
      </c>
      <c r="J20" s="1">
        <f t="shared" si="4"/>
        <v>-100000000</v>
      </c>
      <c r="K20" s="16">
        <f t="shared" si="1"/>
        <v>1</v>
      </c>
    </row>
    <row r="21" spans="2:11">
      <c r="B21" s="1" t="s">
        <v>38</v>
      </c>
      <c r="C21" s="1" t="s">
        <v>66</v>
      </c>
      <c r="D21" s="1" t="s">
        <v>42</v>
      </c>
      <c r="E21" s="1">
        <v>100000000</v>
      </c>
      <c r="F21" s="2">
        <v>-75000000</v>
      </c>
      <c r="G21" s="2">
        <v>-100000000</v>
      </c>
      <c r="H21" s="2">
        <v>1</v>
      </c>
      <c r="I21" s="2">
        <v>1</v>
      </c>
      <c r="J21" s="1">
        <f t="shared" si="4"/>
        <v>-100000000</v>
      </c>
      <c r="K21" s="16">
        <f t="shared" si="1"/>
        <v>1.3333333333333333</v>
      </c>
    </row>
    <row r="22" spans="2:11">
      <c r="B22" s="1" t="s">
        <v>38</v>
      </c>
      <c r="C22" s="1" t="s">
        <v>66</v>
      </c>
      <c r="D22" s="1" t="s">
        <v>43</v>
      </c>
      <c r="E22" s="1">
        <v>50000000</v>
      </c>
      <c r="F22" s="2">
        <v>-30000000</v>
      </c>
      <c r="G22" s="2">
        <v>-25000000</v>
      </c>
      <c r="H22" s="2">
        <v>1</v>
      </c>
      <c r="I22" s="2">
        <v>1</v>
      </c>
      <c r="J22" s="1">
        <f t="shared" si="4"/>
        <v>-25000000</v>
      </c>
      <c r="K22" s="16">
        <f t="shared" si="1"/>
        <v>0.83333333333333337</v>
      </c>
    </row>
    <row r="23" spans="2:11">
      <c r="B23" s="1" t="s">
        <v>38</v>
      </c>
      <c r="C23" s="1" t="s">
        <v>66</v>
      </c>
      <c r="D23" s="1" t="s">
        <v>44</v>
      </c>
      <c r="E23" s="1">
        <v>12000000</v>
      </c>
      <c r="F23" s="2">
        <v>-12000000</v>
      </c>
      <c r="G23" s="2">
        <v>-1000000</v>
      </c>
      <c r="H23" s="2">
        <v>12</v>
      </c>
      <c r="I23" s="2">
        <v>1</v>
      </c>
      <c r="J23" s="1">
        <f t="shared" si="4"/>
        <v>-12000000</v>
      </c>
      <c r="K23" s="16">
        <f t="shared" si="1"/>
        <v>1</v>
      </c>
    </row>
    <row r="24" spans="2:11">
      <c r="B24" s="1" t="s">
        <v>38</v>
      </c>
      <c r="C24" s="1" t="s">
        <v>66</v>
      </c>
      <c r="D24" s="1" t="s">
        <v>45</v>
      </c>
      <c r="E24" s="1">
        <v>60000000</v>
      </c>
      <c r="F24" s="2">
        <v>-30000000</v>
      </c>
      <c r="G24" s="2">
        <v>-5000000</v>
      </c>
      <c r="H24" s="2">
        <v>12</v>
      </c>
      <c r="I24" s="2">
        <v>1</v>
      </c>
      <c r="J24" s="1">
        <f t="shared" si="4"/>
        <v>-60000000</v>
      </c>
      <c r="K24" s="16">
        <f t="shared" si="1"/>
        <v>2</v>
      </c>
    </row>
    <row r="25" spans="2:11">
      <c r="B25" s="1" t="s">
        <v>38</v>
      </c>
      <c r="C25" s="1" t="s">
        <v>66</v>
      </c>
      <c r="D25" s="1" t="s">
        <v>46</v>
      </c>
      <c r="E25" s="1">
        <v>30000000</v>
      </c>
      <c r="F25" s="2">
        <v>-30000000</v>
      </c>
      <c r="G25" s="2">
        <v>-2500000</v>
      </c>
      <c r="H25" s="2">
        <v>12</v>
      </c>
      <c r="I25" s="2">
        <v>1</v>
      </c>
      <c r="J25" s="1">
        <f t="shared" si="4"/>
        <v>-30000000</v>
      </c>
      <c r="K25" s="16">
        <f t="shared" si="1"/>
        <v>1</v>
      </c>
    </row>
    <row r="26" spans="2:11">
      <c r="B26" s="1" t="s">
        <v>38</v>
      </c>
      <c r="C26" s="1" t="s">
        <v>66</v>
      </c>
      <c r="D26" s="1" t="s">
        <v>47</v>
      </c>
      <c r="E26" s="1">
        <v>50000000</v>
      </c>
      <c r="F26" s="2">
        <v>-50000000</v>
      </c>
      <c r="G26" s="2">
        <v>-50000000</v>
      </c>
      <c r="H26" s="2">
        <v>4</v>
      </c>
      <c r="I26" s="2">
        <v>1</v>
      </c>
      <c r="J26" s="1">
        <f t="shared" si="4"/>
        <v>-200000000</v>
      </c>
      <c r="K26" s="16">
        <f t="shared" si="1"/>
        <v>4</v>
      </c>
    </row>
    <row r="27" spans="2:11">
      <c r="B27" s="1" t="s">
        <v>38</v>
      </c>
      <c r="C27" s="1" t="s">
        <v>67</v>
      </c>
      <c r="D27" s="1" t="s">
        <v>48</v>
      </c>
      <c r="E27" s="1">
        <v>75000000</v>
      </c>
      <c r="F27" s="2">
        <v>-75000000</v>
      </c>
      <c r="G27" s="2">
        <v>-25000000</v>
      </c>
      <c r="H27" s="2">
        <v>3</v>
      </c>
      <c r="I27" s="2">
        <v>1</v>
      </c>
      <c r="J27" s="1">
        <f t="shared" si="4"/>
        <v>-75000000</v>
      </c>
      <c r="K27" s="16">
        <f t="shared" si="1"/>
        <v>1</v>
      </c>
    </row>
    <row r="28" spans="2:11">
      <c r="B28" s="1" t="s">
        <v>38</v>
      </c>
      <c r="C28" s="1" t="s">
        <v>66</v>
      </c>
      <c r="D28" s="1" t="s">
        <v>49</v>
      </c>
      <c r="E28" s="1">
        <v>50000000</v>
      </c>
      <c r="F28" s="2">
        <v>-50000000</v>
      </c>
      <c r="G28" s="2">
        <v>-50000000</v>
      </c>
      <c r="H28" s="2">
        <v>1</v>
      </c>
      <c r="I28" s="2">
        <v>1</v>
      </c>
      <c r="J28" s="1">
        <f t="shared" si="4"/>
        <v>-50000000</v>
      </c>
      <c r="K28" s="16">
        <f t="shared" si="1"/>
        <v>1</v>
      </c>
    </row>
    <row r="29" spans="2:11">
      <c r="B29" s="1" t="s">
        <v>38</v>
      </c>
      <c r="C29" s="1" t="s">
        <v>66</v>
      </c>
      <c r="D29" s="1" t="s">
        <v>50</v>
      </c>
      <c r="E29" s="1">
        <v>30000000</v>
      </c>
      <c r="F29" s="2">
        <v>-30000000</v>
      </c>
      <c r="G29" s="2">
        <v>-7500000</v>
      </c>
      <c r="H29" s="2">
        <v>4</v>
      </c>
      <c r="I29" s="2">
        <v>1</v>
      </c>
      <c r="J29" s="1">
        <f t="shared" si="4"/>
        <v>-30000000</v>
      </c>
      <c r="K29" s="16">
        <f t="shared" si="1"/>
        <v>1</v>
      </c>
    </row>
    <row r="30" spans="2:11">
      <c r="B30" s="1" t="s">
        <v>38</v>
      </c>
      <c r="C30" s="1" t="s">
        <v>66</v>
      </c>
      <c r="D30" s="1" t="s">
        <v>51</v>
      </c>
      <c r="E30" s="1">
        <v>30000000</v>
      </c>
      <c r="F30" s="2">
        <v>-30000000</v>
      </c>
      <c r="G30" s="2">
        <v>-7500000</v>
      </c>
      <c r="H30" s="2">
        <v>4</v>
      </c>
      <c r="I30" s="2">
        <v>1</v>
      </c>
      <c r="J30" s="1">
        <f t="shared" si="4"/>
        <v>-30000000</v>
      </c>
      <c r="K30" s="16">
        <f t="shared" si="1"/>
        <v>1</v>
      </c>
    </row>
    <row r="31" spans="2:11">
      <c r="B31" s="1" t="s">
        <v>38</v>
      </c>
      <c r="C31" s="1" t="s">
        <v>66</v>
      </c>
      <c r="D31" s="1" t="s">
        <v>52</v>
      </c>
      <c r="E31" s="1">
        <v>170000000</v>
      </c>
      <c r="F31" s="2">
        <v>-120000000</v>
      </c>
      <c r="G31" s="2">
        <v>-30000000</v>
      </c>
      <c r="H31" s="2">
        <v>4</v>
      </c>
      <c r="I31" s="2">
        <v>1</v>
      </c>
      <c r="J31" s="1">
        <f t="shared" si="4"/>
        <v>-120000000</v>
      </c>
      <c r="K31" s="16">
        <f t="shared" si="1"/>
        <v>1</v>
      </c>
    </row>
    <row r="32" spans="2:11">
      <c r="B32" s="1" t="s">
        <v>38</v>
      </c>
      <c r="C32" s="1" t="s">
        <v>66</v>
      </c>
      <c r="D32" s="1" t="s">
        <v>53</v>
      </c>
      <c r="E32" s="1">
        <v>150000000</v>
      </c>
      <c r="F32" s="2">
        <v>-100000000</v>
      </c>
      <c r="G32" s="2">
        <v>-20000000</v>
      </c>
      <c r="H32" s="2">
        <v>5</v>
      </c>
      <c r="I32" s="2">
        <v>1</v>
      </c>
      <c r="J32" s="1">
        <f t="shared" si="4"/>
        <v>-100000000</v>
      </c>
      <c r="K32" s="16">
        <f t="shared" si="1"/>
        <v>1</v>
      </c>
    </row>
    <row r="33" spans="2:11">
      <c r="B33" s="1" t="s">
        <v>38</v>
      </c>
      <c r="C33" s="1" t="s">
        <v>66</v>
      </c>
      <c r="D33" s="1" t="s">
        <v>54</v>
      </c>
      <c r="E33" s="1">
        <v>140000000</v>
      </c>
      <c r="F33" s="2">
        <v>-120000000</v>
      </c>
      <c r="G33" s="2">
        <v>-10000000</v>
      </c>
      <c r="H33" s="2">
        <v>12</v>
      </c>
      <c r="I33" s="2">
        <v>1</v>
      </c>
      <c r="J33" s="1">
        <f t="shared" si="4"/>
        <v>-120000000</v>
      </c>
      <c r="K33" s="16">
        <f t="shared" si="1"/>
        <v>1</v>
      </c>
    </row>
    <row r="34" spans="2:11">
      <c r="B34" s="1" t="s">
        <v>55</v>
      </c>
      <c r="C34" s="1" t="s">
        <v>71</v>
      </c>
      <c r="D34" s="1" t="s">
        <v>56</v>
      </c>
      <c r="E34" s="1">
        <v>150000000</v>
      </c>
      <c r="F34" s="2">
        <v>-50000000</v>
      </c>
      <c r="G34" s="2">
        <v>-275000000</v>
      </c>
      <c r="H34" s="2">
        <v>2</v>
      </c>
      <c r="I34" s="2">
        <v>1</v>
      </c>
      <c r="J34" s="1">
        <f t="shared" si="4"/>
        <v>-550000000</v>
      </c>
      <c r="K34" s="16">
        <f t="shared" si="1"/>
        <v>11</v>
      </c>
    </row>
    <row r="35" spans="2:11">
      <c r="B35" s="1" t="s">
        <v>57</v>
      </c>
      <c r="C35" s="1" t="s">
        <v>68</v>
      </c>
      <c r="D35" s="1" t="s">
        <v>58</v>
      </c>
      <c r="E35" s="1">
        <v>70000000</v>
      </c>
      <c r="F35" s="2">
        <v>-50000000</v>
      </c>
      <c r="G35" s="2">
        <v>-10000000</v>
      </c>
      <c r="H35" s="2">
        <v>5</v>
      </c>
      <c r="I35" s="2">
        <v>1</v>
      </c>
      <c r="J35" s="1">
        <f t="shared" si="4"/>
        <v>-50000000</v>
      </c>
      <c r="K35" s="16">
        <f t="shared" si="1"/>
        <v>1</v>
      </c>
    </row>
    <row r="36" spans="2:11">
      <c r="B36" s="1" t="s">
        <v>57</v>
      </c>
      <c r="C36" s="1" t="s">
        <v>68</v>
      </c>
      <c r="D36" s="1" t="s">
        <v>59</v>
      </c>
      <c r="E36" s="1">
        <v>30000000</v>
      </c>
      <c r="F36" s="2">
        <v>-30000000</v>
      </c>
      <c r="G36" s="2">
        <v>-7500000</v>
      </c>
      <c r="H36" s="2">
        <v>4</v>
      </c>
      <c r="I36" s="2">
        <v>1</v>
      </c>
      <c r="J36" s="1">
        <f t="shared" si="4"/>
        <v>-30000000</v>
      </c>
      <c r="K36" s="16">
        <f t="shared" si="1"/>
        <v>1</v>
      </c>
    </row>
    <row r="37" spans="2:11">
      <c r="B37" s="1" t="s">
        <v>60</v>
      </c>
      <c r="C37" s="1" t="s">
        <v>60</v>
      </c>
      <c r="D37" s="1" t="s">
        <v>61</v>
      </c>
      <c r="E37" s="1">
        <v>20000000</v>
      </c>
      <c r="F37" s="2">
        <v>-20000000</v>
      </c>
      <c r="G37" s="2">
        <v>-5000000</v>
      </c>
      <c r="H37" s="2">
        <v>7</v>
      </c>
      <c r="I37" s="2">
        <v>1</v>
      </c>
      <c r="J37" s="1">
        <f t="shared" si="4"/>
        <v>-35000000</v>
      </c>
      <c r="K37" s="16">
        <f t="shared" si="1"/>
        <v>1.75</v>
      </c>
    </row>
    <row r="38" spans="2:11">
      <c r="B38" s="12" t="s">
        <v>63</v>
      </c>
      <c r="C38" s="13"/>
      <c r="D38" s="14"/>
      <c r="E38" s="11">
        <f>SUM(E5:E37)</f>
        <v>232379099356.09473</v>
      </c>
      <c r="F38" s="11">
        <f>SUM(F5:F37)</f>
        <v>-227354398471.9476</v>
      </c>
      <c r="G38" s="10"/>
      <c r="H38" s="10"/>
      <c r="I38" s="10"/>
      <c r="J38" s="11">
        <f>SUM(J5:J37)</f>
        <v>-234325444041</v>
      </c>
      <c r="K38" s="16">
        <f>J38/F38</f>
        <v>1.0306615821638152</v>
      </c>
    </row>
  </sheetData>
  <mergeCells count="9">
    <mergeCell ref="B38:D38"/>
    <mergeCell ref="B1:J1"/>
    <mergeCell ref="K3:K4"/>
    <mergeCell ref="G3:J3"/>
    <mergeCell ref="F3:F4"/>
    <mergeCell ref="E3:E4"/>
    <mergeCell ref="D3:D4"/>
    <mergeCell ref="B3:B4"/>
    <mergeCell ref="C3:C4"/>
  </mergeCells>
  <conditionalFormatting sqref="C5:C37">
    <cfRule type="containsText" dxfId="0" priority="1" operator="containsText" text="NO REFERENSI">
      <formula>NOT(ISERROR(SEARCH("NO REFERENSI",C5)))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GREEI GANAP</dc:creator>
  <cp:lastModifiedBy>JIMMY GREEI GANAP</cp:lastModifiedBy>
  <dcterms:created xsi:type="dcterms:W3CDTF">2026-06-08T03:46:33Z</dcterms:created>
  <dcterms:modified xsi:type="dcterms:W3CDTF">2026-06-08T07:27:26Z</dcterms:modified>
</cp:coreProperties>
</file>